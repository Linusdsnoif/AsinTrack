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eiql/Desktop/"/>
    </mc:Choice>
  </mc:AlternateContent>
  <xr:revisionPtr revIDLastSave="0" documentId="8_{96814512-522A-DF4E-9A58-B7DD10AD385E}" xr6:coauthVersionLast="47" xr6:coauthVersionMax="47" xr10:uidLastSave="{00000000-0000-0000-0000-000000000000}"/>
  <bookViews>
    <workbookView xWindow="0" yWindow="660" windowWidth="28800" windowHeight="17420" activeTab="3" xr2:uid="{00000000-000D-0000-FFFF-FFFF00000000}"/>
  </bookViews>
  <sheets>
    <sheet name="Auto_Tray" sheetId="6" state="hidden" r:id="rId1"/>
    <sheet name="Auto_ENC" sheetId="8" state="hidden" r:id="rId2"/>
    <sheet name="Auto_BNF" sheetId="9" state="hidden" r:id="rId3"/>
    <sheet name="Tray auto lesley" sheetId="10" r:id="rId4"/>
    <sheet name="Raw-Search Term" sheetId="1" r:id="rId5"/>
  </sheets>
  <calcPr calcId="191029"/>
  <pivotCaches>
    <pivotCache cacheId="2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618" i="1" l="1"/>
  <c r="B2618" i="1"/>
  <c r="A2619" i="1"/>
  <c r="B2619" i="1"/>
  <c r="A2620" i="1"/>
  <c r="B2620" i="1"/>
  <c r="A2621" i="1"/>
  <c r="B2621" i="1"/>
  <c r="A2622" i="1"/>
  <c r="B2622" i="1"/>
  <c r="A2623" i="1"/>
  <c r="B2623" i="1"/>
  <c r="A2624" i="1"/>
  <c r="B2624" i="1"/>
  <c r="A2625" i="1"/>
  <c r="B2625" i="1"/>
  <c r="A2626" i="1"/>
  <c r="B2626" i="1"/>
  <c r="A2627" i="1"/>
  <c r="B2627" i="1"/>
  <c r="A2628" i="1"/>
  <c r="B2628" i="1"/>
  <c r="A2629" i="1"/>
  <c r="B2629" i="1"/>
  <c r="A2630" i="1"/>
  <c r="B2630" i="1"/>
  <c r="A2631" i="1"/>
  <c r="B2631" i="1"/>
  <c r="A2632" i="1"/>
  <c r="B2632" i="1"/>
  <c r="A2633" i="1"/>
  <c r="B2633" i="1"/>
  <c r="A2634" i="1"/>
  <c r="B2634" i="1"/>
  <c r="A2635" i="1"/>
  <c r="B2635" i="1"/>
  <c r="A2636" i="1"/>
  <c r="B2636" i="1"/>
  <c r="A2637" i="1"/>
  <c r="B2637" i="1"/>
  <c r="A2638" i="1"/>
  <c r="B2638" i="1"/>
  <c r="A2639" i="1"/>
  <c r="B2639" i="1"/>
  <c r="A2640" i="1"/>
  <c r="B2640" i="1"/>
  <c r="A2641" i="1"/>
  <c r="B2641" i="1"/>
  <c r="A2642" i="1"/>
  <c r="B2642" i="1"/>
  <c r="A2643" i="1"/>
  <c r="B2643" i="1"/>
  <c r="A2644" i="1"/>
  <c r="B2644" i="1"/>
  <c r="A2645" i="1"/>
  <c r="B2645" i="1"/>
  <c r="A2646" i="1"/>
  <c r="B2646" i="1"/>
  <c r="A2647" i="1"/>
  <c r="B2647" i="1"/>
  <c r="A2648" i="1"/>
  <c r="B2648" i="1"/>
  <c r="A2649" i="1"/>
  <c r="B2649" i="1"/>
  <c r="A2650" i="1"/>
  <c r="B2650" i="1"/>
  <c r="A2651" i="1"/>
  <c r="B2651" i="1"/>
  <c r="A2652" i="1"/>
  <c r="B2652" i="1"/>
  <c r="A2653" i="1"/>
  <c r="B2653" i="1"/>
  <c r="A2654" i="1"/>
  <c r="B2654" i="1"/>
  <c r="A2655" i="1"/>
  <c r="B2655" i="1"/>
  <c r="A2656" i="1"/>
  <c r="B2656" i="1"/>
  <c r="A2657" i="1"/>
  <c r="B2657" i="1"/>
  <c r="A2658" i="1"/>
  <c r="B2658" i="1"/>
  <c r="A2659" i="1"/>
  <c r="B2659" i="1"/>
  <c r="A2660" i="1"/>
  <c r="B2660" i="1"/>
  <c r="A2661" i="1"/>
  <c r="B2661" i="1"/>
  <c r="A2662" i="1"/>
  <c r="B2662" i="1"/>
  <c r="A2663" i="1"/>
  <c r="B2663" i="1"/>
  <c r="A2664" i="1"/>
  <c r="B2664" i="1"/>
  <c r="A2665" i="1"/>
  <c r="B2665" i="1"/>
  <c r="A2666" i="1"/>
  <c r="B2666" i="1"/>
  <c r="A2667" i="1"/>
  <c r="B2667" i="1"/>
  <c r="A2668" i="1"/>
  <c r="B2668" i="1"/>
  <c r="A2669" i="1"/>
  <c r="B2669" i="1"/>
  <c r="A2670" i="1"/>
  <c r="B2670" i="1"/>
  <c r="A2671" i="1"/>
  <c r="B2671" i="1"/>
  <c r="A2672" i="1"/>
  <c r="B2672" i="1"/>
  <c r="A2673" i="1"/>
  <c r="B2673" i="1"/>
  <c r="A2674" i="1"/>
  <c r="B2674" i="1"/>
  <c r="A2675" i="1"/>
  <c r="B2675" i="1"/>
  <c r="A2676" i="1"/>
  <c r="B2676" i="1"/>
  <c r="A2677" i="1"/>
  <c r="B2677" i="1"/>
  <c r="A2678" i="1"/>
  <c r="B2678" i="1"/>
  <c r="A2679" i="1"/>
  <c r="B2679" i="1"/>
  <c r="A2680" i="1"/>
  <c r="B2680" i="1"/>
  <c r="A2681" i="1"/>
  <c r="B2681" i="1"/>
  <c r="A2682" i="1"/>
  <c r="B2682" i="1"/>
  <c r="A2683" i="1"/>
  <c r="B2683" i="1"/>
  <c r="A2684" i="1"/>
  <c r="B2684" i="1"/>
  <c r="A2685" i="1"/>
  <c r="B2685" i="1"/>
  <c r="A2686" i="1"/>
  <c r="B2686" i="1"/>
  <c r="A2687" i="1"/>
  <c r="B2687" i="1"/>
  <c r="A2688" i="1"/>
  <c r="B2688" i="1"/>
  <c r="A2689" i="1"/>
  <c r="B2689" i="1"/>
  <c r="A2690" i="1"/>
  <c r="B2690" i="1"/>
  <c r="A2691" i="1"/>
  <c r="B2691" i="1"/>
  <c r="A2692" i="1"/>
  <c r="B2692" i="1"/>
  <c r="A2693" i="1"/>
  <c r="B2693" i="1"/>
  <c r="A2694" i="1"/>
  <c r="B2694" i="1"/>
  <c r="A2695" i="1"/>
  <c r="B2695" i="1"/>
  <c r="A2696" i="1"/>
  <c r="B2696" i="1"/>
  <c r="A2697" i="1"/>
  <c r="B2697" i="1"/>
  <c r="A2698" i="1"/>
  <c r="B2698" i="1"/>
  <c r="A2699" i="1"/>
  <c r="B2699" i="1"/>
  <c r="A2700" i="1"/>
  <c r="B2700" i="1"/>
  <c r="A2701" i="1"/>
  <c r="B2701" i="1"/>
  <c r="A2702" i="1"/>
  <c r="B2702" i="1"/>
  <c r="A2703" i="1"/>
  <c r="B2703" i="1"/>
  <c r="A2704" i="1"/>
  <c r="B2704" i="1"/>
  <c r="A2705" i="1"/>
  <c r="B2705" i="1"/>
  <c r="A2706" i="1"/>
  <c r="B2706" i="1"/>
  <c r="A2707" i="1"/>
  <c r="B2707" i="1"/>
  <c r="A2708" i="1"/>
  <c r="B2708" i="1"/>
  <c r="A2709" i="1"/>
  <c r="B2709" i="1"/>
  <c r="A2710" i="1"/>
  <c r="B2710" i="1"/>
  <c r="A2711" i="1"/>
  <c r="B2711" i="1"/>
  <c r="A2712" i="1"/>
  <c r="B2712" i="1"/>
  <c r="A2713" i="1"/>
  <c r="B2713" i="1"/>
  <c r="A2714" i="1"/>
  <c r="B2714" i="1"/>
  <c r="A2715" i="1"/>
  <c r="B2715" i="1"/>
  <c r="A2716" i="1"/>
  <c r="B2716" i="1"/>
  <c r="A2717" i="1"/>
  <c r="B2717" i="1"/>
  <c r="A2718" i="1"/>
  <c r="B2718" i="1"/>
  <c r="A2719" i="1"/>
  <c r="B2719" i="1"/>
  <c r="A2720" i="1"/>
  <c r="B2720" i="1"/>
  <c r="A2721" i="1"/>
  <c r="B2721" i="1"/>
  <c r="A2722" i="1"/>
  <c r="B2722" i="1"/>
  <c r="A2723" i="1"/>
  <c r="B2723" i="1"/>
  <c r="A2724" i="1"/>
  <c r="B2724" i="1"/>
  <c r="A2725" i="1"/>
  <c r="B2725" i="1"/>
  <c r="A2726" i="1"/>
  <c r="B2726" i="1"/>
  <c r="A2727" i="1"/>
  <c r="B2727" i="1"/>
  <c r="A2728" i="1"/>
  <c r="B2728" i="1"/>
  <c r="A2729" i="1"/>
  <c r="B2729" i="1"/>
  <c r="A2730" i="1"/>
  <c r="B2730" i="1"/>
  <c r="A2731" i="1"/>
  <c r="B2731" i="1"/>
  <c r="A2732" i="1"/>
  <c r="B2732" i="1"/>
  <c r="A2733" i="1"/>
  <c r="B2733" i="1"/>
  <c r="A2734" i="1"/>
  <c r="B2734" i="1"/>
  <c r="A2735" i="1"/>
  <c r="B2735" i="1"/>
  <c r="A2736" i="1"/>
  <c r="B2736" i="1"/>
  <c r="A2737" i="1"/>
  <c r="B2737" i="1"/>
  <c r="A2738" i="1"/>
  <c r="B2738" i="1"/>
  <c r="A2739" i="1"/>
  <c r="B2739" i="1"/>
  <c r="A2740" i="1"/>
  <c r="B2740" i="1"/>
  <c r="A2741" i="1"/>
  <c r="B2741" i="1"/>
  <c r="A2742" i="1"/>
  <c r="B2742" i="1"/>
  <c r="A2743" i="1"/>
  <c r="B2743" i="1"/>
  <c r="A2744" i="1"/>
  <c r="B2744" i="1"/>
  <c r="A2745" i="1"/>
  <c r="B2745" i="1"/>
  <c r="A2746" i="1"/>
  <c r="B2746" i="1"/>
  <c r="A2747" i="1"/>
  <c r="B2747" i="1"/>
  <c r="A2748" i="1"/>
  <c r="B2748" i="1"/>
  <c r="A2749" i="1"/>
  <c r="B2749" i="1"/>
  <c r="A2750" i="1"/>
  <c r="B2750" i="1"/>
  <c r="A2751" i="1"/>
  <c r="B2751" i="1"/>
  <c r="A2752" i="1"/>
  <c r="B2752" i="1"/>
  <c r="A2753" i="1"/>
  <c r="B2753" i="1"/>
  <c r="A2754" i="1"/>
  <c r="B2754" i="1"/>
  <c r="A2755" i="1"/>
  <c r="B2755" i="1"/>
  <c r="A2756" i="1"/>
  <c r="B2756" i="1"/>
  <c r="A2757" i="1"/>
  <c r="B2757" i="1"/>
  <c r="A2758" i="1"/>
  <c r="B2758" i="1"/>
  <c r="A2759" i="1"/>
  <c r="B2759" i="1"/>
  <c r="A2760" i="1"/>
  <c r="B2760" i="1"/>
  <c r="A2761" i="1"/>
  <c r="B2761" i="1"/>
  <c r="A2762" i="1"/>
  <c r="B2762" i="1"/>
  <c r="A2763" i="1"/>
  <c r="B2763" i="1"/>
  <c r="A2764" i="1"/>
  <c r="B2764" i="1"/>
  <c r="A2765" i="1"/>
  <c r="B2765" i="1"/>
  <c r="A2766" i="1"/>
  <c r="B2766" i="1"/>
  <c r="A2767" i="1"/>
  <c r="B2767" i="1"/>
  <c r="A2768" i="1"/>
  <c r="B2768" i="1"/>
  <c r="A2769" i="1"/>
  <c r="B2769" i="1"/>
  <c r="A2770" i="1"/>
  <c r="B2770" i="1"/>
  <c r="A2771" i="1"/>
  <c r="B2771" i="1"/>
  <c r="A2772" i="1"/>
  <c r="B2772" i="1"/>
  <c r="A2773" i="1"/>
  <c r="B2773" i="1"/>
  <c r="A2774" i="1"/>
  <c r="B2774" i="1"/>
  <c r="A2775" i="1"/>
  <c r="B2775" i="1"/>
  <c r="A2776" i="1"/>
  <c r="B2776" i="1"/>
  <c r="A2777" i="1"/>
  <c r="B2777" i="1"/>
  <c r="A2778" i="1"/>
  <c r="B2778" i="1"/>
  <c r="A2779" i="1"/>
  <c r="B2779" i="1"/>
  <c r="A2780" i="1"/>
  <c r="B2780" i="1"/>
  <c r="A2781" i="1"/>
  <c r="B2781" i="1"/>
  <c r="A2782" i="1"/>
  <c r="B2782" i="1"/>
  <c r="A2783" i="1"/>
  <c r="B2783" i="1"/>
  <c r="A2784" i="1"/>
  <c r="B2784" i="1"/>
  <c r="A2785" i="1"/>
  <c r="B2785" i="1"/>
  <c r="A2786" i="1"/>
  <c r="B2786" i="1"/>
  <c r="A2787" i="1"/>
  <c r="B2787" i="1"/>
  <c r="A2788" i="1"/>
  <c r="B2788" i="1"/>
  <c r="A2789" i="1"/>
  <c r="B2789" i="1"/>
  <c r="A2790" i="1"/>
  <c r="B2790" i="1"/>
  <c r="A2791" i="1"/>
  <c r="B2791" i="1"/>
  <c r="A2792" i="1"/>
  <c r="B2792" i="1"/>
  <c r="A2793" i="1"/>
  <c r="B2793" i="1"/>
  <c r="A2794" i="1"/>
  <c r="B2794" i="1"/>
  <c r="A2795" i="1"/>
  <c r="B2795" i="1"/>
  <c r="A2796" i="1"/>
  <c r="B2796" i="1"/>
  <c r="A2797" i="1"/>
  <c r="B2797" i="1"/>
  <c r="A2798" i="1"/>
  <c r="B2798" i="1"/>
  <c r="A2799" i="1"/>
  <c r="B2799" i="1"/>
  <c r="A2800" i="1"/>
  <c r="B2800" i="1"/>
  <c r="A2801" i="1"/>
  <c r="B2801" i="1"/>
  <c r="A2802" i="1"/>
  <c r="B2802" i="1"/>
  <c r="A2803" i="1"/>
  <c r="B2803" i="1"/>
  <c r="A2804" i="1"/>
  <c r="B2804" i="1"/>
  <c r="A2805" i="1"/>
  <c r="B2805" i="1"/>
  <c r="A2806" i="1"/>
  <c r="B2806" i="1"/>
  <c r="A2807" i="1"/>
  <c r="B2807" i="1"/>
  <c r="A2808" i="1"/>
  <c r="B2808" i="1"/>
  <c r="A2809" i="1"/>
  <c r="B2809" i="1"/>
  <c r="A2810" i="1"/>
  <c r="B2810" i="1"/>
  <c r="A2811" i="1"/>
  <c r="B2811" i="1"/>
  <c r="A2812" i="1"/>
  <c r="B2812" i="1"/>
  <c r="A2813" i="1"/>
  <c r="B2813" i="1"/>
  <c r="A2814" i="1"/>
  <c r="B2814" i="1"/>
  <c r="A2815" i="1"/>
  <c r="B2815" i="1"/>
  <c r="A2816" i="1"/>
  <c r="B2816" i="1"/>
  <c r="A2817" i="1"/>
  <c r="B2817" i="1"/>
  <c r="A2818" i="1"/>
  <c r="B2818" i="1"/>
  <c r="A2819" i="1"/>
  <c r="B2819" i="1"/>
  <c r="A2820" i="1"/>
  <c r="B2820" i="1"/>
  <c r="A2821" i="1"/>
  <c r="B2821" i="1"/>
  <c r="A2822" i="1"/>
  <c r="B2822" i="1"/>
  <c r="A2823" i="1"/>
  <c r="B2823" i="1"/>
  <c r="A2824" i="1"/>
  <c r="B2824" i="1"/>
  <c r="A2825" i="1"/>
  <c r="B2825" i="1"/>
  <c r="A2826" i="1"/>
  <c r="B2826" i="1"/>
  <c r="A2827" i="1"/>
  <c r="B2827" i="1"/>
  <c r="A2828" i="1"/>
  <c r="B2828" i="1"/>
  <c r="A2829" i="1"/>
  <c r="B2829" i="1"/>
  <c r="A2830" i="1"/>
  <c r="B2830" i="1"/>
  <c r="A2831" i="1"/>
  <c r="B2831" i="1"/>
  <c r="A2832" i="1"/>
  <c r="B2832" i="1"/>
  <c r="A2833" i="1"/>
  <c r="B2833" i="1"/>
  <c r="A2834" i="1"/>
  <c r="B2834" i="1"/>
  <c r="A2835" i="1"/>
  <c r="B2835" i="1"/>
  <c r="A2836" i="1"/>
  <c r="B2836" i="1"/>
  <c r="A2837" i="1"/>
  <c r="B2837" i="1"/>
  <c r="A2838" i="1"/>
  <c r="B2838" i="1"/>
  <c r="A2839" i="1"/>
  <c r="B2839" i="1"/>
  <c r="A2840" i="1"/>
  <c r="B2840" i="1"/>
  <c r="A2841" i="1"/>
  <c r="B2841" i="1"/>
  <c r="A2842" i="1"/>
  <c r="B2842" i="1"/>
  <c r="A2843" i="1"/>
  <c r="B2843" i="1"/>
  <c r="A2844" i="1"/>
  <c r="B2844" i="1"/>
  <c r="A2845" i="1"/>
  <c r="B2845" i="1"/>
  <c r="A2846" i="1"/>
  <c r="B2846" i="1"/>
  <c r="A2847" i="1"/>
  <c r="B2847" i="1"/>
  <c r="A2848" i="1"/>
  <c r="B2848" i="1"/>
  <c r="A2849" i="1"/>
  <c r="B2849" i="1"/>
  <c r="A2850" i="1"/>
  <c r="B2850" i="1"/>
  <c r="A2851" i="1"/>
  <c r="B2851" i="1"/>
  <c r="A2852" i="1"/>
  <c r="B2852" i="1"/>
  <c r="A2853" i="1"/>
  <c r="B2853" i="1"/>
  <c r="A2854" i="1"/>
  <c r="B2854" i="1"/>
  <c r="A2855" i="1"/>
  <c r="B2855" i="1"/>
  <c r="A2856" i="1"/>
  <c r="B2856" i="1"/>
  <c r="A2857" i="1"/>
  <c r="B2857" i="1"/>
  <c r="A2858" i="1"/>
  <c r="B2858" i="1"/>
  <c r="A2859" i="1"/>
  <c r="B2859" i="1"/>
  <c r="A2860" i="1"/>
  <c r="B2860" i="1"/>
  <c r="A2861" i="1"/>
  <c r="B2861" i="1"/>
  <c r="A2862" i="1"/>
  <c r="B2862" i="1"/>
  <c r="A2863" i="1"/>
  <c r="B2863" i="1"/>
  <c r="A2864" i="1"/>
  <c r="B2864" i="1"/>
  <c r="A2865" i="1"/>
  <c r="B2865" i="1"/>
  <c r="A2866" i="1"/>
  <c r="B2866" i="1"/>
  <c r="A2867" i="1"/>
  <c r="B2867" i="1"/>
  <c r="A2868" i="1"/>
  <c r="B2868" i="1"/>
  <c r="A2869" i="1"/>
  <c r="B2869" i="1"/>
  <c r="A2870" i="1"/>
  <c r="B2870" i="1"/>
  <c r="A2871" i="1"/>
  <c r="B2871" i="1"/>
  <c r="A2872" i="1"/>
  <c r="B2872" i="1"/>
  <c r="A2873" i="1"/>
  <c r="B2873" i="1"/>
  <c r="A2874" i="1"/>
  <c r="B2874" i="1"/>
  <c r="A2875" i="1"/>
  <c r="B2875" i="1"/>
  <c r="A2876" i="1"/>
  <c r="B2876" i="1"/>
  <c r="A2877" i="1"/>
  <c r="B2877" i="1"/>
  <c r="A2878" i="1"/>
  <c r="B2878" i="1"/>
  <c r="A2879" i="1"/>
  <c r="B2879" i="1"/>
  <c r="A2880" i="1"/>
  <c r="B2880" i="1"/>
  <c r="A2881" i="1"/>
  <c r="B2881" i="1"/>
  <c r="A2882" i="1"/>
  <c r="B2882" i="1"/>
  <c r="A2883" i="1"/>
  <c r="B2883" i="1"/>
  <c r="A2884" i="1"/>
  <c r="B2884" i="1"/>
  <c r="A2885" i="1"/>
  <c r="B2885" i="1"/>
  <c r="A2886" i="1"/>
  <c r="B2886" i="1"/>
  <c r="A2887" i="1"/>
  <c r="B2887" i="1"/>
  <c r="A2888" i="1"/>
  <c r="B2888" i="1"/>
  <c r="A2889" i="1"/>
  <c r="B2889" i="1"/>
  <c r="A2890" i="1"/>
  <c r="B2890" i="1"/>
  <c r="A2891" i="1"/>
  <c r="B2891" i="1"/>
  <c r="A2892" i="1"/>
  <c r="B2892" i="1"/>
  <c r="A2893" i="1"/>
  <c r="B2893" i="1"/>
  <c r="A2894" i="1"/>
  <c r="B2894" i="1"/>
  <c r="A2895" i="1"/>
  <c r="B2895" i="1"/>
  <c r="A2896" i="1"/>
  <c r="B2896" i="1"/>
  <c r="A2897" i="1"/>
  <c r="B2897" i="1"/>
  <c r="A2898" i="1"/>
  <c r="B2898" i="1"/>
  <c r="A2899" i="1"/>
  <c r="B2899" i="1"/>
  <c r="A2900" i="1"/>
  <c r="B2900" i="1"/>
  <c r="A2901" i="1"/>
  <c r="B2901" i="1"/>
  <c r="A2902" i="1"/>
  <c r="B2902" i="1"/>
  <c r="A2903" i="1"/>
  <c r="B2903" i="1"/>
  <c r="A2904" i="1"/>
  <c r="B2904" i="1"/>
  <c r="A2905" i="1"/>
  <c r="B2905" i="1"/>
  <c r="A2906" i="1"/>
  <c r="B2906" i="1"/>
  <c r="A2907" i="1"/>
  <c r="B2907" i="1"/>
  <c r="A2908" i="1"/>
  <c r="B2908" i="1"/>
  <c r="A2909" i="1"/>
  <c r="B2909" i="1"/>
  <c r="A2910" i="1"/>
  <c r="B2910" i="1"/>
  <c r="A2911" i="1"/>
  <c r="B2911" i="1"/>
  <c r="A2912" i="1"/>
  <c r="B2912" i="1"/>
  <c r="A2913" i="1"/>
  <c r="B2913" i="1"/>
  <c r="A2914" i="1"/>
  <c r="B2914" i="1"/>
  <c r="A2915" i="1"/>
  <c r="B2915" i="1"/>
  <c r="A2916" i="1"/>
  <c r="B2916" i="1"/>
  <c r="A2917" i="1"/>
  <c r="B2917" i="1"/>
  <c r="A2918" i="1"/>
  <c r="B2918" i="1"/>
  <c r="A2919" i="1"/>
  <c r="B2919" i="1"/>
  <c r="A2920" i="1"/>
  <c r="B2920" i="1"/>
  <c r="A2921" i="1"/>
  <c r="B2921" i="1"/>
  <c r="A2922" i="1"/>
  <c r="B2922" i="1"/>
  <c r="A2923" i="1"/>
  <c r="B2923" i="1"/>
  <c r="A2924" i="1"/>
  <c r="B2924" i="1"/>
  <c r="A2925" i="1"/>
  <c r="B2925" i="1"/>
  <c r="A2926" i="1"/>
  <c r="B2926" i="1"/>
  <c r="A2927" i="1"/>
  <c r="B2927" i="1"/>
  <c r="A2928" i="1"/>
  <c r="B2928" i="1"/>
  <c r="A2929" i="1"/>
  <c r="B2929" i="1"/>
  <c r="A2930" i="1"/>
  <c r="B2930" i="1"/>
  <c r="A2931" i="1"/>
  <c r="B2931" i="1"/>
  <c r="A2932" i="1"/>
  <c r="B2932" i="1"/>
  <c r="A2933" i="1"/>
  <c r="B2933" i="1"/>
  <c r="A2934" i="1"/>
  <c r="B2934" i="1"/>
  <c r="A2935" i="1"/>
  <c r="B2935" i="1"/>
  <c r="A2936" i="1"/>
  <c r="B2936" i="1"/>
  <c r="A2937" i="1"/>
  <c r="B2937" i="1"/>
  <c r="A2938" i="1"/>
  <c r="B2938" i="1"/>
  <c r="A2939" i="1"/>
  <c r="B2939" i="1"/>
  <c r="A2940" i="1"/>
  <c r="B2940" i="1"/>
  <c r="A2941" i="1"/>
  <c r="B2941" i="1"/>
  <c r="A2942" i="1"/>
  <c r="B2942" i="1"/>
  <c r="A2943" i="1"/>
  <c r="B2943" i="1"/>
  <c r="A2944" i="1"/>
  <c r="B2944" i="1"/>
  <c r="A2945" i="1"/>
  <c r="B2945" i="1"/>
  <c r="A2946" i="1"/>
  <c r="B2946" i="1"/>
  <c r="A2947" i="1"/>
  <c r="B2947" i="1"/>
  <c r="A2948" i="1"/>
  <c r="B2948" i="1"/>
  <c r="A2949" i="1"/>
  <c r="B2949" i="1"/>
  <c r="A2950" i="1"/>
  <c r="B2950" i="1"/>
  <c r="A2951" i="1"/>
  <c r="B2951" i="1"/>
  <c r="A2952" i="1"/>
  <c r="B2952" i="1"/>
  <c r="A2953" i="1"/>
  <c r="B2953" i="1"/>
  <c r="A2954" i="1"/>
  <c r="B2954" i="1"/>
  <c r="A2955" i="1"/>
  <c r="B2955" i="1"/>
  <c r="A2956" i="1"/>
  <c r="B2956" i="1"/>
  <c r="A2957" i="1"/>
  <c r="B2957" i="1"/>
  <c r="A2958" i="1"/>
  <c r="B2958" i="1"/>
  <c r="A2959" i="1"/>
  <c r="B2959" i="1"/>
  <c r="A2960" i="1"/>
  <c r="B2960" i="1"/>
  <c r="A2961" i="1"/>
  <c r="B2961" i="1"/>
  <c r="A2962" i="1"/>
  <c r="B2962" i="1"/>
  <c r="A2963" i="1"/>
  <c r="B2963" i="1"/>
  <c r="A2964" i="1"/>
  <c r="B2964" i="1"/>
  <c r="A2965" i="1"/>
  <c r="B2965" i="1"/>
  <c r="A2966" i="1"/>
  <c r="B2966" i="1"/>
  <c r="A2967" i="1"/>
  <c r="B2967" i="1"/>
  <c r="A2968" i="1"/>
  <c r="B2968" i="1"/>
  <c r="A2969" i="1"/>
  <c r="B2969" i="1"/>
  <c r="A2970" i="1"/>
  <c r="B2970" i="1"/>
  <c r="A2971" i="1"/>
  <c r="B2971" i="1"/>
  <c r="A2972" i="1"/>
  <c r="B2972" i="1"/>
  <c r="A2973" i="1"/>
  <c r="B2973" i="1"/>
  <c r="A2974" i="1"/>
  <c r="B2974" i="1"/>
  <c r="A2975" i="1"/>
  <c r="B2975" i="1"/>
  <c r="A2976" i="1"/>
  <c r="B2976" i="1"/>
  <c r="A2977" i="1"/>
  <c r="B2977" i="1"/>
  <c r="A2978" i="1"/>
  <c r="B2978" i="1"/>
  <c r="A2979" i="1"/>
  <c r="B2979" i="1"/>
  <c r="A2980" i="1"/>
  <c r="B2980" i="1"/>
  <c r="A2981" i="1"/>
  <c r="B2981" i="1"/>
  <c r="A2982" i="1"/>
  <c r="B2982" i="1"/>
  <c r="A2983" i="1"/>
  <c r="B2983" i="1"/>
  <c r="A2984" i="1"/>
  <c r="B2984" i="1"/>
  <c r="A2985" i="1"/>
  <c r="B2985" i="1"/>
  <c r="A2986" i="1"/>
  <c r="B2986" i="1"/>
  <c r="A2987" i="1"/>
  <c r="B2987" i="1"/>
  <c r="A2988" i="1"/>
  <c r="B2988" i="1"/>
  <c r="A2989" i="1"/>
  <c r="B2989" i="1"/>
  <c r="A2990" i="1"/>
  <c r="B2990" i="1"/>
  <c r="A2991" i="1"/>
  <c r="B2991" i="1"/>
  <c r="A2992" i="1"/>
  <c r="B2992" i="1"/>
  <c r="A2993" i="1"/>
  <c r="B2993" i="1"/>
  <c r="A2994" i="1"/>
  <c r="B2994" i="1"/>
  <c r="A2995" i="1"/>
  <c r="B2995" i="1"/>
  <c r="A2996" i="1"/>
  <c r="B2996" i="1"/>
  <c r="A2997" i="1"/>
  <c r="B2997" i="1"/>
  <c r="A2998" i="1"/>
  <c r="B2998" i="1"/>
  <c r="A2999" i="1"/>
  <c r="B2999" i="1"/>
  <c r="A3000" i="1"/>
  <c r="B3000" i="1"/>
  <c r="A3001" i="1"/>
  <c r="B3001" i="1"/>
  <c r="A3002" i="1"/>
  <c r="B3002" i="1"/>
  <c r="A3003" i="1"/>
  <c r="B3003" i="1"/>
  <c r="A3004" i="1"/>
  <c r="B3004" i="1"/>
  <c r="A3005" i="1"/>
  <c r="B3005" i="1"/>
  <c r="A3006" i="1"/>
  <c r="B3006" i="1"/>
  <c r="A3007" i="1"/>
  <c r="B3007" i="1"/>
  <c r="A3008" i="1"/>
  <c r="B3008" i="1"/>
  <c r="A3009" i="1"/>
  <c r="B3009" i="1"/>
  <c r="A3010" i="1"/>
  <c r="B3010" i="1"/>
  <c r="A3011" i="1"/>
  <c r="B3011" i="1"/>
  <c r="A3012" i="1"/>
  <c r="B3012" i="1"/>
  <c r="A3013" i="1"/>
  <c r="B3013" i="1"/>
  <c r="A3014" i="1"/>
  <c r="B3014" i="1"/>
  <c r="A3015" i="1"/>
  <c r="B3015" i="1"/>
  <c r="A3016" i="1"/>
  <c r="B3016" i="1"/>
  <c r="A3017" i="1"/>
  <c r="B3017" i="1"/>
  <c r="A3018" i="1"/>
  <c r="B3018" i="1"/>
  <c r="A3019" i="1"/>
  <c r="B3019" i="1"/>
  <c r="A3020" i="1"/>
  <c r="B3020" i="1"/>
  <c r="A3021" i="1"/>
  <c r="B3021" i="1"/>
  <c r="A3022" i="1"/>
  <c r="B3022" i="1"/>
  <c r="A3023" i="1"/>
  <c r="B3023" i="1"/>
  <c r="A3024" i="1"/>
  <c r="B3024" i="1"/>
  <c r="A3025" i="1"/>
  <c r="B3025" i="1"/>
  <c r="A3026" i="1"/>
  <c r="B3026" i="1"/>
  <c r="A3027" i="1"/>
  <c r="B3027" i="1"/>
  <c r="A3028" i="1"/>
  <c r="B3028" i="1"/>
  <c r="A3029" i="1"/>
  <c r="B3029" i="1"/>
  <c r="A3030" i="1"/>
  <c r="B3030" i="1"/>
  <c r="A3031" i="1"/>
  <c r="B3031" i="1"/>
  <c r="A3032" i="1"/>
  <c r="B3032" i="1"/>
  <c r="A3033" i="1"/>
  <c r="B3033" i="1"/>
  <c r="A3034" i="1"/>
  <c r="B3034" i="1"/>
  <c r="A3035" i="1"/>
  <c r="B3035" i="1"/>
  <c r="A3036" i="1"/>
  <c r="B3036" i="1"/>
  <c r="A3037" i="1"/>
  <c r="B3037" i="1"/>
  <c r="A3038" i="1"/>
  <c r="B3038" i="1"/>
  <c r="A3039" i="1"/>
  <c r="B3039" i="1"/>
  <c r="A3040" i="1"/>
  <c r="B3040" i="1"/>
  <c r="A3041" i="1"/>
  <c r="B3041" i="1"/>
  <c r="A3042" i="1"/>
  <c r="B3042" i="1"/>
  <c r="A3043" i="1"/>
  <c r="B3043" i="1"/>
  <c r="A3044" i="1"/>
  <c r="B3044" i="1"/>
  <c r="A3045" i="1"/>
  <c r="B3045" i="1"/>
  <c r="A3046" i="1"/>
  <c r="B3046" i="1"/>
  <c r="A3047" i="1"/>
  <c r="B3047" i="1"/>
  <c r="A3048" i="1"/>
  <c r="B3048" i="1"/>
  <c r="A3049" i="1"/>
  <c r="B3049" i="1"/>
  <c r="A3050" i="1"/>
  <c r="B3050" i="1"/>
  <c r="A3051" i="1"/>
  <c r="B3051" i="1"/>
  <c r="A3052" i="1"/>
  <c r="B3052" i="1"/>
  <c r="A3053" i="1"/>
  <c r="B3053" i="1"/>
  <c r="A3054" i="1"/>
  <c r="B3054" i="1"/>
  <c r="A3055" i="1"/>
  <c r="B3055" i="1"/>
  <c r="A3056" i="1"/>
  <c r="B3056" i="1"/>
  <c r="A3057" i="1"/>
  <c r="B3057" i="1"/>
  <c r="A3058" i="1"/>
  <c r="B3058" i="1"/>
  <c r="A3059" i="1"/>
  <c r="B3059" i="1"/>
  <c r="A3060" i="1"/>
  <c r="B3060" i="1"/>
  <c r="A3061" i="1"/>
  <c r="B3061" i="1"/>
  <c r="A3062" i="1"/>
  <c r="B3062" i="1"/>
  <c r="A3063" i="1"/>
  <c r="B3063" i="1"/>
  <c r="A3064" i="1"/>
  <c r="B3064" i="1"/>
  <c r="A3065" i="1"/>
  <c r="B3065" i="1"/>
  <c r="A3066" i="1"/>
  <c r="B3066" i="1"/>
  <c r="A3067" i="1"/>
  <c r="B3067" i="1"/>
  <c r="A3068" i="1"/>
  <c r="B3068" i="1"/>
  <c r="A3069" i="1"/>
  <c r="B3069" i="1"/>
  <c r="A3070" i="1"/>
  <c r="B3070" i="1"/>
  <c r="A3071" i="1"/>
  <c r="B3071" i="1"/>
  <c r="A3072" i="1"/>
  <c r="B3072" i="1"/>
  <c r="A3073" i="1"/>
  <c r="B3073" i="1"/>
  <c r="A3074" i="1"/>
  <c r="B3074" i="1"/>
  <c r="A3075" i="1"/>
  <c r="B3075" i="1"/>
  <c r="A3076" i="1"/>
  <c r="B3076" i="1"/>
  <c r="A3077" i="1"/>
  <c r="B3077" i="1"/>
  <c r="A3078" i="1"/>
  <c r="B3078" i="1"/>
  <c r="A3079" i="1"/>
  <c r="B3079" i="1"/>
  <c r="A3080" i="1"/>
  <c r="B3080" i="1"/>
  <c r="A3081" i="1"/>
  <c r="B3081" i="1"/>
  <c r="A3082" i="1"/>
  <c r="B3082" i="1"/>
  <c r="A3083" i="1"/>
  <c r="B3083" i="1"/>
  <c r="A3084" i="1"/>
  <c r="B3084" i="1"/>
  <c r="A3085" i="1"/>
  <c r="B3085" i="1"/>
  <c r="A3086" i="1"/>
  <c r="B3086" i="1"/>
  <c r="A3087" i="1"/>
  <c r="B3087" i="1"/>
  <c r="A3088" i="1"/>
  <c r="B3088" i="1"/>
  <c r="A3089" i="1"/>
  <c r="B3089" i="1"/>
  <c r="A3090" i="1"/>
  <c r="B3090" i="1"/>
  <c r="A3091" i="1"/>
  <c r="B3091" i="1"/>
  <c r="A3092" i="1"/>
  <c r="B3092" i="1"/>
  <c r="A3093" i="1"/>
  <c r="B3093" i="1"/>
  <c r="A3094" i="1"/>
  <c r="B3094" i="1"/>
  <c r="A3095" i="1"/>
  <c r="B3095" i="1"/>
  <c r="A3096" i="1"/>
  <c r="B3096" i="1"/>
  <c r="A3097" i="1"/>
  <c r="B3097" i="1"/>
  <c r="A3098" i="1"/>
  <c r="B3098" i="1"/>
  <c r="A3099" i="1"/>
  <c r="B3099" i="1"/>
  <c r="A3100" i="1"/>
  <c r="B3100" i="1"/>
  <c r="A3101" i="1"/>
  <c r="B3101" i="1"/>
  <c r="A3102" i="1"/>
  <c r="B3102" i="1"/>
  <c r="A3103" i="1"/>
  <c r="B3103" i="1"/>
  <c r="A3104" i="1"/>
  <c r="B3104" i="1"/>
  <c r="A3105" i="1"/>
  <c r="B3105" i="1"/>
  <c r="A3106" i="1"/>
  <c r="B3106" i="1"/>
  <c r="A3107" i="1"/>
  <c r="B3107" i="1"/>
  <c r="A3108" i="1"/>
  <c r="B3108" i="1"/>
  <c r="A3109" i="1"/>
  <c r="B3109" i="1"/>
  <c r="A3110" i="1"/>
  <c r="B3110" i="1"/>
  <c r="A3111" i="1"/>
  <c r="B3111" i="1"/>
  <c r="A3112" i="1"/>
  <c r="B3112" i="1"/>
  <c r="A3113" i="1"/>
  <c r="B3113" i="1"/>
  <c r="A3114" i="1"/>
  <c r="B3114" i="1"/>
  <c r="A3115" i="1"/>
  <c r="B3115" i="1"/>
  <c r="A3116" i="1"/>
  <c r="B3116" i="1"/>
  <c r="A3117" i="1"/>
  <c r="B3117" i="1"/>
  <c r="A3118" i="1"/>
  <c r="B3118" i="1"/>
  <c r="A2044" i="1"/>
  <c r="B2044" i="1"/>
  <c r="A2045" i="1"/>
  <c r="B2045" i="1"/>
  <c r="A2046" i="1"/>
  <c r="B2046" i="1"/>
  <c r="A2047" i="1"/>
  <c r="B2047" i="1"/>
  <c r="A2048" i="1"/>
  <c r="B2048" i="1"/>
  <c r="A2049" i="1"/>
  <c r="B2049" i="1"/>
  <c r="A2050" i="1"/>
  <c r="B2050" i="1"/>
  <c r="A2051" i="1"/>
  <c r="B2051" i="1"/>
  <c r="A2052" i="1"/>
  <c r="B2052" i="1"/>
  <c r="A2053" i="1"/>
  <c r="B2053" i="1"/>
  <c r="A2054" i="1"/>
  <c r="B2054" i="1"/>
  <c r="A2055" i="1"/>
  <c r="B2055" i="1"/>
  <c r="A2056" i="1"/>
  <c r="B2056" i="1"/>
  <c r="A2057" i="1"/>
  <c r="B2057" i="1"/>
  <c r="A2058" i="1"/>
  <c r="B2058" i="1"/>
  <c r="A2059" i="1"/>
  <c r="B2059" i="1"/>
  <c r="A2060" i="1"/>
  <c r="B2060" i="1"/>
  <c r="A2061" i="1"/>
  <c r="B2061" i="1"/>
  <c r="A2062" i="1"/>
  <c r="B2062" i="1"/>
  <c r="A2063" i="1"/>
  <c r="B2063" i="1"/>
  <c r="A2064" i="1"/>
  <c r="B2064" i="1"/>
  <c r="A2065" i="1"/>
  <c r="B2065" i="1"/>
  <c r="A2066" i="1"/>
  <c r="B2066" i="1"/>
  <c r="A2067" i="1"/>
  <c r="B2067" i="1"/>
  <c r="A2068" i="1"/>
  <c r="B2068" i="1"/>
  <c r="A2069" i="1"/>
  <c r="B2069" i="1"/>
  <c r="A2070" i="1"/>
  <c r="B2070" i="1"/>
  <c r="A2071" i="1"/>
  <c r="B2071" i="1"/>
  <c r="A2072" i="1"/>
  <c r="B2072" i="1"/>
  <c r="A2073" i="1"/>
  <c r="B2073" i="1"/>
  <c r="A2074" i="1"/>
  <c r="B2074" i="1"/>
  <c r="A2075" i="1"/>
  <c r="B2075" i="1"/>
  <c r="A2076" i="1"/>
  <c r="B2076" i="1"/>
  <c r="A2077" i="1"/>
  <c r="B2077" i="1"/>
  <c r="A2078" i="1"/>
  <c r="B2078" i="1"/>
  <c r="A2079" i="1"/>
  <c r="B2079" i="1"/>
  <c r="A2080" i="1"/>
  <c r="B2080" i="1"/>
  <c r="A2081" i="1"/>
  <c r="B2081" i="1"/>
  <c r="A2082" i="1"/>
  <c r="B2082" i="1"/>
  <c r="A2083" i="1"/>
  <c r="B2083" i="1"/>
  <c r="A2084" i="1"/>
  <c r="B2084" i="1"/>
  <c r="A2085" i="1"/>
  <c r="B2085" i="1"/>
  <c r="A2086" i="1"/>
  <c r="B2086" i="1"/>
  <c r="A2087" i="1"/>
  <c r="B2087" i="1"/>
  <c r="A2088" i="1"/>
  <c r="B2088" i="1"/>
  <c r="A2089" i="1"/>
  <c r="B2089" i="1"/>
  <c r="A2090" i="1"/>
  <c r="B2090" i="1"/>
  <c r="A2091" i="1"/>
  <c r="B2091" i="1"/>
  <c r="A2092" i="1"/>
  <c r="B2092" i="1"/>
  <c r="A2093" i="1"/>
  <c r="B2093" i="1"/>
  <c r="A2094" i="1"/>
  <c r="B2094" i="1"/>
  <c r="A2095" i="1"/>
  <c r="B2095" i="1"/>
  <c r="A2096" i="1"/>
  <c r="B2096" i="1"/>
  <c r="A2097" i="1"/>
  <c r="B2097" i="1"/>
  <c r="A2098" i="1"/>
  <c r="B2098" i="1"/>
  <c r="A2099" i="1"/>
  <c r="B2099" i="1"/>
  <c r="A2100" i="1"/>
  <c r="B2100" i="1"/>
  <c r="A2101" i="1"/>
  <c r="B2101" i="1"/>
  <c r="A2102" i="1"/>
  <c r="B2102" i="1"/>
  <c r="A2103" i="1"/>
  <c r="B2103" i="1"/>
  <c r="A2104" i="1"/>
  <c r="B2104" i="1"/>
  <c r="A2105" i="1"/>
  <c r="B2105" i="1"/>
  <c r="A2106" i="1"/>
  <c r="B2106" i="1"/>
  <c r="A2107" i="1"/>
  <c r="B2107" i="1"/>
  <c r="A2108" i="1"/>
  <c r="B2108" i="1"/>
  <c r="A2109" i="1"/>
  <c r="B2109" i="1"/>
  <c r="A2110" i="1"/>
  <c r="B2110" i="1"/>
  <c r="A2111" i="1"/>
  <c r="B2111" i="1"/>
  <c r="A2112" i="1"/>
  <c r="B2112" i="1"/>
  <c r="A2113" i="1"/>
  <c r="B2113" i="1"/>
  <c r="A2114" i="1"/>
  <c r="B2114" i="1"/>
  <c r="A2115" i="1"/>
  <c r="B2115" i="1"/>
  <c r="A2116" i="1"/>
  <c r="B2116" i="1"/>
  <c r="A2117" i="1"/>
  <c r="B2117" i="1"/>
  <c r="A2118" i="1"/>
  <c r="B2118" i="1"/>
  <c r="A2119" i="1"/>
  <c r="B2119" i="1"/>
  <c r="A2120" i="1"/>
  <c r="B2120" i="1"/>
  <c r="A2121" i="1"/>
  <c r="B2121" i="1"/>
  <c r="A2122" i="1"/>
  <c r="B2122" i="1"/>
  <c r="A2123" i="1"/>
  <c r="B2123" i="1"/>
  <c r="A2124" i="1"/>
  <c r="B2124" i="1"/>
  <c r="A2125" i="1"/>
  <c r="B2125" i="1"/>
  <c r="A2126" i="1"/>
  <c r="B2126" i="1"/>
  <c r="A2127" i="1"/>
  <c r="B2127" i="1"/>
  <c r="A2128" i="1"/>
  <c r="B2128" i="1"/>
  <c r="A2129" i="1"/>
  <c r="B2129" i="1"/>
  <c r="A2130" i="1"/>
  <c r="B2130" i="1"/>
  <c r="A2131" i="1"/>
  <c r="B2131" i="1"/>
  <c r="A2132" i="1"/>
  <c r="B2132" i="1"/>
  <c r="A2133" i="1"/>
  <c r="B2133" i="1"/>
  <c r="A2134" i="1"/>
  <c r="B2134" i="1"/>
  <c r="A2135" i="1"/>
  <c r="B2135" i="1"/>
  <c r="A2136" i="1"/>
  <c r="B2136" i="1"/>
  <c r="A2137" i="1"/>
  <c r="B2137" i="1"/>
  <c r="A2138" i="1"/>
  <c r="B2138" i="1"/>
  <c r="A2139" i="1"/>
  <c r="B2139" i="1"/>
  <c r="A2140" i="1"/>
  <c r="B2140" i="1"/>
  <c r="A2141" i="1"/>
  <c r="B2141" i="1"/>
  <c r="A2142" i="1"/>
  <c r="B2142" i="1"/>
  <c r="A2143" i="1"/>
  <c r="B2143" i="1"/>
  <c r="A2144" i="1"/>
  <c r="B2144" i="1"/>
  <c r="A2145" i="1"/>
  <c r="B2145" i="1"/>
  <c r="A2146" i="1"/>
  <c r="B2146" i="1"/>
  <c r="A2147" i="1"/>
  <c r="B2147" i="1"/>
  <c r="A2148" i="1"/>
  <c r="B2148" i="1"/>
  <c r="A2149" i="1"/>
  <c r="B2149" i="1"/>
  <c r="A2150" i="1"/>
  <c r="B2150" i="1"/>
  <c r="A2151" i="1"/>
  <c r="B2151" i="1"/>
  <c r="A2152" i="1"/>
  <c r="B2152" i="1"/>
  <c r="A2153" i="1"/>
  <c r="B2153" i="1"/>
  <c r="A2154" i="1"/>
  <c r="B2154" i="1"/>
  <c r="A2155" i="1"/>
  <c r="B2155" i="1"/>
  <c r="A2156" i="1"/>
  <c r="B2156" i="1"/>
  <c r="A2157" i="1"/>
  <c r="B2157" i="1"/>
  <c r="A2158" i="1"/>
  <c r="B2158" i="1"/>
  <c r="A2159" i="1"/>
  <c r="B2159" i="1"/>
  <c r="A2160" i="1"/>
  <c r="B2160" i="1"/>
  <c r="A2161" i="1"/>
  <c r="B2161" i="1"/>
  <c r="A2162" i="1"/>
  <c r="B2162" i="1"/>
  <c r="A2163" i="1"/>
  <c r="B2163" i="1"/>
  <c r="A2164" i="1"/>
  <c r="B2164" i="1"/>
  <c r="A2165" i="1"/>
  <c r="B2165" i="1"/>
  <c r="A2166" i="1"/>
  <c r="B2166" i="1"/>
  <c r="A2167" i="1"/>
  <c r="B2167" i="1"/>
  <c r="A2168" i="1"/>
  <c r="B2168" i="1"/>
  <c r="A2169" i="1"/>
  <c r="B2169" i="1"/>
  <c r="A2170" i="1"/>
  <c r="B2170" i="1"/>
  <c r="A2171" i="1"/>
  <c r="B2171" i="1"/>
  <c r="A2172" i="1"/>
  <c r="B2172" i="1"/>
  <c r="A2173" i="1"/>
  <c r="B2173" i="1"/>
  <c r="A2174" i="1"/>
  <c r="B2174" i="1"/>
  <c r="A2175" i="1"/>
  <c r="B2175" i="1"/>
  <c r="A2176" i="1"/>
  <c r="B2176" i="1"/>
  <c r="A2177" i="1"/>
  <c r="B2177" i="1"/>
  <c r="A2178" i="1"/>
  <c r="B2178" i="1"/>
  <c r="A2179" i="1"/>
  <c r="B2179" i="1"/>
  <c r="A2180" i="1"/>
  <c r="B2180" i="1"/>
  <c r="A2181" i="1"/>
  <c r="B2181" i="1"/>
  <c r="A2182" i="1"/>
  <c r="B2182" i="1"/>
  <c r="A2183" i="1"/>
  <c r="B2183" i="1"/>
  <c r="A2184" i="1"/>
  <c r="B2184" i="1"/>
  <c r="A2185" i="1"/>
  <c r="B2185" i="1"/>
  <c r="A2186" i="1"/>
  <c r="B2186" i="1"/>
  <c r="A2187" i="1"/>
  <c r="B2187" i="1"/>
  <c r="A2188" i="1"/>
  <c r="B2188" i="1"/>
  <c r="A2189" i="1"/>
  <c r="B2189" i="1"/>
  <c r="A2190" i="1"/>
  <c r="B2190" i="1"/>
  <c r="A2191" i="1"/>
  <c r="B2191" i="1"/>
  <c r="A2192" i="1"/>
  <c r="B2192" i="1"/>
  <c r="A2193" i="1"/>
  <c r="B2193" i="1"/>
  <c r="A2194" i="1"/>
  <c r="B2194" i="1"/>
  <c r="A2195" i="1"/>
  <c r="B2195" i="1"/>
  <c r="A2196" i="1"/>
  <c r="B2196" i="1"/>
  <c r="A2197" i="1"/>
  <c r="B2197" i="1"/>
  <c r="A2198" i="1"/>
  <c r="B2198" i="1"/>
  <c r="A2199" i="1"/>
  <c r="B2199" i="1"/>
  <c r="A2200" i="1"/>
  <c r="B2200" i="1"/>
  <c r="A2201" i="1"/>
  <c r="B2201" i="1"/>
  <c r="A2202" i="1"/>
  <c r="B2202" i="1"/>
  <c r="A2203" i="1"/>
  <c r="B2203" i="1"/>
  <c r="A2204" i="1"/>
  <c r="B2204" i="1"/>
  <c r="A2205" i="1"/>
  <c r="B2205" i="1"/>
  <c r="A2206" i="1"/>
  <c r="B2206" i="1"/>
  <c r="A2207" i="1"/>
  <c r="B2207" i="1"/>
  <c r="A2208" i="1"/>
  <c r="B2208" i="1"/>
  <c r="A2209" i="1"/>
  <c r="B2209" i="1"/>
  <c r="A2210" i="1"/>
  <c r="B2210" i="1"/>
  <c r="A2211" i="1"/>
  <c r="B2211" i="1"/>
  <c r="A2212" i="1"/>
  <c r="B2212" i="1"/>
  <c r="A2213" i="1"/>
  <c r="B2213" i="1"/>
  <c r="A2214" i="1"/>
  <c r="B2214" i="1"/>
  <c r="A2215" i="1"/>
  <c r="B2215" i="1"/>
  <c r="A2216" i="1"/>
  <c r="B2216" i="1"/>
  <c r="A2217" i="1"/>
  <c r="B2217" i="1"/>
  <c r="A2218" i="1"/>
  <c r="B2218" i="1"/>
  <c r="A2219" i="1"/>
  <c r="B2219" i="1"/>
  <c r="A2220" i="1"/>
  <c r="B2220" i="1"/>
  <c r="A2221" i="1"/>
  <c r="B2221" i="1"/>
  <c r="A2222" i="1"/>
  <c r="B2222" i="1"/>
  <c r="A2223" i="1"/>
  <c r="B2223" i="1"/>
  <c r="A2224" i="1"/>
  <c r="B2224" i="1"/>
  <c r="A2225" i="1"/>
  <c r="B2225" i="1"/>
  <c r="A2226" i="1"/>
  <c r="B2226" i="1"/>
  <c r="A2227" i="1"/>
  <c r="B2227" i="1"/>
  <c r="A2228" i="1"/>
  <c r="B2228" i="1"/>
  <c r="A2229" i="1"/>
  <c r="B2229" i="1"/>
  <c r="A2230" i="1"/>
  <c r="B2230" i="1"/>
  <c r="A2231" i="1"/>
  <c r="B2231" i="1"/>
  <c r="A2232" i="1"/>
  <c r="B2232" i="1"/>
  <c r="A2233" i="1"/>
  <c r="B2233" i="1"/>
  <c r="A2234" i="1"/>
  <c r="B2234" i="1"/>
  <c r="A2235" i="1"/>
  <c r="B2235" i="1"/>
  <c r="A2236" i="1"/>
  <c r="B2236" i="1"/>
  <c r="A2237" i="1"/>
  <c r="B2237" i="1"/>
  <c r="A2238" i="1"/>
  <c r="B2238" i="1"/>
  <c r="A2239" i="1"/>
  <c r="B2239" i="1"/>
  <c r="A2240" i="1"/>
  <c r="B2240" i="1"/>
  <c r="A2241" i="1"/>
  <c r="B2241" i="1"/>
  <c r="A2242" i="1"/>
  <c r="B2242" i="1"/>
  <c r="A2243" i="1"/>
  <c r="B2243" i="1"/>
  <c r="A2244" i="1"/>
  <c r="B2244" i="1"/>
  <c r="A2245" i="1"/>
  <c r="B2245" i="1"/>
  <c r="A2246" i="1"/>
  <c r="B2246" i="1"/>
  <c r="A2247" i="1"/>
  <c r="B2247" i="1"/>
  <c r="A2248" i="1"/>
  <c r="B2248" i="1"/>
  <c r="A2249" i="1"/>
  <c r="B2249" i="1"/>
  <c r="A2250" i="1"/>
  <c r="B2250" i="1"/>
  <c r="A2251" i="1"/>
  <c r="B2251" i="1"/>
  <c r="A2252" i="1"/>
  <c r="B2252" i="1"/>
  <c r="A2253" i="1"/>
  <c r="B2253" i="1"/>
  <c r="A2254" i="1"/>
  <c r="B2254" i="1"/>
  <c r="A2255" i="1"/>
  <c r="B2255" i="1"/>
  <c r="A2256" i="1"/>
  <c r="B2256" i="1"/>
  <c r="A2257" i="1"/>
  <c r="B2257" i="1"/>
  <c r="A2258" i="1"/>
  <c r="B2258" i="1"/>
  <c r="A2259" i="1"/>
  <c r="B2259" i="1"/>
  <c r="A2260" i="1"/>
  <c r="B2260" i="1"/>
  <c r="A2261" i="1"/>
  <c r="B2261" i="1"/>
  <c r="A2262" i="1"/>
  <c r="B2262" i="1"/>
  <c r="A2263" i="1"/>
  <c r="B2263" i="1"/>
  <c r="A2264" i="1"/>
  <c r="B2264" i="1"/>
  <c r="A2265" i="1"/>
  <c r="B2265" i="1"/>
  <c r="A2266" i="1"/>
  <c r="B2266" i="1"/>
  <c r="A2267" i="1"/>
  <c r="B2267" i="1"/>
  <c r="A2268" i="1"/>
  <c r="B2268" i="1"/>
  <c r="A2269" i="1"/>
  <c r="B2269" i="1"/>
  <c r="A2270" i="1"/>
  <c r="B2270" i="1"/>
  <c r="A2271" i="1"/>
  <c r="B2271" i="1"/>
  <c r="A2272" i="1"/>
  <c r="B2272" i="1"/>
  <c r="A2273" i="1"/>
  <c r="B2273" i="1"/>
  <c r="A2274" i="1"/>
  <c r="B2274" i="1"/>
  <c r="A2275" i="1"/>
  <c r="B2275" i="1"/>
  <c r="A2276" i="1"/>
  <c r="B2276" i="1"/>
  <c r="A2277" i="1"/>
  <c r="B2277" i="1"/>
  <c r="A2278" i="1"/>
  <c r="B2278" i="1"/>
  <c r="A2279" i="1"/>
  <c r="B2279" i="1"/>
  <c r="A2280" i="1"/>
  <c r="B2280" i="1"/>
  <c r="A2281" i="1"/>
  <c r="B2281" i="1"/>
  <c r="A2282" i="1"/>
  <c r="B2282" i="1"/>
  <c r="A2283" i="1"/>
  <c r="B2283" i="1"/>
  <c r="A2284" i="1"/>
  <c r="B2284" i="1"/>
  <c r="A2285" i="1"/>
  <c r="B2285" i="1"/>
  <c r="A2286" i="1"/>
  <c r="B2286" i="1"/>
  <c r="A2287" i="1"/>
  <c r="B2287" i="1"/>
  <c r="A2288" i="1"/>
  <c r="B2288" i="1"/>
  <c r="A2289" i="1"/>
  <c r="B2289" i="1"/>
  <c r="A2290" i="1"/>
  <c r="B2290" i="1"/>
  <c r="A2291" i="1"/>
  <c r="B2291" i="1"/>
  <c r="A2292" i="1"/>
  <c r="B2292" i="1"/>
  <c r="A2293" i="1"/>
  <c r="B2293" i="1"/>
  <c r="A2294" i="1"/>
  <c r="B2294" i="1"/>
  <c r="A2295" i="1"/>
  <c r="B2295" i="1"/>
  <c r="A2296" i="1"/>
  <c r="B2296" i="1"/>
  <c r="A2297" i="1"/>
  <c r="B2297" i="1"/>
  <c r="A2298" i="1"/>
  <c r="B2298" i="1"/>
  <c r="A2299" i="1"/>
  <c r="B2299" i="1"/>
  <c r="A2300" i="1"/>
  <c r="B2300" i="1"/>
  <c r="A2301" i="1"/>
  <c r="B2301" i="1"/>
  <c r="A2302" i="1"/>
  <c r="B2302" i="1"/>
  <c r="A2303" i="1"/>
  <c r="B2303" i="1"/>
  <c r="A2304" i="1"/>
  <c r="B2304" i="1"/>
  <c r="A2305" i="1"/>
  <c r="B2305" i="1"/>
  <c r="A2306" i="1"/>
  <c r="B2306" i="1"/>
  <c r="A2307" i="1"/>
  <c r="B2307" i="1"/>
  <c r="A2308" i="1"/>
  <c r="B2308" i="1"/>
  <c r="A2309" i="1"/>
  <c r="B2309" i="1"/>
  <c r="A2310" i="1"/>
  <c r="B2310" i="1"/>
  <c r="A2311" i="1"/>
  <c r="B2311" i="1"/>
  <c r="A2312" i="1"/>
  <c r="B2312" i="1"/>
  <c r="A2313" i="1"/>
  <c r="B2313" i="1"/>
  <c r="A2314" i="1"/>
  <c r="B2314" i="1"/>
  <c r="A2315" i="1"/>
  <c r="B2315" i="1"/>
  <c r="A2316" i="1"/>
  <c r="B2316" i="1"/>
  <c r="A2317" i="1"/>
  <c r="B2317" i="1"/>
  <c r="A2318" i="1"/>
  <c r="B2318" i="1"/>
  <c r="A2319" i="1"/>
  <c r="B2319" i="1"/>
  <c r="A2320" i="1"/>
  <c r="B2320" i="1"/>
  <c r="A2321" i="1"/>
  <c r="B2321" i="1"/>
  <c r="A2322" i="1"/>
  <c r="B2322" i="1"/>
  <c r="A2323" i="1"/>
  <c r="B2323" i="1"/>
  <c r="A2324" i="1"/>
  <c r="B2324" i="1"/>
  <c r="A2325" i="1"/>
  <c r="B2325" i="1"/>
  <c r="A2326" i="1"/>
  <c r="B2326" i="1"/>
  <c r="A2327" i="1"/>
  <c r="B2327" i="1"/>
  <c r="A2328" i="1"/>
  <c r="B2328" i="1"/>
  <c r="A2329" i="1"/>
  <c r="B2329" i="1"/>
  <c r="A2330" i="1"/>
  <c r="B2330" i="1"/>
  <c r="A2331" i="1"/>
  <c r="B2331" i="1"/>
  <c r="A2332" i="1"/>
  <c r="B2332" i="1"/>
  <c r="A2333" i="1"/>
  <c r="B2333" i="1"/>
  <c r="A2334" i="1"/>
  <c r="B2334" i="1"/>
  <c r="A2335" i="1"/>
  <c r="B2335" i="1"/>
  <c r="A2336" i="1"/>
  <c r="B2336" i="1"/>
  <c r="A2337" i="1"/>
  <c r="B2337" i="1"/>
  <c r="A2338" i="1"/>
  <c r="B2338" i="1"/>
  <c r="A2339" i="1"/>
  <c r="B2339" i="1"/>
  <c r="A2340" i="1"/>
  <c r="B2340" i="1"/>
  <c r="A2341" i="1"/>
  <c r="B2341" i="1"/>
  <c r="A2342" i="1"/>
  <c r="B2342" i="1"/>
  <c r="A2343" i="1"/>
  <c r="B2343" i="1"/>
  <c r="A2344" i="1"/>
  <c r="B2344" i="1"/>
  <c r="A2345" i="1"/>
  <c r="B2345" i="1"/>
  <c r="A2346" i="1"/>
  <c r="B2346" i="1"/>
  <c r="A2347" i="1"/>
  <c r="B2347" i="1"/>
  <c r="A2348" i="1"/>
  <c r="B2348" i="1"/>
  <c r="A2349" i="1"/>
  <c r="B2349" i="1"/>
  <c r="A2350" i="1"/>
  <c r="B2350" i="1"/>
  <c r="A2351" i="1"/>
  <c r="B2351" i="1"/>
  <c r="A2352" i="1"/>
  <c r="B2352" i="1"/>
  <c r="A2353" i="1"/>
  <c r="B2353" i="1"/>
  <c r="A2354" i="1"/>
  <c r="B2354" i="1"/>
  <c r="A2355" i="1"/>
  <c r="B2355" i="1"/>
  <c r="A2356" i="1"/>
  <c r="B2356" i="1"/>
  <c r="A2357" i="1"/>
  <c r="B2357" i="1"/>
  <c r="A2358" i="1"/>
  <c r="B2358" i="1"/>
  <c r="A2359" i="1"/>
  <c r="B2359" i="1"/>
  <c r="A2360" i="1"/>
  <c r="B2360" i="1"/>
  <c r="A2361" i="1"/>
  <c r="B2361" i="1"/>
  <c r="A2362" i="1"/>
  <c r="B2362" i="1"/>
  <c r="A2363" i="1"/>
  <c r="B2363" i="1"/>
  <c r="A2364" i="1"/>
  <c r="B2364" i="1"/>
  <c r="A2365" i="1"/>
  <c r="B2365" i="1"/>
  <c r="A2366" i="1"/>
  <c r="B2366" i="1"/>
  <c r="A2367" i="1"/>
  <c r="B2367" i="1"/>
  <c r="A2368" i="1"/>
  <c r="B2368" i="1"/>
  <c r="A2369" i="1"/>
  <c r="B2369" i="1"/>
  <c r="A2370" i="1"/>
  <c r="B2370" i="1"/>
  <c r="A2371" i="1"/>
  <c r="B2371" i="1"/>
  <c r="A2372" i="1"/>
  <c r="B2372" i="1"/>
  <c r="A2373" i="1"/>
  <c r="B2373" i="1"/>
  <c r="A2374" i="1"/>
  <c r="B2374" i="1"/>
  <c r="A2375" i="1"/>
  <c r="B2375" i="1"/>
  <c r="A2376" i="1"/>
  <c r="B2376" i="1"/>
  <c r="A2377" i="1"/>
  <c r="B2377" i="1"/>
  <c r="A2378" i="1"/>
  <c r="B2378" i="1"/>
  <c r="A2379" i="1"/>
  <c r="B2379" i="1"/>
  <c r="A2380" i="1"/>
  <c r="B2380" i="1"/>
  <c r="A2381" i="1"/>
  <c r="B2381" i="1"/>
  <c r="A2382" i="1"/>
  <c r="B2382" i="1"/>
  <c r="A2383" i="1"/>
  <c r="B2383" i="1"/>
  <c r="A2384" i="1"/>
  <c r="B2384" i="1"/>
  <c r="A2385" i="1"/>
  <c r="B2385" i="1"/>
  <c r="A2386" i="1"/>
  <c r="B2386" i="1"/>
  <c r="A2387" i="1"/>
  <c r="B2387" i="1"/>
  <c r="A2388" i="1"/>
  <c r="B2388" i="1"/>
  <c r="A2389" i="1"/>
  <c r="B2389" i="1"/>
  <c r="A2390" i="1"/>
  <c r="B2390" i="1"/>
  <c r="A2391" i="1"/>
  <c r="B2391" i="1"/>
  <c r="A2392" i="1"/>
  <c r="B2392" i="1"/>
  <c r="A2393" i="1"/>
  <c r="B2393" i="1"/>
  <c r="A2394" i="1"/>
  <c r="B2394" i="1"/>
  <c r="A2395" i="1"/>
  <c r="B2395" i="1"/>
  <c r="A2396" i="1"/>
  <c r="B2396" i="1"/>
  <c r="A2397" i="1"/>
  <c r="B2397" i="1"/>
  <c r="A2398" i="1"/>
  <c r="B2398" i="1"/>
  <c r="A2399" i="1"/>
  <c r="B2399" i="1"/>
  <c r="A2400" i="1"/>
  <c r="B2400" i="1"/>
  <c r="A2401" i="1"/>
  <c r="B2401" i="1"/>
  <c r="A2402" i="1"/>
  <c r="B2402" i="1"/>
  <c r="A2403" i="1"/>
  <c r="B2403" i="1"/>
  <c r="A2404" i="1"/>
  <c r="B2404" i="1"/>
  <c r="A2405" i="1"/>
  <c r="B2405" i="1"/>
  <c r="A2406" i="1"/>
  <c r="B2406" i="1"/>
  <c r="A2407" i="1"/>
  <c r="B2407" i="1"/>
  <c r="A2408" i="1"/>
  <c r="B2408" i="1"/>
  <c r="A2409" i="1"/>
  <c r="B2409" i="1"/>
  <c r="A2410" i="1"/>
  <c r="B2410" i="1"/>
  <c r="A2411" i="1"/>
  <c r="B2411" i="1"/>
  <c r="A2412" i="1"/>
  <c r="B2412" i="1"/>
  <c r="A2413" i="1"/>
  <c r="B2413" i="1"/>
  <c r="A2414" i="1"/>
  <c r="B2414" i="1"/>
  <c r="A2415" i="1"/>
  <c r="B2415" i="1"/>
  <c r="A2416" i="1"/>
  <c r="B2416" i="1"/>
  <c r="A2417" i="1"/>
  <c r="B2417" i="1"/>
  <c r="A2418" i="1"/>
  <c r="B2418" i="1"/>
  <c r="A2419" i="1"/>
  <c r="B2419" i="1"/>
  <c r="A2420" i="1"/>
  <c r="B2420" i="1"/>
  <c r="A2421" i="1"/>
  <c r="B2421" i="1"/>
  <c r="A2422" i="1"/>
  <c r="B2422" i="1"/>
  <c r="A2423" i="1"/>
  <c r="B2423" i="1"/>
  <c r="A2424" i="1"/>
  <c r="B2424" i="1"/>
  <c r="A2425" i="1"/>
  <c r="B2425" i="1"/>
  <c r="A2426" i="1"/>
  <c r="B2426" i="1"/>
  <c r="A2427" i="1"/>
  <c r="B2427" i="1"/>
  <c r="A2428" i="1"/>
  <c r="B2428" i="1"/>
  <c r="A2429" i="1"/>
  <c r="B2429" i="1"/>
  <c r="A2430" i="1"/>
  <c r="B2430" i="1"/>
  <c r="A2431" i="1"/>
  <c r="B2431" i="1"/>
  <c r="A2432" i="1"/>
  <c r="B2432" i="1"/>
  <c r="A2433" i="1"/>
  <c r="B2433" i="1"/>
  <c r="A2434" i="1"/>
  <c r="B2434" i="1"/>
  <c r="A2435" i="1"/>
  <c r="B2435" i="1"/>
  <c r="A2436" i="1"/>
  <c r="B2436" i="1"/>
  <c r="A2437" i="1"/>
  <c r="B2437" i="1"/>
  <c r="A2438" i="1"/>
  <c r="B2438" i="1"/>
  <c r="A2439" i="1"/>
  <c r="B2439" i="1"/>
  <c r="A2440" i="1"/>
  <c r="B2440" i="1"/>
  <c r="A2441" i="1"/>
  <c r="B2441" i="1"/>
  <c r="A2442" i="1"/>
  <c r="B2442" i="1"/>
  <c r="A2443" i="1"/>
  <c r="B2443" i="1"/>
  <c r="A2444" i="1"/>
  <c r="B2444" i="1"/>
  <c r="A2445" i="1"/>
  <c r="B2445" i="1"/>
  <c r="A2446" i="1"/>
  <c r="B2446" i="1"/>
  <c r="A2447" i="1"/>
  <c r="B2447" i="1"/>
  <c r="A2448" i="1"/>
  <c r="B2448" i="1"/>
  <c r="A2449" i="1"/>
  <c r="B2449" i="1"/>
  <c r="A2450" i="1"/>
  <c r="B2450" i="1"/>
  <c r="A2451" i="1"/>
  <c r="B2451" i="1"/>
  <c r="A2452" i="1"/>
  <c r="B2452" i="1"/>
  <c r="A2453" i="1"/>
  <c r="B2453" i="1"/>
  <c r="A2454" i="1"/>
  <c r="B2454" i="1"/>
  <c r="A2455" i="1"/>
  <c r="B2455" i="1"/>
  <c r="A2456" i="1"/>
  <c r="B2456" i="1"/>
  <c r="A2457" i="1"/>
  <c r="B2457" i="1"/>
  <c r="A2458" i="1"/>
  <c r="B2458" i="1"/>
  <c r="A2459" i="1"/>
  <c r="B2459" i="1"/>
  <c r="A2460" i="1"/>
  <c r="B2460" i="1"/>
  <c r="A2461" i="1"/>
  <c r="B2461" i="1"/>
  <c r="A2462" i="1"/>
  <c r="B2462" i="1"/>
  <c r="A2463" i="1"/>
  <c r="B2463" i="1"/>
  <c r="A2464" i="1"/>
  <c r="B2464" i="1"/>
  <c r="A2465" i="1"/>
  <c r="B2465" i="1"/>
  <c r="A2466" i="1"/>
  <c r="B2466" i="1"/>
  <c r="A2467" i="1"/>
  <c r="B2467" i="1"/>
  <c r="A2468" i="1"/>
  <c r="B2468" i="1"/>
  <c r="A2469" i="1"/>
  <c r="B2469" i="1"/>
  <c r="A2470" i="1"/>
  <c r="B2470" i="1"/>
  <c r="A2471" i="1"/>
  <c r="B2471" i="1"/>
  <c r="A2472" i="1"/>
  <c r="B2472" i="1"/>
  <c r="A2473" i="1"/>
  <c r="B2473" i="1"/>
  <c r="A2474" i="1"/>
  <c r="B2474" i="1"/>
  <c r="A2475" i="1"/>
  <c r="B2475" i="1"/>
  <c r="A2476" i="1"/>
  <c r="B2476" i="1"/>
  <c r="A2477" i="1"/>
  <c r="B2477" i="1"/>
  <c r="A2478" i="1"/>
  <c r="B2478" i="1"/>
  <c r="A2479" i="1"/>
  <c r="B2479" i="1"/>
  <c r="A2480" i="1"/>
  <c r="B2480" i="1"/>
  <c r="A2481" i="1"/>
  <c r="B2481" i="1"/>
  <c r="A2482" i="1"/>
  <c r="B2482" i="1"/>
  <c r="A2483" i="1"/>
  <c r="B2483" i="1"/>
  <c r="A2484" i="1"/>
  <c r="B2484" i="1"/>
  <c r="A2485" i="1"/>
  <c r="B2485" i="1"/>
  <c r="A2486" i="1"/>
  <c r="B2486" i="1"/>
  <c r="A2487" i="1"/>
  <c r="B2487" i="1"/>
  <c r="A2488" i="1"/>
  <c r="B2488" i="1"/>
  <c r="A2489" i="1"/>
  <c r="B2489" i="1"/>
  <c r="A2490" i="1"/>
  <c r="B2490" i="1"/>
  <c r="A2491" i="1"/>
  <c r="B2491" i="1"/>
  <c r="A2492" i="1"/>
  <c r="B2492" i="1"/>
  <c r="A2493" i="1"/>
  <c r="B2493" i="1"/>
  <c r="A2494" i="1"/>
  <c r="B2494" i="1"/>
  <c r="A2495" i="1"/>
  <c r="B2495" i="1"/>
  <c r="A2496" i="1"/>
  <c r="B2496" i="1"/>
  <c r="A2497" i="1"/>
  <c r="B2497" i="1"/>
  <c r="A2498" i="1"/>
  <c r="B2498" i="1"/>
  <c r="A2499" i="1"/>
  <c r="B2499" i="1"/>
  <c r="A2500" i="1"/>
  <c r="B2500" i="1"/>
  <c r="A2501" i="1"/>
  <c r="B2501" i="1"/>
  <c r="A2502" i="1"/>
  <c r="B2502" i="1"/>
  <c r="A2503" i="1"/>
  <c r="B2503" i="1"/>
  <c r="A2504" i="1"/>
  <c r="B2504" i="1"/>
  <c r="A2505" i="1"/>
  <c r="B2505" i="1"/>
  <c r="A2506" i="1"/>
  <c r="B2506" i="1"/>
  <c r="A2507" i="1"/>
  <c r="B2507" i="1"/>
  <c r="A2508" i="1"/>
  <c r="B2508" i="1"/>
  <c r="A2509" i="1"/>
  <c r="B2509" i="1"/>
  <c r="A2510" i="1"/>
  <c r="B2510" i="1"/>
  <c r="A2511" i="1"/>
  <c r="B2511" i="1"/>
  <c r="A2512" i="1"/>
  <c r="B2512" i="1"/>
  <c r="A2513" i="1"/>
  <c r="B2513" i="1"/>
  <c r="A2514" i="1"/>
  <c r="B2514" i="1"/>
  <c r="A2515" i="1"/>
  <c r="B2515" i="1"/>
  <c r="A2516" i="1"/>
  <c r="B2516" i="1"/>
  <c r="A2517" i="1"/>
  <c r="B2517" i="1"/>
  <c r="A2518" i="1"/>
  <c r="B2518" i="1"/>
  <c r="A2519" i="1"/>
  <c r="B2519" i="1"/>
  <c r="A2520" i="1"/>
  <c r="B2520" i="1"/>
  <c r="A2521" i="1"/>
  <c r="B2521" i="1"/>
  <c r="A2522" i="1"/>
  <c r="B2522" i="1"/>
  <c r="A2523" i="1"/>
  <c r="B2523" i="1"/>
  <c r="A2524" i="1"/>
  <c r="B2524" i="1"/>
  <c r="A2525" i="1"/>
  <c r="B2525" i="1"/>
  <c r="A2526" i="1"/>
  <c r="B2526" i="1"/>
  <c r="A2527" i="1"/>
  <c r="B2527" i="1"/>
  <c r="A2528" i="1"/>
  <c r="B2528" i="1"/>
  <c r="A2529" i="1"/>
  <c r="B2529" i="1"/>
  <c r="A2530" i="1"/>
  <c r="B2530" i="1"/>
  <c r="A2531" i="1"/>
  <c r="B2531" i="1"/>
  <c r="A2532" i="1"/>
  <c r="B2532" i="1"/>
  <c r="A2533" i="1"/>
  <c r="B2533" i="1"/>
  <c r="A2534" i="1"/>
  <c r="B2534" i="1"/>
  <c r="A2535" i="1"/>
  <c r="B2535" i="1"/>
  <c r="A2536" i="1"/>
  <c r="B2536" i="1"/>
  <c r="A2537" i="1"/>
  <c r="B2537" i="1"/>
  <c r="A2538" i="1"/>
  <c r="B2538" i="1"/>
  <c r="A2539" i="1"/>
  <c r="B2539" i="1"/>
  <c r="A2540" i="1"/>
  <c r="B2540" i="1"/>
  <c r="A2541" i="1"/>
  <c r="B2541" i="1"/>
  <c r="A2542" i="1"/>
  <c r="B2542" i="1"/>
  <c r="A2543" i="1"/>
  <c r="B2543" i="1"/>
  <c r="A2544" i="1"/>
  <c r="B2544" i="1"/>
  <c r="A2545" i="1"/>
  <c r="B2545" i="1"/>
  <c r="A2546" i="1"/>
  <c r="B2546" i="1"/>
  <c r="A2547" i="1"/>
  <c r="B2547" i="1"/>
  <c r="A2548" i="1"/>
  <c r="B2548" i="1"/>
  <c r="A2549" i="1"/>
  <c r="B2549" i="1"/>
  <c r="A2550" i="1"/>
  <c r="B2550" i="1"/>
  <c r="A2551" i="1"/>
  <c r="B2551" i="1"/>
  <c r="A2552" i="1"/>
  <c r="B2552" i="1"/>
  <c r="A2553" i="1"/>
  <c r="B2553" i="1"/>
  <c r="A2554" i="1"/>
  <c r="B2554" i="1"/>
  <c r="A2555" i="1"/>
  <c r="B2555" i="1"/>
  <c r="A2556" i="1"/>
  <c r="B2556" i="1"/>
  <c r="A2557" i="1"/>
  <c r="B2557" i="1"/>
  <c r="A2558" i="1"/>
  <c r="B2558" i="1"/>
  <c r="A2559" i="1"/>
  <c r="B2559" i="1"/>
  <c r="A2560" i="1"/>
  <c r="B2560" i="1"/>
  <c r="A2561" i="1"/>
  <c r="B2561" i="1"/>
  <c r="A2562" i="1"/>
  <c r="B2562" i="1"/>
  <c r="A2563" i="1"/>
  <c r="B2563" i="1"/>
  <c r="A2564" i="1"/>
  <c r="B2564" i="1"/>
  <c r="A2565" i="1"/>
  <c r="B2565" i="1"/>
  <c r="A2566" i="1"/>
  <c r="B2566" i="1"/>
  <c r="A2567" i="1"/>
  <c r="B2567" i="1"/>
  <c r="A2568" i="1"/>
  <c r="B2568" i="1"/>
  <c r="A2569" i="1"/>
  <c r="B2569" i="1"/>
  <c r="A2570" i="1"/>
  <c r="B2570" i="1"/>
  <c r="A2571" i="1"/>
  <c r="B2571" i="1"/>
  <c r="A2572" i="1"/>
  <c r="B2572" i="1"/>
  <c r="A2573" i="1"/>
  <c r="B2573" i="1"/>
  <c r="A2574" i="1"/>
  <c r="B2574" i="1"/>
  <c r="A2575" i="1"/>
  <c r="B2575" i="1"/>
  <c r="A2576" i="1"/>
  <c r="B2576" i="1"/>
  <c r="A2577" i="1"/>
  <c r="B2577" i="1"/>
  <c r="A2578" i="1"/>
  <c r="B2578" i="1"/>
  <c r="A2579" i="1"/>
  <c r="B2579" i="1"/>
  <c r="A2580" i="1"/>
  <c r="B2580" i="1"/>
  <c r="A2581" i="1"/>
  <c r="B2581" i="1"/>
  <c r="A2582" i="1"/>
  <c r="B2582" i="1"/>
  <c r="A2583" i="1"/>
  <c r="B2583" i="1"/>
  <c r="A2584" i="1"/>
  <c r="B2584" i="1"/>
  <c r="A2585" i="1"/>
  <c r="B2585" i="1"/>
  <c r="A2586" i="1"/>
  <c r="B2586" i="1"/>
  <c r="A2587" i="1"/>
  <c r="B2587" i="1"/>
  <c r="A2588" i="1"/>
  <c r="B2588" i="1"/>
  <c r="A2589" i="1"/>
  <c r="B2589" i="1"/>
  <c r="A2590" i="1"/>
  <c r="B2590" i="1"/>
  <c r="A2591" i="1"/>
  <c r="B2591" i="1"/>
  <c r="A2592" i="1"/>
  <c r="B2592" i="1"/>
  <c r="A2593" i="1"/>
  <c r="B2593" i="1"/>
  <c r="A2594" i="1"/>
  <c r="B2594" i="1"/>
  <c r="A2595" i="1"/>
  <c r="B2595" i="1"/>
  <c r="A2596" i="1"/>
  <c r="B2596" i="1"/>
  <c r="A2597" i="1"/>
  <c r="B2597" i="1"/>
  <c r="A2598" i="1"/>
  <c r="B2598" i="1"/>
  <c r="A2599" i="1"/>
  <c r="B2599" i="1"/>
  <c r="A2600" i="1"/>
  <c r="B2600" i="1"/>
  <c r="A2601" i="1"/>
  <c r="B2601" i="1"/>
  <c r="A2602" i="1"/>
  <c r="B2602" i="1"/>
  <c r="A2603" i="1"/>
  <c r="B2603" i="1"/>
  <c r="A2604" i="1"/>
  <c r="B2604" i="1"/>
  <c r="A2605" i="1"/>
  <c r="B2605" i="1"/>
  <c r="A2606" i="1"/>
  <c r="B2606" i="1"/>
  <c r="A2607" i="1"/>
  <c r="B2607" i="1"/>
  <c r="A2608" i="1"/>
  <c r="B2608" i="1"/>
  <c r="A2609" i="1"/>
  <c r="B2609" i="1"/>
  <c r="A2610" i="1"/>
  <c r="B2610" i="1"/>
  <c r="A2611" i="1"/>
  <c r="B2611" i="1"/>
  <c r="A2612" i="1"/>
  <c r="B2612" i="1"/>
  <c r="A2613" i="1"/>
  <c r="B2613" i="1"/>
  <c r="A2614" i="1"/>
  <c r="B2614" i="1"/>
  <c r="A2615" i="1"/>
  <c r="B2615" i="1"/>
  <c r="A2616" i="1"/>
  <c r="B2616" i="1"/>
  <c r="A2617" i="1"/>
  <c r="B2617" i="1"/>
  <c r="A1623" i="1"/>
  <c r="B1623" i="1"/>
  <c r="A1624" i="1"/>
  <c r="B1624" i="1"/>
  <c r="A1625" i="1"/>
  <c r="B1625" i="1"/>
  <c r="A1626" i="1"/>
  <c r="B1626" i="1"/>
  <c r="A1627" i="1"/>
  <c r="B1627" i="1"/>
  <c r="A1628" i="1"/>
  <c r="B1628" i="1"/>
  <c r="A1629" i="1"/>
  <c r="B1629" i="1"/>
  <c r="A1630" i="1"/>
  <c r="B1630" i="1"/>
  <c r="A1631" i="1"/>
  <c r="B1631" i="1"/>
  <c r="A1632" i="1"/>
  <c r="B1632" i="1"/>
  <c r="A1633" i="1"/>
  <c r="B1633" i="1"/>
  <c r="A1634" i="1"/>
  <c r="B1634" i="1"/>
  <c r="A1635" i="1"/>
  <c r="B1635" i="1"/>
  <c r="A1636" i="1"/>
  <c r="B1636" i="1"/>
  <c r="A1637" i="1"/>
  <c r="B1637" i="1"/>
  <c r="A1638" i="1"/>
  <c r="B1638" i="1"/>
  <c r="A1639" i="1"/>
  <c r="B1639" i="1"/>
  <c r="A1640" i="1"/>
  <c r="B1640" i="1"/>
  <c r="A1641" i="1"/>
  <c r="B1641" i="1"/>
  <c r="A1642" i="1"/>
  <c r="B1642" i="1"/>
  <c r="A1643" i="1"/>
  <c r="B1643" i="1"/>
  <c r="A1644" i="1"/>
  <c r="B1644" i="1"/>
  <c r="A1645" i="1"/>
  <c r="B1645" i="1"/>
  <c r="A1646" i="1"/>
  <c r="B1646" i="1"/>
  <c r="A1647" i="1"/>
  <c r="B1647" i="1"/>
  <c r="A1648" i="1"/>
  <c r="B1648" i="1"/>
  <c r="A1649" i="1"/>
  <c r="B1649" i="1"/>
  <c r="A1650" i="1"/>
  <c r="B1650" i="1"/>
  <c r="A1651" i="1"/>
  <c r="B1651" i="1"/>
  <c r="A1652" i="1"/>
  <c r="B1652" i="1"/>
  <c r="A1653" i="1"/>
  <c r="B1653" i="1"/>
  <c r="A1654" i="1"/>
  <c r="B1654" i="1"/>
  <c r="A1655" i="1"/>
  <c r="B1655" i="1"/>
  <c r="A1656" i="1"/>
  <c r="B1656" i="1"/>
  <c r="A1657" i="1"/>
  <c r="B1657" i="1"/>
  <c r="A1658" i="1"/>
  <c r="B1658" i="1"/>
  <c r="A1659" i="1"/>
  <c r="B1659" i="1"/>
  <c r="A1660" i="1"/>
  <c r="B1660" i="1"/>
  <c r="A1661" i="1"/>
  <c r="B1661" i="1"/>
  <c r="A1662" i="1"/>
  <c r="B1662" i="1"/>
  <c r="A1663" i="1"/>
  <c r="B1663" i="1"/>
  <c r="A1664" i="1"/>
  <c r="B1664" i="1"/>
  <c r="A1665" i="1"/>
  <c r="B1665" i="1"/>
  <c r="A1666" i="1"/>
  <c r="B1666" i="1"/>
  <c r="A1667" i="1"/>
  <c r="B1667" i="1"/>
  <c r="A1668" i="1"/>
  <c r="B1668" i="1"/>
  <c r="A1669" i="1"/>
  <c r="B1669" i="1"/>
  <c r="A1670" i="1"/>
  <c r="B1670" i="1"/>
  <c r="A1671" i="1"/>
  <c r="B1671" i="1"/>
  <c r="A1672" i="1"/>
  <c r="B1672" i="1"/>
  <c r="A1673" i="1"/>
  <c r="B1673" i="1"/>
  <c r="A1674" i="1"/>
  <c r="B1674" i="1"/>
  <c r="A1675" i="1"/>
  <c r="B1675" i="1"/>
  <c r="A1676" i="1"/>
  <c r="B1676" i="1"/>
  <c r="A1677" i="1"/>
  <c r="B1677" i="1"/>
  <c r="A1678" i="1"/>
  <c r="B1678" i="1"/>
  <c r="A1679" i="1"/>
  <c r="B1679" i="1"/>
  <c r="A1680" i="1"/>
  <c r="B1680" i="1"/>
  <c r="A1681" i="1"/>
  <c r="B1681" i="1"/>
  <c r="A1682" i="1"/>
  <c r="B1682" i="1"/>
  <c r="A1683" i="1"/>
  <c r="B1683" i="1"/>
  <c r="A1684" i="1"/>
  <c r="B1684" i="1"/>
  <c r="A1685" i="1"/>
  <c r="B1685" i="1"/>
  <c r="A1686" i="1"/>
  <c r="B1686" i="1"/>
  <c r="A1687" i="1"/>
  <c r="B1687" i="1"/>
  <c r="A1688" i="1"/>
  <c r="B1688" i="1"/>
  <c r="A1689" i="1"/>
  <c r="B1689" i="1"/>
  <c r="A1690" i="1"/>
  <c r="B1690" i="1"/>
  <c r="A1691" i="1"/>
  <c r="B1691" i="1"/>
  <c r="A1692" i="1"/>
  <c r="B1692" i="1"/>
  <c r="A1693" i="1"/>
  <c r="B1693" i="1"/>
  <c r="A1694" i="1"/>
  <c r="B1694" i="1"/>
  <c r="A1695" i="1"/>
  <c r="B1695" i="1"/>
  <c r="A1696" i="1"/>
  <c r="B1696" i="1"/>
  <c r="A1697" i="1"/>
  <c r="B1697" i="1"/>
  <c r="A1698" i="1"/>
  <c r="B1698" i="1"/>
  <c r="A1699" i="1"/>
  <c r="B1699" i="1"/>
  <c r="A1700" i="1"/>
  <c r="B1700" i="1"/>
  <c r="A1701" i="1"/>
  <c r="B1701" i="1"/>
  <c r="A1702" i="1"/>
  <c r="B1702" i="1"/>
  <c r="A1703" i="1"/>
  <c r="B1703" i="1"/>
  <c r="A1704" i="1"/>
  <c r="B1704" i="1"/>
  <c r="A1705" i="1"/>
  <c r="B1705" i="1"/>
  <c r="A1706" i="1"/>
  <c r="B1706" i="1"/>
  <c r="A1707" i="1"/>
  <c r="B1707" i="1"/>
  <c r="A1708" i="1"/>
  <c r="B1708" i="1"/>
  <c r="A1709" i="1"/>
  <c r="B1709" i="1"/>
  <c r="A1710" i="1"/>
  <c r="B1710" i="1"/>
  <c r="A1711" i="1"/>
  <c r="B1711" i="1"/>
  <c r="A1712" i="1"/>
  <c r="B1712" i="1"/>
  <c r="A1713" i="1"/>
  <c r="B1713" i="1"/>
  <c r="A1714" i="1"/>
  <c r="B1714" i="1"/>
  <c r="A1715" i="1"/>
  <c r="B1715" i="1"/>
  <c r="A1716" i="1"/>
  <c r="B1716" i="1"/>
  <c r="A1717" i="1"/>
  <c r="B1717" i="1"/>
  <c r="A1718" i="1"/>
  <c r="B1718" i="1"/>
  <c r="A1719" i="1"/>
  <c r="B1719" i="1"/>
  <c r="A1720" i="1"/>
  <c r="B1720" i="1"/>
  <c r="A1721" i="1"/>
  <c r="B1721" i="1"/>
  <c r="A1722" i="1"/>
  <c r="B1722" i="1"/>
  <c r="A1723" i="1"/>
  <c r="B1723" i="1"/>
  <c r="A1724" i="1"/>
  <c r="B1724" i="1"/>
  <c r="A1725" i="1"/>
  <c r="B1725" i="1"/>
  <c r="A1726" i="1"/>
  <c r="B1726" i="1"/>
  <c r="A1727" i="1"/>
  <c r="B1727" i="1"/>
  <c r="A1728" i="1"/>
  <c r="B1728" i="1"/>
  <c r="A1729" i="1"/>
  <c r="B1729" i="1"/>
  <c r="A1730" i="1"/>
  <c r="B1730" i="1"/>
  <c r="A1731" i="1"/>
  <c r="B1731" i="1"/>
  <c r="A1732" i="1"/>
  <c r="B1732" i="1"/>
  <c r="A1733" i="1"/>
  <c r="B1733" i="1"/>
  <c r="A1734" i="1"/>
  <c r="B1734" i="1"/>
  <c r="A1735" i="1"/>
  <c r="B1735" i="1"/>
  <c r="A1736" i="1"/>
  <c r="B1736" i="1"/>
  <c r="A1737" i="1"/>
  <c r="B1737" i="1"/>
  <c r="A1738" i="1"/>
  <c r="B1738" i="1"/>
  <c r="A1739" i="1"/>
  <c r="B1739" i="1"/>
  <c r="A1740" i="1"/>
  <c r="B1740" i="1"/>
  <c r="A1741" i="1"/>
  <c r="B1741" i="1"/>
  <c r="A1742" i="1"/>
  <c r="B1742" i="1"/>
  <c r="A1743" i="1"/>
  <c r="B1743" i="1"/>
  <c r="A1744" i="1"/>
  <c r="B1744" i="1"/>
  <c r="A1745" i="1"/>
  <c r="B1745" i="1"/>
  <c r="A1746" i="1"/>
  <c r="B1746" i="1"/>
  <c r="A1747" i="1"/>
  <c r="B1747" i="1"/>
  <c r="A1748" i="1"/>
  <c r="B1748" i="1"/>
  <c r="A1749" i="1"/>
  <c r="B1749" i="1"/>
  <c r="A1750" i="1"/>
  <c r="B1750" i="1"/>
  <c r="A1751" i="1"/>
  <c r="B1751" i="1"/>
  <c r="A1752" i="1"/>
  <c r="B1752" i="1"/>
  <c r="A1753" i="1"/>
  <c r="B1753" i="1"/>
  <c r="A1754" i="1"/>
  <c r="B1754" i="1"/>
  <c r="A1755" i="1"/>
  <c r="B1755" i="1"/>
  <c r="A1756" i="1"/>
  <c r="B1756" i="1"/>
  <c r="A1757" i="1"/>
  <c r="B1757" i="1"/>
  <c r="A1758" i="1"/>
  <c r="B1758" i="1"/>
  <c r="A1759" i="1"/>
  <c r="B1759" i="1"/>
  <c r="A1760" i="1"/>
  <c r="B1760" i="1"/>
  <c r="A1761" i="1"/>
  <c r="B1761" i="1"/>
  <c r="A1762" i="1"/>
  <c r="B1762" i="1"/>
  <c r="A1763" i="1"/>
  <c r="B1763" i="1"/>
  <c r="A1764" i="1"/>
  <c r="B1764" i="1"/>
  <c r="A1765" i="1"/>
  <c r="B1765" i="1"/>
  <c r="A1766" i="1"/>
  <c r="B1766" i="1"/>
  <c r="A1767" i="1"/>
  <c r="B1767" i="1"/>
  <c r="A1768" i="1"/>
  <c r="B1768" i="1"/>
  <c r="A1769" i="1"/>
  <c r="B1769" i="1"/>
  <c r="A1770" i="1"/>
  <c r="B1770" i="1"/>
  <c r="A1771" i="1"/>
  <c r="B1771" i="1"/>
  <c r="A1772" i="1"/>
  <c r="B1772" i="1"/>
  <c r="A1773" i="1"/>
  <c r="B1773" i="1"/>
  <c r="A1774" i="1"/>
  <c r="B1774" i="1"/>
  <c r="A1775" i="1"/>
  <c r="B1775" i="1"/>
  <c r="A1776" i="1"/>
  <c r="B1776" i="1"/>
  <c r="A1777" i="1"/>
  <c r="B1777" i="1"/>
  <c r="A1778" i="1"/>
  <c r="B1778" i="1"/>
  <c r="A1779" i="1"/>
  <c r="B1779" i="1"/>
  <c r="A1780" i="1"/>
  <c r="B1780" i="1"/>
  <c r="A1781" i="1"/>
  <c r="B1781" i="1"/>
  <c r="A1782" i="1"/>
  <c r="B1782" i="1"/>
  <c r="A1783" i="1"/>
  <c r="B1783" i="1"/>
  <c r="A1784" i="1"/>
  <c r="B1784" i="1"/>
  <c r="A1785" i="1"/>
  <c r="B1785" i="1"/>
  <c r="A1786" i="1"/>
  <c r="B1786" i="1"/>
  <c r="A1787" i="1"/>
  <c r="B1787" i="1"/>
  <c r="A1788" i="1"/>
  <c r="B1788" i="1"/>
  <c r="A1789" i="1"/>
  <c r="B1789" i="1"/>
  <c r="A1790" i="1"/>
  <c r="B1790" i="1"/>
  <c r="A1791" i="1"/>
  <c r="B1791" i="1"/>
  <c r="A1792" i="1"/>
  <c r="B1792" i="1"/>
  <c r="A1793" i="1"/>
  <c r="B1793" i="1"/>
  <c r="A1794" i="1"/>
  <c r="B1794" i="1"/>
  <c r="A1795" i="1"/>
  <c r="B1795" i="1"/>
  <c r="A1796" i="1"/>
  <c r="B1796" i="1"/>
  <c r="A1797" i="1"/>
  <c r="B1797" i="1"/>
  <c r="A1798" i="1"/>
  <c r="B1798" i="1"/>
  <c r="A1799" i="1"/>
  <c r="B1799" i="1"/>
  <c r="A1800" i="1"/>
  <c r="B1800" i="1"/>
  <c r="A1801" i="1"/>
  <c r="B1801" i="1"/>
  <c r="A1802" i="1"/>
  <c r="B1802" i="1"/>
  <c r="A1803" i="1"/>
  <c r="B1803" i="1"/>
  <c r="A1804" i="1"/>
  <c r="B1804" i="1"/>
  <c r="A1805" i="1"/>
  <c r="B1805" i="1"/>
  <c r="A1806" i="1"/>
  <c r="B1806" i="1"/>
  <c r="A1807" i="1"/>
  <c r="B1807" i="1"/>
  <c r="A1808" i="1"/>
  <c r="B1808" i="1"/>
  <c r="A1809" i="1"/>
  <c r="B1809" i="1"/>
  <c r="A1810" i="1"/>
  <c r="B1810" i="1"/>
  <c r="A1811" i="1"/>
  <c r="B1811" i="1"/>
  <c r="A1812" i="1"/>
  <c r="B1812" i="1"/>
  <c r="A1813" i="1"/>
  <c r="B1813" i="1"/>
  <c r="A1814" i="1"/>
  <c r="B1814" i="1"/>
  <c r="A1815" i="1"/>
  <c r="B1815" i="1"/>
  <c r="A1816" i="1"/>
  <c r="B1816" i="1"/>
  <c r="A1817" i="1"/>
  <c r="B1817" i="1"/>
  <c r="A1818" i="1"/>
  <c r="B1818" i="1"/>
  <c r="A1819" i="1"/>
  <c r="B1819" i="1"/>
  <c r="A1820" i="1"/>
  <c r="B1820" i="1"/>
  <c r="A1821" i="1"/>
  <c r="B1821" i="1"/>
  <c r="A1822" i="1"/>
  <c r="B1822" i="1"/>
  <c r="A1823" i="1"/>
  <c r="B1823" i="1"/>
  <c r="A1824" i="1"/>
  <c r="B1824" i="1"/>
  <c r="A1825" i="1"/>
  <c r="B1825" i="1"/>
  <c r="A1826" i="1"/>
  <c r="B1826" i="1"/>
  <c r="A1827" i="1"/>
  <c r="B1827" i="1"/>
  <c r="A1828" i="1"/>
  <c r="B1828" i="1"/>
  <c r="A1829" i="1"/>
  <c r="B1829" i="1"/>
  <c r="A1830" i="1"/>
  <c r="B1830" i="1"/>
  <c r="A1831" i="1"/>
  <c r="B1831" i="1"/>
  <c r="A1832" i="1"/>
  <c r="B1832" i="1"/>
  <c r="A1833" i="1"/>
  <c r="B1833" i="1"/>
  <c r="A1834" i="1"/>
  <c r="B1834" i="1"/>
  <c r="A1835" i="1"/>
  <c r="B1835" i="1"/>
  <c r="A1836" i="1"/>
  <c r="B1836" i="1"/>
  <c r="A1837" i="1"/>
  <c r="B1837" i="1"/>
  <c r="A1838" i="1"/>
  <c r="B1838" i="1"/>
  <c r="A1839" i="1"/>
  <c r="B1839" i="1"/>
  <c r="A1840" i="1"/>
  <c r="B1840" i="1"/>
  <c r="A1841" i="1"/>
  <c r="B1841" i="1"/>
  <c r="A1842" i="1"/>
  <c r="B1842" i="1"/>
  <c r="A1843" i="1"/>
  <c r="B1843" i="1"/>
  <c r="A1844" i="1"/>
  <c r="B1844" i="1"/>
  <c r="A1845" i="1"/>
  <c r="B1845" i="1"/>
  <c r="A1846" i="1"/>
  <c r="B1846" i="1"/>
  <c r="A1847" i="1"/>
  <c r="B1847" i="1"/>
  <c r="A1848" i="1"/>
  <c r="B1848" i="1"/>
  <c r="A1849" i="1"/>
  <c r="B1849" i="1"/>
  <c r="A1850" i="1"/>
  <c r="B1850" i="1"/>
  <c r="A1851" i="1"/>
  <c r="B1851" i="1"/>
  <c r="A1852" i="1"/>
  <c r="B1852" i="1"/>
  <c r="A1853" i="1"/>
  <c r="B1853" i="1"/>
  <c r="A1854" i="1"/>
  <c r="B1854" i="1"/>
  <c r="A1855" i="1"/>
  <c r="B1855" i="1"/>
  <c r="A1856" i="1"/>
  <c r="B1856" i="1"/>
  <c r="A1857" i="1"/>
  <c r="B1857" i="1"/>
  <c r="A1858" i="1"/>
  <c r="B1858" i="1"/>
  <c r="A1859" i="1"/>
  <c r="B1859" i="1"/>
  <c r="A1860" i="1"/>
  <c r="B1860" i="1"/>
  <c r="A1861" i="1"/>
  <c r="B1861" i="1"/>
  <c r="A1862" i="1"/>
  <c r="B1862" i="1"/>
  <c r="A1863" i="1"/>
  <c r="B1863" i="1"/>
  <c r="A1864" i="1"/>
  <c r="B1864" i="1"/>
  <c r="A1865" i="1"/>
  <c r="B1865" i="1"/>
  <c r="A1866" i="1"/>
  <c r="B1866" i="1"/>
  <c r="A1867" i="1"/>
  <c r="B1867" i="1"/>
  <c r="A1868" i="1"/>
  <c r="B1868" i="1"/>
  <c r="A1869" i="1"/>
  <c r="B1869" i="1"/>
  <c r="A1870" i="1"/>
  <c r="B1870" i="1"/>
  <c r="A1871" i="1"/>
  <c r="B1871" i="1"/>
  <c r="A1872" i="1"/>
  <c r="B1872" i="1"/>
  <c r="A1873" i="1"/>
  <c r="B1873" i="1"/>
  <c r="A1874" i="1"/>
  <c r="B1874" i="1"/>
  <c r="A1875" i="1"/>
  <c r="B1875" i="1"/>
  <c r="A1876" i="1"/>
  <c r="B1876" i="1"/>
  <c r="A1877" i="1"/>
  <c r="B1877" i="1"/>
  <c r="A1878" i="1"/>
  <c r="B1878" i="1"/>
  <c r="A1879" i="1"/>
  <c r="B1879" i="1"/>
  <c r="A1880" i="1"/>
  <c r="B1880" i="1"/>
  <c r="A1881" i="1"/>
  <c r="B1881" i="1"/>
  <c r="A1882" i="1"/>
  <c r="B1882" i="1"/>
  <c r="A1883" i="1"/>
  <c r="B1883" i="1"/>
  <c r="A1884" i="1"/>
  <c r="B1884" i="1"/>
  <c r="A1885" i="1"/>
  <c r="B1885" i="1"/>
  <c r="A1886" i="1"/>
  <c r="B1886" i="1"/>
  <c r="A1887" i="1"/>
  <c r="B1887" i="1"/>
  <c r="A1888" i="1"/>
  <c r="B1888" i="1"/>
  <c r="A1889" i="1"/>
  <c r="B1889" i="1"/>
  <c r="A1890" i="1"/>
  <c r="B1890" i="1"/>
  <c r="A1891" i="1"/>
  <c r="B1891" i="1"/>
  <c r="A1892" i="1"/>
  <c r="B1892" i="1"/>
  <c r="A1893" i="1"/>
  <c r="B1893" i="1"/>
  <c r="A1894" i="1"/>
  <c r="B1894" i="1"/>
  <c r="A1895" i="1"/>
  <c r="B1895" i="1"/>
  <c r="A1896" i="1"/>
  <c r="B1896" i="1"/>
  <c r="A1897" i="1"/>
  <c r="B1897" i="1"/>
  <c r="A1898" i="1"/>
  <c r="B1898" i="1"/>
  <c r="A1899" i="1"/>
  <c r="B1899" i="1"/>
  <c r="A1900" i="1"/>
  <c r="B1900" i="1"/>
  <c r="A1901" i="1"/>
  <c r="B1901" i="1"/>
  <c r="A1902" i="1"/>
  <c r="B1902" i="1"/>
  <c r="A1903" i="1"/>
  <c r="B1903" i="1"/>
  <c r="A1904" i="1"/>
  <c r="B1904" i="1"/>
  <c r="A1905" i="1"/>
  <c r="B1905" i="1"/>
  <c r="A1906" i="1"/>
  <c r="B1906" i="1"/>
  <c r="A1907" i="1"/>
  <c r="B1907" i="1"/>
  <c r="A1908" i="1"/>
  <c r="B1908" i="1"/>
  <c r="A1909" i="1"/>
  <c r="B1909" i="1"/>
  <c r="A1910" i="1"/>
  <c r="B1910" i="1"/>
  <c r="A1911" i="1"/>
  <c r="B1911" i="1"/>
  <c r="A1912" i="1"/>
  <c r="B1912" i="1"/>
  <c r="A1913" i="1"/>
  <c r="B1913" i="1"/>
  <c r="A1914" i="1"/>
  <c r="B1914" i="1"/>
  <c r="A1915" i="1"/>
  <c r="B1915" i="1"/>
  <c r="A1916" i="1"/>
  <c r="B1916" i="1"/>
  <c r="A1917" i="1"/>
  <c r="B1917" i="1"/>
  <c r="A1918" i="1"/>
  <c r="B1918" i="1"/>
  <c r="A1919" i="1"/>
  <c r="B1919" i="1"/>
  <c r="A1920" i="1"/>
  <c r="B1920" i="1"/>
  <c r="A1921" i="1"/>
  <c r="B1921" i="1"/>
  <c r="A1922" i="1"/>
  <c r="B1922" i="1"/>
  <c r="A1923" i="1"/>
  <c r="B1923" i="1"/>
  <c r="A1924" i="1"/>
  <c r="B1924" i="1"/>
  <c r="A1925" i="1"/>
  <c r="B1925" i="1"/>
  <c r="A1926" i="1"/>
  <c r="B1926" i="1"/>
  <c r="A1927" i="1"/>
  <c r="B1927" i="1"/>
  <c r="A1928" i="1"/>
  <c r="B1928" i="1"/>
  <c r="A1929" i="1"/>
  <c r="B1929" i="1"/>
  <c r="A1930" i="1"/>
  <c r="B1930" i="1"/>
  <c r="A1931" i="1"/>
  <c r="B1931" i="1"/>
  <c r="A1932" i="1"/>
  <c r="B1932" i="1"/>
  <c r="A1933" i="1"/>
  <c r="B1933" i="1"/>
  <c r="A1934" i="1"/>
  <c r="B1934" i="1"/>
  <c r="A1935" i="1"/>
  <c r="B1935" i="1"/>
  <c r="A1936" i="1"/>
  <c r="B1936" i="1"/>
  <c r="A1937" i="1"/>
  <c r="B1937" i="1"/>
  <c r="A1938" i="1"/>
  <c r="B1938" i="1"/>
  <c r="A1939" i="1"/>
  <c r="B1939" i="1"/>
  <c r="A1940" i="1"/>
  <c r="B1940" i="1"/>
  <c r="A1941" i="1"/>
  <c r="B1941" i="1"/>
  <c r="A1942" i="1"/>
  <c r="B1942" i="1"/>
  <c r="A1943" i="1"/>
  <c r="B1943" i="1"/>
  <c r="A1944" i="1"/>
  <c r="B1944" i="1"/>
  <c r="A1945" i="1"/>
  <c r="B1945" i="1"/>
  <c r="A1946" i="1"/>
  <c r="B1946" i="1"/>
  <c r="A1947" i="1"/>
  <c r="B1947" i="1"/>
  <c r="A1948" i="1"/>
  <c r="B1948" i="1"/>
  <c r="A1949" i="1"/>
  <c r="B1949" i="1"/>
  <c r="A1950" i="1"/>
  <c r="B1950" i="1"/>
  <c r="A1951" i="1"/>
  <c r="B1951" i="1"/>
  <c r="A1952" i="1"/>
  <c r="B1952" i="1"/>
  <c r="A1953" i="1"/>
  <c r="B1953" i="1"/>
  <c r="A1954" i="1"/>
  <c r="B1954" i="1"/>
  <c r="A1955" i="1"/>
  <c r="B1955" i="1"/>
  <c r="A1956" i="1"/>
  <c r="B1956" i="1"/>
  <c r="A1957" i="1"/>
  <c r="B1957" i="1"/>
  <c r="A1958" i="1"/>
  <c r="B1958" i="1"/>
  <c r="A1959" i="1"/>
  <c r="B1959" i="1"/>
  <c r="A1960" i="1"/>
  <c r="B1960" i="1"/>
  <c r="A1961" i="1"/>
  <c r="B1961" i="1"/>
  <c r="A1962" i="1"/>
  <c r="B1962" i="1"/>
  <c r="A1963" i="1"/>
  <c r="B1963" i="1"/>
  <c r="A1964" i="1"/>
  <c r="B1964" i="1"/>
  <c r="A1965" i="1"/>
  <c r="B1965" i="1"/>
  <c r="A1966" i="1"/>
  <c r="B1966" i="1"/>
  <c r="A1967" i="1"/>
  <c r="B1967" i="1"/>
  <c r="A1968" i="1"/>
  <c r="B1968" i="1"/>
  <c r="A1969" i="1"/>
  <c r="B1969" i="1"/>
  <c r="A1970" i="1"/>
  <c r="B1970" i="1"/>
  <c r="A1971" i="1"/>
  <c r="B1971" i="1"/>
  <c r="A1972" i="1"/>
  <c r="B1972" i="1"/>
  <c r="A1973" i="1"/>
  <c r="B1973" i="1"/>
  <c r="A1974" i="1"/>
  <c r="B1974" i="1"/>
  <c r="A1975" i="1"/>
  <c r="B1975" i="1"/>
  <c r="A1976" i="1"/>
  <c r="B1976" i="1"/>
  <c r="A1977" i="1"/>
  <c r="B1977" i="1"/>
  <c r="A1978" i="1"/>
  <c r="B1978" i="1"/>
  <c r="A1979" i="1"/>
  <c r="B1979" i="1"/>
  <c r="A1980" i="1"/>
  <c r="B1980" i="1"/>
  <c r="A1981" i="1"/>
  <c r="B1981" i="1"/>
  <c r="A1982" i="1"/>
  <c r="B1982" i="1"/>
  <c r="A1983" i="1"/>
  <c r="B1983" i="1"/>
  <c r="A1984" i="1"/>
  <c r="B1984" i="1"/>
  <c r="A1985" i="1"/>
  <c r="B1985" i="1"/>
  <c r="A1986" i="1"/>
  <c r="B1986" i="1"/>
  <c r="A1987" i="1"/>
  <c r="B1987" i="1"/>
  <c r="A1988" i="1"/>
  <c r="B1988" i="1"/>
  <c r="A1989" i="1"/>
  <c r="B1989" i="1"/>
  <c r="A1990" i="1"/>
  <c r="B1990" i="1"/>
  <c r="A1991" i="1"/>
  <c r="B1991" i="1"/>
  <c r="A1992" i="1"/>
  <c r="B1992" i="1"/>
  <c r="A1993" i="1"/>
  <c r="B1993" i="1"/>
  <c r="A1994" i="1"/>
  <c r="B1994" i="1"/>
  <c r="A1995" i="1"/>
  <c r="B1995" i="1"/>
  <c r="A1996" i="1"/>
  <c r="B1996" i="1"/>
  <c r="A1997" i="1"/>
  <c r="B1997" i="1"/>
  <c r="A1998" i="1"/>
  <c r="B1998" i="1"/>
  <c r="A1999" i="1"/>
  <c r="B1999" i="1"/>
  <c r="A2000" i="1"/>
  <c r="B2000" i="1"/>
  <c r="A2001" i="1"/>
  <c r="B2001" i="1"/>
  <c r="A2002" i="1"/>
  <c r="B2002" i="1"/>
  <c r="A2003" i="1"/>
  <c r="B2003" i="1"/>
  <c r="A2004" i="1"/>
  <c r="B2004" i="1"/>
  <c r="A2005" i="1"/>
  <c r="B2005" i="1"/>
  <c r="A2006" i="1"/>
  <c r="B2006" i="1"/>
  <c r="A2007" i="1"/>
  <c r="B2007" i="1"/>
  <c r="A2008" i="1"/>
  <c r="B2008" i="1"/>
  <c r="A2009" i="1"/>
  <c r="B2009" i="1"/>
  <c r="A2010" i="1"/>
  <c r="B2010" i="1"/>
  <c r="A2011" i="1"/>
  <c r="B2011" i="1"/>
  <c r="A2012" i="1"/>
  <c r="B2012" i="1"/>
  <c r="A2013" i="1"/>
  <c r="B2013" i="1"/>
  <c r="A2014" i="1"/>
  <c r="B2014" i="1"/>
  <c r="A2015" i="1"/>
  <c r="B2015" i="1"/>
  <c r="A2016" i="1"/>
  <c r="B2016" i="1"/>
  <c r="A2017" i="1"/>
  <c r="B2017" i="1"/>
  <c r="A2018" i="1"/>
  <c r="B2018" i="1"/>
  <c r="A2019" i="1"/>
  <c r="B2019" i="1"/>
  <c r="A2020" i="1"/>
  <c r="B2020" i="1"/>
  <c r="A2021" i="1"/>
  <c r="B2021" i="1"/>
  <c r="A2022" i="1"/>
  <c r="B2022" i="1"/>
  <c r="A2023" i="1"/>
  <c r="B2023" i="1"/>
  <c r="A2024" i="1"/>
  <c r="B2024" i="1"/>
  <c r="A2025" i="1"/>
  <c r="B2025" i="1"/>
  <c r="A2026" i="1"/>
  <c r="B2026" i="1"/>
  <c r="A2027" i="1"/>
  <c r="B2027" i="1"/>
  <c r="A2028" i="1"/>
  <c r="B2028" i="1"/>
  <c r="A2029" i="1"/>
  <c r="B2029" i="1"/>
  <c r="A2030" i="1"/>
  <c r="B2030" i="1"/>
  <c r="A2031" i="1"/>
  <c r="B2031" i="1"/>
  <c r="A2032" i="1"/>
  <c r="B2032" i="1"/>
  <c r="A2033" i="1"/>
  <c r="B2033" i="1"/>
  <c r="A2034" i="1"/>
  <c r="B2034" i="1"/>
  <c r="A2035" i="1"/>
  <c r="B2035" i="1"/>
  <c r="A2036" i="1"/>
  <c r="B2036" i="1"/>
  <c r="A2037" i="1"/>
  <c r="B2037" i="1"/>
  <c r="A2038" i="1"/>
  <c r="B2038" i="1"/>
  <c r="A2039" i="1"/>
  <c r="B2039" i="1"/>
  <c r="A2040" i="1"/>
  <c r="B2040" i="1"/>
  <c r="A2041" i="1"/>
  <c r="B2041" i="1"/>
  <c r="A2042" i="1"/>
  <c r="B2042" i="1"/>
  <c r="A2043" i="1"/>
  <c r="B2043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A384" i="1"/>
  <c r="B384" i="1"/>
  <c r="A385" i="1"/>
  <c r="B385" i="1"/>
  <c r="A386" i="1"/>
  <c r="B386" i="1"/>
  <c r="A387" i="1"/>
  <c r="B387" i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408" i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A494" i="1"/>
  <c r="B494" i="1"/>
  <c r="A495" i="1"/>
  <c r="B495" i="1"/>
  <c r="A496" i="1"/>
  <c r="B496" i="1"/>
  <c r="A497" i="1"/>
  <c r="B497" i="1"/>
  <c r="A498" i="1"/>
  <c r="B498" i="1"/>
  <c r="A499" i="1"/>
  <c r="B499" i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B533" i="1"/>
  <c r="A534" i="1"/>
  <c r="B534" i="1"/>
  <c r="A535" i="1"/>
  <c r="B535" i="1"/>
  <c r="A536" i="1"/>
  <c r="B536" i="1"/>
  <c r="A537" i="1"/>
  <c r="B537" i="1"/>
  <c r="A538" i="1"/>
  <c r="B538" i="1"/>
  <c r="A539" i="1"/>
  <c r="B539" i="1"/>
  <c r="A540" i="1"/>
  <c r="B540" i="1"/>
  <c r="A541" i="1"/>
  <c r="B541" i="1"/>
  <c r="A542" i="1"/>
  <c r="B542" i="1"/>
  <c r="A543" i="1"/>
  <c r="B543" i="1"/>
  <c r="A544" i="1"/>
  <c r="B544" i="1"/>
  <c r="A545" i="1"/>
  <c r="B545" i="1"/>
  <c r="A546" i="1"/>
  <c r="B546" i="1"/>
  <c r="A547" i="1"/>
  <c r="B547" i="1"/>
  <c r="A548" i="1"/>
  <c r="B548" i="1"/>
  <c r="A549" i="1"/>
  <c r="B549" i="1"/>
  <c r="A550" i="1"/>
  <c r="B550" i="1"/>
  <c r="A551" i="1"/>
  <c r="B551" i="1"/>
  <c r="A552" i="1"/>
  <c r="B552" i="1"/>
  <c r="A553" i="1"/>
  <c r="B553" i="1"/>
  <c r="A554" i="1"/>
  <c r="B554" i="1"/>
  <c r="A555" i="1"/>
  <c r="B555" i="1"/>
  <c r="A556" i="1"/>
  <c r="B556" i="1"/>
  <c r="A557" i="1"/>
  <c r="B557" i="1"/>
  <c r="A558" i="1"/>
  <c r="B558" i="1"/>
  <c r="A559" i="1"/>
  <c r="B559" i="1"/>
  <c r="A560" i="1"/>
  <c r="B560" i="1"/>
  <c r="A561" i="1"/>
  <c r="B561" i="1"/>
  <c r="A562" i="1"/>
  <c r="B562" i="1"/>
  <c r="A563" i="1"/>
  <c r="B563" i="1"/>
  <c r="A564" i="1"/>
  <c r="B564" i="1"/>
  <c r="A565" i="1"/>
  <c r="B565" i="1"/>
  <c r="A566" i="1"/>
  <c r="B566" i="1"/>
  <c r="A567" i="1"/>
  <c r="B567" i="1"/>
  <c r="A568" i="1"/>
  <c r="B568" i="1"/>
  <c r="A569" i="1"/>
  <c r="B569" i="1"/>
  <c r="A570" i="1"/>
  <c r="B570" i="1"/>
  <c r="A571" i="1"/>
  <c r="B571" i="1"/>
  <c r="A572" i="1"/>
  <c r="B572" i="1"/>
  <c r="A573" i="1"/>
  <c r="B573" i="1"/>
  <c r="A574" i="1"/>
  <c r="B574" i="1"/>
  <c r="A575" i="1"/>
  <c r="B575" i="1"/>
  <c r="A576" i="1"/>
  <c r="B576" i="1"/>
  <c r="A577" i="1"/>
  <c r="B577" i="1"/>
  <c r="A578" i="1"/>
  <c r="B578" i="1"/>
  <c r="A579" i="1"/>
  <c r="B579" i="1"/>
  <c r="A580" i="1"/>
  <c r="B580" i="1"/>
  <c r="A581" i="1"/>
  <c r="B581" i="1"/>
  <c r="A582" i="1"/>
  <c r="B582" i="1"/>
  <c r="A583" i="1"/>
  <c r="B583" i="1"/>
  <c r="A584" i="1"/>
  <c r="B584" i="1"/>
  <c r="A585" i="1"/>
  <c r="B585" i="1"/>
  <c r="A586" i="1"/>
  <c r="B586" i="1"/>
  <c r="A587" i="1"/>
  <c r="B587" i="1"/>
  <c r="A588" i="1"/>
  <c r="B588" i="1"/>
  <c r="A589" i="1"/>
  <c r="B589" i="1"/>
  <c r="A590" i="1"/>
  <c r="B590" i="1"/>
  <c r="A591" i="1"/>
  <c r="B591" i="1"/>
  <c r="A592" i="1"/>
  <c r="B592" i="1"/>
  <c r="A593" i="1"/>
  <c r="B593" i="1"/>
  <c r="A594" i="1"/>
  <c r="B594" i="1"/>
  <c r="A595" i="1"/>
  <c r="B595" i="1"/>
  <c r="A596" i="1"/>
  <c r="B596" i="1"/>
  <c r="A597" i="1"/>
  <c r="B597" i="1"/>
  <c r="A598" i="1"/>
  <c r="B598" i="1"/>
  <c r="A599" i="1"/>
  <c r="B599" i="1"/>
  <c r="A600" i="1"/>
  <c r="B600" i="1"/>
  <c r="A601" i="1"/>
  <c r="B601" i="1"/>
  <c r="A602" i="1"/>
  <c r="B602" i="1"/>
  <c r="A603" i="1"/>
  <c r="B603" i="1"/>
  <c r="A604" i="1"/>
  <c r="B604" i="1"/>
  <c r="A605" i="1"/>
  <c r="B605" i="1"/>
  <c r="A606" i="1"/>
  <c r="B606" i="1"/>
  <c r="A607" i="1"/>
  <c r="B607" i="1"/>
  <c r="A608" i="1"/>
  <c r="B608" i="1"/>
  <c r="A609" i="1"/>
  <c r="B609" i="1"/>
  <c r="A610" i="1"/>
  <c r="B610" i="1"/>
  <c r="A611" i="1"/>
  <c r="B611" i="1"/>
  <c r="A612" i="1"/>
  <c r="B612" i="1"/>
  <c r="A613" i="1"/>
  <c r="B613" i="1"/>
  <c r="A614" i="1"/>
  <c r="B614" i="1"/>
  <c r="A615" i="1"/>
  <c r="B615" i="1"/>
  <c r="A616" i="1"/>
  <c r="B616" i="1"/>
  <c r="A617" i="1"/>
  <c r="B617" i="1"/>
  <c r="A618" i="1"/>
  <c r="B618" i="1"/>
  <c r="A619" i="1"/>
  <c r="B619" i="1"/>
  <c r="A620" i="1"/>
  <c r="B620" i="1"/>
  <c r="A621" i="1"/>
  <c r="B621" i="1"/>
  <c r="A622" i="1"/>
  <c r="B622" i="1"/>
  <c r="A623" i="1"/>
  <c r="B623" i="1"/>
  <c r="A624" i="1"/>
  <c r="B624" i="1"/>
  <c r="A625" i="1"/>
  <c r="B625" i="1"/>
  <c r="A626" i="1"/>
  <c r="B626" i="1"/>
  <c r="A627" i="1"/>
  <c r="B627" i="1"/>
  <c r="A628" i="1"/>
  <c r="B628" i="1"/>
  <c r="A629" i="1"/>
  <c r="B629" i="1"/>
  <c r="A630" i="1"/>
  <c r="B630" i="1"/>
  <c r="A631" i="1"/>
  <c r="B631" i="1"/>
  <c r="A632" i="1"/>
  <c r="B632" i="1"/>
  <c r="A633" i="1"/>
  <c r="B633" i="1"/>
  <c r="A634" i="1"/>
  <c r="B634" i="1"/>
  <c r="A635" i="1"/>
  <c r="B635" i="1"/>
  <c r="A636" i="1"/>
  <c r="B636" i="1"/>
  <c r="A637" i="1"/>
  <c r="B637" i="1"/>
  <c r="A638" i="1"/>
  <c r="B638" i="1"/>
  <c r="A639" i="1"/>
  <c r="B639" i="1"/>
  <c r="A640" i="1"/>
  <c r="B640" i="1"/>
  <c r="A641" i="1"/>
  <c r="B641" i="1"/>
  <c r="A642" i="1"/>
  <c r="B642" i="1"/>
  <c r="A643" i="1"/>
  <c r="B643" i="1"/>
  <c r="A644" i="1"/>
  <c r="B644" i="1"/>
  <c r="A645" i="1"/>
  <c r="B645" i="1"/>
  <c r="A646" i="1"/>
  <c r="B646" i="1"/>
  <c r="A647" i="1"/>
  <c r="B647" i="1"/>
  <c r="A648" i="1"/>
  <c r="B648" i="1"/>
  <c r="A649" i="1"/>
  <c r="B649" i="1"/>
  <c r="A650" i="1"/>
  <c r="B650" i="1"/>
  <c r="A651" i="1"/>
  <c r="B651" i="1"/>
  <c r="A652" i="1"/>
  <c r="B652" i="1"/>
  <c r="A653" i="1"/>
  <c r="B653" i="1"/>
  <c r="A654" i="1"/>
  <c r="B654" i="1"/>
  <c r="A655" i="1"/>
  <c r="B655" i="1"/>
  <c r="A656" i="1"/>
  <c r="B656" i="1"/>
  <c r="A657" i="1"/>
  <c r="B657" i="1"/>
  <c r="A658" i="1"/>
  <c r="B658" i="1"/>
  <c r="A659" i="1"/>
  <c r="B659" i="1"/>
  <c r="A660" i="1"/>
  <c r="B660" i="1"/>
  <c r="A661" i="1"/>
  <c r="B661" i="1"/>
  <c r="A662" i="1"/>
  <c r="B662" i="1"/>
  <c r="A663" i="1"/>
  <c r="B663" i="1"/>
  <c r="A664" i="1"/>
  <c r="B664" i="1"/>
  <c r="A665" i="1"/>
  <c r="B665" i="1"/>
  <c r="A666" i="1"/>
  <c r="B666" i="1"/>
  <c r="A667" i="1"/>
  <c r="B667" i="1"/>
  <c r="A668" i="1"/>
  <c r="B668" i="1"/>
  <c r="A669" i="1"/>
  <c r="B669" i="1"/>
  <c r="A670" i="1"/>
  <c r="B670" i="1"/>
  <c r="A671" i="1"/>
  <c r="B671" i="1"/>
  <c r="A672" i="1"/>
  <c r="B672" i="1"/>
  <c r="A673" i="1"/>
  <c r="B673" i="1"/>
  <c r="A674" i="1"/>
  <c r="B674" i="1"/>
  <c r="A675" i="1"/>
  <c r="B675" i="1"/>
  <c r="A676" i="1"/>
  <c r="B676" i="1"/>
  <c r="A677" i="1"/>
  <c r="B677" i="1"/>
  <c r="A678" i="1"/>
  <c r="B678" i="1"/>
  <c r="A679" i="1"/>
  <c r="B679" i="1"/>
  <c r="A680" i="1"/>
  <c r="B680" i="1"/>
  <c r="A681" i="1"/>
  <c r="B681" i="1"/>
  <c r="A682" i="1"/>
  <c r="B682" i="1"/>
  <c r="A683" i="1"/>
  <c r="B683" i="1"/>
  <c r="A684" i="1"/>
  <c r="B684" i="1"/>
  <c r="A685" i="1"/>
  <c r="B685" i="1"/>
  <c r="A686" i="1"/>
  <c r="B686" i="1"/>
  <c r="A687" i="1"/>
  <c r="B687" i="1"/>
  <c r="A688" i="1"/>
  <c r="B688" i="1"/>
  <c r="A689" i="1"/>
  <c r="B689" i="1"/>
  <c r="A690" i="1"/>
  <c r="B690" i="1"/>
  <c r="A691" i="1"/>
  <c r="B691" i="1"/>
  <c r="A692" i="1"/>
  <c r="B692" i="1"/>
  <c r="A693" i="1"/>
  <c r="B693" i="1"/>
  <c r="A694" i="1"/>
  <c r="B694" i="1"/>
  <c r="A695" i="1"/>
  <c r="B695" i="1"/>
  <c r="A696" i="1"/>
  <c r="B696" i="1"/>
  <c r="A697" i="1"/>
  <c r="B697" i="1"/>
  <c r="A698" i="1"/>
  <c r="B698" i="1"/>
  <c r="A699" i="1"/>
  <c r="B699" i="1"/>
  <c r="A700" i="1"/>
  <c r="B700" i="1"/>
  <c r="A701" i="1"/>
  <c r="B701" i="1"/>
  <c r="A702" i="1"/>
  <c r="B702" i="1"/>
  <c r="A703" i="1"/>
  <c r="B703" i="1"/>
  <c r="A704" i="1"/>
  <c r="B704" i="1"/>
  <c r="A705" i="1"/>
  <c r="B705" i="1"/>
  <c r="A706" i="1"/>
  <c r="B706" i="1"/>
  <c r="A707" i="1"/>
  <c r="B707" i="1"/>
  <c r="A708" i="1"/>
  <c r="B708" i="1"/>
  <c r="A709" i="1"/>
  <c r="B709" i="1"/>
  <c r="A710" i="1"/>
  <c r="B710" i="1"/>
  <c r="A711" i="1"/>
  <c r="B711" i="1"/>
  <c r="A712" i="1"/>
  <c r="B712" i="1"/>
  <c r="A713" i="1"/>
  <c r="B713" i="1"/>
  <c r="A714" i="1"/>
  <c r="B714" i="1"/>
  <c r="A715" i="1"/>
  <c r="B715" i="1"/>
  <c r="A716" i="1"/>
  <c r="B716" i="1"/>
  <c r="A717" i="1"/>
  <c r="B717" i="1"/>
  <c r="A718" i="1"/>
  <c r="B718" i="1"/>
  <c r="A719" i="1"/>
  <c r="B719" i="1"/>
  <c r="A720" i="1"/>
  <c r="B720" i="1"/>
  <c r="A721" i="1"/>
  <c r="B721" i="1"/>
  <c r="A722" i="1"/>
  <c r="B722" i="1"/>
  <c r="A723" i="1"/>
  <c r="B723" i="1"/>
  <c r="A724" i="1"/>
  <c r="B724" i="1"/>
  <c r="A725" i="1"/>
  <c r="B725" i="1"/>
  <c r="A726" i="1"/>
  <c r="B726" i="1"/>
  <c r="A727" i="1"/>
  <c r="B727" i="1"/>
  <c r="A728" i="1"/>
  <c r="B728" i="1"/>
  <c r="A729" i="1"/>
  <c r="B729" i="1"/>
  <c r="A730" i="1"/>
  <c r="B730" i="1"/>
  <c r="A731" i="1"/>
  <c r="B731" i="1"/>
  <c r="A732" i="1"/>
  <c r="B732" i="1"/>
  <c r="A733" i="1"/>
  <c r="B733" i="1"/>
  <c r="A734" i="1"/>
  <c r="B734" i="1"/>
  <c r="A735" i="1"/>
  <c r="B735" i="1"/>
  <c r="A736" i="1"/>
  <c r="B736" i="1"/>
  <c r="A737" i="1"/>
  <c r="B737" i="1"/>
  <c r="A738" i="1"/>
  <c r="B738" i="1"/>
  <c r="A739" i="1"/>
  <c r="B739" i="1"/>
  <c r="A740" i="1"/>
  <c r="B740" i="1"/>
  <c r="A741" i="1"/>
  <c r="B741" i="1"/>
  <c r="A742" i="1"/>
  <c r="B742" i="1"/>
  <c r="A743" i="1"/>
  <c r="B743" i="1"/>
  <c r="A744" i="1"/>
  <c r="B744" i="1"/>
  <c r="A745" i="1"/>
  <c r="B745" i="1"/>
  <c r="A746" i="1"/>
  <c r="B746" i="1"/>
  <c r="A747" i="1"/>
  <c r="B747" i="1"/>
  <c r="A748" i="1"/>
  <c r="B748" i="1"/>
  <c r="A749" i="1"/>
  <c r="B749" i="1"/>
  <c r="A750" i="1"/>
  <c r="B750" i="1"/>
  <c r="A751" i="1"/>
  <c r="B751" i="1"/>
  <c r="A752" i="1"/>
  <c r="B752" i="1"/>
  <c r="A753" i="1"/>
  <c r="B753" i="1"/>
  <c r="A754" i="1"/>
  <c r="B754" i="1"/>
  <c r="A755" i="1"/>
  <c r="B755" i="1"/>
  <c r="A756" i="1"/>
  <c r="B756" i="1"/>
  <c r="A757" i="1"/>
  <c r="B757" i="1"/>
  <c r="A758" i="1"/>
  <c r="B758" i="1"/>
  <c r="A759" i="1"/>
  <c r="B759" i="1"/>
  <c r="A760" i="1"/>
  <c r="B760" i="1"/>
  <c r="A761" i="1"/>
  <c r="B761" i="1"/>
  <c r="A762" i="1"/>
  <c r="B762" i="1"/>
  <c r="A763" i="1"/>
  <c r="B763" i="1"/>
  <c r="A764" i="1"/>
  <c r="B764" i="1"/>
  <c r="A765" i="1"/>
  <c r="B765" i="1"/>
  <c r="A766" i="1"/>
  <c r="B766" i="1"/>
  <c r="A767" i="1"/>
  <c r="B767" i="1"/>
  <c r="A768" i="1"/>
  <c r="B768" i="1"/>
  <c r="A769" i="1"/>
  <c r="B769" i="1"/>
  <c r="A770" i="1"/>
  <c r="B770" i="1"/>
  <c r="A771" i="1"/>
  <c r="B771" i="1"/>
  <c r="A772" i="1"/>
  <c r="B772" i="1"/>
  <c r="A773" i="1"/>
  <c r="B773" i="1"/>
  <c r="A774" i="1"/>
  <c r="B774" i="1"/>
  <c r="A775" i="1"/>
  <c r="B775" i="1"/>
  <c r="A776" i="1"/>
  <c r="B776" i="1"/>
  <c r="A777" i="1"/>
  <c r="B777" i="1"/>
  <c r="A778" i="1"/>
  <c r="B778" i="1"/>
  <c r="A779" i="1"/>
  <c r="B779" i="1"/>
  <c r="A780" i="1"/>
  <c r="B780" i="1"/>
  <c r="A781" i="1"/>
  <c r="B781" i="1"/>
  <c r="A782" i="1"/>
  <c r="B782" i="1"/>
  <c r="A783" i="1"/>
  <c r="B783" i="1"/>
  <c r="A784" i="1"/>
  <c r="B784" i="1"/>
  <c r="A785" i="1"/>
  <c r="B785" i="1"/>
  <c r="A786" i="1"/>
  <c r="B786" i="1"/>
  <c r="A787" i="1"/>
  <c r="B787" i="1"/>
  <c r="A788" i="1"/>
  <c r="B788" i="1"/>
  <c r="A789" i="1"/>
  <c r="B789" i="1"/>
  <c r="A790" i="1"/>
  <c r="B790" i="1"/>
  <c r="A791" i="1"/>
  <c r="B791" i="1"/>
  <c r="A792" i="1"/>
  <c r="B792" i="1"/>
  <c r="A793" i="1"/>
  <c r="B793" i="1"/>
  <c r="A794" i="1"/>
  <c r="B794" i="1"/>
  <c r="A795" i="1"/>
  <c r="B795" i="1"/>
  <c r="A796" i="1"/>
  <c r="B796" i="1"/>
  <c r="A797" i="1"/>
  <c r="B797" i="1"/>
  <c r="A798" i="1"/>
  <c r="B798" i="1"/>
  <c r="A799" i="1"/>
  <c r="B799" i="1"/>
  <c r="A800" i="1"/>
  <c r="B800" i="1"/>
  <c r="A801" i="1"/>
  <c r="B801" i="1"/>
  <c r="A802" i="1"/>
  <c r="B802" i="1"/>
  <c r="A803" i="1"/>
  <c r="B803" i="1"/>
  <c r="A804" i="1"/>
  <c r="B804" i="1"/>
  <c r="A805" i="1"/>
  <c r="B805" i="1"/>
  <c r="A806" i="1"/>
  <c r="B806" i="1"/>
  <c r="A807" i="1"/>
  <c r="B807" i="1"/>
  <c r="A808" i="1"/>
  <c r="B808" i="1"/>
  <c r="A809" i="1"/>
  <c r="B809" i="1"/>
  <c r="A810" i="1"/>
  <c r="B810" i="1"/>
  <c r="A811" i="1"/>
  <c r="B811" i="1"/>
  <c r="A812" i="1"/>
  <c r="B812" i="1"/>
  <c r="A813" i="1"/>
  <c r="B813" i="1"/>
  <c r="A814" i="1"/>
  <c r="B814" i="1"/>
  <c r="A815" i="1"/>
  <c r="B815" i="1"/>
  <c r="A816" i="1"/>
  <c r="B816" i="1"/>
  <c r="A817" i="1"/>
  <c r="B817" i="1"/>
  <c r="A818" i="1"/>
  <c r="B818" i="1"/>
  <c r="A819" i="1"/>
  <c r="B819" i="1"/>
  <c r="A820" i="1"/>
  <c r="B820" i="1"/>
  <c r="A821" i="1"/>
  <c r="B821" i="1"/>
  <c r="A822" i="1"/>
  <c r="B822" i="1"/>
  <c r="A823" i="1"/>
  <c r="B823" i="1"/>
  <c r="A824" i="1"/>
  <c r="B824" i="1"/>
  <c r="A825" i="1"/>
  <c r="B825" i="1"/>
  <c r="A826" i="1"/>
  <c r="B826" i="1"/>
  <c r="A827" i="1"/>
  <c r="B827" i="1"/>
  <c r="A828" i="1"/>
  <c r="B828" i="1"/>
  <c r="A829" i="1"/>
  <c r="B829" i="1"/>
  <c r="A830" i="1"/>
  <c r="B830" i="1"/>
  <c r="A831" i="1"/>
  <c r="B831" i="1"/>
  <c r="A832" i="1"/>
  <c r="B832" i="1"/>
  <c r="A833" i="1"/>
  <c r="B833" i="1"/>
  <c r="A834" i="1"/>
  <c r="B834" i="1"/>
  <c r="A835" i="1"/>
  <c r="B835" i="1"/>
  <c r="A836" i="1"/>
  <c r="B836" i="1"/>
  <c r="A837" i="1"/>
  <c r="B837" i="1"/>
  <c r="A838" i="1"/>
  <c r="B838" i="1"/>
  <c r="A839" i="1"/>
  <c r="B839" i="1"/>
  <c r="A840" i="1"/>
  <c r="B840" i="1"/>
  <c r="A841" i="1"/>
  <c r="B841" i="1"/>
  <c r="A842" i="1"/>
  <c r="B842" i="1"/>
  <c r="A843" i="1"/>
  <c r="B843" i="1"/>
  <c r="A844" i="1"/>
  <c r="B844" i="1"/>
  <c r="A845" i="1"/>
  <c r="B845" i="1"/>
  <c r="A846" i="1"/>
  <c r="B846" i="1"/>
  <c r="A847" i="1"/>
  <c r="B847" i="1"/>
  <c r="A848" i="1"/>
  <c r="B848" i="1"/>
  <c r="A849" i="1"/>
  <c r="B849" i="1"/>
  <c r="A850" i="1"/>
  <c r="B850" i="1"/>
  <c r="A851" i="1"/>
  <c r="B851" i="1"/>
  <c r="A852" i="1"/>
  <c r="B852" i="1"/>
  <c r="A853" i="1"/>
  <c r="B853" i="1"/>
  <c r="A854" i="1"/>
  <c r="B854" i="1"/>
  <c r="A855" i="1"/>
  <c r="B855" i="1"/>
  <c r="A856" i="1"/>
  <c r="B856" i="1"/>
  <c r="A857" i="1"/>
  <c r="B857" i="1"/>
  <c r="A858" i="1"/>
  <c r="B858" i="1"/>
  <c r="A859" i="1"/>
  <c r="B859" i="1"/>
  <c r="A860" i="1"/>
  <c r="B860" i="1"/>
  <c r="A861" i="1"/>
  <c r="B861" i="1"/>
  <c r="A862" i="1"/>
  <c r="B862" i="1"/>
  <c r="A863" i="1"/>
  <c r="B863" i="1"/>
  <c r="A864" i="1"/>
  <c r="B864" i="1"/>
  <c r="A865" i="1"/>
  <c r="B865" i="1"/>
  <c r="A866" i="1"/>
  <c r="B866" i="1"/>
  <c r="A867" i="1"/>
  <c r="B867" i="1"/>
  <c r="A868" i="1"/>
  <c r="B868" i="1"/>
  <c r="A869" i="1"/>
  <c r="B869" i="1"/>
  <c r="A870" i="1"/>
  <c r="B870" i="1"/>
  <c r="A871" i="1"/>
  <c r="B871" i="1"/>
  <c r="A872" i="1"/>
  <c r="B872" i="1"/>
  <c r="A873" i="1"/>
  <c r="B873" i="1"/>
  <c r="A874" i="1"/>
  <c r="B874" i="1"/>
  <c r="A875" i="1"/>
  <c r="B875" i="1"/>
  <c r="A876" i="1"/>
  <c r="B876" i="1"/>
  <c r="A877" i="1"/>
  <c r="B877" i="1"/>
  <c r="A878" i="1"/>
  <c r="B878" i="1"/>
  <c r="A879" i="1"/>
  <c r="B879" i="1"/>
  <c r="A880" i="1"/>
  <c r="B880" i="1"/>
  <c r="A881" i="1"/>
  <c r="B881" i="1"/>
  <c r="A882" i="1"/>
  <c r="B882" i="1"/>
  <c r="A883" i="1"/>
  <c r="B883" i="1"/>
  <c r="A884" i="1"/>
  <c r="B884" i="1"/>
  <c r="A885" i="1"/>
  <c r="B885" i="1"/>
  <c r="A886" i="1"/>
  <c r="B886" i="1"/>
  <c r="A887" i="1"/>
  <c r="B887" i="1"/>
  <c r="A888" i="1"/>
  <c r="B888" i="1"/>
  <c r="A889" i="1"/>
  <c r="B889" i="1"/>
  <c r="A890" i="1"/>
  <c r="B890" i="1"/>
  <c r="A891" i="1"/>
  <c r="B891" i="1"/>
  <c r="A892" i="1"/>
  <c r="B892" i="1"/>
  <c r="A893" i="1"/>
  <c r="B893" i="1"/>
  <c r="A894" i="1"/>
  <c r="B894" i="1"/>
  <c r="A895" i="1"/>
  <c r="B895" i="1"/>
  <c r="A896" i="1"/>
  <c r="B896" i="1"/>
  <c r="A897" i="1"/>
  <c r="B897" i="1"/>
  <c r="A898" i="1"/>
  <c r="B898" i="1"/>
  <c r="A899" i="1"/>
  <c r="B899" i="1"/>
  <c r="A900" i="1"/>
  <c r="B900" i="1"/>
  <c r="A901" i="1"/>
  <c r="B901" i="1"/>
  <c r="A902" i="1"/>
  <c r="B902" i="1"/>
  <c r="A903" i="1"/>
  <c r="B903" i="1"/>
  <c r="A904" i="1"/>
  <c r="B904" i="1"/>
  <c r="A905" i="1"/>
  <c r="B905" i="1"/>
  <c r="A906" i="1"/>
  <c r="B906" i="1"/>
  <c r="A907" i="1"/>
  <c r="B907" i="1"/>
  <c r="A908" i="1"/>
  <c r="B908" i="1"/>
  <c r="A909" i="1"/>
  <c r="B909" i="1"/>
  <c r="A910" i="1"/>
  <c r="B910" i="1"/>
  <c r="A911" i="1"/>
  <c r="B911" i="1"/>
  <c r="A912" i="1"/>
  <c r="B912" i="1"/>
  <c r="A913" i="1"/>
  <c r="B913" i="1"/>
  <c r="A914" i="1"/>
  <c r="B914" i="1"/>
  <c r="A915" i="1"/>
  <c r="B915" i="1"/>
  <c r="A916" i="1"/>
  <c r="B916" i="1"/>
  <c r="A917" i="1"/>
  <c r="B917" i="1"/>
  <c r="A918" i="1"/>
  <c r="B918" i="1"/>
  <c r="A919" i="1"/>
  <c r="B919" i="1"/>
  <c r="A920" i="1"/>
  <c r="B920" i="1"/>
  <c r="A921" i="1"/>
  <c r="B921" i="1"/>
  <c r="A922" i="1"/>
  <c r="B922" i="1"/>
  <c r="A923" i="1"/>
  <c r="B923" i="1"/>
  <c r="A924" i="1"/>
  <c r="B924" i="1"/>
  <c r="A925" i="1"/>
  <c r="B925" i="1"/>
  <c r="A926" i="1"/>
  <c r="B926" i="1"/>
  <c r="A927" i="1"/>
  <c r="B927" i="1"/>
  <c r="A928" i="1"/>
  <c r="B928" i="1"/>
  <c r="A929" i="1"/>
  <c r="B929" i="1"/>
  <c r="A930" i="1"/>
  <c r="B930" i="1"/>
  <c r="A931" i="1"/>
  <c r="B931" i="1"/>
  <c r="A932" i="1"/>
  <c r="B932" i="1"/>
  <c r="A933" i="1"/>
  <c r="B933" i="1"/>
  <c r="A934" i="1"/>
  <c r="B934" i="1"/>
  <c r="A935" i="1"/>
  <c r="B935" i="1"/>
  <c r="A936" i="1"/>
  <c r="B936" i="1"/>
  <c r="A937" i="1"/>
  <c r="B937" i="1"/>
  <c r="A938" i="1"/>
  <c r="B938" i="1"/>
  <c r="A939" i="1"/>
  <c r="B939" i="1"/>
  <c r="A940" i="1"/>
  <c r="B940" i="1"/>
  <c r="A941" i="1"/>
  <c r="B941" i="1"/>
  <c r="A942" i="1"/>
  <c r="B942" i="1"/>
  <c r="A943" i="1"/>
  <c r="B943" i="1"/>
  <c r="A944" i="1"/>
  <c r="B944" i="1"/>
  <c r="A945" i="1"/>
  <c r="B945" i="1"/>
  <c r="A946" i="1"/>
  <c r="B946" i="1"/>
  <c r="A947" i="1"/>
  <c r="B947" i="1"/>
  <c r="A948" i="1"/>
  <c r="B948" i="1"/>
  <c r="A949" i="1"/>
  <c r="B949" i="1"/>
  <c r="A950" i="1"/>
  <c r="B950" i="1"/>
  <c r="A951" i="1"/>
  <c r="B951" i="1"/>
  <c r="A952" i="1"/>
  <c r="B952" i="1"/>
  <c r="A953" i="1"/>
  <c r="B953" i="1"/>
  <c r="A954" i="1"/>
  <c r="B954" i="1"/>
  <c r="A955" i="1"/>
  <c r="B955" i="1"/>
  <c r="A956" i="1"/>
  <c r="B956" i="1"/>
  <c r="A957" i="1"/>
  <c r="B957" i="1"/>
  <c r="A958" i="1"/>
  <c r="B958" i="1"/>
  <c r="A959" i="1"/>
  <c r="B959" i="1"/>
  <c r="A960" i="1"/>
  <c r="B960" i="1"/>
  <c r="A961" i="1"/>
  <c r="B961" i="1"/>
  <c r="A962" i="1"/>
  <c r="B962" i="1"/>
  <c r="A963" i="1"/>
  <c r="B963" i="1"/>
  <c r="A964" i="1"/>
  <c r="B964" i="1"/>
  <c r="A965" i="1"/>
  <c r="B965" i="1"/>
  <c r="A966" i="1"/>
  <c r="B966" i="1"/>
  <c r="A967" i="1"/>
  <c r="B967" i="1"/>
  <c r="A968" i="1"/>
  <c r="B968" i="1"/>
  <c r="A969" i="1"/>
  <c r="B969" i="1"/>
  <c r="A970" i="1"/>
  <c r="B970" i="1"/>
  <c r="A971" i="1"/>
  <c r="B971" i="1"/>
  <c r="A972" i="1"/>
  <c r="B972" i="1"/>
  <c r="A973" i="1"/>
  <c r="B973" i="1"/>
  <c r="A974" i="1"/>
  <c r="B974" i="1"/>
  <c r="A975" i="1"/>
  <c r="B975" i="1"/>
  <c r="A976" i="1"/>
  <c r="B976" i="1"/>
  <c r="A977" i="1"/>
  <c r="B977" i="1"/>
  <c r="A978" i="1"/>
  <c r="B978" i="1"/>
  <c r="A979" i="1"/>
  <c r="B979" i="1"/>
  <c r="A980" i="1"/>
  <c r="B980" i="1"/>
  <c r="A981" i="1"/>
  <c r="B981" i="1"/>
  <c r="A982" i="1"/>
  <c r="B982" i="1"/>
  <c r="A983" i="1"/>
  <c r="B983" i="1"/>
  <c r="A984" i="1"/>
  <c r="B984" i="1"/>
  <c r="A985" i="1"/>
  <c r="B985" i="1"/>
  <c r="A986" i="1"/>
  <c r="B986" i="1"/>
  <c r="A987" i="1"/>
  <c r="B987" i="1"/>
  <c r="A988" i="1"/>
  <c r="B988" i="1"/>
  <c r="A989" i="1"/>
  <c r="B989" i="1"/>
  <c r="A990" i="1"/>
  <c r="B990" i="1"/>
  <c r="A991" i="1"/>
  <c r="B991" i="1"/>
  <c r="A992" i="1"/>
  <c r="B992" i="1"/>
  <c r="A993" i="1"/>
  <c r="B993" i="1"/>
  <c r="A994" i="1"/>
  <c r="B994" i="1"/>
  <c r="A995" i="1"/>
  <c r="B995" i="1"/>
  <c r="A996" i="1"/>
  <c r="B996" i="1"/>
  <c r="A997" i="1"/>
  <c r="B997" i="1"/>
  <c r="A998" i="1"/>
  <c r="B998" i="1"/>
  <c r="A999" i="1"/>
  <c r="B999" i="1"/>
  <c r="A1000" i="1"/>
  <c r="B1000" i="1"/>
  <c r="A1001" i="1"/>
  <c r="B1001" i="1"/>
  <c r="A1002" i="1"/>
  <c r="B1002" i="1"/>
  <c r="A1003" i="1"/>
  <c r="B1003" i="1"/>
  <c r="A1004" i="1"/>
  <c r="B1004" i="1"/>
  <c r="A1005" i="1"/>
  <c r="B1005" i="1"/>
  <c r="A1006" i="1"/>
  <c r="B1006" i="1"/>
  <c r="A1007" i="1"/>
  <c r="B1007" i="1"/>
  <c r="A1008" i="1"/>
  <c r="B1008" i="1"/>
  <c r="A1009" i="1"/>
  <c r="B1009" i="1"/>
  <c r="A1010" i="1"/>
  <c r="B1010" i="1"/>
  <c r="A1011" i="1"/>
  <c r="B1011" i="1"/>
  <c r="A1012" i="1"/>
  <c r="B1012" i="1"/>
  <c r="A1013" i="1"/>
  <c r="B1013" i="1"/>
  <c r="A1014" i="1"/>
  <c r="B1014" i="1"/>
  <c r="A1015" i="1"/>
  <c r="B1015" i="1"/>
  <c r="A1016" i="1"/>
  <c r="B1016" i="1"/>
  <c r="A1017" i="1"/>
  <c r="B1017" i="1"/>
  <c r="A1018" i="1"/>
  <c r="B1018" i="1"/>
  <c r="A1019" i="1"/>
  <c r="B1019" i="1"/>
  <c r="A1020" i="1"/>
  <c r="B1020" i="1"/>
  <c r="A1021" i="1"/>
  <c r="B1021" i="1"/>
  <c r="A1022" i="1"/>
  <c r="B1022" i="1"/>
  <c r="A1023" i="1"/>
  <c r="B1023" i="1"/>
  <c r="A1024" i="1"/>
  <c r="B1024" i="1"/>
  <c r="A1025" i="1"/>
  <c r="B1025" i="1"/>
  <c r="A1026" i="1"/>
  <c r="B1026" i="1"/>
  <c r="A1027" i="1"/>
  <c r="B1027" i="1"/>
  <c r="A1028" i="1"/>
  <c r="B1028" i="1"/>
  <c r="A1029" i="1"/>
  <c r="B1029" i="1"/>
  <c r="A1030" i="1"/>
  <c r="B1030" i="1"/>
  <c r="A1031" i="1"/>
  <c r="B1031" i="1"/>
  <c r="A1032" i="1"/>
  <c r="B1032" i="1"/>
  <c r="A1033" i="1"/>
  <c r="B1033" i="1"/>
  <c r="A1034" i="1"/>
  <c r="B1034" i="1"/>
  <c r="A1035" i="1"/>
  <c r="B1035" i="1"/>
  <c r="A1036" i="1"/>
  <c r="B1036" i="1"/>
  <c r="A1037" i="1"/>
  <c r="B1037" i="1"/>
  <c r="A1038" i="1"/>
  <c r="B1038" i="1"/>
  <c r="A1039" i="1"/>
  <c r="B1039" i="1"/>
  <c r="A1040" i="1"/>
  <c r="B1040" i="1"/>
  <c r="A1041" i="1"/>
  <c r="B1041" i="1"/>
  <c r="A1042" i="1"/>
  <c r="B1042" i="1"/>
  <c r="A1043" i="1"/>
  <c r="B1043" i="1"/>
  <c r="A1044" i="1"/>
  <c r="B1044" i="1"/>
  <c r="A1045" i="1"/>
  <c r="B1045" i="1"/>
  <c r="A1046" i="1"/>
  <c r="B1046" i="1"/>
  <c r="A1047" i="1"/>
  <c r="B1047" i="1"/>
  <c r="A1048" i="1"/>
  <c r="B1048" i="1"/>
  <c r="A1049" i="1"/>
  <c r="B1049" i="1"/>
  <c r="A1050" i="1"/>
  <c r="B1050" i="1"/>
  <c r="A1051" i="1"/>
  <c r="B1051" i="1"/>
  <c r="A1052" i="1"/>
  <c r="B1052" i="1"/>
  <c r="A1053" i="1"/>
  <c r="B1053" i="1"/>
  <c r="A1054" i="1"/>
  <c r="B1054" i="1"/>
  <c r="A1055" i="1"/>
  <c r="B1055" i="1"/>
  <c r="A1056" i="1"/>
  <c r="B1056" i="1"/>
  <c r="A1057" i="1"/>
  <c r="B1057" i="1"/>
  <c r="A1058" i="1"/>
  <c r="B1058" i="1"/>
  <c r="A1059" i="1"/>
  <c r="B1059" i="1"/>
  <c r="A1060" i="1"/>
  <c r="B1060" i="1"/>
  <c r="A1061" i="1"/>
  <c r="B1061" i="1"/>
  <c r="A1062" i="1"/>
  <c r="B1062" i="1"/>
  <c r="A1063" i="1"/>
  <c r="B1063" i="1"/>
  <c r="A1064" i="1"/>
  <c r="B1064" i="1"/>
  <c r="A1065" i="1"/>
  <c r="B1065" i="1"/>
  <c r="A1066" i="1"/>
  <c r="B1066" i="1"/>
  <c r="A1067" i="1"/>
  <c r="B1067" i="1"/>
  <c r="A1068" i="1"/>
  <c r="B1068" i="1"/>
  <c r="A1069" i="1"/>
  <c r="B1069" i="1"/>
  <c r="A1070" i="1"/>
  <c r="B1070" i="1"/>
  <c r="A1071" i="1"/>
  <c r="B1071" i="1"/>
  <c r="A1072" i="1"/>
  <c r="B1072" i="1"/>
  <c r="A1073" i="1"/>
  <c r="B1073" i="1"/>
  <c r="A1074" i="1"/>
  <c r="B1074" i="1"/>
  <c r="A1075" i="1"/>
  <c r="B1075" i="1"/>
  <c r="A1076" i="1"/>
  <c r="B1076" i="1"/>
  <c r="A1077" i="1"/>
  <c r="B1077" i="1"/>
  <c r="A1078" i="1"/>
  <c r="B1078" i="1"/>
  <c r="A1079" i="1"/>
  <c r="B1079" i="1"/>
  <c r="A1080" i="1"/>
  <c r="B1080" i="1"/>
  <c r="A1081" i="1"/>
  <c r="B1081" i="1"/>
  <c r="A1082" i="1"/>
  <c r="B1082" i="1"/>
  <c r="A1083" i="1"/>
  <c r="B1083" i="1"/>
  <c r="A1084" i="1"/>
  <c r="B1084" i="1"/>
  <c r="A1085" i="1"/>
  <c r="B1085" i="1"/>
  <c r="A1086" i="1"/>
  <c r="B1086" i="1"/>
  <c r="A1087" i="1"/>
  <c r="B1087" i="1"/>
  <c r="A1088" i="1"/>
  <c r="B1088" i="1"/>
  <c r="A1089" i="1"/>
  <c r="B1089" i="1"/>
  <c r="A1090" i="1"/>
  <c r="B1090" i="1"/>
  <c r="A1091" i="1"/>
  <c r="B1091" i="1"/>
  <c r="A1092" i="1"/>
  <c r="B1092" i="1"/>
  <c r="A1093" i="1"/>
  <c r="B1093" i="1"/>
  <c r="A1094" i="1"/>
  <c r="B1094" i="1"/>
  <c r="A1095" i="1"/>
  <c r="B1095" i="1"/>
  <c r="A1096" i="1"/>
  <c r="B1096" i="1"/>
  <c r="A1097" i="1"/>
  <c r="B1097" i="1"/>
  <c r="A1098" i="1"/>
  <c r="B1098" i="1"/>
  <c r="A1099" i="1"/>
  <c r="B1099" i="1"/>
  <c r="A1100" i="1"/>
  <c r="B1100" i="1"/>
  <c r="A1101" i="1"/>
  <c r="B1101" i="1"/>
  <c r="A1102" i="1"/>
  <c r="B1102" i="1"/>
  <c r="A1103" i="1"/>
  <c r="B1103" i="1"/>
  <c r="A1104" i="1"/>
  <c r="B1104" i="1"/>
  <c r="A1105" i="1"/>
  <c r="B1105" i="1"/>
  <c r="A1106" i="1"/>
  <c r="B1106" i="1"/>
  <c r="A1107" i="1"/>
  <c r="B1107" i="1"/>
  <c r="A1108" i="1"/>
  <c r="B1108" i="1"/>
  <c r="A1109" i="1"/>
  <c r="B1109" i="1"/>
  <c r="A1110" i="1"/>
  <c r="B1110" i="1"/>
  <c r="A1111" i="1"/>
  <c r="B1111" i="1"/>
  <c r="A1112" i="1"/>
  <c r="B1112" i="1"/>
  <c r="A1113" i="1"/>
  <c r="B1113" i="1"/>
  <c r="A1114" i="1"/>
  <c r="B1114" i="1"/>
  <c r="A1115" i="1"/>
  <c r="B1115" i="1"/>
  <c r="A1116" i="1"/>
  <c r="B1116" i="1"/>
  <c r="A1117" i="1"/>
  <c r="B1117" i="1"/>
  <c r="A1118" i="1"/>
  <c r="B1118" i="1"/>
  <c r="A1119" i="1"/>
  <c r="B1119" i="1"/>
  <c r="A1120" i="1"/>
  <c r="B1120" i="1"/>
  <c r="A1121" i="1"/>
  <c r="B1121" i="1"/>
  <c r="A1122" i="1"/>
  <c r="B1122" i="1"/>
  <c r="A1123" i="1"/>
  <c r="B1123" i="1"/>
  <c r="A1124" i="1"/>
  <c r="B1124" i="1"/>
  <c r="A1125" i="1"/>
  <c r="B1125" i="1"/>
  <c r="A1126" i="1"/>
  <c r="B1126" i="1"/>
  <c r="A1127" i="1"/>
  <c r="B1127" i="1"/>
  <c r="A1128" i="1"/>
  <c r="B1128" i="1"/>
  <c r="A1129" i="1"/>
  <c r="B1129" i="1"/>
  <c r="A1130" i="1"/>
  <c r="B1130" i="1"/>
  <c r="A1131" i="1"/>
  <c r="B1131" i="1"/>
  <c r="A1132" i="1"/>
  <c r="B1132" i="1"/>
  <c r="A1133" i="1"/>
  <c r="B1133" i="1"/>
  <c r="A1134" i="1"/>
  <c r="B1134" i="1"/>
  <c r="A1135" i="1"/>
  <c r="B1135" i="1"/>
  <c r="A1136" i="1"/>
  <c r="B1136" i="1"/>
  <c r="A1137" i="1"/>
  <c r="B1137" i="1"/>
  <c r="A1138" i="1"/>
  <c r="B1138" i="1"/>
  <c r="A1139" i="1"/>
  <c r="B1139" i="1"/>
  <c r="A1140" i="1"/>
  <c r="B1140" i="1"/>
  <c r="A1141" i="1"/>
  <c r="B1141" i="1"/>
  <c r="A1142" i="1"/>
  <c r="B1142" i="1"/>
  <c r="A1143" i="1"/>
  <c r="B1143" i="1"/>
  <c r="A1144" i="1"/>
  <c r="B1144" i="1"/>
  <c r="A1145" i="1"/>
  <c r="B1145" i="1"/>
  <c r="A1146" i="1"/>
  <c r="B1146" i="1"/>
  <c r="A1147" i="1"/>
  <c r="B1147" i="1"/>
  <c r="A1148" i="1"/>
  <c r="B1148" i="1"/>
  <c r="A1149" i="1"/>
  <c r="B1149" i="1"/>
  <c r="A1150" i="1"/>
  <c r="B1150" i="1"/>
  <c r="A1151" i="1"/>
  <c r="B1151" i="1"/>
  <c r="A1152" i="1"/>
  <c r="B1152" i="1"/>
  <c r="A1153" i="1"/>
  <c r="B1153" i="1"/>
  <c r="A1154" i="1"/>
  <c r="B1154" i="1"/>
  <c r="A1155" i="1"/>
  <c r="B1155" i="1"/>
  <c r="A1156" i="1"/>
  <c r="B1156" i="1"/>
  <c r="A1157" i="1"/>
  <c r="B1157" i="1"/>
  <c r="A1158" i="1"/>
  <c r="B1158" i="1"/>
  <c r="A1159" i="1"/>
  <c r="B1159" i="1"/>
  <c r="A1160" i="1"/>
  <c r="B1160" i="1"/>
  <c r="A1161" i="1"/>
  <c r="B1161" i="1"/>
  <c r="A1162" i="1"/>
  <c r="B1162" i="1"/>
  <c r="A1163" i="1"/>
  <c r="B1163" i="1"/>
  <c r="A1164" i="1"/>
  <c r="B1164" i="1"/>
  <c r="A1165" i="1"/>
  <c r="B1165" i="1"/>
  <c r="A1166" i="1"/>
  <c r="B1166" i="1"/>
  <c r="A1167" i="1"/>
  <c r="B1167" i="1"/>
  <c r="A1168" i="1"/>
  <c r="B1168" i="1"/>
  <c r="A1169" i="1"/>
  <c r="B1169" i="1"/>
  <c r="A1170" i="1"/>
  <c r="B1170" i="1"/>
  <c r="A1171" i="1"/>
  <c r="B1171" i="1"/>
  <c r="A1172" i="1"/>
  <c r="B1172" i="1"/>
  <c r="A1173" i="1"/>
  <c r="B1173" i="1"/>
  <c r="A1174" i="1"/>
  <c r="B1174" i="1"/>
  <c r="A1175" i="1"/>
  <c r="B1175" i="1"/>
  <c r="A1176" i="1"/>
  <c r="B1176" i="1"/>
  <c r="A1177" i="1"/>
  <c r="B1177" i="1"/>
  <c r="A1178" i="1"/>
  <c r="B1178" i="1"/>
  <c r="A1179" i="1"/>
  <c r="B1179" i="1"/>
  <c r="A1180" i="1"/>
  <c r="B1180" i="1"/>
  <c r="A1181" i="1"/>
  <c r="B1181" i="1"/>
  <c r="A1182" i="1"/>
  <c r="B1182" i="1"/>
  <c r="A1183" i="1"/>
  <c r="B1183" i="1"/>
  <c r="A1184" i="1"/>
  <c r="B1184" i="1"/>
  <c r="A1185" i="1"/>
  <c r="B1185" i="1"/>
  <c r="A1186" i="1"/>
  <c r="B1186" i="1"/>
  <c r="A1187" i="1"/>
  <c r="B1187" i="1"/>
  <c r="A1188" i="1"/>
  <c r="B1188" i="1"/>
  <c r="A1189" i="1"/>
  <c r="B1189" i="1"/>
  <c r="A1190" i="1"/>
  <c r="B1190" i="1"/>
  <c r="A1191" i="1"/>
  <c r="B1191" i="1"/>
  <c r="A1192" i="1"/>
  <c r="B1192" i="1"/>
  <c r="A1193" i="1"/>
  <c r="B1193" i="1"/>
  <c r="A1194" i="1"/>
  <c r="B1194" i="1"/>
  <c r="A1195" i="1"/>
  <c r="B1195" i="1"/>
  <c r="A1196" i="1"/>
  <c r="B1196" i="1"/>
  <c r="A1197" i="1"/>
  <c r="B1197" i="1"/>
  <c r="A1198" i="1"/>
  <c r="B1198" i="1"/>
  <c r="A1199" i="1"/>
  <c r="B1199" i="1"/>
  <c r="A1200" i="1"/>
  <c r="B1200" i="1"/>
  <c r="A1201" i="1"/>
  <c r="B1201" i="1"/>
  <c r="A1202" i="1"/>
  <c r="B1202" i="1"/>
  <c r="A1203" i="1"/>
  <c r="B1203" i="1"/>
  <c r="A1204" i="1"/>
  <c r="B1204" i="1"/>
  <c r="A1205" i="1"/>
  <c r="B1205" i="1"/>
  <c r="A1206" i="1"/>
  <c r="B1206" i="1"/>
  <c r="A1207" i="1"/>
  <c r="B1207" i="1"/>
  <c r="A1208" i="1"/>
  <c r="B1208" i="1"/>
  <c r="A1209" i="1"/>
  <c r="B1209" i="1"/>
  <c r="A1210" i="1"/>
  <c r="B1210" i="1"/>
  <c r="A1211" i="1"/>
  <c r="B1211" i="1"/>
  <c r="A1212" i="1"/>
  <c r="B1212" i="1"/>
  <c r="A1213" i="1"/>
  <c r="B1213" i="1"/>
  <c r="A1214" i="1"/>
  <c r="B1214" i="1"/>
  <c r="A1215" i="1"/>
  <c r="B1215" i="1"/>
  <c r="A1216" i="1"/>
  <c r="B1216" i="1"/>
  <c r="A1217" i="1"/>
  <c r="B1217" i="1"/>
  <c r="A1218" i="1"/>
  <c r="B1218" i="1"/>
  <c r="A1219" i="1"/>
  <c r="B1219" i="1"/>
  <c r="A1220" i="1"/>
  <c r="B1220" i="1"/>
  <c r="A1221" i="1"/>
  <c r="B1221" i="1"/>
  <c r="A1222" i="1"/>
  <c r="B1222" i="1"/>
  <c r="A1223" i="1"/>
  <c r="B1223" i="1"/>
  <c r="A1224" i="1"/>
  <c r="B1224" i="1"/>
  <c r="A1225" i="1"/>
  <c r="B1225" i="1"/>
  <c r="A1226" i="1"/>
  <c r="B1226" i="1"/>
  <c r="A1227" i="1"/>
  <c r="B1227" i="1"/>
  <c r="A1228" i="1"/>
  <c r="B1228" i="1"/>
  <c r="A1229" i="1"/>
  <c r="B1229" i="1"/>
  <c r="A1230" i="1"/>
  <c r="B1230" i="1"/>
  <c r="A1231" i="1"/>
  <c r="B1231" i="1"/>
  <c r="A1232" i="1"/>
  <c r="B1232" i="1"/>
  <c r="A1233" i="1"/>
  <c r="B1233" i="1"/>
  <c r="A1234" i="1"/>
  <c r="B1234" i="1"/>
  <c r="A1235" i="1"/>
  <c r="B1235" i="1"/>
  <c r="A1236" i="1"/>
  <c r="B1236" i="1"/>
  <c r="A1237" i="1"/>
  <c r="B1237" i="1"/>
  <c r="A1238" i="1"/>
  <c r="B1238" i="1"/>
  <c r="A1239" i="1"/>
  <c r="B1239" i="1"/>
  <c r="A1240" i="1"/>
  <c r="B1240" i="1"/>
  <c r="A1241" i="1"/>
  <c r="B1241" i="1"/>
  <c r="A1242" i="1"/>
  <c r="B1242" i="1"/>
  <c r="A1243" i="1"/>
  <c r="B1243" i="1"/>
  <c r="A1244" i="1"/>
  <c r="B1244" i="1"/>
  <c r="A1245" i="1"/>
  <c r="B1245" i="1"/>
  <c r="A1246" i="1"/>
  <c r="B1246" i="1"/>
  <c r="A1247" i="1"/>
  <c r="B1247" i="1"/>
  <c r="A1248" i="1"/>
  <c r="B1248" i="1"/>
  <c r="A1249" i="1"/>
  <c r="B1249" i="1"/>
  <c r="A1250" i="1"/>
  <c r="B1250" i="1"/>
  <c r="A1251" i="1"/>
  <c r="B1251" i="1"/>
  <c r="A1252" i="1"/>
  <c r="B1252" i="1"/>
  <c r="A1253" i="1"/>
  <c r="B1253" i="1"/>
  <c r="A1254" i="1"/>
  <c r="B1254" i="1"/>
  <c r="A1255" i="1"/>
  <c r="B1255" i="1"/>
  <c r="A1256" i="1"/>
  <c r="B1256" i="1"/>
  <c r="A1257" i="1"/>
  <c r="B1257" i="1"/>
  <c r="A1258" i="1"/>
  <c r="B1258" i="1"/>
  <c r="A1259" i="1"/>
  <c r="B1259" i="1"/>
  <c r="A1260" i="1"/>
  <c r="B1260" i="1"/>
  <c r="A1261" i="1"/>
  <c r="B1261" i="1"/>
  <c r="A1262" i="1"/>
  <c r="B1262" i="1"/>
  <c r="A1263" i="1"/>
  <c r="B1263" i="1"/>
  <c r="A1264" i="1"/>
  <c r="B1264" i="1"/>
  <c r="A1265" i="1"/>
  <c r="B1265" i="1"/>
  <c r="A1266" i="1"/>
  <c r="B1266" i="1"/>
  <c r="A1267" i="1"/>
  <c r="B1267" i="1"/>
  <c r="A1268" i="1"/>
  <c r="B1268" i="1"/>
  <c r="A1269" i="1"/>
  <c r="B1269" i="1"/>
  <c r="A1270" i="1"/>
  <c r="B1270" i="1"/>
  <c r="A1271" i="1"/>
  <c r="B1271" i="1"/>
  <c r="A1272" i="1"/>
  <c r="B1272" i="1"/>
  <c r="A1273" i="1"/>
  <c r="B1273" i="1"/>
  <c r="A1274" i="1"/>
  <c r="B1274" i="1"/>
  <c r="A1275" i="1"/>
  <c r="B1275" i="1"/>
  <c r="A1276" i="1"/>
  <c r="B1276" i="1"/>
  <c r="A1277" i="1"/>
  <c r="B1277" i="1"/>
  <c r="A1278" i="1"/>
  <c r="B1278" i="1"/>
  <c r="A1279" i="1"/>
  <c r="B1279" i="1"/>
  <c r="A1280" i="1"/>
  <c r="B1280" i="1"/>
  <c r="A1281" i="1"/>
  <c r="B1281" i="1"/>
  <c r="A1282" i="1"/>
  <c r="B1282" i="1"/>
  <c r="A1283" i="1"/>
  <c r="B1283" i="1"/>
  <c r="A1284" i="1"/>
  <c r="B1284" i="1"/>
  <c r="A1285" i="1"/>
  <c r="B1285" i="1"/>
  <c r="A1286" i="1"/>
  <c r="B1286" i="1"/>
  <c r="A1287" i="1"/>
  <c r="B1287" i="1"/>
  <c r="A1288" i="1"/>
  <c r="B1288" i="1"/>
  <c r="A1289" i="1"/>
  <c r="B1289" i="1"/>
  <c r="A1290" i="1"/>
  <c r="B1290" i="1"/>
  <c r="A1291" i="1"/>
  <c r="B1291" i="1"/>
  <c r="A1292" i="1"/>
  <c r="B1292" i="1"/>
  <c r="A1293" i="1"/>
  <c r="B1293" i="1"/>
  <c r="A1294" i="1"/>
  <c r="B1294" i="1"/>
  <c r="A1295" i="1"/>
  <c r="B1295" i="1"/>
  <c r="A1296" i="1"/>
  <c r="B1296" i="1"/>
  <c r="A1297" i="1"/>
  <c r="B1297" i="1"/>
  <c r="A1298" i="1"/>
  <c r="B1298" i="1"/>
  <c r="A1299" i="1"/>
  <c r="B1299" i="1"/>
  <c r="A1300" i="1"/>
  <c r="B1300" i="1"/>
  <c r="A1301" i="1"/>
  <c r="B1301" i="1"/>
  <c r="A1302" i="1"/>
  <c r="B1302" i="1"/>
  <c r="A1303" i="1"/>
  <c r="B1303" i="1"/>
  <c r="A1304" i="1"/>
  <c r="B1304" i="1"/>
  <c r="A1305" i="1"/>
  <c r="B1305" i="1"/>
  <c r="A1306" i="1"/>
  <c r="B1306" i="1"/>
  <c r="A1307" i="1"/>
  <c r="B1307" i="1"/>
  <c r="A1308" i="1"/>
  <c r="B1308" i="1"/>
  <c r="A1309" i="1"/>
  <c r="B1309" i="1"/>
  <c r="A1310" i="1"/>
  <c r="B1310" i="1"/>
  <c r="A1311" i="1"/>
  <c r="B1311" i="1"/>
  <c r="A1312" i="1"/>
  <c r="B1312" i="1"/>
  <c r="A1313" i="1"/>
  <c r="B1313" i="1"/>
  <c r="A1314" i="1"/>
  <c r="B1314" i="1"/>
  <c r="A1315" i="1"/>
  <c r="B1315" i="1"/>
  <c r="A1316" i="1"/>
  <c r="B1316" i="1"/>
  <c r="A1317" i="1"/>
  <c r="B1317" i="1"/>
  <c r="A1318" i="1"/>
  <c r="B1318" i="1"/>
  <c r="A1319" i="1"/>
  <c r="B1319" i="1"/>
  <c r="A1320" i="1"/>
  <c r="B1320" i="1"/>
  <c r="A1321" i="1"/>
  <c r="B1321" i="1"/>
  <c r="A1322" i="1"/>
  <c r="B1322" i="1"/>
  <c r="A1323" i="1"/>
  <c r="B1323" i="1"/>
  <c r="A1324" i="1"/>
  <c r="B1324" i="1"/>
  <c r="A1325" i="1"/>
  <c r="B1325" i="1"/>
  <c r="A1326" i="1"/>
  <c r="B1326" i="1"/>
  <c r="A1327" i="1"/>
  <c r="B1327" i="1"/>
  <c r="A1328" i="1"/>
  <c r="B1328" i="1"/>
  <c r="A1329" i="1"/>
  <c r="B1329" i="1"/>
  <c r="A1330" i="1"/>
  <c r="B1330" i="1"/>
  <c r="A1331" i="1"/>
  <c r="B1331" i="1"/>
  <c r="A1332" i="1"/>
  <c r="B1332" i="1"/>
  <c r="A1333" i="1"/>
  <c r="B1333" i="1"/>
  <c r="A1334" i="1"/>
  <c r="B1334" i="1"/>
  <c r="A1335" i="1"/>
  <c r="B1335" i="1"/>
  <c r="A1336" i="1"/>
  <c r="B1336" i="1"/>
  <c r="A1337" i="1"/>
  <c r="B1337" i="1"/>
  <c r="A1338" i="1"/>
  <c r="B1338" i="1"/>
  <c r="A1339" i="1"/>
  <c r="B1339" i="1"/>
  <c r="A1340" i="1"/>
  <c r="B1340" i="1"/>
  <c r="A1341" i="1"/>
  <c r="B1341" i="1"/>
  <c r="A1342" i="1"/>
  <c r="B1342" i="1"/>
  <c r="A1343" i="1"/>
  <c r="B1343" i="1"/>
  <c r="A1344" i="1"/>
  <c r="B1344" i="1"/>
  <c r="A1345" i="1"/>
  <c r="B1345" i="1"/>
  <c r="A1346" i="1"/>
  <c r="B1346" i="1"/>
  <c r="A1347" i="1"/>
  <c r="B1347" i="1"/>
  <c r="A1348" i="1"/>
  <c r="B1348" i="1"/>
  <c r="A1349" i="1"/>
  <c r="B1349" i="1"/>
  <c r="A1350" i="1"/>
  <c r="B1350" i="1"/>
  <c r="A1351" i="1"/>
  <c r="B1351" i="1"/>
  <c r="A1352" i="1"/>
  <c r="B1352" i="1"/>
  <c r="A1353" i="1"/>
  <c r="B1353" i="1"/>
  <c r="A1354" i="1"/>
  <c r="B1354" i="1"/>
  <c r="A1355" i="1"/>
  <c r="B1355" i="1"/>
  <c r="A1356" i="1"/>
  <c r="B1356" i="1"/>
  <c r="A1357" i="1"/>
  <c r="B1357" i="1"/>
  <c r="A1358" i="1"/>
  <c r="B1358" i="1"/>
  <c r="A1359" i="1"/>
  <c r="B1359" i="1"/>
  <c r="A1360" i="1"/>
  <c r="B1360" i="1"/>
  <c r="A1361" i="1"/>
  <c r="B1361" i="1"/>
  <c r="A1362" i="1"/>
  <c r="B1362" i="1"/>
  <c r="A1363" i="1"/>
  <c r="B1363" i="1"/>
  <c r="A1364" i="1"/>
  <c r="B1364" i="1"/>
  <c r="A1365" i="1"/>
  <c r="B1365" i="1"/>
  <c r="A1366" i="1"/>
  <c r="B1366" i="1"/>
  <c r="A1367" i="1"/>
  <c r="B1367" i="1"/>
  <c r="A1368" i="1"/>
  <c r="B1368" i="1"/>
  <c r="A1369" i="1"/>
  <c r="B1369" i="1"/>
  <c r="A1370" i="1"/>
  <c r="B1370" i="1"/>
  <c r="A1371" i="1"/>
  <c r="B1371" i="1"/>
  <c r="A1372" i="1"/>
  <c r="B1372" i="1"/>
  <c r="A1373" i="1"/>
  <c r="B1373" i="1"/>
  <c r="A1374" i="1"/>
  <c r="B1374" i="1"/>
  <c r="A1375" i="1"/>
  <c r="B1375" i="1"/>
  <c r="A1376" i="1"/>
  <c r="B1376" i="1"/>
  <c r="A1377" i="1"/>
  <c r="B1377" i="1"/>
  <c r="A1378" i="1"/>
  <c r="B1378" i="1"/>
  <c r="A1379" i="1"/>
  <c r="B1379" i="1"/>
  <c r="A1380" i="1"/>
  <c r="B1380" i="1"/>
  <c r="A1381" i="1"/>
  <c r="B1381" i="1"/>
  <c r="A1382" i="1"/>
  <c r="B1382" i="1"/>
  <c r="A1383" i="1"/>
  <c r="B1383" i="1"/>
  <c r="A1384" i="1"/>
  <c r="B1384" i="1"/>
  <c r="A1385" i="1"/>
  <c r="B1385" i="1"/>
  <c r="A1386" i="1"/>
  <c r="B1386" i="1"/>
  <c r="A1387" i="1"/>
  <c r="B1387" i="1"/>
  <c r="A1388" i="1"/>
  <c r="B1388" i="1"/>
  <c r="A1389" i="1"/>
  <c r="B1389" i="1"/>
  <c r="A1390" i="1"/>
  <c r="B1390" i="1"/>
  <c r="A1391" i="1"/>
  <c r="B1391" i="1"/>
  <c r="A1392" i="1"/>
  <c r="B1392" i="1"/>
  <c r="A1393" i="1"/>
  <c r="B1393" i="1"/>
  <c r="A1394" i="1"/>
  <c r="B1394" i="1"/>
  <c r="A1395" i="1"/>
  <c r="B1395" i="1"/>
  <c r="A1396" i="1"/>
  <c r="B1396" i="1"/>
  <c r="A1397" i="1"/>
  <c r="B1397" i="1"/>
  <c r="A1398" i="1"/>
  <c r="B1398" i="1"/>
  <c r="A1399" i="1"/>
  <c r="B1399" i="1"/>
  <c r="A1400" i="1"/>
  <c r="B1400" i="1"/>
  <c r="A1401" i="1"/>
  <c r="B1401" i="1"/>
  <c r="A1402" i="1"/>
  <c r="B1402" i="1"/>
  <c r="A1403" i="1"/>
  <c r="B1403" i="1"/>
  <c r="A1404" i="1"/>
  <c r="B1404" i="1"/>
  <c r="A1405" i="1"/>
  <c r="B1405" i="1"/>
  <c r="A1406" i="1"/>
  <c r="B1406" i="1"/>
  <c r="A1407" i="1"/>
  <c r="B1407" i="1"/>
  <c r="A1408" i="1"/>
  <c r="B1408" i="1"/>
  <c r="A1409" i="1"/>
  <c r="B1409" i="1"/>
  <c r="A1410" i="1"/>
  <c r="B1410" i="1"/>
  <c r="A1411" i="1"/>
  <c r="B1411" i="1"/>
  <c r="A1412" i="1"/>
  <c r="B1412" i="1"/>
  <c r="A1413" i="1"/>
  <c r="B1413" i="1"/>
  <c r="A1414" i="1"/>
  <c r="B1414" i="1"/>
  <c r="A1415" i="1"/>
  <c r="B1415" i="1"/>
  <c r="A1416" i="1"/>
  <c r="B1416" i="1"/>
  <c r="A1417" i="1"/>
  <c r="B1417" i="1"/>
  <c r="A1418" i="1"/>
  <c r="B1418" i="1"/>
  <c r="A1419" i="1"/>
  <c r="B1419" i="1"/>
  <c r="A1420" i="1"/>
  <c r="B1420" i="1"/>
  <c r="A1421" i="1"/>
  <c r="B1421" i="1"/>
  <c r="A1422" i="1"/>
  <c r="B1422" i="1"/>
  <c r="A1423" i="1"/>
  <c r="B1423" i="1"/>
  <c r="A1424" i="1"/>
  <c r="B1424" i="1"/>
  <c r="A1425" i="1"/>
  <c r="B1425" i="1"/>
  <c r="A1426" i="1"/>
  <c r="B1426" i="1"/>
  <c r="A1427" i="1"/>
  <c r="B1427" i="1"/>
  <c r="A1428" i="1"/>
  <c r="B1428" i="1"/>
  <c r="A1429" i="1"/>
  <c r="B1429" i="1"/>
  <c r="A1430" i="1"/>
  <c r="B1430" i="1"/>
  <c r="A1431" i="1"/>
  <c r="B1431" i="1"/>
  <c r="A1432" i="1"/>
  <c r="B1432" i="1"/>
  <c r="A1433" i="1"/>
  <c r="B1433" i="1"/>
  <c r="A1434" i="1"/>
  <c r="B1434" i="1"/>
  <c r="A1435" i="1"/>
  <c r="B1435" i="1"/>
  <c r="A1436" i="1"/>
  <c r="B1436" i="1"/>
  <c r="A1437" i="1"/>
  <c r="B1437" i="1"/>
  <c r="A1438" i="1"/>
  <c r="B1438" i="1"/>
  <c r="A1439" i="1"/>
  <c r="B1439" i="1"/>
  <c r="A1440" i="1"/>
  <c r="B1440" i="1"/>
  <c r="A1441" i="1"/>
  <c r="B1441" i="1"/>
  <c r="A1442" i="1"/>
  <c r="B1442" i="1"/>
  <c r="A1443" i="1"/>
  <c r="B1443" i="1"/>
  <c r="A1444" i="1"/>
  <c r="B1444" i="1"/>
  <c r="A1445" i="1"/>
  <c r="B1445" i="1"/>
  <c r="A1446" i="1"/>
  <c r="B1446" i="1"/>
  <c r="A1447" i="1"/>
  <c r="B1447" i="1"/>
  <c r="A1448" i="1"/>
  <c r="B1448" i="1"/>
  <c r="A1449" i="1"/>
  <c r="B1449" i="1"/>
  <c r="A1450" i="1"/>
  <c r="B1450" i="1"/>
  <c r="A1451" i="1"/>
  <c r="B1451" i="1"/>
  <c r="A1452" i="1"/>
  <c r="B1452" i="1"/>
  <c r="A1453" i="1"/>
  <c r="B1453" i="1"/>
  <c r="A1454" i="1"/>
  <c r="B1454" i="1"/>
  <c r="A1455" i="1"/>
  <c r="B1455" i="1"/>
  <c r="A1456" i="1"/>
  <c r="B1456" i="1"/>
  <c r="A1457" i="1"/>
  <c r="B1457" i="1"/>
  <c r="A1458" i="1"/>
  <c r="B1458" i="1"/>
  <c r="A1459" i="1"/>
  <c r="B1459" i="1"/>
  <c r="A1460" i="1"/>
  <c r="B1460" i="1"/>
  <c r="A1461" i="1"/>
  <c r="B1461" i="1"/>
  <c r="A1462" i="1"/>
  <c r="B1462" i="1"/>
  <c r="A1463" i="1"/>
  <c r="B1463" i="1"/>
  <c r="A1464" i="1"/>
  <c r="B1464" i="1"/>
  <c r="A1465" i="1"/>
  <c r="B1465" i="1"/>
  <c r="A1466" i="1"/>
  <c r="B1466" i="1"/>
  <c r="A1467" i="1"/>
  <c r="B1467" i="1"/>
  <c r="A1468" i="1"/>
  <c r="B1468" i="1"/>
  <c r="A1469" i="1"/>
  <c r="B1469" i="1"/>
  <c r="A1470" i="1"/>
  <c r="B1470" i="1"/>
  <c r="A1471" i="1"/>
  <c r="B1471" i="1"/>
  <c r="A1472" i="1"/>
  <c r="B1472" i="1"/>
  <c r="A1473" i="1"/>
  <c r="B1473" i="1"/>
  <c r="A1474" i="1"/>
  <c r="B1474" i="1"/>
  <c r="A1475" i="1"/>
  <c r="B1475" i="1"/>
  <c r="A1476" i="1"/>
  <c r="B1476" i="1"/>
  <c r="A1477" i="1"/>
  <c r="B1477" i="1"/>
  <c r="A1478" i="1"/>
  <c r="B1478" i="1"/>
  <c r="A1479" i="1"/>
  <c r="B1479" i="1"/>
  <c r="A1480" i="1"/>
  <c r="B1480" i="1"/>
  <c r="A1481" i="1"/>
  <c r="B1481" i="1"/>
  <c r="A1482" i="1"/>
  <c r="B1482" i="1"/>
  <c r="A1483" i="1"/>
  <c r="B1483" i="1"/>
  <c r="A1484" i="1"/>
  <c r="B1484" i="1"/>
  <c r="A1485" i="1"/>
  <c r="B1485" i="1"/>
  <c r="A1486" i="1"/>
  <c r="B1486" i="1"/>
  <c r="A1487" i="1"/>
  <c r="B1487" i="1"/>
  <c r="A1488" i="1"/>
  <c r="B1488" i="1"/>
  <c r="A1489" i="1"/>
  <c r="B1489" i="1"/>
  <c r="A1490" i="1"/>
  <c r="B1490" i="1"/>
  <c r="A1491" i="1"/>
  <c r="B1491" i="1"/>
  <c r="A1492" i="1"/>
  <c r="B1492" i="1"/>
  <c r="A1493" i="1"/>
  <c r="B1493" i="1"/>
  <c r="A1494" i="1"/>
  <c r="B1494" i="1"/>
  <c r="A1495" i="1"/>
  <c r="B1495" i="1"/>
  <c r="A1496" i="1"/>
  <c r="B1496" i="1"/>
  <c r="A1497" i="1"/>
  <c r="B1497" i="1"/>
  <c r="A1498" i="1"/>
  <c r="B1498" i="1"/>
  <c r="A1499" i="1"/>
  <c r="B1499" i="1"/>
  <c r="A1500" i="1"/>
  <c r="B1500" i="1"/>
  <c r="A1501" i="1"/>
  <c r="B1501" i="1"/>
  <c r="A1502" i="1"/>
  <c r="B1502" i="1"/>
  <c r="A1503" i="1"/>
  <c r="B1503" i="1"/>
  <c r="A1504" i="1"/>
  <c r="B1504" i="1"/>
  <c r="A1505" i="1"/>
  <c r="B1505" i="1"/>
  <c r="A1506" i="1"/>
  <c r="B1506" i="1"/>
  <c r="A1507" i="1"/>
  <c r="B1507" i="1"/>
  <c r="A1508" i="1"/>
  <c r="B1508" i="1"/>
  <c r="A1509" i="1"/>
  <c r="B1509" i="1"/>
  <c r="A1510" i="1"/>
  <c r="B1510" i="1"/>
  <c r="A1511" i="1"/>
  <c r="B1511" i="1"/>
  <c r="A1512" i="1"/>
  <c r="B1512" i="1"/>
  <c r="A1513" i="1"/>
  <c r="B1513" i="1"/>
  <c r="A1514" i="1"/>
  <c r="B1514" i="1"/>
  <c r="A1515" i="1"/>
  <c r="B1515" i="1"/>
  <c r="A1516" i="1"/>
  <c r="B1516" i="1"/>
  <c r="A1517" i="1"/>
  <c r="B1517" i="1"/>
  <c r="A1518" i="1"/>
  <c r="B1518" i="1"/>
  <c r="A1519" i="1"/>
  <c r="B1519" i="1"/>
  <c r="A1520" i="1"/>
  <c r="B1520" i="1"/>
  <c r="A1521" i="1"/>
  <c r="B1521" i="1"/>
  <c r="A1522" i="1"/>
  <c r="B1522" i="1"/>
  <c r="A1523" i="1"/>
  <c r="B1523" i="1"/>
  <c r="A1524" i="1"/>
  <c r="B1524" i="1"/>
  <c r="A1525" i="1"/>
  <c r="B1525" i="1"/>
  <c r="A1526" i="1"/>
  <c r="B1526" i="1"/>
  <c r="A1527" i="1"/>
  <c r="B1527" i="1"/>
  <c r="A1528" i="1"/>
  <c r="B1528" i="1"/>
  <c r="A1529" i="1"/>
  <c r="B1529" i="1"/>
  <c r="A1530" i="1"/>
  <c r="B1530" i="1"/>
  <c r="A1531" i="1"/>
  <c r="B1531" i="1"/>
  <c r="A1532" i="1"/>
  <c r="B1532" i="1"/>
  <c r="A1533" i="1"/>
  <c r="B1533" i="1"/>
  <c r="A1534" i="1"/>
  <c r="B1534" i="1"/>
  <c r="A1535" i="1"/>
  <c r="B1535" i="1"/>
  <c r="A1536" i="1"/>
  <c r="B1536" i="1"/>
  <c r="A1537" i="1"/>
  <c r="B1537" i="1"/>
  <c r="A1538" i="1"/>
  <c r="B1538" i="1"/>
  <c r="A1539" i="1"/>
  <c r="B1539" i="1"/>
  <c r="A1540" i="1"/>
  <c r="B1540" i="1"/>
  <c r="A1541" i="1"/>
  <c r="B1541" i="1"/>
  <c r="A1542" i="1"/>
  <c r="B1542" i="1"/>
  <c r="A1543" i="1"/>
  <c r="B1543" i="1"/>
  <c r="A1544" i="1"/>
  <c r="B1544" i="1"/>
  <c r="A1545" i="1"/>
  <c r="B1545" i="1"/>
  <c r="A1546" i="1"/>
  <c r="B1546" i="1"/>
  <c r="A1547" i="1"/>
  <c r="B1547" i="1"/>
  <c r="A1548" i="1"/>
  <c r="B1548" i="1"/>
  <c r="A1549" i="1"/>
  <c r="B1549" i="1"/>
  <c r="A1550" i="1"/>
  <c r="B1550" i="1"/>
  <c r="A1551" i="1"/>
  <c r="B1551" i="1"/>
  <c r="A1552" i="1"/>
  <c r="B1552" i="1"/>
  <c r="A1553" i="1"/>
  <c r="B1553" i="1"/>
  <c r="A1554" i="1"/>
  <c r="B1554" i="1"/>
  <c r="A1555" i="1"/>
  <c r="B1555" i="1"/>
  <c r="A1556" i="1"/>
  <c r="B1556" i="1"/>
  <c r="A1557" i="1"/>
  <c r="B1557" i="1"/>
  <c r="A1558" i="1"/>
  <c r="B1558" i="1"/>
  <c r="A1559" i="1"/>
  <c r="B1559" i="1"/>
  <c r="A1560" i="1"/>
  <c r="B1560" i="1"/>
  <c r="A1561" i="1"/>
  <c r="B1561" i="1"/>
  <c r="A1562" i="1"/>
  <c r="B1562" i="1"/>
  <c r="A1563" i="1"/>
  <c r="B1563" i="1"/>
  <c r="A1564" i="1"/>
  <c r="B1564" i="1"/>
  <c r="A1565" i="1"/>
  <c r="B1565" i="1"/>
  <c r="A1566" i="1"/>
  <c r="B1566" i="1"/>
  <c r="A1567" i="1"/>
  <c r="B1567" i="1"/>
  <c r="A1568" i="1"/>
  <c r="B1568" i="1"/>
  <c r="A1569" i="1"/>
  <c r="B1569" i="1"/>
  <c r="A1570" i="1"/>
  <c r="B1570" i="1"/>
  <c r="A1571" i="1"/>
  <c r="B1571" i="1"/>
  <c r="A1572" i="1"/>
  <c r="B1572" i="1"/>
  <c r="A1573" i="1"/>
  <c r="B1573" i="1"/>
  <c r="A1574" i="1"/>
  <c r="B1574" i="1"/>
  <c r="A1575" i="1"/>
  <c r="B1575" i="1"/>
  <c r="A1576" i="1"/>
  <c r="B1576" i="1"/>
  <c r="A1577" i="1"/>
  <c r="B1577" i="1"/>
  <c r="A1578" i="1"/>
  <c r="B1578" i="1"/>
  <c r="A1579" i="1"/>
  <c r="B1579" i="1"/>
  <c r="A1580" i="1"/>
  <c r="B1580" i="1"/>
  <c r="A1581" i="1"/>
  <c r="B1581" i="1"/>
  <c r="A1582" i="1"/>
  <c r="B1582" i="1"/>
  <c r="A1583" i="1"/>
  <c r="B1583" i="1"/>
  <c r="A1584" i="1"/>
  <c r="B1584" i="1"/>
  <c r="A1585" i="1"/>
  <c r="B1585" i="1"/>
  <c r="A1586" i="1"/>
  <c r="B1586" i="1"/>
  <c r="A1587" i="1"/>
  <c r="B1587" i="1"/>
  <c r="A1588" i="1"/>
  <c r="B1588" i="1"/>
  <c r="A1589" i="1"/>
  <c r="B1589" i="1"/>
  <c r="A1590" i="1"/>
  <c r="B1590" i="1"/>
  <c r="A1591" i="1"/>
  <c r="B1591" i="1"/>
  <c r="A1592" i="1"/>
  <c r="B1592" i="1"/>
  <c r="A1593" i="1"/>
  <c r="B1593" i="1"/>
  <c r="A1594" i="1"/>
  <c r="B1594" i="1"/>
  <c r="A1595" i="1"/>
  <c r="B1595" i="1"/>
  <c r="A1596" i="1"/>
  <c r="B1596" i="1"/>
  <c r="A1597" i="1"/>
  <c r="B1597" i="1"/>
  <c r="A1598" i="1"/>
  <c r="B1598" i="1"/>
  <c r="A1599" i="1"/>
  <c r="B1599" i="1"/>
  <c r="A1600" i="1"/>
  <c r="B1600" i="1"/>
  <c r="A1601" i="1"/>
  <c r="B1601" i="1"/>
  <c r="A1602" i="1"/>
  <c r="B1602" i="1"/>
  <c r="A1603" i="1"/>
  <c r="B1603" i="1"/>
  <c r="A1604" i="1"/>
  <c r="B1604" i="1"/>
  <c r="A1605" i="1"/>
  <c r="B1605" i="1"/>
  <c r="A1606" i="1"/>
  <c r="B1606" i="1"/>
  <c r="A1607" i="1"/>
  <c r="B1607" i="1"/>
  <c r="A1608" i="1"/>
  <c r="B1608" i="1"/>
  <c r="A1609" i="1"/>
  <c r="B1609" i="1"/>
  <c r="A1610" i="1"/>
  <c r="B1610" i="1"/>
  <c r="A1611" i="1"/>
  <c r="B1611" i="1"/>
  <c r="A1612" i="1"/>
  <c r="B1612" i="1"/>
  <c r="A1613" i="1"/>
  <c r="B1613" i="1"/>
  <c r="A1614" i="1"/>
  <c r="B1614" i="1"/>
  <c r="A1615" i="1"/>
  <c r="B1615" i="1"/>
  <c r="A1616" i="1"/>
  <c r="B1616" i="1"/>
  <c r="A1617" i="1"/>
  <c r="B1617" i="1"/>
  <c r="A1618" i="1"/>
  <c r="B1618" i="1"/>
  <c r="A1619" i="1"/>
  <c r="B1619" i="1"/>
  <c r="A1620" i="1"/>
  <c r="B1620" i="1"/>
  <c r="A1621" i="1"/>
  <c r="B1621" i="1"/>
  <c r="A1622" i="1"/>
  <c r="B1622" i="1"/>
  <c r="B2" i="1"/>
  <c r="A2" i="1"/>
</calcChain>
</file>

<file path=xl/sharedStrings.xml><?xml version="1.0" encoding="utf-8"?>
<sst xmlns="http://schemas.openxmlformats.org/spreadsheetml/2006/main" count="27484" uniqueCount="1865">
  <si>
    <t>Date</t>
  </si>
  <si>
    <t>Portfolio name</t>
  </si>
  <si>
    <t>Currency</t>
  </si>
  <si>
    <t>Campaign Name</t>
  </si>
  <si>
    <t>Ad Group Name</t>
  </si>
  <si>
    <t>Retailer</t>
  </si>
  <si>
    <t>Country</t>
  </si>
  <si>
    <t>Targeting</t>
  </si>
  <si>
    <t>Match Type</t>
  </si>
  <si>
    <t>Customer Search Term</t>
  </si>
  <si>
    <t>Impressions</t>
  </si>
  <si>
    <t>Clicks</t>
  </si>
  <si>
    <t>Click-Thru Rate (CTR)</t>
  </si>
  <si>
    <t>Cost Per Click (CPC)</t>
  </si>
  <si>
    <t>Spend</t>
  </si>
  <si>
    <t xml:space="preserve">7 Day Total Sales </t>
  </si>
  <si>
    <t xml:space="preserve">Total Advertising Cost of Sales (ACOS) </t>
  </si>
  <si>
    <t>Total Return on Advertising Spend (ROAS)</t>
  </si>
  <si>
    <t>7 Day Total Orders (#)</t>
  </si>
  <si>
    <t>7 Day Total Units (#)</t>
  </si>
  <si>
    <t>7 Day Conversion Rate</t>
  </si>
  <si>
    <t>7 Day Advertised SKU Units (#)</t>
  </si>
  <si>
    <t>7 Day Other SKU Units (#)</t>
  </si>
  <si>
    <t xml:space="preserve">7 Day Advertised SKU Sales </t>
  </si>
  <si>
    <t xml:space="preserve">7 Day Other SKU Sales </t>
  </si>
  <si>
    <t>No Portfolio</t>
  </si>
  <si>
    <t>USD</t>
  </si>
  <si>
    <t>捡漏SP.Keyword.Mannual - Tray</t>
  </si>
  <si>
    <t>broad组</t>
  </si>
  <si>
    <t>Amazon</t>
  </si>
  <si>
    <t>United States</t>
  </si>
  <si>
    <t>stroller cup holder</t>
  </si>
  <si>
    <t>BROAD</t>
  </si>
  <si>
    <t>accmor stroller cup holder</t>
  </si>
  <si>
    <t>SP.Keyword.Mannual - Tray (all match)</t>
  </si>
  <si>
    <t>cup and snack holder attachment for stroller</t>
  </si>
  <si>
    <t>add on stroller storage</t>
  </si>
  <si>
    <t>universal snack tray</t>
  </si>
  <si>
    <t>airport snack tray</t>
  </si>
  <si>
    <t>SP.ASIN.Manual - Tray</t>
  </si>
  <si>
    <t>Tray</t>
  </si>
  <si>
    <t>asin="B0DSBVB1WW"</t>
  </si>
  <si>
    <t>-</t>
  </si>
  <si>
    <t>attachable snack tray for stroller</t>
  </si>
  <si>
    <t>snack tray for stroller</t>
  </si>
  <si>
    <t>捡漏SP.Auto - ENC Grey</t>
  </si>
  <si>
    <t>ENC Grey</t>
  </si>
  <si>
    <t>close-match</t>
  </si>
  <si>
    <t>automatic toe nail clippers for seniors</t>
  </si>
  <si>
    <t>SP.Auto - Tray</t>
  </si>
  <si>
    <t>stroller tray</t>
  </si>
  <si>
    <t>substitutes</t>
  </si>
  <si>
    <t>b01mdtk3k3</t>
  </si>
  <si>
    <t>捡漏SP.Auto - BNF Yellow</t>
  </si>
  <si>
    <t>ENC Yellow</t>
  </si>
  <si>
    <t>b077qbjnvm</t>
  </si>
  <si>
    <t>b084ck55rw</t>
  </si>
  <si>
    <t>b08y8kgl2d</t>
  </si>
  <si>
    <t>asin="B09BG5RNLV"</t>
  </si>
  <si>
    <t>b09bg5rnlv</t>
  </si>
  <si>
    <t>b0bv4sxtfz</t>
  </si>
  <si>
    <t>SP.Auto - ENC grey</t>
  </si>
  <si>
    <t>ENC</t>
  </si>
  <si>
    <t>b0by26rdwq</t>
  </si>
  <si>
    <t>b0bzdb9yrp</t>
  </si>
  <si>
    <t>b0c1g4985z</t>
  </si>
  <si>
    <t>b0cg3q5jfd</t>
  </si>
  <si>
    <t>b0csd43s36</t>
  </si>
  <si>
    <t>b0d9q9x59p</t>
  </si>
  <si>
    <t>b0ddhv3kkf</t>
  </si>
  <si>
    <t>asin="B0DH98H2G4"</t>
  </si>
  <si>
    <t>b0dh98h2g4</t>
  </si>
  <si>
    <t>b0dkjgpv71</t>
  </si>
  <si>
    <t>asin="B0DQ4LSJ88"</t>
  </si>
  <si>
    <t>b0dq4lsj88</t>
  </si>
  <si>
    <t>b0dsbvb1ww</t>
  </si>
  <si>
    <t>b0dz16bc3c</t>
  </si>
  <si>
    <t>b0dzcbnzf1</t>
  </si>
  <si>
    <t>asin="B0F4KJN2VC"</t>
  </si>
  <si>
    <t>b0f4kjn2vc</t>
  </si>
  <si>
    <t>b0f4x97cl6</t>
  </si>
  <si>
    <t>b0f8h6tf2g</t>
  </si>
  <si>
    <t>b0f8q67npr</t>
  </si>
  <si>
    <t>b0frs6zll7</t>
  </si>
  <si>
    <t>捡漏SP.Keyword.Manual - BC</t>
  </si>
  <si>
    <t>Phrase&amp;Exact组</t>
  </si>
  <si>
    <t>baby carrier</t>
  </si>
  <si>
    <t>PHRASE</t>
  </si>
  <si>
    <t>捡漏SP.Auto - BC</t>
  </si>
  <si>
    <t>baby carrier baby bjorn</t>
  </si>
  <si>
    <t>baby carrier bassinet</t>
  </si>
  <si>
    <t>baby carrier newborn</t>
  </si>
  <si>
    <t>baby carrier newborn to toddler</t>
  </si>
  <si>
    <t>baby carrier with hip seat</t>
  </si>
  <si>
    <t>baby carriers</t>
  </si>
  <si>
    <t>loose-match</t>
  </si>
  <si>
    <t>baby e file no led light</t>
  </si>
  <si>
    <t>baby electric nail file</t>
  </si>
  <si>
    <t>baby hair cutting machine</t>
  </si>
  <si>
    <t>stroller snack tray attachment</t>
  </si>
  <si>
    <t>baby jogger child tray</t>
  </si>
  <si>
    <t>stroller snack tray</t>
  </si>
  <si>
    <t>baby jogger city mini snack tray</t>
  </si>
  <si>
    <t>baby jogger city tour 2 accessories</t>
  </si>
  <si>
    <t>baby jogger mini gt2 snack cup holder</t>
  </si>
  <si>
    <t>baby nail buffer</t>
  </si>
  <si>
    <t>baby nail care</t>
  </si>
  <si>
    <t>baby nail care set</t>
  </si>
  <si>
    <t>baby nail clippers</t>
  </si>
  <si>
    <t>baby nail file</t>
  </si>
  <si>
    <t>baby nail kit</t>
  </si>
  <si>
    <t>baby nail trimmer electric</t>
  </si>
  <si>
    <t>捡漏SP.Manual - ENC &amp; BNF</t>
  </si>
  <si>
    <t>BNF</t>
  </si>
  <si>
    <t>baby necessities</t>
  </si>
  <si>
    <t>Broad组</t>
  </si>
  <si>
    <t>baby sling carrier</t>
  </si>
  <si>
    <t>newborn baby carrier</t>
  </si>
  <si>
    <t>baby stroller organizers</t>
  </si>
  <si>
    <t>stroller accessories</t>
  </si>
  <si>
    <t>baby trend jogging stroller accessories</t>
  </si>
  <si>
    <t>baby trend tour lte attachments</t>
  </si>
  <si>
    <t>baby wrap</t>
  </si>
  <si>
    <t>baby wrap carrier</t>
  </si>
  <si>
    <t>phrase&amp;exact</t>
  </si>
  <si>
    <t>bob jogging stroller cup holder</t>
  </si>
  <si>
    <t>britax cup holder</t>
  </si>
  <si>
    <t>britax double stroller accessories</t>
  </si>
  <si>
    <t>bugaboo butterfly 1 accessories</t>
  </si>
  <si>
    <t>bumbleride snack tray</t>
  </si>
  <si>
    <t>bumbleride snack tray compatible</t>
  </si>
  <si>
    <t>car seat cup holder snack tray</t>
  </si>
  <si>
    <t>car seat cup holder snack tray for stroller</t>
  </si>
  <si>
    <t>clip on snack tray</t>
  </si>
  <si>
    <t>car seat snack tray attachment with clip</t>
  </si>
  <si>
    <t>car seat snack tray for kids travel</t>
  </si>
  <si>
    <t>asin="B0F4Y5Y5RF"</t>
  </si>
  <si>
    <t>carseat cup holder snack tray</t>
  </si>
  <si>
    <t>chair tray attachment</t>
  </si>
  <si>
    <t>chicco mini bravo snack tray attachment</t>
  </si>
  <si>
    <t>child carrier backpack</t>
  </si>
  <si>
    <t>child tray that clips on stroller</t>
  </si>
  <si>
    <t>city mini doublestroller accessories</t>
  </si>
  <si>
    <t>city mini gt single stroller cup and snack holder</t>
  </si>
  <si>
    <t>cup holder and tray for stroller</t>
  </si>
  <si>
    <t>city mini gt stroller cup holder and tray</t>
  </si>
  <si>
    <t>city mini snack tray attachment</t>
  </si>
  <si>
    <t>clamp on stroller tray</t>
  </si>
  <si>
    <t>clip cup holder for stroller</t>
  </si>
  <si>
    <t>clip on snack tray for stroller</t>
  </si>
  <si>
    <t>cooler for stroller</t>
  </si>
  <si>
    <t>cup and snack holder for stroller</t>
  </si>
  <si>
    <t>cup holder attachment for stroller</t>
  </si>
  <si>
    <t>cup holder foldable</t>
  </si>
  <si>
    <t>wagon cup holder</t>
  </si>
  <si>
    <t>cup holder for 4 seater wagon</t>
  </si>
  <si>
    <t>cup holder for stroller</t>
  </si>
  <si>
    <t>cup holder for stroller or side by side</t>
  </si>
  <si>
    <t>cup holder for stroller universal</t>
  </si>
  <si>
    <t>cupholder for stroller</t>
  </si>
  <si>
    <t>delta children stroller snack tray</t>
  </si>
  <si>
    <t>delta jeep stroller organizer</t>
  </si>
  <si>
    <t>disney world stroller accessories</t>
  </si>
  <si>
    <t>dog electric nail clippers for small dogs</t>
  </si>
  <si>
    <t>dog stroller tray</t>
  </si>
  <si>
    <t>double stroller accessories</t>
  </si>
  <si>
    <t>double stroller snack tray attachment</t>
  </si>
  <si>
    <t>double stroller tray</t>
  </si>
  <si>
    <t>double umbrella stroller snack tray</t>
  </si>
  <si>
    <t>double zoe stroller accessories</t>
  </si>
  <si>
    <t>dream on me coast rider stroller accessories</t>
  </si>
  <si>
    <t>dream on me lightweight stroller accessories</t>
  </si>
  <si>
    <t>eating tray for car seat</t>
  </si>
  <si>
    <t>electric nail clipper</t>
  </si>
  <si>
    <t>electric automatic nail clipper</t>
  </si>
  <si>
    <t>electric automatic nail clipper &amp; trimmer</t>
  </si>
  <si>
    <t>electric automatic nail clippers</t>
  </si>
  <si>
    <t>electric baby nail file</t>
  </si>
  <si>
    <t>electric fingernail clippers</t>
  </si>
  <si>
    <t>electric nail and toenail clipper</t>
  </si>
  <si>
    <t>electric nail clipper for adults</t>
  </si>
  <si>
    <t>electric nail clipper for toddlers</t>
  </si>
  <si>
    <t>electric nail clipper with big storage</t>
  </si>
  <si>
    <t>electric nail clipperbest way to get rid of fleas in house</t>
  </si>
  <si>
    <t>electric nail clippers</t>
  </si>
  <si>
    <t>electric nail clippers for seniors</t>
  </si>
  <si>
    <t>electric nail file for babies</t>
  </si>
  <si>
    <t>electric nail get</t>
  </si>
  <si>
    <t>electric nail trimmer</t>
  </si>
  <si>
    <t>electric nail trimmer for toes</t>
  </si>
  <si>
    <t>electric toe nail clippers for seniors rechargeable</t>
  </si>
  <si>
    <t>electric toe nail clippers for thick toenails seniors</t>
  </si>
  <si>
    <t>electric toenail clipper</t>
  </si>
  <si>
    <t>electric toenail clipper for thick toenails</t>
  </si>
  <si>
    <t>electric toenail clipperadults</t>
  </si>
  <si>
    <t>electric toenail clippers</t>
  </si>
  <si>
    <t>electric toenail clippers for seniors</t>
  </si>
  <si>
    <t>electric toenail cutter</t>
  </si>
  <si>
    <t>electric toenail cutter for adults</t>
  </si>
  <si>
    <t>electronic nail clippers thick seniors</t>
  </si>
  <si>
    <t>est electric nail clipper for both nails and toenails</t>
  </si>
  <si>
    <t>evenflo stroller accessories</t>
  </si>
  <si>
    <t>first time dad essentials</t>
  </si>
  <si>
    <t>flat tray for stroller</t>
  </si>
  <si>
    <t>forward facing baby carrier</t>
  </si>
  <si>
    <t>gb pockit stroller snack tray</t>
  </si>
  <si>
    <t>graco stroller tray</t>
  </si>
  <si>
    <t>graco stroller tray replacement</t>
  </si>
  <si>
    <t>guiseapue stroller cup holder</t>
  </si>
  <si>
    <t>heavy duty electric toenail clippers</t>
  </si>
  <si>
    <t>jeep adventureglyde stroller by delta children snack tray</t>
  </si>
  <si>
    <t>jeep double stroller snack tray</t>
  </si>
  <si>
    <t>jeep double stroller side by side snack tray</t>
  </si>
  <si>
    <t>jeep powerglyde stroller accessories</t>
  </si>
  <si>
    <t>jeep powerglyde stroller snack tray</t>
  </si>
  <si>
    <t>joie stroller snack tray</t>
  </si>
  <si>
    <t>joovy caboose snack tray one side</t>
  </si>
  <si>
    <t>joovy zoom 360 snack tray</t>
  </si>
  <si>
    <t>keenz wagon cup holder</t>
  </si>
  <si>
    <t>kids cupholder for stroller</t>
  </si>
  <si>
    <t>liuliuby stroller snack tray</t>
  </si>
  <si>
    <t>mamazing stroller cup holder</t>
  </si>
  <si>
    <t>manicure set for cutting nails to 3 year old girl</t>
  </si>
  <si>
    <t>mockingbird stroller cup holder</t>
  </si>
  <si>
    <t>momcozy baby carrier breathable mesh</t>
  </si>
  <si>
    <t>momcozy baby carrier with hip seat</t>
  </si>
  <si>
    <t>momfan stroller wagon accessories</t>
  </si>
  <si>
    <t>mompush wiz 2 in 1 snack bar</t>
  </si>
  <si>
    <t>nail buffer baby</t>
  </si>
  <si>
    <t>nail buffer for infants</t>
  </si>
  <si>
    <t>nail clipper electric for seniors</t>
  </si>
  <si>
    <t>nail clipper for baby</t>
  </si>
  <si>
    <t>nail file</t>
  </si>
  <si>
    <t>nail file for baby</t>
  </si>
  <si>
    <t>nail file for elderly</t>
  </si>
  <si>
    <t>nail files</t>
  </si>
  <si>
    <t>newborn essentials must haves</t>
  </si>
  <si>
    <t>newborn nail file</t>
  </si>
  <si>
    <t>newborn nail file electric</t>
  </si>
  <si>
    <t>baby stroller parent cup holders</t>
  </si>
  <si>
    <t>nuna cup holder for stroller</t>
  </si>
  <si>
    <t>nuna mixx next food tray</t>
  </si>
  <si>
    <t>nuna snack tray for stroller</t>
  </si>
  <si>
    <t>stroller attachment</t>
  </si>
  <si>
    <t>phil and teds inline double stroller attachment</t>
  </si>
  <si>
    <t>pink clip on cup holder for wagon</t>
  </si>
  <si>
    <t>portable snack tray with handle</t>
  </si>
  <si>
    <t>rechargeable toe nail grinder</t>
  </si>
  <si>
    <t>scooter tray attachment</t>
  </si>
  <si>
    <t>seemagic electric nail clipper</t>
  </si>
  <si>
    <t>seemagic nail trimmer</t>
  </si>
  <si>
    <t>shopping cart owala cup holder attachment</t>
  </si>
  <si>
    <t>side attachment snack tray stroller</t>
  </si>
  <si>
    <t>snack holder for stroller</t>
  </si>
  <si>
    <t>side mount snack stroller</t>
  </si>
  <si>
    <t>single stroller organizer</t>
  </si>
  <si>
    <t>snack and cup holder for stroller</t>
  </si>
  <si>
    <t>snack cup for stroller</t>
  </si>
  <si>
    <t>snack flexible arm tray mini</t>
  </si>
  <si>
    <t>snack holder for summer stroller</t>
  </si>
  <si>
    <t>snack tray attachment for 3d mini</t>
  </si>
  <si>
    <t>snack tray for city jogger select single</t>
  </si>
  <si>
    <t>snack tray for ingenuity 3dlite convenience stroller</t>
  </si>
  <si>
    <t>snack tray for stroller without bar</t>
  </si>
  <si>
    <t>snack tray for the joovy zoom</t>
  </si>
  <si>
    <t>snack tray for wagons or strollers</t>
  </si>
  <si>
    <t>stack tray for stroller</t>
  </si>
  <si>
    <t>EXACT</t>
  </si>
  <si>
    <t>stroller bar snack tray</t>
  </si>
  <si>
    <t>stroller bumper bar with snack tray</t>
  </si>
  <si>
    <t>stroller caddy and accessories</t>
  </si>
  <si>
    <t>stroller clip</t>
  </si>
  <si>
    <t>stroller cup holder attachment</t>
  </si>
  <si>
    <t>phrase&amp;exact组</t>
  </si>
  <si>
    <t>stroller cup holder snack attachment kid</t>
  </si>
  <si>
    <t>stroller front tray</t>
  </si>
  <si>
    <t>stroller holder attachment</t>
  </si>
  <si>
    <t>stroller side snack tray</t>
  </si>
  <si>
    <t>stroller snack container</t>
  </si>
  <si>
    <t>stroller snack tray universal</t>
  </si>
  <si>
    <t>stroller tray attachment</t>
  </si>
  <si>
    <t>stroller tray attachment universal</t>
  </si>
  <si>
    <t>stroller tray for drink</t>
  </si>
  <si>
    <t>stroller tray for frame</t>
  </si>
  <si>
    <t>stroller universal cup holder</t>
  </si>
  <si>
    <t>stroller wagon snack tray</t>
  </si>
  <si>
    <t>thomas train snack holder</t>
  </si>
  <si>
    <t>timissfox electric nail trimmer electric nail clipper</t>
  </si>
  <si>
    <t>toddler car seat cup holder</t>
  </si>
  <si>
    <t>toddler carrier</t>
  </si>
  <si>
    <t>toddler+backpack+carrier</t>
  </si>
  <si>
    <t>toe nail clippers for thick nails for seniors</t>
  </si>
  <si>
    <t>tray for fold up stroller</t>
  </si>
  <si>
    <t>tray for stroller</t>
  </si>
  <si>
    <t>tray for strollers</t>
  </si>
  <si>
    <t>tricycle bar tray</t>
  </si>
  <si>
    <t>tumbler holder for stroller</t>
  </si>
  <si>
    <t>tush baby carrier</t>
  </si>
  <si>
    <t>umbrella stroller add on tray</t>
  </si>
  <si>
    <t>umbrella stroller attachments</t>
  </si>
  <si>
    <t>umbrella stroller snack tray</t>
  </si>
  <si>
    <t>umbrella stroller snack tray attachment</t>
  </si>
  <si>
    <t>umbrella stroller tray</t>
  </si>
  <si>
    <t>universal snack holder for stroller</t>
  </si>
  <si>
    <t>universal snack tray attachment</t>
  </si>
  <si>
    <t>universal snack tray for stroller</t>
  </si>
  <si>
    <t>universal stroller snack tray</t>
  </si>
  <si>
    <t>universal snack tray for stroller without bar</t>
  </si>
  <si>
    <t>universal stroller cup holder</t>
  </si>
  <si>
    <t>universal stroller snack tray 360 rotation</t>
  </si>
  <si>
    <t>universal stroller snack tray no bar</t>
  </si>
  <si>
    <t>universal stroller tray</t>
  </si>
  <si>
    <t>universal tray for stroller</t>
  </si>
  <si>
    <t>universal tray for stroller with no handle bar</t>
  </si>
  <si>
    <t>vevor wagon stroller accessories</t>
  </si>
  <si>
    <t>wagon cupholder attachment</t>
  </si>
  <si>
    <t>wonderful wagon snack tray</t>
  </si>
  <si>
    <t>zoe stroller accessories</t>
  </si>
  <si>
    <t>adjustable universal stroller tray</t>
  </si>
  <si>
    <t>automatic fingernail grinder</t>
  </si>
  <si>
    <t>automatic nail clipper</t>
  </si>
  <si>
    <t>automatic nail clippers for seniors</t>
  </si>
  <si>
    <t>b092q629ty</t>
  </si>
  <si>
    <t>b09jkx6jgr</t>
  </si>
  <si>
    <t>b0c8nksk7d</t>
  </si>
  <si>
    <t>b0ddxl1tdj</t>
  </si>
  <si>
    <t>b0dknz2w8c</t>
  </si>
  <si>
    <t>b0dr8frr3v</t>
  </si>
  <si>
    <t>b0fjf5j912</t>
  </si>
  <si>
    <t>b0fwjm6zcs</t>
  </si>
  <si>
    <t>b0gg9lq74z</t>
  </si>
  <si>
    <t>baby jogger city mini gt2 accessories</t>
  </si>
  <si>
    <t>baby jogger city mini gt2 double accessories kids cupholders</t>
  </si>
  <si>
    <t>baby jogger compatible snack tray</t>
  </si>
  <si>
    <t>baby nails kit</t>
  </si>
  <si>
    <t>bugaboo butterfly 2 accessories</t>
  </si>
  <si>
    <t>chicco fit stroller tray</t>
  </si>
  <si>
    <t>chicco stroller accessories</t>
  </si>
  <si>
    <t>citi double stroller tray</t>
  </si>
  <si>
    <t>city jogger stroller cup holder</t>
  </si>
  <si>
    <t>city mini double stroller snack tray</t>
  </si>
  <si>
    <t>clamp snack tray</t>
  </si>
  <si>
    <t>cordless toenail clippers</t>
  </si>
  <si>
    <t>cup holder add on for stroller handle</t>
  </si>
  <si>
    <t>electric nail file</t>
  </si>
  <si>
    <t>electric toe nail clipper for seniors</t>
  </si>
  <si>
    <t>electric toenail clippers for thick nails</t>
  </si>
  <si>
    <t>electric toenail clippers for thick toenails</t>
  </si>
  <si>
    <t>entire nail trimmer</t>
  </si>
  <si>
    <t>evenflo 360 snack</t>
  </si>
  <si>
    <t>folding stroller accessories</t>
  </si>
  <si>
    <t>food tray and cup holder for toddler carseat</t>
  </si>
  <si>
    <t>grocery cart snack tray</t>
  </si>
  <si>
    <t>ingenuity stroller accessories</t>
  </si>
  <si>
    <t>nail clippers</t>
  </si>
  <si>
    <t>nail clippers fsa eligible</t>
  </si>
  <si>
    <t>nail clippers on amazon</t>
  </si>
  <si>
    <t>nail trimmer electric adult</t>
  </si>
  <si>
    <t>new born baby essentials must haves</t>
  </si>
  <si>
    <t>newborn hair brush</t>
  </si>
  <si>
    <t>nuna stroller cup holder</t>
  </si>
  <si>
    <t>popcorn holder child travel</t>
  </si>
  <si>
    <t>power wheelchair tray</t>
  </si>
  <si>
    <t>rechargeable toe nail clippers for seniors</t>
  </si>
  <si>
    <t>side stroller food tray attachment</t>
  </si>
  <si>
    <t>snack bar for city jogger mini gt3</t>
  </si>
  <si>
    <t>snack pod</t>
  </si>
  <si>
    <t>snack tray for nuna stroller</t>
  </si>
  <si>
    <t>snack tray for uppa baby booster seat</t>
  </si>
  <si>
    <t>snack tray stroller</t>
  </si>
  <si>
    <t>stroller attachment for snacks</t>
  </si>
  <si>
    <t>stroller bar snack holder</t>
  </si>
  <si>
    <t>stroller caddy</t>
  </si>
  <si>
    <t>stroller caddy tray</t>
  </si>
  <si>
    <t>stroller cup and snack holder</t>
  </si>
  <si>
    <t>stroller cup and snack holder attachment</t>
  </si>
  <si>
    <t>stroller cup holder snack accessory</t>
  </si>
  <si>
    <t>stroller cupholder</t>
  </si>
  <si>
    <t>stroller drink and snack holder green</t>
  </si>
  <si>
    <t>stroller for jogging</t>
  </si>
  <si>
    <t>stroller organizer sling</t>
  </si>
  <si>
    <t>stroller snack tray no bar</t>
  </si>
  <si>
    <t>summit x3 single stroller snack tray</t>
  </si>
  <si>
    <t>swanoo universal stroller tray</t>
  </si>
  <si>
    <t>swing stroller snack trays</t>
  </si>
  <si>
    <t>toenail clippers</t>
  </si>
  <si>
    <t>umbrella stroller accessories tray</t>
  </si>
  <si>
    <t>umbrella stroller cup holder attachment</t>
  </si>
  <si>
    <t>universal cup holder for toddler car seat</t>
  </si>
  <si>
    <t>universal detachable snack tray</t>
  </si>
  <si>
    <t>universal grocery cart snack tray</t>
  </si>
  <si>
    <t>universal snack tray city tour 2</t>
  </si>
  <si>
    <t>asin="B0D6RW7WQT"</t>
  </si>
  <si>
    <t>asin="B0BZDB9YRP"</t>
  </si>
  <si>
    <t>asin="B0DT4SGSCG"</t>
  </si>
  <si>
    <t>universal stroller snack tray attachment</t>
  </si>
  <si>
    <t>universal stroller snack tray with no bar</t>
  </si>
  <si>
    <t>walker cup holder for rolling walker</t>
  </si>
  <si>
    <t>￼cupholder for stroller</t>
  </si>
  <si>
    <t>￼university cupholder stroller￼</t>
  </si>
  <si>
    <t>2 cup holder parent tray</t>
  </si>
  <si>
    <t>automatic nail cutter for adults</t>
  </si>
  <si>
    <t>b008o3oixu</t>
  </si>
  <si>
    <t>b07nzylmsq</t>
  </si>
  <si>
    <t>b09hsv3m75</t>
  </si>
  <si>
    <t>b0cksd794p</t>
  </si>
  <si>
    <t>b0cmz7klgb</t>
  </si>
  <si>
    <t>b0d6bcslnq</t>
  </si>
  <si>
    <t>b0d6w2ssdt</t>
  </si>
  <si>
    <t>b0d7ygljxb</t>
  </si>
  <si>
    <t>b0d8b2b9cc</t>
  </si>
  <si>
    <t>asin="B0D9Q9X59P"</t>
  </si>
  <si>
    <t>b0dndqn3gs</t>
  </si>
  <si>
    <t>b0dp4txlp9</t>
  </si>
  <si>
    <t>b0fc6sp573</t>
  </si>
  <si>
    <t>b0ffs37tv7</t>
  </si>
  <si>
    <t>b0flsgv71n</t>
  </si>
  <si>
    <t>b0fpcstlxh</t>
  </si>
  <si>
    <t>b0fy2g4hzn</t>
  </si>
  <si>
    <t>baby burping tool electric</t>
  </si>
  <si>
    <t>baby essentials list</t>
  </si>
  <si>
    <t>baby filer nail electric</t>
  </si>
  <si>
    <t>baby grooming kit newborn girl</t>
  </si>
  <si>
    <t>baby items must haves</t>
  </si>
  <si>
    <t>baby jogger city mini gt double stroller child tray with claps</t>
  </si>
  <si>
    <t>baby jogger city mini gt2 double caddy</t>
  </si>
  <si>
    <t>baby jogger stroller accessories</t>
  </si>
  <si>
    <t>baby joy stroller accessories</t>
  </si>
  <si>
    <t>baby nail care kit</t>
  </si>
  <si>
    <t>keyword-group="Keywords related to your product category"</t>
  </si>
  <si>
    <t>baby nail clippers with safety guard</t>
  </si>
  <si>
    <t>baby nail trimmer</t>
  </si>
  <si>
    <t>baby nair</t>
  </si>
  <si>
    <t>baby necessities newborn</t>
  </si>
  <si>
    <t>baby patter for sleep</t>
  </si>
  <si>
    <t>baby shower gifts</t>
  </si>
  <si>
    <t>baby trend double jogging stroller snack tray</t>
  </si>
  <si>
    <t>baby trend double stroller accessories</t>
  </si>
  <si>
    <t>baby trend double stroller snack tray</t>
  </si>
  <si>
    <t>battery operated nail trimmer</t>
  </si>
  <si>
    <t>battery powered toenail clippers for seniors thick nails</t>
  </si>
  <si>
    <t>best electric nail clipper for seniors</t>
  </si>
  <si>
    <t>bob double stroller accessories snack tray</t>
  </si>
  <si>
    <t>bob double stroller snack tray</t>
  </si>
  <si>
    <t>bob duallie stroller snack tray</t>
  </si>
  <si>
    <t>bob stroller snack tray</t>
  </si>
  <si>
    <t>bob stroller universal snack tray</t>
  </si>
  <si>
    <t>britax b-lively stroller tray</t>
  </si>
  <si>
    <t>britax poplar cup holder with snack</t>
  </si>
  <si>
    <t>bugaboo cup holder</t>
  </si>
  <si>
    <t>child tray with cup holder tango baby trend</t>
  </si>
  <si>
    <t>city mini double stroller accessories</t>
  </si>
  <si>
    <t>city mini g2 double stroller accessories</t>
  </si>
  <si>
    <t>city select double stroller accessories</t>
  </si>
  <si>
    <t>clip ok tray table for stroller</t>
  </si>
  <si>
    <t>clip on tray for umbrella stroller</t>
  </si>
  <si>
    <t>croc style stroller pouch</t>
  </si>
  <si>
    <t>cup holder baby jogger city mini gt2</t>
  </si>
  <si>
    <t>cup holder for wagon</t>
  </si>
  <si>
    <t>cup holder snack tray for stroller</t>
  </si>
  <si>
    <t>cup holder with snack tray for wheelchair</t>
  </si>
  <si>
    <t>cupholder for power wheelchair armrest</t>
  </si>
  <si>
    <t>cupholders for zoe stroller</t>
  </si>
  <si>
    <t>delta umbrella stroller accessories</t>
  </si>
  <si>
    <t>delta umbrella stroller accessories snack</t>
  </si>
  <si>
    <t>disney baby character umbrella stroller accessories</t>
  </si>
  <si>
    <t>double bob kids cup holder</t>
  </si>
  <si>
    <t>double bob stroller snack tray</t>
  </si>
  <si>
    <t>double stroller cup holder</t>
  </si>
  <si>
    <t>double stroller organizer</t>
  </si>
  <si>
    <t>double stroller snack tray</t>
  </si>
  <si>
    <t>double stroller snack tray bar</t>
  </si>
  <si>
    <t>double stroller snack tray with storage pods</t>
  </si>
  <si>
    <t>double stroller tray attachment</t>
  </si>
  <si>
    <t>dream on me stroller accessories</t>
  </si>
  <si>
    <t>electric baby file</t>
  </si>
  <si>
    <t>electric nail buffer baby</t>
  </si>
  <si>
    <t>electric nail clipper baby</t>
  </si>
  <si>
    <t>electric nail file kids</t>
  </si>
  <si>
    <t>evenflo reversi stroller snack tray</t>
  </si>
  <si>
    <t>evenflo stroller cup holder tray for adult</t>
  </si>
  <si>
    <t>exercise stroller caddy</t>
  </si>
  <si>
    <t>fingernail grinder</t>
  </si>
  <si>
    <t>food attachments for dog stroller</t>
  </si>
  <si>
    <t>food tray for strollers</t>
  </si>
  <si>
    <t>gaggle cup holder</t>
  </si>
  <si>
    <t>good baby jogger snack tray</t>
  </si>
  <si>
    <t>graco stroller child tray replacement</t>
  </si>
  <si>
    <t>graco travel stroller tray replacement</t>
  </si>
  <si>
    <t>infant nail file electric</t>
  </si>
  <si>
    <t>ingenuity 3d mini convenience stroller kid tray</t>
  </si>
  <si>
    <t>jeep destination double stroller snack tray</t>
  </si>
  <si>
    <t>jeep destination ultralight side x side double stroller snack tray</t>
  </si>
  <si>
    <t>jeep double stroller accessory tray</t>
  </si>
  <si>
    <t>jeep double stroller attachments</t>
  </si>
  <si>
    <t>jeep powerglyde side-by-side double stroller by delta children, grey snack tray</t>
  </si>
  <si>
    <t>jeep stroller attachments</t>
  </si>
  <si>
    <t>joovy twin groove ultralight accessories</t>
  </si>
  <si>
    <t>khaki color snack and cup tray for baby stroller</t>
  </si>
  <si>
    <t>kids cup holder for stroller</t>
  </si>
  <si>
    <t>kids stroller cup holder</t>
  </si>
  <si>
    <t>lima eléctrica para bebe</t>
  </si>
  <si>
    <t>luftcabo automatic nail clipper</t>
  </si>
  <si>
    <t>mickey stroller accessories</t>
  </si>
  <si>
    <t>munchkin brica stroller cup holder</t>
  </si>
  <si>
    <t>nail buffer for baby</t>
  </si>
  <si>
    <t>nail buffers</t>
  </si>
  <si>
    <t>nail filer for baby</t>
  </si>
  <si>
    <t>nail filer for newborn baby</t>
  </si>
  <si>
    <t>nails clippers electric toe nails</t>
  </si>
  <si>
    <t>newborn</t>
  </si>
  <si>
    <t>newborn girl essentials</t>
  </si>
  <si>
    <t>newborn nail clippers</t>
  </si>
  <si>
    <t>nuna stroller mixx snack tray</t>
  </si>
  <si>
    <t>pacifier holder</t>
  </si>
  <si>
    <t>pink stroller caddy</t>
  </si>
  <si>
    <t>portable double cup holder snack tray</t>
  </si>
  <si>
    <t>portable wipe warmer</t>
  </si>
  <si>
    <t>ride along attachment chicco stroller</t>
  </si>
  <si>
    <t>rollator basket and cup holder</t>
  </si>
  <si>
    <t>safety 1st step lite compact stroller accessories￼</t>
  </si>
  <si>
    <t>shopping cart cup holder and snack</t>
  </si>
  <si>
    <t>side snack holder stroller zoe twin</t>
  </si>
  <si>
    <t>snack attachment for stroller</t>
  </si>
  <si>
    <t>snack container for umbrella stroller</t>
  </si>
  <si>
    <t>snack cup holder for car kids</t>
  </si>
  <si>
    <t>snack for stroller</t>
  </si>
  <si>
    <t>snack holder</t>
  </si>
  <si>
    <t>snack stroller</t>
  </si>
  <si>
    <t>snack tray change go</t>
  </si>
  <si>
    <t>snack tray for double stroller babytrend jogger</t>
  </si>
  <si>
    <t>snack tray for infans double stroller</t>
  </si>
  <si>
    <t>snack tray for zoe stroller</t>
  </si>
  <si>
    <t>snack tray shopping cart</t>
  </si>
  <si>
    <t>snack trays for toddlers</t>
  </si>
  <si>
    <t>snap on or velcro snack trays for child for ingenuity umbrella stroller on the side</t>
  </si>
  <si>
    <t>snap on tray for umbrella stroller no bar</t>
  </si>
  <si>
    <t>stannlybottle holder and food tray with cover non toxic tray for stroller</t>
  </si>
  <si>
    <t>stroller accessories for disney world</t>
  </si>
  <si>
    <t>asin="B0DKNQ2BMP"</t>
  </si>
  <si>
    <t>stroller attachments snack</t>
  </si>
  <si>
    <t>stroller bottle holder</t>
  </si>
  <si>
    <t>stroller clip on tray</t>
  </si>
  <si>
    <t>stroller cup holder attachment for kids</t>
  </si>
  <si>
    <t>stroller cup holder kids</t>
  </si>
  <si>
    <t>stroller cup holder ￼￼</t>
  </si>
  <si>
    <t>stroller food tray</t>
  </si>
  <si>
    <t>stroller kids cup holder graco ready to jet</t>
  </si>
  <si>
    <t>stroller snack</t>
  </si>
  <si>
    <t>stroller snack holder</t>
  </si>
  <si>
    <t>stroller snack tray attachment nuna</t>
  </si>
  <si>
    <t>stroller snack tray attachment that doesn't attach to a bar</t>
  </si>
  <si>
    <t>stroller snack tray clip on</t>
  </si>
  <si>
    <t>stroller snack trays</t>
  </si>
  <si>
    <t>stroller space saver</t>
  </si>
  <si>
    <t>stroller storage</t>
  </si>
  <si>
    <t>stroller storage holder</t>
  </si>
  <si>
    <t>stroller tray fis graco</t>
  </si>
  <si>
    <t>stroller tray for kids</t>
  </si>
  <si>
    <t>stroller wagon accessories</t>
  </si>
  <si>
    <t>stroller wagon cell phone holder snack tray</t>
  </si>
  <si>
    <t>stroller wagon snack tray universal</t>
  </si>
  <si>
    <t>stroller weights prevent tipping</t>
  </si>
  <si>
    <t>stroller with snack tray</t>
  </si>
  <si>
    <t>tender moments</t>
  </si>
  <si>
    <t>thule spring stroller accessories</t>
  </si>
  <si>
    <t>tijera para bebe</t>
  </si>
  <si>
    <t>toddler drink and snack holder</t>
  </si>
  <si>
    <t>toddler gentle nail file</t>
  </si>
  <si>
    <t>toddler safe cup holder</t>
  </si>
  <si>
    <t>toddler snack cup cupholder</t>
  </si>
  <si>
    <t>toddler stroller attachment for snacks</t>
  </si>
  <si>
    <t>toe nail grinder for seniors</t>
  </si>
  <si>
    <t>toenail clipper</t>
  </si>
  <si>
    <t>travel essentials disney stroller</t>
  </si>
  <si>
    <t>travel size baby essentials</t>
  </si>
  <si>
    <t>trays for strollers</t>
  </si>
  <si>
    <t>umbrella stroller accessories</t>
  </si>
  <si>
    <t>umbrella stroller tray attachment</t>
  </si>
  <si>
    <t>umbrella stroller tray attachment universal</t>
  </si>
  <si>
    <t>universal food tray for stroller</t>
  </si>
  <si>
    <t>universal snack tray for umbrella stroller</t>
  </si>
  <si>
    <t>universal snack tray for zoe twin</t>
  </si>
  <si>
    <t>universal stroller cup holder snack tray</t>
  </si>
  <si>
    <t>universal stroller cup holder with phone holder</t>
  </si>
  <si>
    <t>universal stroller snack tray with cup holder</t>
  </si>
  <si>
    <t>universal stroller snack trays</t>
  </si>
  <si>
    <t>universal stroller tray attachment</t>
  </si>
  <si>
    <t>universal stroller tray bob stroller</t>
  </si>
  <si>
    <t>universal tray for strollers</t>
  </si>
  <si>
    <t>universal umbrella stroller snack tray</t>
  </si>
  <si>
    <t>uppa baby glux accessories</t>
  </si>
  <si>
    <t>uppababy snack tray g luxe</t>
  </si>
  <si>
    <t>walker multifunction cup holder</t>
  </si>
  <si>
    <t>wheelchair arm cup holder attachment</t>
  </si>
  <si>
    <t>wheelchair tray</t>
  </si>
  <si>
    <t>wonderfold wagon cup holder w4</t>
  </si>
  <si>
    <t>wonderfold wagon w4 snack tray</t>
  </si>
  <si>
    <t>wonderful wagon drink holder</t>
  </si>
  <si>
    <t>￼universal clip on snack tray mompush</t>
  </si>
  <si>
    <t>360-degree adjustable, universal clamp-on cup holders</t>
  </si>
  <si>
    <t>adult electric nail trimmer</t>
  </si>
  <si>
    <t>amazon outlet clearance electric nail clippers</t>
  </si>
  <si>
    <t>anthem 2 wagon stroller accessories</t>
  </si>
  <si>
    <t>attachable snack tray</t>
  </si>
  <si>
    <t>autism hair clippers for kids</t>
  </si>
  <si>
    <t>b00nf9hh2m</t>
  </si>
  <si>
    <t>b0dfj2l1m3</t>
  </si>
  <si>
    <t>b0dwyk1wvs</t>
  </si>
  <si>
    <t>b0fvf51vyj</t>
  </si>
  <si>
    <t>baby file</t>
  </si>
  <si>
    <t>baby johnson</t>
  </si>
  <si>
    <t>baby nail grinder</t>
  </si>
  <si>
    <t>baby nail trimmer electric newborn</t>
  </si>
  <si>
    <t>baby trend stroller snack tray attachment child</t>
  </si>
  <si>
    <t>baby trend stroller tray replacement</t>
  </si>
  <si>
    <t>baby wipes warmer cordless</t>
  </si>
  <si>
    <t>bike cup holder cute</t>
  </si>
  <si>
    <t>bugaboo snack tray</t>
  </si>
  <si>
    <t>car seat snack tray</t>
  </si>
  <si>
    <t>chicco snack tray for stroller</t>
  </si>
  <si>
    <t>clip on stroller cup holder</t>
  </si>
  <si>
    <t>coche stroller accessories</t>
  </si>
  <si>
    <t>cortauñas para bebe</t>
  </si>
  <si>
    <t>cosco kids booster seat cup holders</t>
  </si>
  <si>
    <t>countors stroller tray</t>
  </si>
  <si>
    <t>cybex libelle snack tray</t>
  </si>
  <si>
    <t>electric nail clippers for seniors thick toenails</t>
  </si>
  <si>
    <t>electric nail clippers for stroke patients</t>
  </si>
  <si>
    <t>electric nail cutter for baby</t>
  </si>
  <si>
    <t>electric toe nail file</t>
  </si>
  <si>
    <t>evenflo reversi stroller accessories</t>
  </si>
  <si>
    <t>gb pockit all terrain stroller accessories</t>
  </si>
  <si>
    <t>gb pockit stroller accessories</t>
  </si>
  <si>
    <t>joovy double stroller attachment</t>
  </si>
  <si>
    <t>kids cupholder tray umbrella stroller</t>
  </si>
  <si>
    <t>liuliuby snack tray</t>
  </si>
  <si>
    <t>momoush compatible snack tray</t>
  </si>
  <si>
    <t>nail buffer electric</t>
  </si>
  <si>
    <t>nail buffer yellow</t>
  </si>
  <si>
    <t>nail clippers babies</t>
  </si>
  <si>
    <t>nail file for toddlers</t>
  </si>
  <si>
    <t>nail trimmer</t>
  </si>
  <si>
    <t>new baby essentials</t>
  </si>
  <si>
    <t>no stroller bumper bar snack tray</t>
  </si>
  <si>
    <t>portable plate for stroller handle</t>
  </si>
  <si>
    <t>snack tray</t>
  </si>
  <si>
    <t>snack tray for stroller with cover</t>
  </si>
  <si>
    <t>snacktray for graco grow with me stroller</t>
  </si>
  <si>
    <t>stroller bar mockingbird</t>
  </si>
  <si>
    <t>stroller bar snack drink holder attachment</t>
  </si>
  <si>
    <t>stroller baskets</t>
  </si>
  <si>
    <t>stroller caddy cute</t>
  </si>
  <si>
    <t>stroller snack bowl holder</t>
  </si>
  <si>
    <t>stroller snack tray holder</t>
  </si>
  <si>
    <t>stroller snack tray with cover</t>
  </si>
  <si>
    <t>suitable snack tray for thule glide 2 stroller</t>
  </si>
  <si>
    <t>thule double snack tray</t>
  </si>
  <si>
    <t>toddler electric nail file</t>
  </si>
  <si>
    <t>toe nail cutters rechargeable</t>
  </si>
  <si>
    <t>toenail clippers for seniors</t>
  </si>
  <si>
    <t>travel stroller snack clip</t>
  </si>
  <si>
    <t>travel tray for kids clip on</t>
  </si>
  <si>
    <t>tray for nuna stroller</t>
  </si>
  <si>
    <t>umbrella stroller food tray</t>
  </si>
  <si>
    <t>universal snack cross tray for stroller</t>
  </si>
  <si>
    <t>universal snack cup stroller</t>
  </si>
  <si>
    <t>universal snack tray for double stroller</t>
  </si>
  <si>
    <t>universal snack tray stroller</t>
  </si>
  <si>
    <t>universal stroller tray with cup holder</t>
  </si>
  <si>
    <t>universal umbrella stroller cup holder snack tray</t>
  </si>
  <si>
    <t>universal under stroller storage basket</t>
  </si>
  <si>
    <t>uppababy g link 2 double stroller accessories</t>
  </si>
  <si>
    <t>wagon cup holder attachment</t>
  </si>
  <si>
    <t>wagon tray attachment</t>
  </si>
  <si>
    <t>wonderfold luxe pro2 accessories</t>
  </si>
  <si>
    <t>wonderfold w4 snack tray</t>
  </si>
  <si>
    <t>wonderfold wagon cup holder attachment</t>
  </si>
  <si>
    <t>wonderfold wagon w4 velcro snack tray</t>
  </si>
  <si>
    <t>￼electric toenail clippers</t>
  </si>
  <si>
    <t>accessories for ingenuity 3d mini convenience stroller</t>
  </si>
  <si>
    <t>accessories for stroller wagon</t>
  </si>
  <si>
    <t>accmor stroller cup holder with tray</t>
  </si>
  <si>
    <t>attachable stroller tray</t>
  </si>
  <si>
    <t>b00khr71h6</t>
  </si>
  <si>
    <t>b013skbe7q</t>
  </si>
  <si>
    <t>b07n1vrp5p</t>
  </si>
  <si>
    <t>b07p1ysc18</t>
  </si>
  <si>
    <t>b07srvb6t6</t>
  </si>
  <si>
    <t>b08cyvgqd5</t>
  </si>
  <si>
    <t>b094pb9yqc</t>
  </si>
  <si>
    <t>b09v44cbbz</t>
  </si>
  <si>
    <t>b0bshfjssp</t>
  </si>
  <si>
    <t>b0c62k81dz</t>
  </si>
  <si>
    <t>b0clrhzfd5</t>
  </si>
  <si>
    <t>b0cs3n6wsr</t>
  </si>
  <si>
    <t>b0csf1hnj8</t>
  </si>
  <si>
    <t>b0ct62q6fq</t>
  </si>
  <si>
    <t>b0d4q79513</t>
  </si>
  <si>
    <t>b0d5qsdhz5</t>
  </si>
  <si>
    <t>b0d6hr3vzk</t>
  </si>
  <si>
    <t>b0dk4nwxyf</t>
  </si>
  <si>
    <t>b0dknq2bmp</t>
  </si>
  <si>
    <t>b0dw3zs564</t>
  </si>
  <si>
    <t>b0f295jnpr</t>
  </si>
  <si>
    <t>b0f2j4m2vt</t>
  </si>
  <si>
    <t>b0gl375kl9</t>
  </si>
  <si>
    <t>baby butt spatula</t>
  </si>
  <si>
    <t>baby essentials</t>
  </si>
  <si>
    <t>baby fingernail clippers</t>
  </si>
  <si>
    <t>baby hair cutting kit</t>
  </si>
  <si>
    <t>baby jogger city mini gate bar</t>
  </si>
  <si>
    <t>baby jogger city mini gt snack tray</t>
  </si>
  <si>
    <t>baby jogger city mini gt2 snack tray</t>
  </si>
  <si>
    <t>baby jogger city select snack tray</t>
  </si>
  <si>
    <t>baby jogger double stroller snack tray</t>
  </si>
  <si>
    <t>baby jogger kid snack tray</t>
  </si>
  <si>
    <t>baby kit</t>
  </si>
  <si>
    <t>baby mail file</t>
  </si>
  <si>
    <t>baby nail file electric</t>
  </si>
  <si>
    <t>nail trimmer for baby</t>
  </si>
  <si>
    <t>baby stroller snack tray</t>
  </si>
  <si>
    <t>baby things</t>
  </si>
  <si>
    <t>baby wipe warmer</t>
  </si>
  <si>
    <t>bannana stroller with tray</t>
  </si>
  <si>
    <t>barber kit baby</t>
  </si>
  <si>
    <t>bib cup holder for stroller</t>
  </si>
  <si>
    <t>bob snack tray double</t>
  </si>
  <si>
    <t>britax b free snack tray</t>
  </si>
  <si>
    <t>buffer nail kids</t>
  </si>
  <si>
    <t>bugaboo donkey snack tray compatible</t>
  </si>
  <si>
    <t>carseat clamp snack holder</t>
  </si>
  <si>
    <t>carseat cup holder snack tray clip on</t>
  </si>
  <si>
    <t>carseat stroller attachment zoe</t>
  </si>
  <si>
    <t>child snack tray and cup holder for stroller</t>
  </si>
  <si>
    <t>clamp on tray for rollator</t>
  </si>
  <si>
    <t>clip on double cup holder for stroller</t>
  </si>
  <si>
    <t>clip on stroller snack tray with no bar</t>
  </si>
  <si>
    <t>clip on to stroller snack bottle</t>
  </si>
  <si>
    <t>clip on tray for wheelchair</t>
  </si>
  <si>
    <t>cup and tray stroller</t>
  </si>
  <si>
    <t>cup holder stroller attachment</t>
  </si>
  <si>
    <t>cup holder with tray for stroller</t>
  </si>
  <si>
    <t>cup holder with tray for stroller 2 pack</t>
  </si>
  <si>
    <t>cybex coya snack tray</t>
  </si>
  <si>
    <t>dishwasher safe stroller accessories</t>
  </si>
  <si>
    <t>double bob stroller tray</t>
  </si>
  <si>
    <t>drink holders for stroller for kids</t>
  </si>
  <si>
    <t>electric finger and toenail clipper</t>
  </si>
  <si>
    <t>electric nail clipper for baby, adult and senior</t>
  </si>
  <si>
    <t>electric nail clippers for adults</t>
  </si>
  <si>
    <t>electric nail clippers for toenails</t>
  </si>
  <si>
    <t>electric nail clippers￼</t>
  </si>
  <si>
    <t>electric nail grinder 4 in one with grinder, drill, led light, removeal og gel nail polish</t>
  </si>
  <si>
    <t>electric nail trimmer for adults</t>
  </si>
  <si>
    <t>evenflo stroller reversi snack tray</t>
  </si>
  <si>
    <t>expandable stroller cup holder</t>
  </si>
  <si>
    <t>frame snack tray stroller</t>
  </si>
  <si>
    <t>gb pockit all city stroller snack tray</t>
  </si>
  <si>
    <t>gb pockit stroller snack tray no bar</t>
  </si>
  <si>
    <t>graco ready2jet stroller kids snack and cup holder</t>
  </si>
  <si>
    <t>graco ready2jet stroller snack tray</t>
  </si>
  <si>
    <t>graco snack tray replacement</t>
  </si>
  <si>
    <t>graco stroller accessories</t>
  </si>
  <si>
    <t>graco stroller accessories tray</t>
  </si>
  <si>
    <t>graco stroller tray attachment</t>
  </si>
  <si>
    <t>graco travel system stroller attachment for toddler</t>
  </si>
  <si>
    <t>graco tray for stroller with bar</t>
  </si>
  <si>
    <t>hewelth electric toenail clipper</t>
  </si>
  <si>
    <t>honey joy stroller accessories</t>
  </si>
  <si>
    <t>ingenuity 3d mini convenience stroller snack tray</t>
  </si>
  <si>
    <t>ingenuity 3d mini stroller snack tray with no bar</t>
  </si>
  <si>
    <t>ingenuity stroller cup holder</t>
  </si>
  <si>
    <t>ingenuity stroller side attachment for tray for baby</t>
  </si>
  <si>
    <t>ingenuity stroller snack tray</t>
  </si>
  <si>
    <t>jeep double umbrella stroller accessories food bar</t>
  </si>
  <si>
    <t>joovy tray</t>
  </si>
  <si>
    <t>kdd stroller cup holder</t>
  </si>
  <si>
    <t>kids cup holder for umbrella stroller</t>
  </si>
  <si>
    <t>kids snack cup for stroller</t>
  </si>
  <si>
    <t>kids tray for umbrella stroller</t>
  </si>
  <si>
    <t>kolcraft stroller accessories</t>
  </si>
  <si>
    <t>liuliuby universal stroller snack tray</t>
  </si>
  <si>
    <t>lixa de inha de bebe</t>
  </si>
  <si>
    <t>mockingbird stroller snack tray</t>
  </si>
  <si>
    <t>nail buffer for yellow nails</t>
  </si>
  <si>
    <t>nail electric filer</t>
  </si>
  <si>
    <t>nail file for men</t>
  </si>
  <si>
    <t>on the go baby snack container attach to stroller</t>
  </si>
  <si>
    <t>parent try attachment for stroller</t>
  </si>
  <si>
    <t>peeling machine</t>
  </si>
  <si>
    <t>pink cup holder stroller</t>
  </si>
  <si>
    <t>portable attachable tray</t>
  </si>
  <si>
    <t>portable stroller with tray</t>
  </si>
  <si>
    <t>rechargeable baby nail file</t>
  </si>
  <si>
    <t>replacement cupholder grace stroller</t>
  </si>
  <si>
    <t>safe fit snack pod for strollers</t>
  </si>
  <si>
    <t>safety 1st step lite compact stroller snack attachment</t>
  </si>
  <si>
    <t>safety first car seat snacks holder</t>
  </si>
  <si>
    <t>shopping cart snack tray</t>
  </si>
  <si>
    <t>shopping cart snack tray for toddler</t>
  </si>
  <si>
    <t>side by side cup holder</t>
  </si>
  <si>
    <t>side snack tray for strollers</t>
  </si>
  <si>
    <t>sit and stand stroller accessories</t>
  </si>
  <si>
    <t>small snack holder for stroller</t>
  </si>
  <si>
    <t>snack and drink holder stroller</t>
  </si>
  <si>
    <t>snack bar wagon w2</t>
  </si>
  <si>
    <t>snack tray compatible with babytrend double jogger</t>
  </si>
  <si>
    <t>snack tray compatible with colugo strollers</t>
  </si>
  <si>
    <t>snack tray for evenflo pivot xpand stroller</t>
  </si>
  <si>
    <t>asin="B0CJ4YL7L6"</t>
  </si>
  <si>
    <t>snack tray for jeep double stroller</t>
  </si>
  <si>
    <t>snack tray for mini convenience stroller</t>
  </si>
  <si>
    <t>snack tray for stroller with no bar</t>
  </si>
  <si>
    <t>snack tray for umbrella stroller</t>
  </si>
  <si>
    <t>snack tray for umbrella stroller without bar</t>
  </si>
  <si>
    <t>snack tray for walking pad handle bar</t>
  </si>
  <si>
    <t>snack tray for zoe twin</t>
  </si>
  <si>
    <t>snack tray with lid for stroller</t>
  </si>
  <si>
    <t>snack trays for veer wagon</t>
  </si>
  <si>
    <t>snap on accessories for umbrella stroller</t>
  </si>
  <si>
    <t>snap on stroller tray</t>
  </si>
  <si>
    <t>snap on tray for umbrella stroller</t>
  </si>
  <si>
    <t>stroller accessories front tray</t>
  </si>
  <si>
    <t>stroller bench seat attachment</t>
  </si>
  <si>
    <t>stroller caddy umbrella strollers</t>
  </si>
  <si>
    <t>stroller cargo caddy</t>
  </si>
  <si>
    <t>stroller cup holder for flat bars</t>
  </si>
  <si>
    <t>stroller cup holder for toddler</t>
  </si>
  <si>
    <t>stroller cup holder side attachment</t>
  </si>
  <si>
    <t>stroller cupholder and tray fr adults</t>
  </si>
  <si>
    <t>stroller handle toddler tether wrist</t>
  </si>
  <si>
    <t>stroller kids cupholder</t>
  </si>
  <si>
    <t>stroller large cup holder</t>
  </si>
  <si>
    <t>stroller replacement front tray</t>
  </si>
  <si>
    <t>stroller snack tray attachment city g2t</t>
  </si>
  <si>
    <t>stroller snack tray attachment no bar</t>
  </si>
  <si>
    <t>stroller snack tray bugaboo butterfly</t>
  </si>
  <si>
    <t>stroller snack tray uppa baby minu v3</t>
  </si>
  <si>
    <t>stroller standing board attachment</t>
  </si>
  <si>
    <t>stroller storage cup holder</t>
  </si>
  <si>
    <t>stroller table mickey mouse stroller</t>
  </si>
  <si>
    <t>stroller toy accessories</t>
  </si>
  <si>
    <t>asin="B0DDP2FVG5"</t>
  </si>
  <si>
    <t>stroller tray universal</t>
  </si>
  <si>
    <t>stroller wagon child cup holder</t>
  </si>
  <si>
    <t>stroller wagon kid tray</t>
  </si>
  <si>
    <t>thule cup holder</t>
  </si>
  <si>
    <t>toddler nail clipper</t>
  </si>
  <si>
    <t>toe nails</t>
  </si>
  <si>
    <t>toenail clippers for thick toenails</t>
  </si>
  <si>
    <t>tray attachment stroller</t>
  </si>
  <si>
    <t>tray bar stroller clip on</t>
  </si>
  <si>
    <t>tray for wagon stroller with support bar</t>
  </si>
  <si>
    <t>tray replacement for baby trend tour wagon</t>
  </si>
  <si>
    <t>umbrella stroller cup holder and tray for kid</t>
  </si>
  <si>
    <t>umbrella stroller universal cup holder with tray</t>
  </si>
  <si>
    <t>universal cup holder for stroller</t>
  </si>
  <si>
    <t>universal cup snack tray for jogging stroller</t>
  </si>
  <si>
    <t>universal dog stroller cup holder with tray</t>
  </si>
  <si>
    <t>universal snack tray for wagon</t>
  </si>
  <si>
    <t>universal snack tray no bumper bar</t>
  </si>
  <si>
    <t>universal stroller cup and snack tray</t>
  </si>
  <si>
    <t>universal stroller organizer</t>
  </si>
  <si>
    <t>velcro snack tray</t>
  </si>
  <si>
    <t>wagon snack tray with 2 cup holders</t>
  </si>
  <si>
    <t>wagon stroller tray</t>
  </si>
  <si>
    <t>yoyo stroller snack tray</t>
  </si>
  <si>
    <t>￼cupholder snack holder stroller</t>
  </si>
  <si>
    <t>360 clamp mount to hold things in on wheelchair or stroller</t>
  </si>
  <si>
    <t>accessories for britax b lively double stroller</t>
  </si>
  <si>
    <t>accessories ￼for umbrella ￼strollers accessories</t>
  </si>
  <si>
    <t>adaptadores para poner juegos en coche de bebe</t>
  </si>
  <si>
    <t>attachable stroller cup holder</t>
  </si>
  <si>
    <t>automatic bottle maker</t>
  </si>
  <si>
    <t>b004lt4xqs</t>
  </si>
  <si>
    <t>b01m59qpsk</t>
  </si>
  <si>
    <t>b0b7w12yt2</t>
  </si>
  <si>
    <t>b0cw33rkyq</t>
  </si>
  <si>
    <t>baby bath tubs for infants to toddler</t>
  </si>
  <si>
    <t>baby bathtub for newborn</t>
  </si>
  <si>
    <t>baby cologne</t>
  </si>
  <si>
    <t>baby jogger double stroller</t>
  </si>
  <si>
    <t>baby jogger snack tray</t>
  </si>
  <si>
    <t>baby lounger pillow for newborn</t>
  </si>
  <si>
    <t>nail buffer auto children</t>
  </si>
  <si>
    <t>baby nail trimmer rechargeable</t>
  </si>
  <si>
    <t>baby stroller cup holder storage</t>
  </si>
  <si>
    <t>baby tongue cleaner</t>
  </si>
  <si>
    <t>bob stroller snack tray double</t>
  </si>
  <si>
    <t>bombi travel stroller accessories</t>
  </si>
  <si>
    <t>bouncer</t>
  </si>
  <si>
    <t>brica stroller cup holder</t>
  </si>
  <si>
    <t>britax child tray</t>
  </si>
  <si>
    <t>bumper tray for stroller</t>
  </si>
  <si>
    <t>car seat cup holder snack tray graco 360</t>
  </si>
  <si>
    <t>chicco corso stroller tray</t>
  </si>
  <si>
    <t>chicco mini bravo sport tray</t>
  </si>
  <si>
    <t>city mini air snack tray</t>
  </si>
  <si>
    <t>city mini gt jogger stroller attachments</t>
  </si>
  <si>
    <t>city mini gt single stroller accessories</t>
  </si>
  <si>
    <t>clip on cup holder for stroller</t>
  </si>
  <si>
    <t>clip on cup holder for wagon</t>
  </si>
  <si>
    <t>clip on snack tray for stroller without bumper bar</t>
  </si>
  <si>
    <t>contours stroller snack tray</t>
  </si>
  <si>
    <t>cosco stroller attachment</t>
  </si>
  <si>
    <t>cup holder candy dish</t>
  </si>
  <si>
    <t>cup holder tray</t>
  </si>
  <si>
    <t>cup holder tray for car seat</t>
  </si>
  <si>
    <t>cup holder with snack bowl for bike</t>
  </si>
  <si>
    <t>double jogging stroller accessories</t>
  </si>
  <si>
    <t>dream on me accessories stroller</t>
  </si>
  <si>
    <t>dream on me double stroller snack holder</t>
  </si>
  <si>
    <t>drink holder for umbrella stroller</t>
  </si>
  <si>
    <t>evenflo omni plus stroller attachment</t>
  </si>
  <si>
    <t>ever advanced wagon stroller tray</t>
  </si>
  <si>
    <t>extra large stroller cup holder</t>
  </si>
  <si>
    <t>fingernail cutter machines</t>
  </si>
  <si>
    <t>hoggi stroller organizer</t>
  </si>
  <si>
    <t>jeep stroller side by side kids cupholder</t>
  </si>
  <si>
    <t>jeep wagon snack tray attachment</t>
  </si>
  <si>
    <t>jogging stroller storage</t>
  </si>
  <si>
    <t>asin="B0DKNQTJHX"</t>
  </si>
  <si>
    <t>joie stroller toddler attachment</t>
  </si>
  <si>
    <t>joovy kooper x2 snack tray</t>
  </si>
  <si>
    <t>keenz wagon stroller snack tray</t>
  </si>
  <si>
    <t>kid snack tray for stroller wagon</t>
  </si>
  <si>
    <t>luffcabo snack tray stroller</t>
  </si>
  <si>
    <t>munchkin snack pod tray</t>
  </si>
  <si>
    <t>nagelvijl baby</t>
  </si>
  <si>
    <t>nails trimmer kit baby</t>
  </si>
  <si>
    <t>new born baby pillow</t>
  </si>
  <si>
    <t>newborn essentials</t>
  </si>
  <si>
    <t>rechargeable electric nail clipper baby</t>
  </si>
  <si>
    <t>regalo para bb recien nacido</t>
  </si>
  <si>
    <t>silent baby hair clipper</t>
  </si>
  <si>
    <t>snack and drink holder for graco jogging stroller</t>
  </si>
  <si>
    <t>snack holder for side of stroller</t>
  </si>
  <si>
    <t>snack tray adapter bombi</t>
  </si>
  <si>
    <t>snack tray for jeep stroller</t>
  </si>
  <si>
    <t>snack tray for thule urban glide 2</t>
  </si>
  <si>
    <t>snack tray for wagon</t>
  </si>
  <si>
    <t>snack tray stroller attachment</t>
  </si>
  <si>
    <t>snacktray gb pockit air</t>
  </si>
  <si>
    <t>stokke yoyo accessories</t>
  </si>
  <si>
    <t>stroller accessories for mom</t>
  </si>
  <si>
    <t>stroller attachments baby trend navigator double jogger</t>
  </si>
  <si>
    <t>stroller bag attachment</t>
  </si>
  <si>
    <t>stroller caddy with cup holder</t>
  </si>
  <si>
    <t>stroller cup holder child</t>
  </si>
  <si>
    <t>stroller kid cup holder</t>
  </si>
  <si>
    <t>stroller kids cup holder attachment</t>
  </si>
  <si>
    <t>stroller organizer compatible</t>
  </si>
  <si>
    <t>stroller organizer cups</t>
  </si>
  <si>
    <t>stroller phone holder</t>
  </si>
  <si>
    <t>stroller snack plate</t>
  </si>
  <si>
    <t>stroller snack tray attachment with bar</t>
  </si>
  <si>
    <t>stroller tray for parents</t>
  </si>
  <si>
    <t>stroller tray nuna</t>
  </si>
  <si>
    <t>stroller with snack tray and cup holder</t>
  </si>
  <si>
    <t>strollerframe snack tray attachment</t>
  </si>
  <si>
    <t>things for newborn</t>
  </si>
  <si>
    <t>thule stroller accessories</t>
  </si>
  <si>
    <t>toallas para bebe</t>
  </si>
  <si>
    <t>travel stroller accessories</t>
  </si>
  <si>
    <t>tray attachment for graco stroller</t>
  </si>
  <si>
    <t>tray for sekey wagon</t>
  </si>
  <si>
    <t>trays that attach to strollers that don't have a belly bar</t>
  </si>
  <si>
    <t>ubbi diaper discs holder</t>
  </si>
  <si>
    <t>umbrella stroller with snack tray</t>
  </si>
  <si>
    <t>universal cup holder for walker</t>
  </si>
  <si>
    <t>universal stroller feeder</t>
  </si>
  <si>
    <t>universal stroller organizer/snack tray</t>
  </si>
  <si>
    <t>universal travel stroller tray</t>
  </si>
  <si>
    <t>very short nails for kids</t>
  </si>
  <si>
    <t>vista snack tray</t>
  </si>
  <si>
    <t>wagon snack cups</t>
  </si>
  <si>
    <t>warmer wipes</t>
  </si>
  <si>
    <t>￼baby nail buffer</t>
  </si>
  <si>
    <t>￼electric nail clipper</t>
  </si>
  <si>
    <t>￼universal stroller snack tray</t>
  </si>
  <si>
    <t>Month</t>
  </si>
  <si>
    <t>Week</t>
  </si>
  <si>
    <t>(All)</t>
  </si>
  <si>
    <t>Row Labels</t>
  </si>
  <si>
    <t>Grand Total</t>
  </si>
  <si>
    <t>Sum of Impressions</t>
  </si>
  <si>
    <t>Sum of Clicks</t>
  </si>
  <si>
    <t>Sum of Spend</t>
  </si>
  <si>
    <t xml:space="preserve">Sum of 7 Day Total Sales </t>
  </si>
  <si>
    <t>Sum of 7 Day Total Orders (#)</t>
  </si>
  <si>
    <t>Sum of CPC</t>
  </si>
  <si>
    <t>Sum of ACOS</t>
  </si>
  <si>
    <t>Sum of CTR</t>
  </si>
  <si>
    <t>Sum of CVR</t>
  </si>
  <si>
    <t>(Multiple Items)</t>
  </si>
  <si>
    <t>灰色建议否掉</t>
  </si>
  <si>
    <t>Reason</t>
  </si>
  <si>
    <t>无此类产品，基本无关联</t>
  </si>
  <si>
    <t>同等价位，2个一卖</t>
  </si>
  <si>
    <t>种类太多</t>
  </si>
  <si>
    <t>种类太多了</t>
  </si>
  <si>
    <t>无此类相关产品</t>
  </si>
  <si>
    <t>品太多，不好打</t>
  </si>
  <si>
    <t>评分4.6，销售量35.5k，不好打</t>
  </si>
  <si>
    <t>产品基本无关联性，婴儿小剪刀</t>
  </si>
  <si>
    <t>价格9.99太有优势了，虽然比我们低0.5分</t>
  </si>
  <si>
    <t>建议否掉，套装系列，配套齐全</t>
  </si>
  <si>
    <t>无搜索结果</t>
  </si>
  <si>
    <t>品种太杂乱</t>
  </si>
  <si>
    <t>种类太多，范围太大</t>
  </si>
  <si>
    <t>价格低15.99，评分高0.3，功能差不多</t>
  </si>
  <si>
    <t>耳机，无关产品</t>
  </si>
  <si>
    <t>品种太多</t>
  </si>
  <si>
    <t>评分相同，价格低，销量多</t>
  </si>
  <si>
    <t>销量2.8k，评分高0.4，虽然价格高</t>
  </si>
  <si>
    <t>功能不同，这个是organizer</t>
  </si>
  <si>
    <t>organizer，功能性多于我们</t>
  </si>
  <si>
    <t>无太多关联，结果大部分是置物袋</t>
  </si>
  <si>
    <t>以organizer为主</t>
  </si>
  <si>
    <t>关联性不强</t>
  </si>
  <si>
    <t>价格低，与我们品不同类别</t>
  </si>
  <si>
    <t>无关联性产品，收纳盒</t>
  </si>
  <si>
    <t>虽然有关联，但是竞争太多</t>
  </si>
  <si>
    <t>竞争太多，搜出的同类产品不多</t>
  </si>
  <si>
    <t>这是adapter，基本无关联</t>
  </si>
  <si>
    <t>评分高4.4，价格持平，销售量多</t>
  </si>
  <si>
    <t>范围太大</t>
  </si>
  <si>
    <t>无相关产品</t>
  </si>
  <si>
    <t>打不过，价格11，评分4.3，销量600+</t>
  </si>
  <si>
    <t>种类太多，不好打</t>
  </si>
  <si>
    <t>品种杂乱</t>
  </si>
  <si>
    <t>基本无关联性</t>
  </si>
  <si>
    <t>基本都是organizer产品</t>
  </si>
  <si>
    <t>产品功能不同，这个是横着的</t>
  </si>
  <si>
    <t>打不过，普遍评分高和价格低</t>
  </si>
  <si>
    <t>完全无关联性</t>
  </si>
  <si>
    <t>产品普遍价格低于我们，不好打</t>
  </si>
  <si>
    <t>范围太大，品种太多</t>
  </si>
  <si>
    <t>功能不同，与自家产品不太相关</t>
  </si>
  <si>
    <t>属于organizer，价格还低于我们</t>
  </si>
  <si>
    <t>无太多关联产品</t>
  </si>
  <si>
    <t>基本结果都是置物袋</t>
  </si>
  <si>
    <t>如果是单独cup holder，能打过我们的太多了</t>
  </si>
  <si>
    <t>无相关性产品</t>
  </si>
  <si>
    <t>基本与我们的产品无关联性</t>
  </si>
  <si>
    <t>无相关性搜索词</t>
  </si>
  <si>
    <t>无关联性产品</t>
  </si>
  <si>
    <t>基本没有相关产品出现</t>
  </si>
  <si>
    <t>评分4.5，销售量1.3k</t>
  </si>
  <si>
    <t>已有overpicked产品，不好打</t>
  </si>
  <si>
    <t>搜出结果都是organizer偏多</t>
  </si>
  <si>
    <t>品种多，不好打</t>
  </si>
  <si>
    <t>无相关联产品</t>
  </si>
  <si>
    <t>无关联产品</t>
  </si>
  <si>
    <t>无关联性产品，搜出的结果种类太多</t>
  </si>
  <si>
    <t>主要是cup holder，不好打</t>
  </si>
  <si>
    <t>无关联性</t>
  </si>
  <si>
    <t>种类多，选择太多，竞争太强</t>
  </si>
  <si>
    <t>无此类产品</t>
  </si>
  <si>
    <t>不太好打，品种很多</t>
  </si>
  <si>
    <t>基本都是organizer产品，没必要打</t>
  </si>
  <si>
    <t>2个装，价格只高4刀</t>
  </si>
  <si>
    <t>基本无关联的产品出现</t>
  </si>
  <si>
    <t>完全不同于我们产品</t>
  </si>
  <si>
    <t>我们不是rechargeable，电池款</t>
  </si>
  <si>
    <t>置物袋基本都是</t>
  </si>
  <si>
    <t>种类太多，无关联性</t>
  </si>
  <si>
    <t>不好多，出现很多销量top的产品</t>
  </si>
  <si>
    <t>完全没有关联性</t>
  </si>
  <si>
    <t>和我们完全不是一类产品</t>
  </si>
  <si>
    <t>基本都是单独的cup holder</t>
  </si>
  <si>
    <t>不太相关</t>
  </si>
  <si>
    <t>种类多，很多销量top的产品</t>
  </si>
  <si>
    <t>无相关性的产品</t>
  </si>
  <si>
    <t>set系列偏多，不好打</t>
  </si>
  <si>
    <t>organizer偏多，我产品不太好打</t>
  </si>
  <si>
    <t>范围大，种类多</t>
  </si>
  <si>
    <t>不太关联我们的产品</t>
  </si>
  <si>
    <t>套装系列，打不了</t>
  </si>
  <si>
    <t>基本都是置物袋</t>
  </si>
  <si>
    <t>搜索出的产品太杂乱</t>
  </si>
  <si>
    <t>都是销量top的产品，不好打</t>
  </si>
  <si>
    <t>不好打，全都是竞争很强的产品，top销量</t>
  </si>
  <si>
    <t>有更有关联性的产品且价格优势于我们</t>
  </si>
  <si>
    <t>已经不在USA售卖organizer类产品</t>
  </si>
  <si>
    <t>套装系列很多，不好打</t>
  </si>
  <si>
    <t>评分只差0.1，价格低5刀左右</t>
  </si>
  <si>
    <t>无太多关联性</t>
  </si>
  <si>
    <t>都是置物袋产品，无太多关联</t>
  </si>
  <si>
    <t>评分一般，销量一般，不建议打广告在这里</t>
  </si>
  <si>
    <t>都是cup holder产品，指定产品</t>
  </si>
  <si>
    <t>范围太大，种类多</t>
  </si>
  <si>
    <t>种类多，不好打</t>
  </si>
  <si>
    <t>都是置物袋产品，不太好竞争</t>
  </si>
  <si>
    <t>目前在打折，19.99USD，评分4.2</t>
  </si>
  <si>
    <t>种类多，也基本都是置物袋类产品</t>
  </si>
  <si>
    <t>种类多</t>
  </si>
  <si>
    <t>种类多，同类产品竞争也强，不好打</t>
  </si>
  <si>
    <t>全是top销量的同类产品</t>
  </si>
  <si>
    <t>基本都是手动指甲刀类产品</t>
  </si>
  <si>
    <t>主要是以杯子hodler</t>
  </si>
  <si>
    <t>打不过，置物袋，而且很精致</t>
  </si>
  <si>
    <t>我们产品不太关联</t>
  </si>
  <si>
    <t>材质不同，各方面碾压，除了价格我们便宜</t>
  </si>
  <si>
    <t>好无关联</t>
  </si>
  <si>
    <t>不好打，比我们评分高，且价格差不多</t>
  </si>
  <si>
    <t>无类似产品</t>
  </si>
  <si>
    <t>不需要否掉</t>
  </si>
  <si>
    <t>现在查不到</t>
  </si>
  <si>
    <t>搜索词不精准</t>
  </si>
  <si>
    <t>评分高0.5，4.5，销量215</t>
  </si>
  <si>
    <t>价格才10刀，评分差不多</t>
  </si>
  <si>
    <t>主要是与购物车关联偏多</t>
  </si>
  <si>
    <t>价格低，单个的水杯架，</t>
  </si>
  <si>
    <t>搜索结果太杂乱</t>
  </si>
  <si>
    <t>可以加入捡漏</t>
  </si>
  <si>
    <t>Baby stroller toy adapters</t>
  </si>
  <si>
    <t>16 gauge finish nailer</t>
  </si>
  <si>
    <t>3-in-1 stroller tray attachment cup holder</t>
  </si>
  <si>
    <t>4 pack of cup holders for stroller</t>
  </si>
  <si>
    <t>accmor stroller snack tray</t>
  </si>
  <si>
    <t>accmor stroller snack tray attachment</t>
  </si>
  <si>
    <t>adult tray graco stroller</t>
  </si>
  <si>
    <t>attachable cup holder for stroller</t>
  </si>
  <si>
    <t>attachable snack cup to stroller</t>
  </si>
  <si>
    <t>b0757s517b</t>
  </si>
  <si>
    <t>b07cc2n7wr</t>
  </si>
  <si>
    <t>b07nzc7bps</t>
  </si>
  <si>
    <t>b09t5dtwgc</t>
  </si>
  <si>
    <t>捡漏SP.Auto - BNF Yellow up&amp;down</t>
  </si>
  <si>
    <t>b0blcttmrb</t>
  </si>
  <si>
    <t>b0bmxg3xrn</t>
  </si>
  <si>
    <t>b0brmfykm7</t>
  </si>
  <si>
    <t>asin="B0C1G4985Z"</t>
  </si>
  <si>
    <t>b0c1sj1g82</t>
  </si>
  <si>
    <t>b0c4v73d1y</t>
  </si>
  <si>
    <t>b0cmt8djhn</t>
  </si>
  <si>
    <t>b0d5r59tpv</t>
  </si>
  <si>
    <t>b0ddp2fvg5</t>
  </si>
  <si>
    <t>b0dnt8n9bv</t>
  </si>
  <si>
    <t>b0dq54hl53</t>
  </si>
  <si>
    <t>b0dscjw89z</t>
  </si>
  <si>
    <t>b0f4dhwnmp</t>
  </si>
  <si>
    <t>b0f7lhkdbb</t>
  </si>
  <si>
    <t>b0f8vydmq3</t>
  </si>
  <si>
    <t>b0ff4km6rd</t>
  </si>
  <si>
    <t>b0fh1gvlhj</t>
  </si>
  <si>
    <t>b0fnjylddz</t>
  </si>
  <si>
    <t>b0fnydb6ty</t>
  </si>
  <si>
    <t>b0fqbp6qc2</t>
  </si>
  <si>
    <t>b0fvs61hrz</t>
  </si>
  <si>
    <t>b0gcfhrpk6</t>
  </si>
  <si>
    <t>baby accessories for newborn boy</t>
  </si>
  <si>
    <t>baby aquaphor</t>
  </si>
  <si>
    <t>baby bath support</t>
  </si>
  <si>
    <t>baby care</t>
  </si>
  <si>
    <t>baby feeding set</t>
  </si>
  <si>
    <t>baby fingernail file</t>
  </si>
  <si>
    <t>baby gadgets</t>
  </si>
  <si>
    <t>baby jogger city mini accessories</t>
  </si>
  <si>
    <t>baby jogger city select bar</t>
  </si>
  <si>
    <t>baby nail trimmer only 2.99 regularly 15.99</t>
  </si>
  <si>
    <t>baby shopping cart attachment</t>
  </si>
  <si>
    <t>baby stroller tray attachment</t>
  </si>
  <si>
    <t>baby trend double stroller tray replacement</t>
  </si>
  <si>
    <t>baby trend stroller attachments</t>
  </si>
  <si>
    <t>baby trend wagon snack tray</t>
  </si>
  <si>
    <t>babygirl swing</t>
  </si>
  <si>
    <t>babytrend double jogger stroller snack tray</t>
  </si>
  <si>
    <t>babytrend stroller attachment</t>
  </si>
  <si>
    <t>best universal snack tray compatible with jogger gt2￼</t>
  </si>
  <si>
    <t>bob duallie snack tray</t>
  </si>
  <si>
    <t>bob duallie stroller cup holder</t>
  </si>
  <si>
    <t>bob flex 3.0 snack tray</t>
  </si>
  <si>
    <t>braiding tool machine</t>
  </si>
  <si>
    <t>brica snack and cup holder</t>
  </si>
  <si>
    <t>britax b-ready stroller snack tray￼</t>
  </si>
  <si>
    <t>bugaboo stroller accessories</t>
  </si>
  <si>
    <t>bundlepro stroller cup holder</t>
  </si>
  <si>
    <t>car seat snack tray no cup holder</t>
  </si>
  <si>
    <t>chicco double stroller snack attachment for backseat</t>
  </si>
  <si>
    <t>child nail</t>
  </si>
  <si>
    <t>child tray for stroller without bar</t>
  </si>
  <si>
    <t>child's snack tray for stroller</t>
  </si>
  <si>
    <t>city mini stroller accessories</t>
  </si>
  <si>
    <t>clamp cupholder</t>
  </si>
  <si>
    <t>clamped stroller tray</t>
  </si>
  <si>
    <t>clip nail for kids with light</t>
  </si>
  <si>
    <t>clip on food tray for stroller</t>
  </si>
  <si>
    <t>compartment for strollercompartments that attach to pole</t>
  </si>
  <si>
    <t>corded electric brad nail gun lightweight</t>
  </si>
  <si>
    <t>cradle cap brush</t>
  </si>
  <si>
    <t>cup and snack holder for double stroller</t>
  </si>
  <si>
    <t>cup and snack holder for umbrella stroller</t>
  </si>
  <si>
    <t>cup holder and snack for ingenuity stroller</t>
  </si>
  <si>
    <t>cup holder attachment for stroller clip on</t>
  </si>
  <si>
    <t>cup holder for compact stroller</t>
  </si>
  <si>
    <t>cup holder for stroller tray</t>
  </si>
  <si>
    <t>cup holder for strollers</t>
  </si>
  <si>
    <t>cup holder tray stroller</t>
  </si>
  <si>
    <t>cup holders for strollers</t>
  </si>
  <si>
    <t>cup or snack holder for stroller</t>
  </si>
  <si>
    <t>cupholder and snack cup holder for radio flyer wagon</t>
  </si>
  <si>
    <t>cybex folding stroller accessories</t>
  </si>
  <si>
    <t>cómo hacer bebé shark en uñas</t>
  </si>
  <si>
    <t>disney stroller accessories</t>
  </si>
  <si>
    <t>dog nail clippers</t>
  </si>
  <si>
    <t>dog nail trimmers</t>
  </si>
  <si>
    <t>dog stroller cup holder and storage</t>
  </si>
  <si>
    <t>double cup holder for stroller</t>
  </si>
  <si>
    <t>double stroller</t>
  </si>
  <si>
    <t>double stroller organizer attachment</t>
  </si>
  <si>
    <t>double stroller snack tray no bar</t>
  </si>
  <si>
    <t>double stroller with snack tray and cup holder</t>
  </si>
  <si>
    <t>drink and snack holder for stroller</t>
  </si>
  <si>
    <t>drink holder stroller with tray</t>
  </si>
  <si>
    <t>electric baby swing</t>
  </si>
  <si>
    <t>electric clippers</t>
  </si>
  <si>
    <t>electric nail clippers for seniors luffcabo</t>
  </si>
  <si>
    <t>electric nail file baby</t>
  </si>
  <si>
    <t>electric nail file drill for baby</t>
  </si>
  <si>
    <t>electric nail file for baby</t>
  </si>
  <si>
    <t>electric nail file for newborn</t>
  </si>
  <si>
    <t>electric nail trimmer file baby pink</t>
  </si>
  <si>
    <t>electric toe nail grinder for thick nails</t>
  </si>
  <si>
    <t>familidoo q1 accessories</t>
  </si>
  <si>
    <t>fingernail clipper</t>
  </si>
  <si>
    <t>flood tray for stroller for parents</t>
  </si>
  <si>
    <t>food tray stroller</t>
  </si>
  <si>
    <t>frame-mounted snack tray stroller</t>
  </si>
  <si>
    <t>glass nail file</t>
  </si>
  <si>
    <t>graco modes attachments</t>
  </si>
  <si>
    <t>graco ready2jet stroller accessories</t>
  </si>
  <si>
    <t>graco snack trays</t>
  </si>
  <si>
    <t>graco stroller board attachment</t>
  </si>
  <si>
    <t>graco stroller cup holder</t>
  </si>
  <si>
    <t>graco stroller tray replacement parts</t>
  </si>
  <si>
    <t>graco stroller universal cup holder</t>
  </si>
  <si>
    <t>gyro cup holder stroller</t>
  </si>
  <si>
    <t>habitat universal stroller cup holder attachment with phone holder</t>
  </si>
  <si>
    <t>hard plastic organizer tray back of stroller</t>
  </si>
  <si>
    <t>hard plastic parent tray for jeep double stroller</t>
  </si>
  <si>
    <t>hard stroller wagon tray</t>
  </si>
  <si>
    <t>ingenuity 3d mini convenience stroller accessories</t>
  </si>
  <si>
    <t>ingenuity 3d mini stroller cup holder</t>
  </si>
  <si>
    <t>ingenuity 3d mini stroller cup holder attachment</t>
  </si>
  <si>
    <t>ingenuity snack attachment</t>
  </si>
  <si>
    <t>ingenuity stroller tray</t>
  </si>
  <si>
    <t>jeep destination ultralight side x side double stroller cup holder</t>
  </si>
  <si>
    <t>jeep destination ultralight side x side double stroller, food trays</t>
  </si>
  <si>
    <t>jeep double stroller snack tray attachment</t>
  </si>
  <si>
    <t>jeep powerglyde stroller by delta children accessories</t>
  </si>
  <si>
    <t>jeep powerglyde stroller cup holder</t>
  </si>
  <si>
    <t>jeep stroller with tray</t>
  </si>
  <si>
    <t>jogger stroller cup holder</t>
  </si>
  <si>
    <t>joovy caboose snack tray replacement</t>
  </si>
  <si>
    <t>joovy scooter x2 snack trays</t>
  </si>
  <si>
    <t>joovy snack tray replacement</t>
  </si>
  <si>
    <t>keenz 7s wagon accessories</t>
  </si>
  <si>
    <t>kit for baby</t>
  </si>
  <si>
    <t>knipex electric clamp</t>
  </si>
  <si>
    <t>kolcraft stroller snack tray</t>
  </si>
  <si>
    <t>lap snack tray wheelchair</t>
  </si>
  <si>
    <t>lightweight stroller tray with lids</t>
  </si>
  <si>
    <t>lil nipper</t>
  </si>
  <si>
    <t>liuliuby snack tray for stroller</t>
  </si>
  <si>
    <t>luffcabo</t>
  </si>
  <si>
    <t>machine for sanding nails</t>
  </si>
  <si>
    <t>mini table for stroller wagon</t>
  </si>
  <si>
    <t>momfan wagon stroller accessories</t>
  </si>
  <si>
    <t>mompush stroller accessories</t>
  </si>
  <si>
    <t>mosquiteros para cunas de bebes</t>
  </si>
  <si>
    <t>my first year stroller cup holder</t>
  </si>
  <si>
    <t>nail clippers for adults</t>
  </si>
  <si>
    <t>nail clippers for baby</t>
  </si>
  <si>
    <t>nail file for babies</t>
  </si>
  <si>
    <t>nail file for kids</t>
  </si>
  <si>
    <t>nail file sunshine</t>
  </si>
  <si>
    <t>nail gadgets</t>
  </si>
  <si>
    <t>nail line for baby</t>
  </si>
  <si>
    <t>nasal aspirator for baby</t>
  </si>
  <si>
    <t>no bar stroller snack tray for kids</t>
  </si>
  <si>
    <t>nuna stroller food tray</t>
  </si>
  <si>
    <t>nuna triv stroller snack</t>
  </si>
  <si>
    <t>nuna trvl snack tray for stroller</t>
  </si>
  <si>
    <t>one handed nail clipper</t>
  </si>
  <si>
    <t>parent organizer for double stroller</t>
  </si>
  <si>
    <t>patio swing cup holder tray</t>
  </si>
  <si>
    <t>pbnj baby stroller cup holder</t>
  </si>
  <si>
    <t>professional acrylic nail making machine</t>
  </si>
  <si>
    <t>radio flyer clamp on snack tray</t>
  </si>
  <si>
    <t>rechargeable thermometer for adults</t>
  </si>
  <si>
    <t>safe baby nail trimmer electric</t>
  </si>
  <si>
    <t>safety 1st snack tray</t>
  </si>
  <si>
    <t>screw on snack tray</t>
  </si>
  <si>
    <t>side clip stroller snack tray</t>
  </si>
  <si>
    <t>side tray holder for stroller</t>
  </si>
  <si>
    <t>similac bottle nipples</t>
  </si>
  <si>
    <t>smack tray for jeep umbrella stroller</t>
  </si>
  <si>
    <t>small stroller snack tray with lid</t>
  </si>
  <si>
    <t>snack and bottle holder for stroller</t>
  </si>
  <si>
    <t>snack and drink holder for umbrella stroller</t>
  </si>
  <si>
    <t>snack cup for city mini jog stroller</t>
  </si>
  <si>
    <t>snack holder for stroller wagon</t>
  </si>
  <si>
    <t>snack holder for the jeepglyde</t>
  </si>
  <si>
    <t>snack holder for umbrella stroller</t>
  </si>
  <si>
    <t>snack tray compatible with convaid cruiser</t>
  </si>
  <si>
    <t>snack tray compatible with thule</t>
  </si>
  <si>
    <t>snack tray for gt2</t>
  </si>
  <si>
    <t>snack tray for mompush nexis</t>
  </si>
  <si>
    <t>snack tray for nuna travel stroller</t>
  </si>
  <si>
    <t>snack tray for stroller wagon momfann</t>
  </si>
  <si>
    <t>snack tray for vista v3 with large water bottle</t>
  </si>
  <si>
    <t>snack tray no bar stroller</t>
  </si>
  <si>
    <t>snack try for stroller</t>
  </si>
  <si>
    <t>snap on tray for stroller</t>
  </si>
  <si>
    <t>solid snack tray for stroller</t>
  </si>
  <si>
    <t>stroller attachment for toddler to ride</t>
  </si>
  <si>
    <t>stroller belly bar clips for holding snack</t>
  </si>
  <si>
    <t>stroller board attachment</t>
  </si>
  <si>
    <t>stroller caddies for two handle stroller</t>
  </si>
  <si>
    <t>stroller caddy with cup holders</t>
  </si>
  <si>
    <t>stroller child tray no pole</t>
  </si>
  <si>
    <t>stroller clip on cup holder</t>
  </si>
  <si>
    <t>stroller clip on tray no bar</t>
  </si>
  <si>
    <t>stroller cup holder and snack attachment for mompush</t>
  </si>
  <si>
    <t>stroller cup holder attachment 2 pack</t>
  </si>
  <si>
    <t>stroller cup holder tray combo</t>
  </si>
  <si>
    <t>stroller cup holder with tray attachment</t>
  </si>
  <si>
    <t>stroller cup holder with tray, universal cup holder tray for uppababy nuna doona strollers, bottle drinks holder for stroller, wheelchair, walker</t>
  </si>
  <si>
    <t>stroller cup holders with tray</t>
  </si>
  <si>
    <t>stroller dual cup holder</t>
  </si>
  <si>
    <t>stroller extension for toddler</t>
  </si>
  <si>
    <t>stroller organizer for umbrella stroller jeep brand stanley cup</t>
  </si>
  <si>
    <t>stroller snack tray attachment to long bar on double stroller valco baby</t>
  </si>
  <si>
    <t>stroller snack tray no lap bar</t>
  </si>
  <si>
    <t>stroller snack tray no stroller bar</t>
  </si>
  <si>
    <t>stroller snack tray without bar</t>
  </si>
  <si>
    <t>stroller snack￼</t>
  </si>
  <si>
    <t>stroller storage attachment</t>
  </si>
  <si>
    <t>stroller tray attachment universal for strollers without a front bar</t>
  </si>
  <si>
    <t>stroller tray attachmentfor baby trend</t>
  </si>
  <si>
    <t>stroller tray for kids umbrella stroller</t>
  </si>
  <si>
    <t>stroller tray for one side</t>
  </si>
  <si>
    <t>stroller tray no bar</t>
  </si>
  <si>
    <t>stroller universal side clip on tray for adult</t>
  </si>
  <si>
    <t>stroller water bottle holder</t>
  </si>
  <si>
    <t>summer infant ingenuity stroller snack attachment</t>
  </si>
  <si>
    <t>terrain wagon cup holders</t>
  </si>
  <si>
    <t>thule stroller cup holder</t>
  </si>
  <si>
    <t>toddler snack tray stroller</t>
  </si>
  <si>
    <t>toddler stroller attachment drink</t>
  </si>
  <si>
    <t>tray attachment for stroller with no bumper bar</t>
  </si>
  <si>
    <t>tray fo stroller side attach</t>
  </si>
  <si>
    <t>tray for double thule jogging stroller</t>
  </si>
  <si>
    <t>tray for no front pole stroller</t>
  </si>
  <si>
    <t>tray for stroller bar</t>
  </si>
  <si>
    <t>tray for ternex stroller</t>
  </si>
  <si>
    <t>tray for the side of the stroller</t>
  </si>
  <si>
    <t>tray quinny buzz stroller</t>
  </si>
  <si>
    <t>tray stroller attachment</t>
  </si>
  <si>
    <t>tray stroller with no bar</t>
  </si>
  <si>
    <t>tray to fit my dog stroller</t>
  </si>
  <si>
    <t>umbrella stroller bag attachment</t>
  </si>
  <si>
    <t>umbrella stroller cup and snack</t>
  </si>
  <si>
    <t>universal double snack tray</t>
  </si>
  <si>
    <t>universal drink holder for stroller</t>
  </si>
  <si>
    <t>universal kids snack tray</t>
  </si>
  <si>
    <t>universal snack tray for stroller clip on</t>
  </si>
  <si>
    <t>universal snack tray for thule urban glide 2</t>
  </si>
  <si>
    <t>universal snack tray no bar</t>
  </si>
  <si>
    <t>universal stroller attachments for lightweight stroller</t>
  </si>
  <si>
    <t>uppababy cruz v 2 snack tray</t>
  </si>
  <si>
    <t>vomeast wagon stroller snack tray</t>
  </si>
  <si>
    <t>wagon snack tray</t>
  </si>
  <si>
    <t>wagon snackand cup holder for momfan</t>
  </si>
  <si>
    <t>wheelchair cup holder</t>
  </si>
  <si>
    <t>wipes warmer</t>
  </si>
  <si>
    <t>wonderfold wagon cup holder</t>
  </si>
  <si>
    <t>wonderfold wagon snack tray w2</t>
  </si>
  <si>
    <t>자동 손톸깍끼</t>
  </si>
  <si>
    <t>￼even flow trey stroller attachment</t>
  </si>
  <si>
    <t>￼no belly bar snack tray for stroller</t>
  </si>
  <si>
    <t>2 pack snack tray for britax</t>
  </si>
  <si>
    <t>accesorios carriola dona</t>
  </si>
  <si>
    <t>accessories for gb pocket stroller</t>
  </si>
  <si>
    <t>accessories for yoyo strollers</t>
  </si>
  <si>
    <t>add on tray for umbrella stroller</t>
  </si>
  <si>
    <t>airplane tray clip on cupholders brico</t>
  </si>
  <si>
    <t>attachable cup holder and snack tray</t>
  </si>
  <si>
    <t>attachments for jeep turboglyde stroller</t>
  </si>
  <si>
    <t>b01bpcn0lm</t>
  </si>
  <si>
    <t>b07ckmljd2</t>
  </si>
  <si>
    <t>b093xdl9mv</t>
  </si>
  <si>
    <t>b0clpc9fzb</t>
  </si>
  <si>
    <t>b0cq2l64f7</t>
  </si>
  <si>
    <t>b0dbln7cng</t>
  </si>
  <si>
    <t>b0dpwxrx1x</t>
  </si>
  <si>
    <t>b0dtnxjm7z</t>
  </si>
  <si>
    <t>asin="B0FBGX9LQL"</t>
  </si>
  <si>
    <t>b0fbgx9lql</t>
  </si>
  <si>
    <t>b0ff9l217s</t>
  </si>
  <si>
    <t>b0fjl1l1hm</t>
  </si>
  <si>
    <t>b0fpr6l46z</t>
  </si>
  <si>
    <t>asin="B0FVF51VYJ"</t>
  </si>
  <si>
    <t>b0fvm7fh7w</t>
  </si>
  <si>
    <t>b0fxkpd83v</t>
  </si>
  <si>
    <t>b0g2xz1dfw</t>
  </si>
  <si>
    <t>baby gap stroller tray with pole</t>
  </si>
  <si>
    <t>baby jogger city select tray</t>
  </si>
  <si>
    <t>baby jogger city tour 2 snack tray with phone holder</t>
  </si>
  <si>
    <t>baby jogger snack tray attachment</t>
  </si>
  <si>
    <t>baby jogger summit x3 snack tray</t>
  </si>
  <si>
    <t>SP.Auto - BNF Fixed</t>
  </si>
  <si>
    <t>baby trend expedition wagon snack tray</t>
  </si>
  <si>
    <t>baby trend sit and stand double stroller tray</t>
  </si>
  <si>
    <t>bar attachment for stroller</t>
  </si>
  <si>
    <t>basket for tricycle cup holder</t>
  </si>
  <si>
    <t>bob double stroller accessories</t>
  </si>
  <si>
    <t>bob stroller snack tray attachment</t>
  </si>
  <si>
    <t>bob stroller snap on tray</t>
  </si>
  <si>
    <t>britax bassinet stroller attachment</t>
  </si>
  <si>
    <t>calentador de toallitas para bebe</t>
  </si>
  <si>
    <t>carseat cup and snack holder for chicco</t>
  </si>
  <si>
    <t>chicco activ3 stroller snack tray</t>
  </si>
  <si>
    <t>chicco active stroller accessories</t>
  </si>
  <si>
    <t>chicco liteway stroller accessories</t>
  </si>
  <si>
    <t>child drink tray stroller</t>
  </si>
  <si>
    <t>city jogger stroller front attachment</t>
  </si>
  <si>
    <t>city mini gt double stroller accessories</t>
  </si>
  <si>
    <t>city select double stroller snack tray</t>
  </si>
  <si>
    <t>clip on bowl for baby stroller</t>
  </si>
  <si>
    <t>clip on snack and cup tray</t>
  </si>
  <si>
    <t>clip on snack tray stroller</t>
  </si>
  <si>
    <t>clip on stroller cupholder</t>
  </si>
  <si>
    <t>clip on stroller storage</t>
  </si>
  <si>
    <t>clip on stroller table</t>
  </si>
  <si>
    <t>cool kids travel stroller attachment</t>
  </si>
  <si>
    <t>costway double stroller tandem accessories</t>
  </si>
  <si>
    <t>cup holder 2 stroller</t>
  </si>
  <si>
    <t>cup holder and snack tray for stroller</t>
  </si>
  <si>
    <t>cup holder for child stroller for child</t>
  </si>
  <si>
    <t>cup holder for doona stroller</t>
  </si>
  <si>
    <t>cup holder gor umbrella stroller</t>
  </si>
  <si>
    <t>cup holders for wagon strollers</t>
  </si>
  <si>
    <t>cybex snack tray stroller</t>
  </si>
  <si>
    <t>disney princess toddler stroller accessories</t>
  </si>
  <si>
    <t>double cupholder stroller</t>
  </si>
  <si>
    <t>double stroller caddy organizer cup holders</t>
  </si>
  <si>
    <t>dream on me stroller snack tray</t>
  </si>
  <si>
    <t>electric baby bottle brush cleaner</t>
  </si>
  <si>
    <t>even flow pivot stroller adult tray</t>
  </si>
  <si>
    <t>evenflo stroller accessories cup holder</t>
  </si>
  <si>
    <t>extra long handle toe nail clippers</t>
  </si>
  <si>
    <t>feeding pillow</t>
  </si>
  <si>
    <t>food tray for stroller</t>
  </si>
  <si>
    <t>generic childs cup holder for stroller</t>
  </si>
  <si>
    <t>holding cup stroller for kids</t>
  </si>
  <si>
    <t>hook on cupholder tray for side of stroller</t>
  </si>
  <si>
    <t>hoppie kids stroller attachment</t>
  </si>
  <si>
    <t>ingenuity umbrella stroller snack tray</t>
  </si>
  <si>
    <t>jeep double stroller attachment</t>
  </si>
  <si>
    <t>jeep double stroller cup holder</t>
  </si>
  <si>
    <t>jeep lightweight stroller compatible snack tray</t>
  </si>
  <si>
    <t>jeep stroller accessories</t>
  </si>
  <si>
    <t>jeep stroller cup holder</t>
  </si>
  <si>
    <t>jeep umbrella stroller accessories</t>
  </si>
  <si>
    <t>jeep umbrella stroller cup holder</t>
  </si>
  <si>
    <t>jeep wagon stroller accessories</t>
  </si>
  <si>
    <t>jogging stroller snack tray</t>
  </si>
  <si>
    <t>joie stroller snack tray attachment</t>
  </si>
  <si>
    <t>juicebox holders for toddler</t>
  </si>
  <si>
    <t>kids car seat cup holder snack tray</t>
  </si>
  <si>
    <t>kids nail brush</t>
  </si>
  <si>
    <t>kids universal stroller cup holder</t>
  </si>
  <si>
    <t>kids wagon snack tray</t>
  </si>
  <si>
    <t>kolcraft umbrella stroller accessories</t>
  </si>
  <si>
    <t>manicure</t>
  </si>
  <si>
    <t>mickey shape hook for strollers</t>
  </si>
  <si>
    <t>momcozy stroller snack tray</t>
  </si>
  <si>
    <t>nail file baby</t>
  </si>
  <si>
    <t>nail file for newborn babies</t>
  </si>
  <si>
    <t>nail files for baby</t>
  </si>
  <si>
    <t>nuna mixx snack tray</t>
  </si>
  <si>
    <t>asin="B0GGZQD6WS"</t>
  </si>
  <si>
    <t>nuna tavo snack tray</t>
  </si>
  <si>
    <t>peg perego replacement snack tray</t>
  </si>
  <si>
    <t>porta vaso de carriola</t>
  </si>
  <si>
    <t>portable snack tray kids standing</t>
  </si>
  <si>
    <t>portable tray for wheelchair</t>
  </si>
  <si>
    <t>preemie pacifier</t>
  </si>
  <si>
    <t>safety 1st stroller tray</t>
  </si>
  <si>
    <t>see through stroller organizer</t>
  </si>
  <si>
    <t>sidestroller snack tray</t>
  </si>
  <si>
    <t>silver cross universal snack tray</t>
  </si>
  <si>
    <t>small lightweight stroller with tray</t>
  </si>
  <si>
    <t>small stroller tray</t>
  </si>
  <si>
    <t>small tray attachment</t>
  </si>
  <si>
    <t>snack cup hook to stroller</t>
  </si>
  <si>
    <t>snack tray attachment bike trailer</t>
  </si>
  <si>
    <t>snack tray bar for graco stroller</t>
  </si>
  <si>
    <t>snack tray city mini gt</t>
  </si>
  <si>
    <t>snack tray compatible with no pole</t>
  </si>
  <si>
    <t>snack tray for delta icon</t>
  </si>
  <si>
    <t>snack tray for side of stroller</t>
  </si>
  <si>
    <t>snack tray mockingbird stroller</t>
  </si>
  <si>
    <t>snack tray nuna mixx</t>
  </si>
  <si>
    <t>snack tray nuna stroller</t>
  </si>
  <si>
    <t>snack tray nuna triv</t>
  </si>
  <si>
    <t>snack tray on umbrella stroller</t>
  </si>
  <si>
    <t>snack tray that clips to stroller frame</t>
  </si>
  <si>
    <t>snack tray universal</t>
  </si>
  <si>
    <t>snacks holder for bus driver</t>
  </si>
  <si>
    <t>storage organizer for strollers</t>
  </si>
  <si>
    <t>stroller 2 cup tray</t>
  </si>
  <si>
    <t>stroller accessory hooks</t>
  </si>
  <si>
    <t>stroller caddy bumbleride</t>
  </si>
  <si>
    <t>stroller caddy insulated</t>
  </si>
  <si>
    <t>stroller cell and 2 cup holder</t>
  </si>
  <si>
    <t>stroller cup and phone holder</t>
  </si>
  <si>
    <t>stroller cup tray for kid</t>
  </si>
  <si>
    <t>stroller cupholder for side bar</t>
  </si>
  <si>
    <t>stroller drink holder attachment phone</t>
  </si>
  <si>
    <t>stroller food tray attachment for parents</t>
  </si>
  <si>
    <t>stroller frame clamp on tray</t>
  </si>
  <si>
    <t>stroller kids tray</t>
  </si>
  <si>
    <t>stroller organizer</t>
  </si>
  <si>
    <t>stroller snack attachment</t>
  </si>
  <si>
    <t>stroller snack tray attachment 2 pack</t>
  </si>
  <si>
    <t>stroller table</t>
  </si>
  <si>
    <t>stroller toddler cup holder</t>
  </si>
  <si>
    <t>stroller tray joie</t>
  </si>
  <si>
    <t>stroller water bottle snack holder</t>
  </si>
  <si>
    <t>summer 3d lite stroller snack tray</t>
  </si>
  <si>
    <t>summer stroller accessories</t>
  </si>
  <si>
    <t>thule cup holder stroller</t>
  </si>
  <si>
    <t>toddler cup holder for jeep double stroller</t>
  </si>
  <si>
    <t>toddler tray for city mini gt2</t>
  </si>
  <si>
    <t>tray for traveling stroller</t>
  </si>
  <si>
    <t>tray table for stroller</t>
  </si>
  <si>
    <t>trays for umbrella stroller</t>
  </si>
  <si>
    <t>umbrella holder small space</t>
  </si>
  <si>
    <t>umbrella stroller cup holder</t>
  </si>
  <si>
    <t>universal cup holder and snack tray stroller</t>
  </si>
  <si>
    <t>universal cup holder stroller</t>
  </si>
  <si>
    <t>universal double stroller adult cupholder</t>
  </si>
  <si>
    <t>universal plastic holder stroller</t>
  </si>
  <si>
    <t>universal side mounted snack holder</t>
  </si>
  <si>
    <t>universal snack tray holds yeti rambler</t>
  </si>
  <si>
    <t>universal stroller attachments</t>
  </si>
  <si>
    <t>universal stroller bumper bar snack tray</t>
  </si>
  <si>
    <t>universal stroller snack tray clip on</t>
  </si>
  <si>
    <t>universal tray and drink holder stroller bar</t>
  </si>
  <si>
    <t>universal tray stroller</t>
  </si>
  <si>
    <t>universal wagon snack tray</t>
  </si>
  <si>
    <t>uppababy glux stroller accessories</t>
  </si>
  <si>
    <t>victorinox nail clipper</t>
  </si>
  <si>
    <t>wagon snack tray universal</t>
  </si>
  <si>
    <t>wagon stroller storage basket attachment</t>
  </si>
  <si>
    <t>wagon table cup holder</t>
  </si>
  <si>
    <t>yoyo snack tray</t>
  </si>
  <si>
    <t>￼long nail clippers for seniors</t>
  </si>
  <si>
    <t>￼snack tray for baby trend tour wagon</t>
  </si>
  <si>
    <t>￼snack tray for umbrella stroller</t>
  </si>
  <si>
    <t>￼stroller snack tray</t>
  </si>
  <si>
    <t>￼upper baby travel stroller add-on tray</t>
  </si>
  <si>
    <t>3d mini stroller food tray</t>
  </si>
  <si>
    <t>3d summer lite stroller accessories</t>
  </si>
  <si>
    <t>ad just table stroller tray</t>
  </si>
  <si>
    <t>adjustable stroller snack tray</t>
  </si>
  <si>
    <t>attachable snack tray for nuna trvl x</t>
  </si>
  <si>
    <t>attachable tray holder for baby stroller</t>
  </si>
  <si>
    <t>b01n0xd3f8</t>
  </si>
  <si>
    <t>b0822yssrn</t>
  </si>
  <si>
    <t>b0c9psbvpz</t>
  </si>
  <si>
    <t>b0d3xc4kh5</t>
  </si>
  <si>
    <t>b0fmy7l3qn</t>
  </si>
  <si>
    <t>SP.Auto - ENC Fixed</t>
  </si>
  <si>
    <t>b0fr4nlgvk</t>
  </si>
  <si>
    <t>b0ggzqd6ws</t>
  </si>
  <si>
    <t>baby jogger city select 2 snack tray</t>
  </si>
  <si>
    <t>捡漏SP.Manual - BNF.Fixed</t>
  </si>
  <si>
    <t>Phrase&amp;Exact</t>
  </si>
  <si>
    <t>baby nail trimmer electric rechargeable</t>
  </si>
  <si>
    <t>baby trend expedition double jogger stroller tray add on</t>
  </si>
  <si>
    <t>baby trend stroller snack tray</t>
  </si>
  <si>
    <t>baby trend wagon accessories cup holder</t>
  </si>
  <si>
    <t>babytrend stroller attachment tray</t>
  </si>
  <si>
    <t>bob gear snack tray duallie jogging strollers</t>
  </si>
  <si>
    <t>bob se snack tray</t>
  </si>
  <si>
    <t>booster seat cup holder attachment</t>
  </si>
  <si>
    <t>bpa free snack tray for stroller</t>
  </si>
  <si>
    <t>britax snack tray for b-agile stroller</t>
  </si>
  <si>
    <t>city mini gt 2 double snack tray</t>
  </si>
  <si>
    <t>clamping stroller tray</t>
  </si>
  <si>
    <t>clip on side snack tray</t>
  </si>
  <si>
    <t>cup attachment for silver cross double stroller</t>
  </si>
  <si>
    <t>cybex snack tray</t>
  </si>
  <si>
    <t>diono cup holder</t>
  </si>
  <si>
    <t>double joovy tray attachment</t>
  </si>
  <si>
    <t>double stroller cup holder for jeep</t>
  </si>
  <si>
    <t>double stroller food tray attachment</t>
  </si>
  <si>
    <t>dr brown bottles</t>
  </si>
  <si>
    <t>drink carrier stroller attachment</t>
  </si>
  <si>
    <t>frida nail trimmer for baby</t>
  </si>
  <si>
    <t>graco breaze snack tray</t>
  </si>
  <si>
    <t>ingenuity 3d mini convenience stroller baby cup holder</t>
  </si>
  <si>
    <t>ingenuity 3d mini stroller snack tray</t>
  </si>
  <si>
    <t>jeep double stroller cup holder snaps in to kids bar</t>
  </si>
  <si>
    <t>jeep power glyde stroller attachments</t>
  </si>
  <si>
    <t>jeep powerglyde lightweight stroller snack tray</t>
  </si>
  <si>
    <t>lightweight stroller organizer</t>
  </si>
  <si>
    <t>luffcabo universal snack tray</t>
  </si>
  <si>
    <t>捡漏SP.Manual - ENC.Fixed</t>
  </si>
  <si>
    <t>Broad</t>
  </si>
  <si>
    <t>nail filer electric</t>
  </si>
  <si>
    <t>nail light</t>
  </si>
  <si>
    <t>nail shop printer</t>
  </si>
  <si>
    <t>nuna stroller snack tray</t>
  </si>
  <si>
    <t>oh baby nail clipper</t>
  </si>
  <si>
    <t>plastic caddy for stroller</t>
  </si>
  <si>
    <t>side mounted snack tray for stroller</t>
  </si>
  <si>
    <t>snack tray for double stroller without bar</t>
  </si>
  <si>
    <t>snack tray for frame</t>
  </si>
  <si>
    <t>snack tray for stroller if stroller has no bar to attach</t>
  </si>
  <si>
    <t>snack tray for umbrella stroller no bar</t>
  </si>
  <si>
    <t>stroller attachment cup and snack holder</t>
  </si>
  <si>
    <t>stroller bar universal</t>
  </si>
  <si>
    <t>stroller caddy right hand phone holder</t>
  </si>
  <si>
    <t>stroller clip on snack tray bob</t>
  </si>
  <si>
    <t>stroller cup holder with snack tray</t>
  </si>
  <si>
    <t>stroller cup with tray holder attachment</t>
  </si>
  <si>
    <t>stroller must haves for disney</t>
  </si>
  <si>
    <t>stroller no pole cup holder</t>
  </si>
  <si>
    <t>stroller snack tray no bat</t>
  </si>
  <si>
    <t>stroller snack tray nuna triv</t>
  </si>
  <si>
    <t>stroller tray for strollers without handle</t>
  </si>
  <si>
    <t>stroller tray table no bar</t>
  </si>
  <si>
    <t>stroller tray with cup holder and cellphone holder</t>
  </si>
  <si>
    <t>stroller universal cup holder for umbrella stroller</t>
  </si>
  <si>
    <t>summer 3d lite stroller accessories</t>
  </si>
  <si>
    <t>summer 3d mini stroller accessories</t>
  </si>
  <si>
    <t>summer 3d mini stroller cup holder</t>
  </si>
  <si>
    <t>summer infant stroller snack holder</t>
  </si>
  <si>
    <t>table for stroller</t>
  </si>
  <si>
    <t>toddler cup holder snack tray for camping chair</t>
  </si>
  <si>
    <t>tray for umbrella stroller</t>
  </si>
  <si>
    <t>two handle stroller caddy</t>
  </si>
  <si>
    <t>umbrella stroller food tray attachment</t>
  </si>
  <si>
    <t>universal double umbrella stroller tray</t>
  </si>
  <si>
    <t>universal jogging stroller snack tray</t>
  </si>
  <si>
    <t>universal small snack tray for stroller</t>
  </si>
  <si>
    <t>universal wagon stroller snack tray</t>
  </si>
  <si>
    <t>wagon cup holders and snack trays</t>
  </si>
  <si>
    <t>wagon stroller accessories</t>
  </si>
  <si>
    <t>wagon stroller parent console cup holder</t>
  </si>
  <si>
    <t>walker tray</t>
  </si>
  <si>
    <t>wide clamp stroller snack tray</t>
  </si>
  <si>
    <t>￼adjustable tray for classic stroller</t>
  </si>
  <si>
    <t>adjustable snack tray for stroller</t>
  </si>
  <si>
    <t>adult stroller food tray that attaches to both sides</t>
  </si>
  <si>
    <t>amazing tray attachment</t>
  </si>
  <si>
    <t>attachable snack cup for stroller</t>
  </si>
  <si>
    <t>attachable stroller snack tray</t>
  </si>
  <si>
    <t>b079lxvd4f</t>
  </si>
  <si>
    <t>b07gghvl64</t>
  </si>
  <si>
    <t>b09t54qzg7</t>
  </si>
  <si>
    <t>b0bjp6c918</t>
  </si>
  <si>
    <t>b0djq1st5z</t>
  </si>
  <si>
    <t>b0f48ywmq3</t>
  </si>
  <si>
    <t>b0gl38jyvx</t>
  </si>
  <si>
    <t>b0gvdz98mw</t>
  </si>
  <si>
    <t>baby grooming</t>
  </si>
  <si>
    <t>baby jogger double stroller food tray without a bar</t>
  </si>
  <si>
    <t>baby jogger snack tray adaptive freedom</t>
  </si>
  <si>
    <t>baby nail file avocado shape</t>
  </si>
  <si>
    <t>baby stroller universal cup holder kid</t>
  </si>
  <si>
    <t>baby trend accessories stroller</t>
  </si>
  <si>
    <t>baby trend expedition wagon stroller snack tray</t>
  </si>
  <si>
    <t>baby trend wagon accessories</t>
  </si>
  <si>
    <t>bob stroller bar attachment</t>
  </si>
  <si>
    <t>bob stroller cup holder</t>
  </si>
  <si>
    <t>bombi double stroller dback tray</t>
  </si>
  <si>
    <t>britax double stroller tray</t>
  </si>
  <si>
    <t>bugaboo butterfly 1 snack tray</t>
  </si>
  <si>
    <t>car window clip on snack tray</t>
  </si>
  <si>
    <t>chicco convertible car seat cup holder</t>
  </si>
  <si>
    <t>chicco liteway stroller tray bar</t>
  </si>
  <si>
    <t>city mini gt adult cup holder and tray</t>
  </si>
  <si>
    <t>city mini gt double stroller snack tray</t>
  </si>
  <si>
    <t>clip on cup holder for chair</t>
  </si>
  <si>
    <t>clip on snack holder</t>
  </si>
  <si>
    <t>clip on snack tray for walker with seat</t>
  </si>
  <si>
    <t>clip on tray for stroller</t>
  </si>
  <si>
    <t>clip-on stroller snack tray</t>
  </si>
  <si>
    <t>cup holder to stroller</t>
  </si>
  <si>
    <t>cup holders for stroller</t>
  </si>
  <si>
    <t>cup snack holder wagon 2 pack</t>
  </si>
  <si>
    <t>diy baby stuff</t>
  </si>
  <si>
    <t>double jug stroller tray</t>
  </si>
  <si>
    <t>duallie snack tray</t>
  </si>
  <si>
    <t>familidoo wagon snack tray</t>
  </si>
  <si>
    <t>fingernail files</t>
  </si>
  <si>
    <t>food tray for umbrella stroller without front rod</t>
  </si>
  <si>
    <t>food tray on travel stroller</t>
  </si>
  <si>
    <t>garden cart accessories</t>
  </si>
  <si>
    <t>german made nail clipper set</t>
  </si>
  <si>
    <t>graco ready to grow 2.0 double stroller attachments</t>
  </si>
  <si>
    <t>graco stroller cup holder replacement</t>
  </si>
  <si>
    <t>graco stroller replacement parts tray</t>
  </si>
  <si>
    <t>graco stroller snack tray replacement</t>
  </si>
  <si>
    <t>graco stroller tray ready2jet</t>
  </si>
  <si>
    <t>graco stroller tray replacement stroller without bar</t>
  </si>
  <si>
    <t>ingenuity 3dmini travel stroller cup snack holder attachment</t>
  </si>
  <si>
    <t>ingenuity snack tray for stroller</t>
  </si>
  <si>
    <t>jeep double stroller accessories</t>
  </si>
  <si>
    <t>jeep stroller tray attachment</t>
  </si>
  <si>
    <t>jogging stroller cup holder</t>
  </si>
  <si>
    <t>kids car snack holder</t>
  </si>
  <si>
    <t>kids snack tray for city mini</t>
  </si>
  <si>
    <t>kolcraft cloud umbrella stroller accessories</t>
  </si>
  <si>
    <t>kolcraft cloud umbrella stroller snack tray</t>
  </si>
  <si>
    <t>kolcraft stroller attachments</t>
  </si>
  <si>
    <t>kolcraft stroller cup holder</t>
  </si>
  <si>
    <t>magnifier electric clippers</t>
  </si>
  <si>
    <t>momazing travel stroller cup holder</t>
  </si>
  <si>
    <t>momzi wagon snack tray</t>
  </si>
  <si>
    <t>paci holder for diaper bag</t>
  </si>
  <si>
    <t>parent's choice gray baby umbrella stroller with black canopy, unisex tray for food</t>
  </si>
  <si>
    <t>peg perego stroller cup holder</t>
  </si>
  <si>
    <t>plastic wagon snack tray clip on</t>
  </si>
  <si>
    <t>rollator tray</t>
  </si>
  <si>
    <t>safety first travel stroller snack tray attachment</t>
  </si>
  <si>
    <t>shade attachment for stroller</t>
  </si>
  <si>
    <t>side snack tray for stroller</t>
  </si>
  <si>
    <t>silicone cup holder for stroller</t>
  </si>
  <si>
    <t>small scooter tray</t>
  </si>
  <si>
    <t>snack bowl attaches to stroller</t>
  </si>
  <si>
    <t>snack tray for car connects to arm rest</t>
  </si>
  <si>
    <t>snack tray for jeep double umbrella stroller</t>
  </si>
  <si>
    <t>snack tray for nuna trvl stroller</t>
  </si>
  <si>
    <t>snack tray for quid 2 stroller</t>
  </si>
  <si>
    <t>snack tray for stroller clip on</t>
  </si>
  <si>
    <t>snack tray for stroller with bar</t>
  </si>
  <si>
    <t>snack tray for stroller,</t>
  </si>
  <si>
    <t>snack tray for thule bike trailer</t>
  </si>
  <si>
    <t>snack tray universal stroller</t>
  </si>
  <si>
    <t>snap on baby cup holder for chicco stroller</t>
  </si>
  <si>
    <t>snap on tray for lola ride stroller</t>
  </si>
  <si>
    <t>snap on tray for stroller with side handles</t>
  </si>
  <si>
    <t>stokke yoyo stroller attachment</t>
  </si>
  <si>
    <t>stroller accessories ingenuity 3d quick</t>
  </si>
  <si>
    <t>stroller attachment for drinks and food on the nuna</t>
  </si>
  <si>
    <t>stroller attachment for toddlers drink</t>
  </si>
  <si>
    <t>stroller attachments for umbrella stroller</t>
  </si>
  <si>
    <t>stroller clamp on box</t>
  </si>
  <si>
    <t>stroller cup and snacks holder</t>
  </si>
  <si>
    <t>stroller cup holder for adult</t>
  </si>
  <si>
    <t>stroller cup holder for toddler chico jogging stroller</t>
  </si>
  <si>
    <t>stroller cup snack holder</t>
  </si>
  <si>
    <t>stroller drink and snack holder</t>
  </si>
  <si>
    <t>stroller glider attachment</t>
  </si>
  <si>
    <t>stroller lights for disney</t>
  </si>
  <si>
    <t>stroller organizer for mini 2</t>
  </si>
  <si>
    <t>stroller phone cup holder</t>
  </si>
  <si>
    <t>stroller replacement lap bar with cup holder</t>
  </si>
  <si>
    <t>stroller side cup and snack holder</t>
  </si>
  <si>
    <t>stroller snack caddy</t>
  </si>
  <si>
    <t>stroller snack cup</t>
  </si>
  <si>
    <t>stroller snack tray attachment small</t>
  </si>
  <si>
    <t>stroller snack tray for attaching on side of stroller</t>
  </si>
  <si>
    <t>stroller summer accessories</t>
  </si>
  <si>
    <t>stroller tray attachment clip</t>
  </si>
  <si>
    <t>stroller trays</t>
  </si>
  <si>
    <t>stroller universal standing board attachment</t>
  </si>
  <si>
    <t>thule double stroller snack tray</t>
  </si>
  <si>
    <t>toddler car seat cup holder tray</t>
  </si>
  <si>
    <t>toddler stroller tray for food</t>
  </si>
  <si>
    <t>travel stroller snack tray</t>
  </si>
  <si>
    <t>tray attachment for stroller with no bar</t>
  </si>
  <si>
    <t>tray compatible with gb stroller</t>
  </si>
  <si>
    <t>tray food uppa baby glux stroller</t>
  </si>
  <si>
    <t>tray for liki trike</t>
  </si>
  <si>
    <t>umbrella stroller side tray</t>
  </si>
  <si>
    <t>umbrella stroller with cup holders</t>
  </si>
  <si>
    <t>universal clip on snack tray side</t>
  </si>
  <si>
    <t>universal cup holder snack stroller</t>
  </si>
  <si>
    <t>universal phone and 2 cup holder for stroller</t>
  </si>
  <si>
    <t>universal snack and drink holder for stroller</t>
  </si>
  <si>
    <t>universal snack tray for baby jogger</t>
  </si>
  <si>
    <t>universal snack tray for wagon stroller</t>
  </si>
  <si>
    <t>universal stroller accessories</t>
  </si>
  <si>
    <t>universal stroller snack tray clamp on</t>
  </si>
  <si>
    <t>universal stroller snack tray side mount</t>
  </si>
  <si>
    <t>universal stroller tray and cup holder</t>
  </si>
  <si>
    <t>universal stroller tray no bar</t>
  </si>
  <si>
    <t>uppa baby g luxe stroller accessories</t>
  </si>
  <si>
    <t>volgo double stroller snack tray</t>
  </si>
  <si>
    <t>wagon r stroller tray</t>
  </si>
  <si>
    <t>winnie the pooh baby</t>
  </si>
  <si>
    <t>wonderfold 2 tray with cup holder</t>
  </si>
  <si>
    <t>wonderfold kids cup holder</t>
  </si>
  <si>
    <t>wonderfold w2 accessories</t>
  </si>
  <si>
    <t>zoe twin clip on snack tray</t>
  </si>
  <si>
    <t>￼drink holder for jeep wagon</t>
  </si>
  <si>
    <t>attachment stroller piece snack tray sun coverage no bat</t>
  </si>
  <si>
    <t>attachments for no bar stroller</t>
  </si>
  <si>
    <t>austlen stroller accessories</t>
  </si>
  <si>
    <t>b01nbj7pdg</t>
  </si>
  <si>
    <t>b08323q356</t>
  </si>
  <si>
    <t>b08cglhcvx</t>
  </si>
  <si>
    <t>b0dl6h5dd4</t>
  </si>
  <si>
    <t>b0f4y5y5rf</t>
  </si>
  <si>
    <t>b0f9dq7999</t>
  </si>
  <si>
    <t>b0fjf9mvyw</t>
  </si>
  <si>
    <t>baby jogger city mini 2 accessories</t>
  </si>
  <si>
    <t>baby jogger city mini g3 snack tray</t>
  </si>
  <si>
    <t>baby trend double jogger snack tray</t>
  </si>
  <si>
    <t>baby trend double stroller snack tray jogger</t>
  </si>
  <si>
    <t>baby trend snack tray attachment</t>
  </si>
  <si>
    <t>baby trend stroller wagon accessories</t>
  </si>
  <si>
    <t>bob deluxe snack tray single stroller</t>
  </si>
  <si>
    <t>bob duallie snack tray double</t>
  </si>
  <si>
    <t>bob stroller snack tray attachment dual</t>
  </si>
  <si>
    <t>bombi bebee v2 stroller snack tray</t>
  </si>
  <si>
    <t>bombi universal snack tray</t>
  </si>
  <si>
    <t>child stroller accessories, cup holder</t>
  </si>
  <si>
    <t>city mini gt stroller attachments</t>
  </si>
  <si>
    <t>clip on snack tray for city jogger</t>
  </si>
  <si>
    <t>clip on stroller tray</t>
  </si>
  <si>
    <t>contours legacy stroller tray</t>
  </si>
  <si>
    <t>cup holder and snack tray for umbrella stroller</t>
  </si>
  <si>
    <t>cup holder for stroller backseat</t>
  </si>
  <si>
    <t>cup tray for stroller</t>
  </si>
  <si>
    <t>delta jeep powerglyde stroller cup holder</t>
  </si>
  <si>
    <t>dream on me stroller attachment</t>
  </si>
  <si>
    <t>evenflo pivot xplore wagon accessories</t>
  </si>
  <si>
    <t>ingenuity stroller cup holder attachment for front</t>
  </si>
  <si>
    <t>jeep stroller childs snack tray</t>
  </si>
  <si>
    <t>jeep stroller tray compatible with model dt-006</t>
  </si>
  <si>
    <t>jl childress stroller organizer</t>
  </si>
  <si>
    <t>kid wagon stroller tray</t>
  </si>
  <si>
    <t>kolcraft stroller replacement tray</t>
  </si>
  <si>
    <t>mom push stroller snack tray</t>
  </si>
  <si>
    <t>mompush stroller snack tray</t>
  </si>
  <si>
    <t>prime day stroller attachment</t>
  </si>
  <si>
    <t>snack tray fits nuna trvl</t>
  </si>
  <si>
    <t>snack tray for city select lux jogger stroller</t>
  </si>
  <si>
    <t>snack tray for graco ready 2 jet stroller</t>
  </si>
  <si>
    <t>snap on snack tray for stroller</t>
  </si>
  <si>
    <t>stroller and wagon cup holder tray</t>
  </si>
  <si>
    <t>stroller cup and snack holder add on</t>
  </si>
  <si>
    <t>stroller double cup holder</t>
  </si>
  <si>
    <t>stroller food tray attachment</t>
  </si>
  <si>
    <t>stroller snack tray attachment bugaboo</t>
  </si>
  <si>
    <t>stroller snack tray attachment on the sides</t>
  </si>
  <si>
    <t>stroller stanley cup holder</t>
  </si>
  <si>
    <t>umbrella stroller with side snack tray lays back</t>
  </si>
  <si>
    <t>universal cup holder for wagon</t>
  </si>
  <si>
    <t>universal snack tray for city select lux</t>
  </si>
  <si>
    <t>universal snack tray for jogging stroller</t>
  </si>
  <si>
    <t>universal snack tray for wagons</t>
  </si>
  <si>
    <t>wagon snack tray baby trend</t>
  </si>
  <si>
    <t>water and snack tray for pet stroller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</si>
</sst>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dd\,\ yyyy"/>
    <numFmt numFmtId="165" formatCode="#,##0.0000%"/>
    <numFmt numFmtId="166" formatCode="[$$-409]#,##0.00"/>
    <numFmt numFmtId="167" formatCode="&quot;$&quot;#,##0.00"/>
  </numFmts>
  <fonts count="7" x14ac:knownFonts="1">
    <font>
      <sz val="11"/>
      <color indexed="8"/>
      <name val="Aptos Narrow"/>
      <family val="2"/>
      <scheme val="minor"/>
    </font>
    <font>
      <b/>
      <sz val="10"/>
      <color indexed="8"/>
      <name val="Times New Roman"/>
      <family val="1"/>
    </font>
    <font>
      <b/>
      <sz val="10"/>
      <color indexed="8"/>
      <name val="Aptos Narrow"/>
      <family val="2"/>
      <scheme val="minor"/>
    </font>
    <font>
      <b/>
      <sz val="11"/>
      <color indexed="8"/>
      <name val="Times New Roman"/>
      <family val="1"/>
    </font>
    <font>
      <sz val="11"/>
      <color rgb="FF0432FF"/>
      <name val="Aptos Narrow"/>
      <family val="2"/>
      <scheme val="minor"/>
    </font>
    <font>
      <b/>
      <u/>
      <sz val="11"/>
      <color rgb="FF0432FF"/>
      <name val="Aptos Narrow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0" fontId="1" fillId="0" borderId="0" xfId="0" applyFont="1"/>
    <xf numFmtId="0" fontId="2" fillId="0" borderId="0" xfId="0" applyFont="1"/>
    <xf numFmtId="0" fontId="0" fillId="4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3" fillId="4" borderId="0" xfId="0" applyFont="1" applyFill="1"/>
    <xf numFmtId="0" fontId="3" fillId="2" borderId="0" xfId="0" applyFont="1" applyFill="1"/>
    <xf numFmtId="0" fontId="3" fillId="3" borderId="0" xfId="0" applyFont="1" applyFill="1"/>
    <xf numFmtId="167" fontId="0" fillId="0" borderId="0" xfId="0" applyNumberFormat="1"/>
    <xf numFmtId="0" fontId="3" fillId="0" borderId="0" xfId="0" applyFont="1"/>
    <xf numFmtId="0" fontId="0" fillId="5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2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0" fontId="6" fillId="0" borderId="1" xfId="0" applyFont="1" applyBorder="1"/>
    <xf numFmtId="15" fontId="6" fillId="0" borderId="1" xfId="0" applyNumberFormat="1" applyFont="1" applyBorder="1"/>
    <xf numFmtId="10" fontId="6" fillId="0" borderId="1" xfId="0" applyNumberFormat="1" applyFont="1" applyBorder="1"/>
    <xf numFmtId="0" fontId="4" fillId="0" borderId="0" xfId="0" applyFont="1"/>
    <xf numFmtId="10" fontId="4" fillId="0" borderId="0" xfId="0" applyNumberFormat="1" applyFont="1" applyAlignment="1">
      <alignment wrapText="1"/>
    </xf>
    <xf numFmtId="0" fontId="5" fillId="0" borderId="0" xfId="0" applyFont="1"/>
    <xf numFmtId="0" fontId="0" fillId="5" borderId="0" xfId="0" applyFill="1"/>
    <xf numFmtId="2" fontId="0" fillId="5" borderId="0" xfId="0" applyNumberFormat="1" applyFill="1"/>
    <xf numFmtId="10" fontId="0" fillId="5" borderId="0" xfId="0" applyNumberFormat="1" applyFill="1"/>
  </cellXfs>
  <cellStyles count="1">
    <cellStyle name="Normal" xfId="0" builtinId="0"/>
  </cellStyles>
  <dxfs count="366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 tint="-0.249977111117893"/>
        </patternFill>
      </fill>
    </dxf>
    <dxf>
      <fill>
        <patternFill>
          <bgColor rgb="FF92D050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67" formatCode="&quot;$&quot;#,##0.00"/>
    </dxf>
    <dxf>
      <numFmt numFmtId="167" formatCode="&quot;$&quot;#,##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67" formatCode="&quot;$&quot;#,##0.00"/>
    </dxf>
    <dxf>
      <numFmt numFmtId="167" formatCode="&quot;$&quot;#,##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&quot;$&quot;#,##0.00"/>
    </dxf>
    <dxf>
      <numFmt numFmtId="167" formatCode="&quot;$&quot;#,##0.00"/>
    </dxf>
    <dxf>
      <fill>
        <patternFill patternType="solid">
          <bgColor theme="0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39997558519241921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/>
        </patternFill>
      </fill>
    </dxf>
    <dxf>
      <fill>
        <patternFill>
          <bgColor theme="0" tint="-0.249977111117893"/>
        </patternFill>
      </fill>
    </dxf>
    <dxf>
      <fill>
        <patternFill>
          <bgColor theme="9"/>
        </patternFill>
      </fill>
    </dxf>
    <dxf>
      <fill>
        <patternFill>
          <bgColor theme="0"/>
        </patternFill>
      </fill>
    </dxf>
    <dxf>
      <fill>
        <patternFill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wrapText="1"/>
    </dxf>
    <dxf>
      <alignment wrapText="1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>
          <bgColor theme="0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>
          <bgColor rgb="FFFF0000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/>
        </patternFill>
      </fill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15.990473495367" createdVersion="8" refreshedVersion="8" minRefreshableVersion="3" recordCount="3118" xr:uid="{FC7CCAAE-C1BB-0F45-ACDB-CD458B98BB7E}">
  <cacheSource type="worksheet">
    <worksheetSource ref="A1:AA1048576" sheet="Raw-Search Term"/>
  </cacheSource>
  <cacheFields count="31">
    <cacheField name="Month" numFmtId="0">
      <sharedItems containsString="0" containsBlank="1" containsNumber="1" containsInteger="1" minValue="1" maxValue="6" count="7">
        <n v="1"/>
        <n v="2"/>
        <n v="3"/>
        <n v="4"/>
        <n v="5"/>
        <n v="6"/>
        <m/>
      </sharedItems>
    </cacheField>
    <cacheField name="Week" numFmtId="0">
      <sharedItems containsString="0" containsBlank="1" containsNumber="1" containsInteger="1" minValue="1" maxValue="27" count="28">
        <n v="4"/>
        <n v="2"/>
        <n v="3"/>
        <n v="1"/>
        <n v="5"/>
        <n v="8"/>
        <n v="7"/>
        <n v="6"/>
        <n v="9"/>
        <n v="11"/>
        <n v="10"/>
        <n v="12"/>
        <n v="14"/>
        <n v="13"/>
        <n v="17"/>
        <n v="15"/>
        <n v="18"/>
        <n v="16"/>
        <n v="20"/>
        <n v="21"/>
        <n v="19"/>
        <n v="22"/>
        <n v="23"/>
        <n v="25"/>
        <n v="24"/>
        <n v="26"/>
        <n v="27"/>
        <m/>
      </sharedItems>
    </cacheField>
    <cacheField name="Date" numFmtId="0">
      <sharedItems containsNonDate="0" containsDate="1" containsString="0" containsBlank="1" minDate="2026-01-01T00:00:00" maxDate="2026-07-01T00:00:00"/>
    </cacheField>
    <cacheField name="Portfolio name" numFmtId="0">
      <sharedItems containsDate="1" containsBlank="1" containsMixedTypes="1" minDate="2026-04-01T00:00:00" maxDate="2026-05-01T00:00:00"/>
    </cacheField>
    <cacheField name="Currency" numFmtId="0">
      <sharedItems containsBlank="1"/>
    </cacheField>
    <cacheField name="Campaign Name" numFmtId="0">
      <sharedItems containsBlank="1" count="19">
        <s v="捡漏SP.Keyword.Mannual - Tray"/>
        <s v="SP.Keyword.Mannual - Tray (all match)"/>
        <s v="SP.ASIN.Manual - Tray"/>
        <s v="捡漏SP.Auto - ENC Grey"/>
        <s v="SP.Auto - Tray"/>
        <s v="捡漏SP.Auto - BNF Yellow"/>
        <s v="SP.Auto - ENC grey"/>
        <s v="捡漏SP.Keyword.Manual - BC"/>
        <s v="捡漏SP.Auto - BC"/>
        <s v="捡漏SP.Manual - ENC &amp; BNF"/>
        <s v="捡漏SP.Auto - BNF Yellow up&amp;down"/>
        <s v="broad组"/>
        <s v="stroller tray"/>
        <s v="Tray"/>
        <s v="ENC"/>
        <s v="BNF"/>
        <s v="phrase&amp;exact"/>
        <s v="Broad"/>
        <m/>
      </sharedItems>
    </cacheField>
    <cacheField name="Ad Group Name" numFmtId="0">
      <sharedItems containsBlank="1"/>
    </cacheField>
    <cacheField name="Retailer" numFmtId="0">
      <sharedItems containsBlank="1"/>
    </cacheField>
    <cacheField name="Country" numFmtId="0">
      <sharedItems containsBlank="1"/>
    </cacheField>
    <cacheField name="Targeting" numFmtId="0">
      <sharedItems containsBlank="1"/>
    </cacheField>
    <cacheField name="Match Type" numFmtId="0">
      <sharedItems containsBlank="1"/>
    </cacheField>
    <cacheField name="Customer Search Term" numFmtId="0">
      <sharedItems containsBlank="1" containsMixedTypes="1" containsNumber="1" containsInteger="1" minValue="0" maxValue="2875" count="1308">
        <s v="accmor stroller cup holder"/>
        <s v="add on stroller storage"/>
        <s v="airport snack tray"/>
        <s v="attachable snack tray for stroller"/>
        <s v="automatic toe nail clippers for seniors"/>
        <s v="b01mdtk3k3"/>
        <s v="b077qbjnvm"/>
        <s v="b084ck55rw"/>
        <s v="b08y8kgl2d"/>
        <s v="b09bg5rnlv"/>
        <s v="b0bv4sxtfz"/>
        <s v="b0by26rdwq"/>
        <s v="b0bzdb9yrp"/>
        <s v="b0c1g4985z"/>
        <s v="b0cg3q5jfd"/>
        <s v="b0csd43s36"/>
        <s v="b0d9q9x59p"/>
        <s v="b0ddhv3kkf"/>
        <s v="b0dh98h2g4"/>
        <s v="b0dkjgpv71"/>
        <s v="b0dq4lsj88"/>
        <s v="b0dsbvb1ww"/>
        <s v="b0dz16bc3c"/>
        <s v="b0dzcbnzf1"/>
        <s v="b0f4kjn2vc"/>
        <s v="b0f4x97cl6"/>
        <s v="b0f8h6tf2g"/>
        <s v="b0f8q67npr"/>
        <s v="b0frs6zll7"/>
        <s v="baby carrier"/>
        <s v="baby carrier baby bjorn"/>
        <s v="baby carrier bassinet"/>
        <s v="baby carrier newborn"/>
        <s v="baby carrier newborn to toddler"/>
        <s v="baby carrier with hip seat"/>
        <s v="baby carriers"/>
        <s v="baby e file no led light"/>
        <s v="baby electric nail file"/>
        <s v="baby hair cutting machine"/>
        <s v="baby jogger child tray"/>
        <s v="baby jogger city mini snack tray"/>
        <s v="baby jogger city tour 2 accessories"/>
        <s v="baby jogger mini gt2 snack cup holder"/>
        <s v="baby nail buffer"/>
        <s v="baby nail care"/>
        <s v="baby nail care set"/>
        <s v="baby nail clippers"/>
        <s v="baby nail file"/>
        <s v="baby nail kit"/>
        <s v="baby nail trimmer electric"/>
        <s v="baby necessities"/>
        <s v="baby sling carrier"/>
        <s v="baby stroller organizers"/>
        <s v="baby trend jogging stroller accessories"/>
        <s v="baby trend tour lte attachments"/>
        <s v="baby wrap"/>
        <s v="baby wrap carrier"/>
        <s v="bob jogging stroller cup holder"/>
        <s v="britax cup holder"/>
        <s v="britax double stroller accessories"/>
        <s v="bugaboo butterfly 1 accessories"/>
        <s v="bumbleride snack tray"/>
        <s v="bumbleride snack tray compatible"/>
        <s v="car seat cup holder snack tray"/>
        <s v="car seat cup holder snack tray for stroller"/>
        <s v="car seat snack tray attachment with clip"/>
        <s v="car seat snack tray for kids travel"/>
        <s v="carseat cup holder snack tray"/>
        <s v="chair tray attachment"/>
        <s v="chicco mini bravo snack tray attachment"/>
        <s v="child carrier backpack"/>
        <s v="child tray that clips on stroller"/>
        <s v="city mini doublestroller accessories"/>
        <s v="city mini gt single stroller cup and snack holder"/>
        <s v="city mini gt stroller cup holder and tray"/>
        <s v="city mini snack tray attachment"/>
        <s v="clamp on stroller tray"/>
        <s v="clip cup holder for stroller"/>
        <s v="clip on snack tray for stroller"/>
        <s v="cooler for stroller"/>
        <s v="cup and snack holder for stroller"/>
        <s v="cup holder attachment for stroller"/>
        <s v="cup holder foldable"/>
        <s v="cup holder for 4 seater wagon"/>
        <s v="cup holder for stroller"/>
        <s v="cup holder for stroller or side by side"/>
        <s v="cup holder for stroller universal"/>
        <s v="cupholder for stroller"/>
        <s v="delta children stroller snack tray"/>
        <s v="delta jeep stroller organizer"/>
        <s v="disney world stroller accessories"/>
        <s v="dog electric nail clippers for small dogs"/>
        <s v="dog stroller tray"/>
        <s v="double stroller accessories"/>
        <s v="double stroller snack tray attachment"/>
        <s v="double stroller tray"/>
        <s v="double umbrella stroller snack tray"/>
        <s v="double zoe stroller accessories"/>
        <s v="dream on me coast rider stroller accessories"/>
        <s v="dream on me lightweight stroller accessories"/>
        <s v="eating tray for car seat"/>
        <s v="electric automatic nail clipper"/>
        <s v="electric automatic nail clipper &amp; trimmer"/>
        <s v="electric automatic nail clippers"/>
        <s v="electric baby nail file"/>
        <s v="electric fingernail clippers"/>
        <s v="electric nail and toenail clipper"/>
        <s v="electric nail clipper"/>
        <s v="electric nail clipper for adults"/>
        <s v="electric nail clipper for toddlers"/>
        <s v="electric nail clipper with big storage"/>
        <s v="electric nail clipperbest way to get rid of fleas in house"/>
        <s v="electric nail clippers"/>
        <s v="electric nail clippers for seniors"/>
        <s v="electric nail file for babies"/>
        <s v="electric nail get"/>
        <s v="electric nail trimmer"/>
        <s v="electric nail trimmer for toes"/>
        <s v="electric toe nail clippers for seniors rechargeable"/>
        <s v="electric toe nail clippers for thick toenails seniors"/>
        <s v="electric toenail clipper"/>
        <s v="electric toenail clipper for thick toenails"/>
        <s v="electric toenail clipperadults"/>
        <s v="electric toenail clippers"/>
        <s v="electric toenail clippers for seniors"/>
        <s v="electric toenail cutter"/>
        <s v="electric toenail cutter for adults"/>
        <s v="electronic nail clippers thick seniors"/>
        <s v="est electric nail clipper for both nails and toenails"/>
        <s v="evenflo stroller accessories"/>
        <s v="first time dad essentials"/>
        <s v="flat tray for stroller"/>
        <s v="forward facing baby carrier"/>
        <s v="gb pockit stroller snack tray"/>
        <s v="graco stroller tray"/>
        <s v="graco stroller tray replacement"/>
        <s v="guiseapue stroller cup holder"/>
        <s v="heavy duty electric toenail clippers"/>
        <s v="jeep adventureglyde stroller by delta children snack tray"/>
        <s v="jeep double stroller side by side snack tray"/>
        <s v="jeep powerglyde stroller accessories"/>
        <s v="jeep powerglyde stroller snack tray"/>
        <s v="joie stroller snack tray"/>
        <s v="joovy caboose snack tray one side"/>
        <s v="joovy zoom 360 snack tray"/>
        <s v="keenz wagon cup holder"/>
        <s v="kids cupholder for stroller"/>
        <s v="liuliuby stroller snack tray"/>
        <s v="mamazing stroller cup holder"/>
        <s v="manicure set for cutting nails to 3 year old girl"/>
        <s v="mockingbird stroller cup holder"/>
        <s v="momcozy baby carrier breathable mesh"/>
        <s v="momcozy baby carrier with hip seat"/>
        <s v="momfan stroller wagon accessories"/>
        <s v="mompush wiz 2 in 1 snack bar"/>
        <s v="nail buffer baby"/>
        <s v="nail buffer for infants"/>
        <s v="nail clipper electric for seniors"/>
        <s v="nail clipper for baby"/>
        <s v="nail file"/>
        <s v="nail file for baby"/>
        <s v="nail file for elderly"/>
        <s v="nail files"/>
        <s v="newborn essentials must haves"/>
        <s v="newborn nail file"/>
        <s v="newborn nail file electric"/>
        <s v="nuna cup holder for stroller"/>
        <s v="nuna mixx next food tray"/>
        <s v="nuna snack tray for stroller"/>
        <s v="phil and teds inline double stroller attachment"/>
        <s v="pink clip on cup holder for wagon"/>
        <s v="portable snack tray with handle"/>
        <s v="rechargeable toe nail grinder"/>
        <s v="scooter tray attachment"/>
        <s v="seemagic electric nail clipper"/>
        <s v="seemagic nail trimmer"/>
        <s v="shopping cart owala cup holder attachment"/>
        <s v="side attachment snack tray stroller"/>
        <s v="side mount snack stroller"/>
        <s v="single stroller organizer"/>
        <s v="snack and cup holder for stroller"/>
        <s v="snack cup for stroller"/>
        <s v="snack flexible arm tray mini"/>
        <s v="snack holder for summer stroller"/>
        <s v="snack tray attachment for 3d mini"/>
        <s v="snack tray for city jogger select single"/>
        <s v="snack tray for ingenuity 3dlite convenience stroller"/>
        <s v="snack tray for stroller"/>
        <s v="snack tray for stroller without bar"/>
        <s v="snack tray for the joovy zoom"/>
        <s v="snack tray for wagons or strollers"/>
        <s v="stack tray for stroller"/>
        <s v="stroller accessories"/>
        <s v="stroller attachment"/>
        <s v="stroller bar snack tray"/>
        <s v="stroller bumper bar with snack tray"/>
        <s v="stroller caddy and accessories"/>
        <s v="stroller clip"/>
        <s v="stroller cup holder"/>
        <s v="stroller cup holder attachment"/>
        <s v="stroller cup holder snack attachment kid"/>
        <s v="stroller front tray"/>
        <s v="stroller holder attachment"/>
        <s v="stroller side snack tray"/>
        <s v="stroller snack container"/>
        <s v="stroller snack tray"/>
        <s v="stroller snack tray attachment"/>
        <s v="stroller snack tray universal"/>
        <s v="stroller tray"/>
        <s v="stroller tray attachment"/>
        <s v="stroller tray attachment universal"/>
        <s v="stroller tray for drink"/>
        <s v="stroller tray for frame"/>
        <s v="stroller universal cup holder"/>
        <s v="stroller wagon snack tray"/>
        <s v="thomas train snack holder"/>
        <s v="timissfox electric nail trimmer electric nail clipper"/>
        <s v="toddler car seat cup holder"/>
        <s v="toddler carrier"/>
        <s v="toddler+backpack+carrier"/>
        <s v="toe nail clippers for thick nails for seniors"/>
        <s v="tray for fold up stroller"/>
        <s v="tray for stroller"/>
        <s v="tray for strollers"/>
        <s v="tricycle bar tray"/>
        <s v="tumbler holder for stroller"/>
        <s v="tush baby carrier"/>
        <s v="umbrella stroller add on tray"/>
        <s v="umbrella stroller attachments"/>
        <s v="umbrella stroller snack tray"/>
        <s v="umbrella stroller snack tray attachment"/>
        <s v="umbrella stroller tray"/>
        <s v="universal snack holder for stroller"/>
        <s v="universal snack tray"/>
        <s v="universal snack tray attachment"/>
        <s v="universal snack tray for stroller"/>
        <s v="universal snack tray for stroller without bar"/>
        <s v="universal stroller cup holder"/>
        <s v="universal stroller snack tray"/>
        <s v="universal stroller snack tray 360 rotation"/>
        <s v="universal stroller snack tray no bar"/>
        <s v="universal stroller tray"/>
        <s v="universal tray for stroller"/>
        <s v="universal tray for stroller with no handle bar"/>
        <s v="vevor wagon stroller accessories"/>
        <s v="wagon cupholder attachment"/>
        <s v="wonderful wagon snack tray"/>
        <s v="zoe stroller accessories"/>
        <s v="adjustable universal stroller tray"/>
        <s v="automatic fingernail grinder"/>
        <s v="automatic nail clipper"/>
        <s v="automatic nail clippers for seniors"/>
        <s v="b092q629ty"/>
        <s v="b09jkx6jgr"/>
        <s v="b0c8nksk7d"/>
        <s v="b0ddxl1tdj"/>
        <s v="b0dknz2w8c"/>
        <s v="b0dr8frr3v"/>
        <s v="b0fjf5j912"/>
        <s v="b0fwjm6zcs"/>
        <s v="b0gg9lq74z"/>
        <s v="baby jogger city mini gt2 accessories"/>
        <s v="baby jogger city mini gt2 double accessories kids cupholders"/>
        <s v="baby jogger compatible snack tray"/>
        <s v="baby nails kit"/>
        <s v="bugaboo butterfly 2 accessories"/>
        <s v="chicco fit stroller tray"/>
        <s v="chicco stroller accessories"/>
        <s v="citi double stroller tray"/>
        <s v="city jogger stroller cup holder"/>
        <s v="city mini double stroller snack tray"/>
        <s v="clamp snack tray"/>
        <s v="cordless toenail clippers"/>
        <s v="cup holder add on for stroller handle"/>
        <s v="electric nail file"/>
        <s v="electric toe nail clipper for seniors"/>
        <s v="electric toenail clippers for thick nails"/>
        <s v="electric toenail clippers for thick toenails"/>
        <s v="entire nail trimmer"/>
        <s v="evenflo 360 snack"/>
        <s v="folding stroller accessories"/>
        <s v="food tray and cup holder for toddler carseat"/>
        <s v="grocery cart snack tray"/>
        <s v="ingenuity stroller accessories"/>
        <s v="nail clippers"/>
        <s v="nail clippers fsa eligible"/>
        <s v="nail clippers on amazon"/>
        <s v="nail trimmer electric adult"/>
        <s v="new born baby essentials must haves"/>
        <s v="newborn hair brush"/>
        <s v="nuna stroller cup holder"/>
        <s v="popcorn holder child travel"/>
        <s v="power wheelchair tray"/>
        <s v="rechargeable toe nail clippers for seniors"/>
        <s v="side stroller food tray attachment"/>
        <s v="snack bar for city jogger mini gt3"/>
        <s v="snack pod"/>
        <s v="snack tray for nuna stroller"/>
        <s v="snack tray for uppa baby booster seat"/>
        <s v="snack tray stroller"/>
        <s v="stroller attachment for snacks"/>
        <s v="stroller bar snack holder"/>
        <s v="stroller caddy"/>
        <s v="stroller caddy tray"/>
        <s v="stroller cup and snack holder"/>
        <s v="stroller cup and snack holder attachment"/>
        <s v="stroller cup holder snack accessory"/>
        <s v="stroller cupholder"/>
        <s v="stroller drink and snack holder green"/>
        <s v="stroller for jogging"/>
        <s v="stroller organizer sling"/>
        <s v="stroller snack tray no bar"/>
        <s v="summit x3 single stroller snack tray"/>
        <s v="swanoo universal stroller tray"/>
        <s v="swing stroller snack trays"/>
        <s v="toenail clippers"/>
        <s v="umbrella stroller accessories tray"/>
        <s v="umbrella stroller cup holder attachment"/>
        <s v="universal cup holder for toddler car seat"/>
        <s v="universal detachable snack tray"/>
        <s v="universal grocery cart snack tray"/>
        <s v="universal snack tray city tour 2"/>
        <s v="universal stroller snack tray attachment"/>
        <s v="universal stroller snack tray with no bar"/>
        <s v="wagon cup holder"/>
        <s v="walker cup holder for rolling walker"/>
        <s v="￼cupholder for stroller"/>
        <s v="￼university cupholder stroller￼"/>
        <s v="2 cup holder parent tray"/>
        <s v="automatic nail cutter for adults"/>
        <s v="b008o3oixu"/>
        <s v="b07nzylmsq"/>
        <s v="b09hsv3m75"/>
        <s v="b0cksd794p"/>
        <s v="b0cmz7klgb"/>
        <s v="b0d6bcslnq"/>
        <s v="b0d6w2ssdt"/>
        <s v="b0d7ygljxb"/>
        <s v="b0d8b2b9cc"/>
        <s v="b0dndqn3gs"/>
        <s v="b0dp4txlp9"/>
        <s v="b0fc6sp573"/>
        <s v="b0ffs37tv7"/>
        <s v="b0flsgv71n"/>
        <s v="b0fpcstlxh"/>
        <s v="b0fy2g4hzn"/>
        <s v="baby burping tool electric"/>
        <s v="baby essentials list"/>
        <s v="baby filer nail electric"/>
        <s v="baby grooming kit newborn girl"/>
        <s v="baby items must haves"/>
        <s v="baby jogger city mini gt double stroller child tray with claps"/>
        <s v="baby jogger city mini gt2 double caddy"/>
        <s v="baby jogger stroller accessories"/>
        <s v="baby joy stroller accessories"/>
        <s v="baby nail care kit"/>
        <s v="baby nail clippers with safety guard"/>
        <s v="baby nail trimmer"/>
        <s v="baby nair"/>
        <s v="baby necessities newborn"/>
        <s v="baby patter for sleep"/>
        <s v="baby shower gifts"/>
        <s v="baby stroller parent cup holders"/>
        <s v="baby trend double jogging stroller snack tray"/>
        <s v="baby trend double stroller accessories"/>
        <s v="baby trend double stroller snack tray"/>
        <s v="battery operated nail trimmer"/>
        <s v="battery powered toenail clippers for seniors thick nails"/>
        <s v="best electric nail clipper for seniors"/>
        <s v="bob double stroller accessories snack tray"/>
        <s v="bob double stroller snack tray"/>
        <s v="bob duallie stroller snack tray"/>
        <s v="bob stroller snack tray"/>
        <s v="bob stroller universal snack tray"/>
        <s v="britax b-lively stroller tray"/>
        <s v="britax poplar cup holder with snack"/>
        <s v="bugaboo cup holder"/>
        <s v="child tray with cup holder tango baby trend"/>
        <s v="city mini double stroller accessories"/>
        <s v="city mini g2 double stroller accessories"/>
        <s v="city select double stroller accessories"/>
        <s v="clip ok tray table for stroller"/>
        <s v="clip on tray for umbrella stroller"/>
        <s v="croc style stroller pouch"/>
        <s v="cup holder baby jogger city mini gt2"/>
        <s v="cup holder for wagon"/>
        <s v="cup holder snack tray for stroller"/>
        <s v="cup holder with snack tray for wheelchair"/>
        <s v="cupholder for power wheelchair armrest"/>
        <s v="cupholders for zoe stroller"/>
        <s v="delta umbrella stroller accessories"/>
        <s v="delta umbrella stroller accessories snack"/>
        <s v="disney baby character umbrella stroller accessories"/>
        <s v="double bob kids cup holder"/>
        <s v="double bob stroller snack tray"/>
        <s v="double stroller cup holder"/>
        <s v="double stroller organizer"/>
        <s v="double stroller snack tray"/>
        <s v="double stroller snack tray bar"/>
        <s v="double stroller snack tray with storage pods"/>
        <s v="double stroller tray attachment"/>
        <s v="dream on me stroller accessories"/>
        <s v="electric baby file"/>
        <s v="electric nail buffer baby"/>
        <s v="electric nail clipper baby"/>
        <s v="electric nail file kids"/>
        <s v="evenflo reversi stroller snack tray"/>
        <s v="evenflo stroller cup holder tray for adult"/>
        <s v="exercise stroller caddy"/>
        <s v="fingernail grinder"/>
        <s v="food attachments for dog stroller"/>
        <s v="food tray for strollers"/>
        <s v="gaggle cup holder"/>
        <s v="good baby jogger snack tray"/>
        <s v="graco stroller child tray replacement"/>
        <s v="graco travel stroller tray replacement"/>
        <s v="infant nail file electric"/>
        <s v="ingenuity 3d mini convenience stroller kid tray"/>
        <s v="jeep destination double stroller snack tray"/>
        <s v="jeep destination ultralight side x side double stroller snack tray"/>
        <s v="jeep double stroller accessory tray"/>
        <s v="jeep double stroller attachments"/>
        <s v="jeep powerglyde side-by-side double stroller by delta children, grey snack tray"/>
        <s v="jeep stroller attachments"/>
        <s v="joovy twin groove ultralight accessories"/>
        <s v="khaki color snack and cup tray for baby stroller"/>
        <s v="kids cup holder for stroller"/>
        <s v="kids stroller cup holder"/>
        <s v="lima eléctrica para bebe"/>
        <s v="luftcabo automatic nail clipper"/>
        <s v="mickey stroller accessories"/>
        <s v="munchkin brica stroller cup holder"/>
        <s v="nail buffer for baby"/>
        <s v="nail buffers"/>
        <s v="nail filer for baby"/>
        <s v="nail filer for newborn baby"/>
        <s v="nails clippers electric toe nails"/>
        <s v="newborn"/>
        <s v="newborn girl essentials"/>
        <s v="newborn nail clippers"/>
        <s v="nuna stroller mixx snack tray"/>
        <s v="pacifier holder"/>
        <s v="pink stroller caddy"/>
        <s v="portable double cup holder snack tray"/>
        <s v="portable wipe warmer"/>
        <s v="ride along attachment chicco stroller"/>
        <s v="rollator basket and cup holder"/>
        <s v="safety 1st step lite compact stroller accessories￼"/>
        <s v="shopping cart cup holder and snack"/>
        <s v="side snack holder stroller zoe twin"/>
        <s v="snack attachment for stroller"/>
        <s v="snack container for umbrella stroller"/>
        <s v="snack cup holder for car kids"/>
        <s v="snack for stroller"/>
        <s v="snack holder"/>
        <s v="snack stroller"/>
        <s v="snack tray change go"/>
        <s v="snack tray for double stroller babytrend jogger"/>
        <s v="snack tray for infans double stroller"/>
        <s v="snack tray for zoe stroller"/>
        <s v="snack tray shopping cart"/>
        <s v="snack trays for toddlers"/>
        <s v="snap on or velcro snack trays for child for ingenuity umbrella stroller on the side"/>
        <s v="snap on tray for umbrella stroller no bar"/>
        <s v="stannlybottle holder and food tray with cover non toxic tray for stroller"/>
        <s v="stroller accessories for disney world"/>
        <s v="stroller attachments snack"/>
        <s v="stroller bottle holder"/>
        <s v="stroller clip on tray"/>
        <s v="stroller cup holder attachment for kids"/>
        <s v="stroller cup holder kids"/>
        <s v="stroller cup holder ￼￼"/>
        <s v="stroller food tray"/>
        <s v="stroller kids cup holder graco ready to jet"/>
        <s v="stroller snack"/>
        <s v="stroller snack holder"/>
        <s v="stroller snack tray attachment nuna"/>
        <s v="stroller snack tray attachment that doesn't attach to a bar"/>
        <s v="stroller snack tray clip on"/>
        <s v="stroller snack trays"/>
        <s v="stroller space saver"/>
        <s v="stroller storage"/>
        <s v="stroller storage holder"/>
        <s v="stroller tray fis graco"/>
        <s v="stroller tray for kids"/>
        <s v="stroller wagon accessories"/>
        <s v="stroller wagon cell phone holder snack tray"/>
        <s v="stroller wagon snack tray universal"/>
        <s v="stroller weights prevent tipping"/>
        <s v="stroller with snack tray"/>
        <s v="tender moments"/>
        <s v="thule spring stroller accessories"/>
        <s v="tijera para bebe"/>
        <s v="toddler drink and snack holder"/>
        <s v="toddler gentle nail file"/>
        <s v="toddler safe cup holder"/>
        <s v="toddler snack cup cupholder"/>
        <s v="toddler stroller attachment for snacks"/>
        <s v="toe nail grinder for seniors"/>
        <s v="toenail clipper"/>
        <s v="travel essentials disney stroller"/>
        <s v="travel size baby essentials"/>
        <s v="trays for strollers"/>
        <s v="umbrella stroller accessories"/>
        <s v="umbrella stroller tray attachment"/>
        <s v="umbrella stroller tray attachment universal"/>
        <s v="universal food tray for stroller"/>
        <s v="universal snack tray for umbrella stroller"/>
        <s v="universal snack tray for zoe twin"/>
        <s v="universal stroller cup holder snack tray"/>
        <s v="universal stroller cup holder with phone holder"/>
        <s v="universal stroller snack tray with cup holder"/>
        <s v="universal stroller snack trays"/>
        <s v="universal stroller tray attachment"/>
        <s v="universal stroller tray bob stroller"/>
        <s v="universal tray for strollers"/>
        <s v="universal umbrella stroller snack tray"/>
        <s v="uppa baby glux accessories"/>
        <s v="uppababy snack tray g luxe"/>
        <s v="walker multifunction cup holder"/>
        <s v="wheelchair arm cup holder attachment"/>
        <s v="wheelchair tray"/>
        <s v="wonderfold wagon cup holder w4"/>
        <s v="wonderfold wagon w4 snack tray"/>
        <s v="wonderful wagon drink holder"/>
        <s v="￼universal clip on snack tray mompush"/>
        <s v="360-degree adjustable, universal clamp-on cup holders"/>
        <s v="adult electric nail trimmer"/>
        <s v="amazon outlet clearance electric nail clippers"/>
        <s v="anthem 2 wagon stroller accessories"/>
        <s v="attachable snack tray"/>
        <s v="autism hair clippers for kids"/>
        <s v="b00nf9hh2m"/>
        <s v="b0dfj2l1m3"/>
        <s v="b0dwyk1wvs"/>
        <s v="b0fvf51vyj"/>
        <s v="baby file"/>
        <s v="baby johnson"/>
        <s v="baby nail grinder"/>
        <s v="baby nail trimmer electric newborn"/>
        <s v="baby trend stroller snack tray attachment child"/>
        <s v="baby trend stroller tray replacement"/>
        <s v="baby wipes warmer cordless"/>
        <s v="bike cup holder cute"/>
        <s v="bugaboo snack tray"/>
        <s v="car seat snack tray"/>
        <s v="chicco snack tray for stroller"/>
        <s v="clip on stroller cup holder"/>
        <s v="coche stroller accessories"/>
        <s v="cortauñas para bebe"/>
        <s v="cosco kids booster seat cup holders"/>
        <s v="countors stroller tray"/>
        <s v="cybex libelle snack tray"/>
        <s v="electric nail clippers for seniors thick toenails"/>
        <s v="electric nail clippers for stroke patients"/>
        <s v="electric nail cutter for baby"/>
        <s v="electric toe nail file"/>
        <s v="evenflo reversi stroller accessories"/>
        <s v="gb pockit all terrain stroller accessories"/>
        <s v="gb pockit stroller accessories"/>
        <s v="joovy double stroller attachment"/>
        <s v="kids cupholder tray umbrella stroller"/>
        <s v="liuliuby snack tray"/>
        <s v="momoush compatible snack tray"/>
        <s v="nail buffer electric"/>
        <s v="nail buffer yellow"/>
        <s v="nail clippers babies"/>
        <s v="nail file for toddlers"/>
        <s v="nail trimmer"/>
        <s v="new baby essentials"/>
        <s v="no stroller bumper bar snack tray"/>
        <s v="portable plate for stroller handle"/>
        <s v="snack tray"/>
        <s v="snack tray for stroller with cover"/>
        <s v="snacktray for graco grow with me stroller"/>
        <s v="stroller bar mockingbird"/>
        <s v="stroller bar snack drink holder attachment"/>
        <s v="stroller baskets"/>
        <s v="stroller caddy cute"/>
        <s v="stroller snack bowl holder"/>
        <s v="stroller snack tray holder"/>
        <s v="stroller snack tray with cover"/>
        <s v="suitable snack tray for thule glide 2 stroller"/>
        <s v="thule double snack tray"/>
        <s v="toddler electric nail file"/>
        <s v="toe nail cutters rechargeable"/>
        <s v="toenail clippers for seniors"/>
        <s v="travel stroller snack clip"/>
        <s v="travel tray for kids clip on"/>
        <s v="tray for nuna stroller"/>
        <s v="umbrella stroller food tray"/>
        <s v="universal snack cross tray for stroller"/>
        <s v="universal snack cup stroller"/>
        <s v="universal snack tray for double stroller"/>
        <s v="universal snack tray stroller"/>
        <s v="universal stroller tray with cup holder"/>
        <s v="universal umbrella stroller cup holder snack tray"/>
        <s v="universal under stroller storage basket"/>
        <s v="uppababy g link 2 double stroller accessories"/>
        <s v="wagon cup holder attachment"/>
        <s v="wagon tray attachment"/>
        <s v="wonderfold luxe pro2 accessories"/>
        <s v="wonderfold w4 snack tray"/>
        <s v="wonderfold wagon cup holder attachment"/>
        <s v="wonderfold wagon w4 velcro snack tray"/>
        <s v="￼electric toenail clippers"/>
        <s v="accessories for ingenuity 3d mini convenience stroller"/>
        <s v="accessories for stroller wagon"/>
        <s v="accmor stroller cup holder with tray"/>
        <s v="attachable stroller tray"/>
        <s v="b00khr71h6"/>
        <s v="b013skbe7q"/>
        <s v="b07n1vrp5p"/>
        <s v="b07p1ysc18"/>
        <s v="b07srvb6t6"/>
        <s v="b08cyvgqd5"/>
        <s v="b094pb9yqc"/>
        <s v="b09v44cbbz"/>
        <s v="b0bshfjssp"/>
        <s v="b0c62k81dz"/>
        <s v="b0clrhzfd5"/>
        <s v="b0cs3n6wsr"/>
        <s v="b0csf1hnj8"/>
        <s v="b0ct62q6fq"/>
        <s v="b0d4q79513"/>
        <s v="b0d5qsdhz5"/>
        <s v="b0d6hr3vzk"/>
        <s v="b0dk4nwxyf"/>
        <s v="b0dknq2bmp"/>
        <s v="b0dw3zs564"/>
        <s v="b0f295jnpr"/>
        <s v="b0f2j4m2vt"/>
        <s v="b0gl375kl9"/>
        <s v="baby butt spatula"/>
        <s v="baby essentials"/>
        <s v="baby fingernail clippers"/>
        <s v="baby hair cutting kit"/>
        <s v="baby jogger city mini gate bar"/>
        <s v="baby jogger city mini gt snack tray"/>
        <s v="baby jogger city mini gt2 snack tray"/>
        <s v="baby jogger city select snack tray"/>
        <s v="baby jogger double stroller snack tray"/>
        <s v="baby jogger kid snack tray"/>
        <s v="baby kit"/>
        <s v="baby mail file"/>
        <s v="baby nail file electric"/>
        <s v="baby stroller snack tray"/>
        <s v="baby things"/>
        <s v="baby wipe warmer"/>
        <s v="bannana stroller with tray"/>
        <s v="barber kit baby"/>
        <s v="bib cup holder for stroller"/>
        <s v="bob snack tray double"/>
        <s v="britax b free snack tray"/>
        <s v="buffer nail kids"/>
        <s v="bugaboo donkey snack tray compatible"/>
        <s v="carseat clamp snack holder"/>
        <s v="carseat cup holder snack tray clip on"/>
        <s v="carseat stroller attachment zoe"/>
        <s v="child snack tray and cup holder for stroller"/>
        <s v="clamp on tray for rollator"/>
        <s v="clip on double cup holder for stroller"/>
        <s v="clip on snack tray"/>
        <s v="clip on stroller snack tray with no bar"/>
        <s v="clip on to stroller snack bottle"/>
        <s v="clip on tray for wheelchair"/>
        <s v="cup and tray stroller"/>
        <s v="cup holder stroller attachment"/>
        <s v="cup holder with tray for stroller"/>
        <s v="cup holder with tray for stroller 2 pack"/>
        <s v="cybex coya snack tray"/>
        <s v="dishwasher safe stroller accessories"/>
        <s v="double bob stroller tray"/>
        <s v="drink holders for stroller for kids"/>
        <s v="electric finger and toenail clipper"/>
        <s v="electric nail clipper for baby, adult and senior"/>
        <s v="electric nail clippers for adults"/>
        <s v="electric nail clippers for toenails"/>
        <s v="electric nail clippers￼"/>
        <s v="electric nail grinder 4 in one with grinder, drill, led light, removeal og gel nail polish"/>
        <s v="electric nail trimmer for adults"/>
        <s v="evenflo stroller reversi snack tray"/>
        <s v="expandable stroller cup holder"/>
        <s v="frame snack tray stroller"/>
        <s v="gb pockit all city stroller snack tray"/>
        <s v="gb pockit stroller snack tray no bar"/>
        <s v="graco ready2jet stroller kids snack and cup holder"/>
        <s v="graco ready2jet stroller snack tray"/>
        <s v="graco snack tray replacement"/>
        <s v="graco stroller accessories"/>
        <s v="graco stroller accessories tray"/>
        <s v="graco stroller tray attachment"/>
        <s v="graco travel system stroller attachment for toddler"/>
        <s v="graco tray for stroller with bar"/>
        <s v="hewelth electric toenail clipper"/>
        <s v="honey joy stroller accessories"/>
        <s v="ingenuity 3d mini convenience stroller snack tray"/>
        <s v="ingenuity 3d mini stroller snack tray with no bar"/>
        <s v="ingenuity stroller cup holder"/>
        <s v="ingenuity stroller side attachment for tray for baby"/>
        <s v="ingenuity stroller snack tray"/>
        <s v="jeep double umbrella stroller accessories food bar"/>
        <s v="joovy tray"/>
        <s v="kdd stroller cup holder"/>
        <s v="kids cup holder for umbrella stroller"/>
        <s v="kids snack cup for stroller"/>
        <s v="kids tray for umbrella stroller"/>
        <s v="kolcraft stroller accessories"/>
        <s v="liuliuby universal stroller snack tray"/>
        <s v="lixa de inha de bebe"/>
        <s v="mockingbird stroller snack tray"/>
        <s v="nail buffer for yellow nails"/>
        <s v="nail electric filer"/>
        <s v="nail file for men"/>
        <s v="nail trimmer for baby"/>
        <s v="on the go baby snack container attach to stroller"/>
        <s v="parent try attachment for stroller"/>
        <s v="peeling machine"/>
        <s v="pink cup holder stroller"/>
        <s v="portable attachable tray"/>
        <s v="portable stroller with tray"/>
        <s v="rechargeable baby nail file"/>
        <s v="replacement cupholder grace stroller"/>
        <s v="safe fit snack pod for strollers"/>
        <s v="safety 1st step lite compact stroller snack attachment"/>
        <s v="safety first car seat snacks holder"/>
        <s v="shopping cart snack tray"/>
        <s v="shopping cart snack tray for toddler"/>
        <s v="side by side cup holder"/>
        <s v="side snack tray for strollers"/>
        <s v="sit and stand stroller accessories"/>
        <s v="small snack holder for stroller"/>
        <s v="snack and drink holder stroller"/>
        <s v="snack bar wagon w2"/>
        <s v="snack tray compatible with babytrend double jogger"/>
        <s v="snack tray compatible with colugo strollers"/>
        <s v="snack tray for evenflo pivot xpand stroller"/>
        <s v="snack tray for jeep double stroller"/>
        <s v="snack tray for mini convenience stroller"/>
        <s v="snack tray for stroller with no bar"/>
        <s v="snack tray for umbrella stroller"/>
        <s v="snack tray for umbrella stroller without bar"/>
        <s v="snack tray for walking pad handle bar"/>
        <s v="snack tray for zoe twin"/>
        <s v="snack tray with lid for stroller"/>
        <s v="snack trays for veer wagon"/>
        <s v="snap on accessories for umbrella stroller"/>
        <s v="snap on stroller tray"/>
        <s v="snap on tray for umbrella stroller"/>
        <s v="stroller accessories front tray"/>
        <s v="stroller bench seat attachment"/>
        <s v="stroller caddy umbrella strollers"/>
        <s v="stroller cargo caddy"/>
        <s v="stroller cup holder for flat bars"/>
        <s v="stroller cup holder for toddler"/>
        <s v="stroller cup holder side attachment"/>
        <s v="stroller cupholder and tray fr adults"/>
        <s v="stroller handle toddler tether wrist"/>
        <s v="stroller kids cupholder"/>
        <s v="stroller large cup holder"/>
        <s v="stroller replacement front tray"/>
        <s v="stroller snack tray attachment city g2t"/>
        <s v="stroller snack tray attachment no bar"/>
        <s v="stroller snack tray bugaboo butterfly"/>
        <s v="stroller snack tray uppa baby minu v3"/>
        <s v="stroller standing board attachment"/>
        <s v="stroller storage cup holder"/>
        <s v="stroller table mickey mouse stroller"/>
        <s v="stroller toy accessories"/>
        <s v="stroller tray universal"/>
        <s v="stroller wagon child cup holder"/>
        <s v="stroller wagon kid tray"/>
        <s v="thule cup holder"/>
        <s v="toddler nail clipper"/>
        <s v="toe nails"/>
        <s v="toenail clippers for thick toenails"/>
        <s v="tray attachment stroller"/>
        <s v="tray bar stroller clip on"/>
        <s v="tray for wagon stroller with support bar"/>
        <s v="tray replacement for baby trend tour wagon"/>
        <s v="umbrella stroller cup holder and tray for kid"/>
        <s v="umbrella stroller universal cup holder with tray"/>
        <s v="universal cup holder for stroller"/>
        <s v="universal cup snack tray for jogging stroller"/>
        <s v="universal dog stroller cup holder with tray"/>
        <s v="universal snack tray for wagon"/>
        <s v="universal snack tray no bumper bar"/>
        <s v="universal stroller cup and snack tray"/>
        <s v="universal stroller organizer"/>
        <s v="velcro snack tray"/>
        <s v="wagon snack tray with 2 cup holders"/>
        <s v="wagon stroller tray"/>
        <s v="yoyo stroller snack tray"/>
        <s v="￼cupholder snack holder stroller"/>
        <s v="360 clamp mount to hold things in on wheelchair or stroller"/>
        <s v="accessories for britax b lively double stroller"/>
        <s v="accessories ￼for umbrella ￼strollers accessories"/>
        <s v="adaptadores para poner juegos en coche de bebe"/>
        <s v="attachable stroller cup holder"/>
        <s v="automatic bottle maker"/>
        <s v="b004lt4xqs"/>
        <s v="b01m59qpsk"/>
        <s v="b0b7w12yt2"/>
        <s v="b0cw33rkyq"/>
        <s v="baby bath tubs for infants to toddler"/>
        <s v="baby bathtub for newborn"/>
        <s v="baby cologne"/>
        <s v="baby jogger double stroller"/>
        <s v="baby jogger snack tray"/>
        <s v="baby lounger pillow for newborn"/>
        <s v="baby nail trimmer rechargeable"/>
        <s v="baby stroller cup holder storage"/>
        <s v="baby tongue cleaner"/>
        <s v="bob stroller snack tray double"/>
        <s v="bombi travel stroller accessories"/>
        <s v="bouncer"/>
        <s v="brica stroller cup holder"/>
        <s v="britax child tray"/>
        <s v="bumper tray for stroller"/>
        <s v="car seat cup holder snack tray graco 360"/>
        <s v="chicco corso stroller tray"/>
        <s v="chicco mini bravo sport tray"/>
        <s v="city mini air snack tray"/>
        <s v="city mini gt jogger stroller attachments"/>
        <s v="city mini gt single stroller accessories"/>
        <s v="clip on cup holder for stroller"/>
        <s v="clip on cup holder for wagon"/>
        <s v="clip on snack tray for stroller without bumper bar"/>
        <s v="contours stroller snack tray"/>
        <s v="cosco stroller attachment"/>
        <s v="cup holder candy dish"/>
        <s v="cup holder tray"/>
        <s v="cup holder tray for car seat"/>
        <s v="cup holder with snack bowl for bike"/>
        <s v="double jogging stroller accessories"/>
        <s v="dream on me accessories stroller"/>
        <s v="dream on me double stroller snack holder"/>
        <s v="drink holder for umbrella stroller"/>
        <s v="evenflo omni plus stroller attachment"/>
        <s v="ever advanced wagon stroller tray"/>
        <s v="extra large stroller cup holder"/>
        <s v="fingernail cutter machines"/>
        <s v="hoggi stroller organizer"/>
        <s v="jeep stroller side by side kids cupholder"/>
        <s v="jeep wagon snack tray attachment"/>
        <s v="jogging stroller storage"/>
        <s v="joie stroller toddler attachment"/>
        <s v="joovy kooper x2 snack tray"/>
        <s v="keenz wagon stroller snack tray"/>
        <s v="kid snack tray for stroller wagon"/>
        <s v="luffcabo snack tray stroller"/>
        <s v="munchkin snack pod tray"/>
        <s v="nagelvijl baby"/>
        <s v="nails trimmer kit baby"/>
        <s v="new born baby pillow"/>
        <s v="newborn essentials"/>
        <s v="rechargeable electric nail clipper baby"/>
        <s v="regalo para bb recien nacido"/>
        <s v="silent baby hair clipper"/>
        <s v="snack and drink holder for graco jogging stroller"/>
        <s v="snack holder for side of stroller"/>
        <s v="snack tray adapter bombi"/>
        <s v="snack tray for jeep stroller"/>
        <s v="snack tray for thule urban glide 2"/>
        <s v="snack tray for wagon"/>
        <s v="snack tray stroller attachment"/>
        <s v="snacktray gb pockit air"/>
        <s v="stokke yoyo accessories"/>
        <s v="stroller accessories for mom"/>
        <s v="stroller attachments baby trend navigator double jogger"/>
        <s v="stroller bag attachment"/>
        <s v="stroller caddy with cup holder"/>
        <s v="stroller cup holder child"/>
        <s v="stroller kid cup holder"/>
        <s v="stroller kids cup holder attachment"/>
        <s v="stroller organizer compatible"/>
        <s v="stroller organizer cups"/>
        <s v="stroller phone holder"/>
        <s v="stroller snack plate"/>
        <s v="stroller snack tray attachment with bar"/>
        <s v="stroller tray for parents"/>
        <s v="stroller tray nuna"/>
        <s v="stroller with snack tray and cup holder"/>
        <s v="strollerframe snack tray attachment"/>
        <s v="things for newborn"/>
        <s v="thule stroller accessories"/>
        <s v="toallas para bebe"/>
        <s v="travel stroller accessories"/>
        <s v="tray attachment for graco stroller"/>
        <s v="tray for sekey wagon"/>
        <s v="trays that attach to strollers that don't have a belly bar"/>
        <s v="ubbi diaper discs holder"/>
        <s v="umbrella stroller with snack tray"/>
        <s v="universal cup holder for walker"/>
        <s v="universal stroller feeder"/>
        <s v="universal stroller organizer/snack tray"/>
        <s v="universal travel stroller tray"/>
        <s v="very short nails for kids"/>
        <s v="vista snack tray"/>
        <s v="wagon snack cups"/>
        <s v="warmer wipes"/>
        <s v="￼baby nail buffer"/>
        <s v="￼electric nail clipper"/>
        <s v="￼universal stroller snack tray"/>
        <s v="16 gauge finish nailer"/>
        <s v="3-in-1 stroller tray attachment cup holder"/>
        <s v="4 pack of cup holders for stroller"/>
        <s v="accmor stroller snack tray"/>
        <s v="accmor stroller snack tray attachment"/>
        <s v="adult tray graco stroller"/>
        <s v="attachable cup holder for stroller"/>
        <s v="attachable snack cup to stroller"/>
        <s v="b0757s517b"/>
        <s v="b07cc2n7wr"/>
        <s v="b07nzc7bps"/>
        <s v="b09t5dtwgc"/>
        <s v="b0blcttmrb"/>
        <s v="b0bmxg3xrn"/>
        <s v="b0brmfykm7"/>
        <s v="b0c1sj1g82"/>
        <s v="b0c4v73d1y"/>
        <s v="b0cmt8djhn"/>
        <s v="b0d5r59tpv"/>
        <s v="b0ddp2fvg5"/>
        <s v="b0dnt8n9bv"/>
        <s v="b0dq54hl53"/>
        <s v="b0dscjw89z"/>
        <s v="b0f4dhwnmp"/>
        <s v="b0f7lhkdbb"/>
        <s v="b0f8vydmq3"/>
        <s v="b0ff4km6rd"/>
        <s v="b0fh1gvlhj"/>
        <s v="b0fnjylddz"/>
        <s v="b0fnydb6ty"/>
        <s v="b0fqbp6qc2"/>
        <s v="b0fvs61hrz"/>
        <s v="b0gcfhrpk6"/>
        <s v="baby accessories for newborn boy"/>
        <s v="baby aquaphor"/>
        <s v="baby bath support"/>
        <s v="baby care"/>
        <s v="baby feeding set"/>
        <s v="baby fingernail file"/>
        <s v="baby gadgets"/>
        <s v="baby jogger city mini accessories"/>
        <s v="baby jogger city select bar"/>
        <s v="baby nail trimmer only 2.99 regularly 15.99"/>
        <s v="baby shopping cart attachment"/>
        <s v="baby stroller tray attachment"/>
        <s v="baby trend double stroller tray replacement"/>
        <s v="baby trend stroller attachments"/>
        <s v="baby trend wagon snack tray"/>
        <s v="babygirl swing"/>
        <s v="babytrend double jogger stroller snack tray"/>
        <s v="babytrend stroller attachment"/>
        <s v="best universal snack tray compatible with jogger gt2￼"/>
        <s v="bob duallie snack tray"/>
        <s v="bob duallie stroller cup holder"/>
        <s v="bob flex 3.0 snack tray"/>
        <s v="braiding tool machine"/>
        <s v="brica snack and cup holder"/>
        <s v="britax b-ready stroller snack tray￼"/>
        <s v="bugaboo stroller accessories"/>
        <s v="bundlepro stroller cup holder"/>
        <s v="car seat snack tray no cup holder"/>
        <s v="chicco double stroller snack attachment for backseat"/>
        <s v="child nail"/>
        <s v="child tray for stroller without bar"/>
        <s v="child's snack tray for stroller"/>
        <s v="city mini stroller accessories"/>
        <s v="clamp cupholder"/>
        <s v="clamped stroller tray"/>
        <s v="clip nail for kids with light"/>
        <s v="clip on food tray for stroller"/>
        <s v="compartment for strollercompartments that attach to pole"/>
        <s v="corded electric brad nail gun lightweight"/>
        <s v="cradle cap brush"/>
        <s v="cup and snack holder for double stroller"/>
        <s v="cup and snack holder for umbrella stroller"/>
        <s v="cup holder and snack for ingenuity stroller"/>
        <s v="cup holder attachment for stroller clip on"/>
        <s v="cup holder for compact stroller"/>
        <s v="cup holder for stroller tray"/>
        <s v="cup holder for strollers"/>
        <s v="cup holder tray stroller"/>
        <s v="cup holders for strollers"/>
        <s v="cup or snack holder for stroller"/>
        <s v="cupholder and snack cup holder for radio flyer wagon"/>
        <s v="cybex folding stroller accessories"/>
        <s v="cómo hacer bebé shark en uñas"/>
        <s v="disney stroller accessories"/>
        <s v="dog nail clippers"/>
        <s v="dog nail trimmers"/>
        <s v="dog stroller cup holder and storage"/>
        <s v="double cup holder for stroller"/>
        <s v="double stroller"/>
        <s v="double stroller organizer attachment"/>
        <s v="double stroller snack tray no bar"/>
        <s v="double stroller with snack tray and cup holder"/>
        <s v="drink and snack holder for stroller"/>
        <s v="drink holder stroller with tray"/>
        <s v="electric baby swing"/>
        <s v="electric clippers"/>
        <s v="electric nail clippers for seniors luffcabo"/>
        <s v="electric nail file baby"/>
        <s v="electric nail file drill for baby"/>
        <s v="electric nail file for baby"/>
        <s v="electric nail file for newborn"/>
        <s v="electric nail trimmer file baby pink"/>
        <s v="electric toe nail grinder for thick nails"/>
        <s v="familidoo q1 accessories"/>
        <s v="fingernail clipper"/>
        <s v="flood tray for stroller for parents"/>
        <s v="food tray stroller"/>
        <s v="frame-mounted snack tray stroller"/>
        <s v="glass nail file"/>
        <s v="graco modes attachments"/>
        <s v="graco ready2jet stroller accessories"/>
        <s v="graco snack trays"/>
        <s v="graco stroller board attachment"/>
        <s v="graco stroller cup holder"/>
        <s v="graco stroller tray replacement parts"/>
        <s v="graco stroller universal cup holder"/>
        <s v="gyro cup holder stroller"/>
        <s v="habitat universal stroller cup holder attachment with phone holder"/>
        <s v="hard plastic organizer tray back of stroller"/>
        <s v="hard plastic parent tray for jeep double stroller"/>
        <s v="hard stroller wagon tray"/>
        <s v="ingenuity 3d mini convenience stroller accessories"/>
        <s v="ingenuity 3d mini stroller cup holder"/>
        <s v="ingenuity 3d mini stroller cup holder attachment"/>
        <s v="ingenuity snack attachment"/>
        <s v="ingenuity stroller tray"/>
        <s v="jeep destination ultralight side x side double stroller cup holder"/>
        <s v="jeep destination ultralight side x side double stroller, food trays"/>
        <s v="jeep double stroller snack tray attachment"/>
        <s v="jeep powerglyde stroller by delta children accessories"/>
        <s v="jeep powerglyde stroller cup holder"/>
        <s v="jeep stroller with tray"/>
        <s v="jogger stroller cup holder"/>
        <s v="joovy caboose snack tray replacement"/>
        <s v="joovy scooter x2 snack trays"/>
        <s v="joovy snack tray replacement"/>
        <s v="keenz 7s wagon accessories"/>
        <s v="kit for baby"/>
        <s v="knipex electric clamp"/>
        <s v="kolcraft stroller snack tray"/>
        <s v="lap snack tray wheelchair"/>
        <s v="lightweight stroller tray with lids"/>
        <s v="lil nipper"/>
        <s v="liuliuby snack tray for stroller"/>
        <s v="luffcabo"/>
        <s v="machine for sanding nails"/>
        <s v="mini table for stroller wagon"/>
        <s v="momfan wagon stroller accessories"/>
        <s v="mompush stroller accessories"/>
        <s v="mosquiteros para cunas de bebes"/>
        <s v="my first year stroller cup holder"/>
        <s v="nail clippers for adults"/>
        <s v="nail clippers for baby"/>
        <s v="nail file for babies"/>
        <s v="nail file for kids"/>
        <s v="nail file sunshine"/>
        <s v="nail gadgets"/>
        <s v="nail line for baby"/>
        <s v="nasal aspirator for baby"/>
        <s v="no bar stroller snack tray for kids"/>
        <s v="nuna stroller food tray"/>
        <s v="nuna triv stroller snack"/>
        <s v="nuna trvl snack tray for stroller"/>
        <s v="one handed nail clipper"/>
        <s v="parent organizer for double stroller"/>
        <s v="patio swing cup holder tray"/>
        <s v="pbnj baby stroller cup holder"/>
        <s v="professional acrylic nail making machine"/>
        <s v="radio flyer clamp on snack tray"/>
        <s v="rechargeable thermometer for adults"/>
        <s v="safe baby nail trimmer electric"/>
        <s v="safety 1st snack tray"/>
        <s v="screw on snack tray"/>
        <s v="side clip stroller snack tray"/>
        <s v="side tray holder for stroller"/>
        <s v="similac bottle nipples"/>
        <s v="smack tray for jeep umbrella stroller"/>
        <s v="small stroller snack tray with lid"/>
        <s v="snack and bottle holder for stroller"/>
        <s v="snack and drink holder for umbrella stroller"/>
        <s v="snack cup for city mini jog stroller"/>
        <s v="snack holder for stroller wagon"/>
        <s v="snack holder for the jeepglyde"/>
        <s v="snack holder for umbrella stroller"/>
        <s v="snack tray compatible with convaid cruiser"/>
        <s v="snack tray compatible with thule"/>
        <s v="snack tray for gt2"/>
        <s v="snack tray for mompush nexis"/>
        <s v="snack tray for nuna travel stroller"/>
        <s v="snack tray for stroller wagon momfann"/>
        <s v="snack tray for vista v3 with large water bottle"/>
        <s v="snack tray no bar stroller"/>
        <s v="snack try for stroller"/>
        <s v="snap on tray for stroller"/>
        <s v="solid snack tray for stroller"/>
        <s v="stroller attachment for toddler to ride"/>
        <s v="stroller belly bar clips for holding snack"/>
        <s v="stroller board attachment"/>
        <s v="stroller caddies for two handle stroller"/>
        <s v="stroller caddy with cup holders"/>
        <s v="stroller child tray no pole"/>
        <s v="stroller clip on cup holder"/>
        <s v="stroller clip on tray no bar"/>
        <s v="stroller cup holder and snack attachment for mompush"/>
        <s v="stroller cup holder attachment 2 pack"/>
        <s v="stroller cup holder tray combo"/>
        <s v="stroller cup holder with tray attachment"/>
        <s v="stroller cup holder with tray, universal cup holder tray for uppababy nuna doona strollers, bottle drinks holder for stroller, wheelchair, walker"/>
        <s v="stroller cup holders with tray"/>
        <s v="stroller dual cup holder"/>
        <s v="stroller extension for toddler"/>
        <s v="stroller organizer for umbrella stroller jeep brand stanley cup"/>
        <s v="stroller snack tray attachment to long bar on double stroller valco baby"/>
        <s v="stroller snack tray no lap bar"/>
        <s v="stroller snack tray no stroller bar"/>
        <s v="stroller snack tray without bar"/>
        <s v="stroller snack￼"/>
        <s v="stroller storage attachment"/>
        <s v="stroller tray attachment universal for strollers without a front bar"/>
        <s v="stroller tray attachmentfor baby trend"/>
        <s v="stroller tray for kids umbrella stroller"/>
        <s v="stroller tray for one side"/>
        <s v="stroller tray no bar"/>
        <s v="stroller universal side clip on tray for adult"/>
        <s v="stroller water bottle holder"/>
        <s v="summer infant ingenuity stroller snack attachment"/>
        <s v="terrain wagon cup holders"/>
        <s v="thule stroller cup holder"/>
        <s v="toddler snack tray stroller"/>
        <s v="toddler stroller attachment drink"/>
        <s v="tray attachment for stroller with no bumper bar"/>
        <s v="tray fo stroller side attach"/>
        <s v="tray for double thule jogging stroller"/>
        <s v="tray for no front pole stroller"/>
        <s v="tray for stroller bar"/>
        <s v="tray for ternex stroller"/>
        <s v="tray for the side of the stroller"/>
        <s v="tray quinny buzz stroller"/>
        <s v="tray stroller attachment"/>
        <s v="tray stroller with no bar"/>
        <s v="tray to fit my dog stroller"/>
        <s v="umbrella stroller bag attachment"/>
        <s v="umbrella stroller cup and snack"/>
        <s v="universal double snack tray"/>
        <s v="universal drink holder for stroller"/>
        <s v="universal kids snack tray"/>
        <s v="universal snack tray for stroller clip on"/>
        <s v="universal snack tray for thule urban glide 2"/>
        <s v="universal snack tray no bar"/>
        <s v="universal stroller attachments for lightweight stroller"/>
        <s v="uppababy cruz v 2 snack tray"/>
        <s v="vomeast wagon stroller snack tray"/>
        <s v="wagon snack tray"/>
        <s v="wagon snackand cup holder for momfan"/>
        <s v="wheelchair cup holder"/>
        <s v="wipes warmer"/>
        <s v="wonderfold wagon cup holder"/>
        <s v="wonderfold wagon snack tray w2"/>
        <s v="자동 손톸깍끼"/>
        <s v="￼even flow trey stroller attachment"/>
        <s v="￼no belly bar snack tray for stroller"/>
        <n v="2"/>
        <n v="1"/>
        <n v="3"/>
        <n v="4"/>
        <n v="8"/>
        <n v="11"/>
        <n v="5"/>
        <n v="59"/>
        <n v="52"/>
        <n v="57"/>
        <n v="134"/>
        <n v="65"/>
        <n v="174"/>
        <n v="133"/>
        <n v="7"/>
        <n v="111"/>
        <n v="129"/>
        <n v="116"/>
        <n v="40"/>
        <n v="165"/>
        <n v="192"/>
        <n v="110"/>
        <n v="61"/>
        <n v="32"/>
        <n v="6"/>
        <n v="25"/>
        <n v="38"/>
        <n v="30"/>
        <n v="179"/>
        <n v="13"/>
        <n v="83"/>
        <n v="160"/>
        <n v="68"/>
        <n v="39"/>
        <n v="15"/>
        <n v="24"/>
        <n v="153"/>
        <n v="9"/>
        <n v="55"/>
        <n v="62"/>
        <n v="56"/>
        <n v="19"/>
        <n v="21"/>
        <n v="37"/>
        <n v="204"/>
        <n v="29"/>
        <n v="23"/>
        <n v="188"/>
        <n v="82"/>
        <n v="14"/>
        <n v="17"/>
        <n v="71"/>
        <n v="10"/>
        <n v="47"/>
        <n v="173"/>
        <n v="16"/>
        <n v="35"/>
        <n v="312"/>
        <n v="734"/>
        <n v="762"/>
        <n v="26"/>
        <n v="12"/>
        <n v="50"/>
        <n v="430"/>
        <n v="95"/>
        <n v="118"/>
        <n v="18"/>
        <n v="46"/>
        <n v="22"/>
        <n v="20"/>
        <n v="85"/>
        <n v="166"/>
        <n v="143"/>
        <n v="206"/>
        <n v="147"/>
        <n v="257"/>
        <n v="155"/>
        <n v="288"/>
        <n v="104"/>
        <n v="124"/>
        <n v="36"/>
        <n v="138"/>
        <n v="28"/>
        <n v="117"/>
        <n v="67"/>
        <n v="139"/>
        <n v="2875"/>
        <n v="42"/>
        <n v="44"/>
        <n v="292"/>
        <n v="66"/>
        <n v="41"/>
        <n v="80"/>
        <n v="100"/>
        <n v="45"/>
        <n v="31"/>
        <n v="315"/>
        <n v="137"/>
        <n v="141"/>
        <n v="354"/>
        <n v="389"/>
        <n v="231"/>
        <n v="266"/>
        <n v="76"/>
        <n v="167"/>
        <n v="78"/>
        <n v="163"/>
        <n v="184"/>
        <n v="363"/>
        <n v="169"/>
        <n v="149"/>
        <n v="273"/>
        <n v="218"/>
        <n v="90"/>
        <n v="247"/>
        <n v="69"/>
        <n v="73"/>
        <n v="125"/>
        <n v="321"/>
        <n v="156"/>
        <n v="0"/>
        <n v="51"/>
        <n v="151"/>
        <n v="101"/>
        <n v="53"/>
        <n v="48"/>
        <n v="227"/>
        <n v="135"/>
        <n v="98"/>
        <n v="158"/>
        <n v="107"/>
        <n v="418"/>
        <n v="120"/>
        <n v="150"/>
        <n v="60"/>
        <n v="202"/>
        <n v="114"/>
        <n v="74"/>
        <n v="75"/>
        <m/>
      </sharedItems>
    </cacheField>
    <cacheField name="Impressions" numFmtId="0">
      <sharedItems containsString="0" containsBlank="1" containsNumber="1" containsInteger="1" minValue="0" maxValue="3754"/>
    </cacheField>
    <cacheField name="Clicks" numFmtId="0">
      <sharedItems containsString="0" containsBlank="1" containsNumber="1" minValue="3.48E-4" maxValue="49"/>
    </cacheField>
    <cacheField name="Click-Thru Rate (CTR)" numFmtId="0">
      <sharedItems containsString="0" containsBlank="1" containsNumber="1" minValue="0" maxValue="4.25"/>
    </cacheField>
    <cacheField name="Cost Per Click (CPC)" numFmtId="0">
      <sharedItems containsString="0" containsBlank="1" containsNumber="1" minValue="0" maxValue="4.25"/>
    </cacheField>
    <cacheField name="Spend" numFmtId="0">
      <sharedItems containsString="0" containsBlank="1" containsNumber="1" minValue="0" maxValue="37.979999999999997"/>
    </cacheField>
    <cacheField name="7 Day Total Sales " numFmtId="0">
      <sharedItems containsString="0" containsBlank="1" containsNumber="1" minValue="0" maxValue="52.98"/>
    </cacheField>
    <cacheField name="Total Advertising Cost of Sales (ACOS) " numFmtId="0">
      <sharedItems containsString="0" containsBlank="1" containsNumber="1" minValue="0" maxValue="237.38"/>
    </cacheField>
    <cacheField name="Total Return on Advertising Spend (ROAS)" numFmtId="0">
      <sharedItems containsString="0" containsBlank="1" containsNumber="1" minValue="0" maxValue="189.9"/>
    </cacheField>
    <cacheField name="7 Day Total Orders (#)" numFmtId="0">
      <sharedItems containsString="0" containsBlank="1" containsNumber="1" containsInteger="1" minValue="0" maxValue="2"/>
    </cacheField>
    <cacheField name="7 Day Total Units (#)" numFmtId="0">
      <sharedItems containsString="0" containsBlank="1" containsNumber="1" minValue="0" maxValue="3"/>
    </cacheField>
    <cacheField name="7 Day Conversion Rate" numFmtId="0">
      <sharedItems containsString="0" containsBlank="1" containsNumber="1" minValue="0" maxValue="2"/>
    </cacheField>
    <cacheField name="7 Day Advertised SKU Units (#)" numFmtId="0">
      <sharedItems containsString="0" containsBlank="1" containsNumber="1" containsInteger="1" minValue="0" maxValue="3"/>
    </cacheField>
    <cacheField name="7 Day Other SKU Units (#)" numFmtId="0">
      <sharedItems containsString="0" containsBlank="1" containsNumber="1" minValue="0" maxValue="37.979999999999997"/>
    </cacheField>
    <cacheField name="7 Day Advertised SKU Sales " numFmtId="0">
      <sharedItems containsString="0" containsBlank="1" containsNumber="1" minValue="0" maxValue="52.98"/>
    </cacheField>
    <cacheField name="7 Day Other SKU Sales " numFmtId="0">
      <sharedItems containsString="0" containsBlank="1" containsNumber="1" minValue="0" maxValue="37.979999999999997"/>
    </cacheField>
    <cacheField name="CPC" numFmtId="0" formula="Spend/Clicks" databaseField="0"/>
    <cacheField name="ACOS" numFmtId="0" formula="Spend/'7 Day Total Sales '" databaseField="0"/>
    <cacheField name="CTR" numFmtId="0" formula="Clicks/Impressions" databaseField="0"/>
    <cacheField name="CVR" numFmtId="0" formula="'7 Day Total Orders (#)'/Click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8">
  <r>
    <x v="0"/>
    <x v="0"/>
    <d v="2026-01-20T00:00:00"/>
    <s v="No Portfolio"/>
    <s v="USD"/>
    <x v="0"/>
    <s v="broad组"/>
    <s v="Amazon"/>
    <s v="United States"/>
    <s v="stroller cup holder"/>
    <s v="BROAD"/>
    <x v="0"/>
    <n v="1"/>
    <n v="1"/>
    <n v="1"/>
    <n v="0.2"/>
    <n v="0.2"/>
    <n v="0"/>
    <m/>
    <n v="0"/>
    <n v="0"/>
    <n v="0"/>
    <n v="0"/>
    <n v="0"/>
    <n v="0"/>
    <n v="0"/>
    <n v="0"/>
  </r>
  <r>
    <x v="0"/>
    <x v="0"/>
    <d v="2026-01-20T00:00:00"/>
    <s v="No Portfolio"/>
    <s v="USD"/>
    <x v="1"/>
    <s v="broad组"/>
    <s v="Amazon"/>
    <s v="United States"/>
    <s v="cup and snack holder attachment for stroller"/>
    <s v="BROAD"/>
    <x v="1"/>
    <n v="1"/>
    <n v="1"/>
    <n v="1"/>
    <n v="0.85"/>
    <n v="0.85"/>
    <n v="0"/>
    <m/>
    <n v="0"/>
    <n v="0"/>
    <n v="0"/>
    <n v="0"/>
    <n v="0"/>
    <n v="0"/>
    <n v="0"/>
    <n v="0"/>
  </r>
  <r>
    <x v="0"/>
    <x v="1"/>
    <d v="2026-01-08T00:00:00"/>
    <s v="No Portfolio"/>
    <s v="USD"/>
    <x v="0"/>
    <s v="broad组"/>
    <s v="Amazon"/>
    <s v="United States"/>
    <s v="universal snack tray"/>
    <s v="BROAD"/>
    <x v="2"/>
    <n v="1"/>
    <n v="1"/>
    <n v="1"/>
    <n v="0.21"/>
    <n v="0.21"/>
    <n v="0"/>
    <m/>
    <n v="0"/>
    <n v="0"/>
    <n v="0"/>
    <n v="0"/>
    <n v="0"/>
    <n v="0"/>
    <n v="0"/>
    <n v="0"/>
  </r>
  <r>
    <x v="0"/>
    <x v="2"/>
    <d v="2026-01-17T00:00:00"/>
    <s v="No Portfolio"/>
    <s v="USD"/>
    <x v="2"/>
    <s v="Tray"/>
    <s v="Amazon"/>
    <s v="United States"/>
    <s v="asin=&quot;B0DSBVB1WW&quot;"/>
    <s v="-"/>
    <x v="3"/>
    <n v="1"/>
    <n v="1"/>
    <n v="1"/>
    <n v="0.5"/>
    <n v="0.5"/>
    <n v="17.09"/>
    <n v="2.9256875365710939E-2"/>
    <n v="34.18"/>
    <n v="1"/>
    <n v="1"/>
    <n v="1"/>
    <n v="1"/>
    <n v="0"/>
    <n v="17.09"/>
    <n v="0"/>
  </r>
  <r>
    <x v="0"/>
    <x v="3"/>
    <d v="2026-01-03T00:00:00"/>
    <s v="No Portfolio"/>
    <s v="USD"/>
    <x v="0"/>
    <s v="broad组"/>
    <s v="Amazon"/>
    <s v="United States"/>
    <s v="snack tray for stroller"/>
    <s v="BROAD"/>
    <x v="3"/>
    <n v="3"/>
    <n v="1"/>
    <n v="0.33333333333333331"/>
    <n v="0.21"/>
    <n v="0.21"/>
    <n v="0"/>
    <m/>
    <n v="0"/>
    <n v="0"/>
    <n v="0"/>
    <n v="0"/>
    <n v="0"/>
    <n v="0"/>
    <n v="0"/>
    <n v="0"/>
  </r>
  <r>
    <x v="0"/>
    <x v="0"/>
    <d v="2026-01-18T00:00:00"/>
    <s v="No Portfolio"/>
    <s v="USD"/>
    <x v="3"/>
    <s v="ENC Grey"/>
    <s v="Amazon"/>
    <s v="United States"/>
    <s v="close-match"/>
    <s v="-"/>
    <x v="4"/>
    <n v="1"/>
    <n v="1"/>
    <n v="1"/>
    <n v="0.54"/>
    <n v="0.54"/>
    <n v="0"/>
    <m/>
    <n v="0"/>
    <n v="0"/>
    <n v="0"/>
    <n v="0"/>
    <n v="0"/>
    <n v="0"/>
    <n v="0"/>
    <n v="0"/>
  </r>
  <r>
    <x v="0"/>
    <x v="3"/>
    <d v="2026-01-01T00:00:00"/>
    <s v="No Portfolio"/>
    <s v="USD"/>
    <x v="4"/>
    <s v="stroller tray"/>
    <s v="Amazon"/>
    <s v="United States"/>
    <s v="substitutes"/>
    <s v="-"/>
    <x v="5"/>
    <n v="10"/>
    <n v="1"/>
    <n v="0.1"/>
    <n v="0.56999999999999995"/>
    <n v="0.56999999999999995"/>
    <n v="0"/>
    <m/>
    <n v="0"/>
    <n v="0"/>
    <n v="0"/>
    <n v="0"/>
    <n v="0"/>
    <n v="0"/>
    <n v="0"/>
    <n v="0"/>
  </r>
  <r>
    <x v="0"/>
    <x v="3"/>
    <d v="2026-01-02T00:00:00"/>
    <s v="No Portfolio"/>
    <s v="USD"/>
    <x v="5"/>
    <s v="ENC Yellow"/>
    <s v="Amazon"/>
    <s v="United States"/>
    <s v="close-match"/>
    <s v="-"/>
    <x v="6"/>
    <n v="51"/>
    <n v="1"/>
    <n v="1.9607843137254902E-2"/>
    <n v="1.18"/>
    <n v="1.18"/>
    <n v="0"/>
    <m/>
    <n v="0"/>
    <n v="0"/>
    <n v="0"/>
    <n v="0"/>
    <n v="0"/>
    <n v="0"/>
    <n v="0"/>
    <n v="0"/>
  </r>
  <r>
    <x v="0"/>
    <x v="3"/>
    <d v="2026-01-01T00:00:00"/>
    <s v="No Portfolio"/>
    <s v="USD"/>
    <x v="4"/>
    <s v="stroller tray"/>
    <s v="Amazon"/>
    <s v="United States"/>
    <s v="substitutes"/>
    <s v="-"/>
    <x v="7"/>
    <n v="2"/>
    <n v="1"/>
    <n v="0.5"/>
    <n v="0.61"/>
    <n v="0.61"/>
    <n v="0"/>
    <m/>
    <n v="0"/>
    <n v="0"/>
    <n v="0"/>
    <n v="0"/>
    <n v="0"/>
    <n v="0"/>
    <n v="0"/>
    <n v="0"/>
  </r>
  <r>
    <x v="0"/>
    <x v="1"/>
    <d v="2026-01-07T00:00:00"/>
    <s v="No Portfolio"/>
    <s v="USD"/>
    <x v="4"/>
    <s v="stroller tray"/>
    <s v="Amazon"/>
    <s v="United States"/>
    <s v="substitutes"/>
    <s v="-"/>
    <x v="8"/>
    <n v="2"/>
    <n v="1"/>
    <n v="0.5"/>
    <n v="0.56999999999999995"/>
    <n v="0.56999999999999995"/>
    <n v="0"/>
    <m/>
    <n v="0"/>
    <n v="0"/>
    <n v="0"/>
    <n v="0"/>
    <n v="0"/>
    <n v="0"/>
    <n v="0"/>
    <n v="0"/>
  </r>
  <r>
    <x v="0"/>
    <x v="1"/>
    <d v="2026-01-05T00:00:00"/>
    <s v="No Portfolio"/>
    <s v="USD"/>
    <x v="2"/>
    <s v="Tray"/>
    <s v="Amazon"/>
    <s v="United States"/>
    <s v="asin=&quot;B09BG5RNLV&quot;"/>
    <s v="-"/>
    <x v="9"/>
    <n v="27"/>
    <n v="1"/>
    <n v="3.7037037037037035E-2"/>
    <n v="0.63"/>
    <n v="0.63"/>
    <n v="0"/>
    <m/>
    <n v="0"/>
    <n v="0"/>
    <n v="0"/>
    <n v="0"/>
    <n v="0"/>
    <n v="0"/>
    <n v="0"/>
    <n v="0"/>
  </r>
  <r>
    <x v="0"/>
    <x v="0"/>
    <d v="2026-01-19T00:00:00"/>
    <s v="No Portfolio"/>
    <s v="USD"/>
    <x v="2"/>
    <s v="Tray"/>
    <s v="Amazon"/>
    <s v="United States"/>
    <s v="asin=&quot;B09BG5RNLV&quot;"/>
    <s v="-"/>
    <x v="9"/>
    <n v="45"/>
    <n v="1"/>
    <n v="2.2222222222222223E-2"/>
    <n v="0.64"/>
    <n v="0.64"/>
    <n v="0"/>
    <m/>
    <n v="0"/>
    <n v="0"/>
    <n v="0"/>
    <n v="0"/>
    <n v="0"/>
    <n v="0"/>
    <n v="0"/>
    <n v="0"/>
  </r>
  <r>
    <x v="0"/>
    <x v="0"/>
    <d v="2026-01-20T00:00:00"/>
    <s v="No Portfolio"/>
    <s v="USD"/>
    <x v="2"/>
    <s v="Tray"/>
    <s v="Amazon"/>
    <s v="United States"/>
    <s v="asin=&quot;B09BG5RNLV&quot;"/>
    <s v="-"/>
    <x v="9"/>
    <n v="44"/>
    <n v="1"/>
    <n v="2.2727272727272731E-2"/>
    <n v="0.7"/>
    <n v="0.7"/>
    <n v="0"/>
    <m/>
    <n v="0"/>
    <n v="0"/>
    <n v="0"/>
    <n v="0"/>
    <n v="0"/>
    <n v="0"/>
    <n v="0"/>
    <n v="0"/>
  </r>
  <r>
    <x v="0"/>
    <x v="1"/>
    <d v="2026-01-04T00:00:00"/>
    <s v="No Portfolio"/>
    <s v="USD"/>
    <x v="5"/>
    <s v="ENC Yellow"/>
    <s v="Amazon"/>
    <s v="United States"/>
    <s v="close-match"/>
    <s v="-"/>
    <x v="10"/>
    <n v="8"/>
    <n v="1"/>
    <n v="0.125"/>
    <n v="0.99"/>
    <n v="0.99"/>
    <n v="0"/>
    <m/>
    <n v="0"/>
    <n v="0"/>
    <n v="0"/>
    <n v="0"/>
    <n v="0"/>
    <n v="0"/>
    <n v="0"/>
    <n v="0"/>
  </r>
  <r>
    <x v="0"/>
    <x v="1"/>
    <d v="2026-01-06T00:00:00"/>
    <s v="No Portfolio"/>
    <s v="USD"/>
    <x v="6"/>
    <s v="ENC"/>
    <s v="Amazon"/>
    <s v="United States"/>
    <s v="substitutes"/>
    <s v="-"/>
    <x v="11"/>
    <n v="1"/>
    <n v="1"/>
    <n v="1"/>
    <n v="1.19"/>
    <n v="1.19"/>
    <n v="0"/>
    <m/>
    <n v="0"/>
    <n v="0"/>
    <n v="0"/>
    <n v="0"/>
    <n v="0"/>
    <n v="0"/>
    <n v="0"/>
    <n v="0"/>
  </r>
  <r>
    <x v="0"/>
    <x v="2"/>
    <d v="2026-01-17T00:00:00"/>
    <s v="No Portfolio"/>
    <s v="USD"/>
    <x v="4"/>
    <s v="stroller tray"/>
    <s v="Amazon"/>
    <s v="United States"/>
    <s v="substitutes"/>
    <s v="-"/>
    <x v="12"/>
    <n v="2"/>
    <n v="1"/>
    <n v="0.5"/>
    <n v="0.5"/>
    <n v="0.5"/>
    <n v="0"/>
    <m/>
    <n v="0"/>
    <n v="0"/>
    <n v="0"/>
    <n v="0"/>
    <n v="0"/>
    <n v="0"/>
    <n v="0"/>
    <n v="0"/>
  </r>
  <r>
    <x v="0"/>
    <x v="2"/>
    <d v="2026-01-15T00:00:00"/>
    <s v="No Portfolio"/>
    <s v="USD"/>
    <x v="4"/>
    <s v="stroller tray"/>
    <s v="Amazon"/>
    <s v="United States"/>
    <s v="substitutes"/>
    <s v="-"/>
    <x v="13"/>
    <n v="13"/>
    <n v="2"/>
    <n v="0.15384615384615385"/>
    <n v="0.5"/>
    <n v="1"/>
    <n v="0"/>
    <m/>
    <n v="0"/>
    <n v="0"/>
    <n v="0"/>
    <n v="0"/>
    <n v="0"/>
    <n v="0"/>
    <n v="0"/>
    <n v="0"/>
  </r>
  <r>
    <x v="0"/>
    <x v="2"/>
    <d v="2026-01-11T00:00:00"/>
    <s v="No Portfolio"/>
    <s v="USD"/>
    <x v="4"/>
    <s v="stroller tray"/>
    <s v="Amazon"/>
    <s v="United States"/>
    <s v="substitutes"/>
    <s v="-"/>
    <x v="14"/>
    <n v="3"/>
    <n v="1"/>
    <n v="0.33333333333333331"/>
    <n v="0.56999999999999995"/>
    <n v="0.56999999999999995"/>
    <n v="0"/>
    <m/>
    <n v="0"/>
    <n v="0"/>
    <n v="0"/>
    <n v="0"/>
    <n v="0"/>
    <n v="0"/>
    <n v="0"/>
    <n v="0"/>
  </r>
  <r>
    <x v="0"/>
    <x v="2"/>
    <d v="2026-01-15T00:00:00"/>
    <s v="No Portfolio"/>
    <s v="USD"/>
    <x v="4"/>
    <s v="stroller tray"/>
    <s v="Amazon"/>
    <s v="United States"/>
    <s v="substitutes"/>
    <s v="-"/>
    <x v="15"/>
    <n v="6"/>
    <n v="1"/>
    <n v="0.16666666666666663"/>
    <n v="0.5"/>
    <n v="0.5"/>
    <n v="0"/>
    <m/>
    <n v="0"/>
    <n v="0"/>
    <n v="0"/>
    <n v="0"/>
    <n v="0"/>
    <n v="0"/>
    <n v="0"/>
    <n v="0"/>
  </r>
  <r>
    <x v="0"/>
    <x v="1"/>
    <d v="2026-01-10T00:00:00"/>
    <s v="No Portfolio"/>
    <s v="USD"/>
    <x v="4"/>
    <s v="stroller tray"/>
    <s v="Amazon"/>
    <s v="United States"/>
    <s v="substitutes"/>
    <s v="-"/>
    <x v="16"/>
    <n v="2"/>
    <n v="1"/>
    <n v="0.5"/>
    <n v="0.56999999999999995"/>
    <n v="0.56999999999999995"/>
    <n v="0"/>
    <m/>
    <n v="0"/>
    <n v="0"/>
    <n v="0"/>
    <n v="0"/>
    <n v="0"/>
    <n v="0"/>
    <n v="0"/>
    <n v="0"/>
  </r>
  <r>
    <x v="0"/>
    <x v="1"/>
    <d v="2026-01-10T00:00:00"/>
    <s v="No Portfolio"/>
    <s v="USD"/>
    <x v="4"/>
    <s v="stroller tray"/>
    <s v="Amazon"/>
    <s v="United States"/>
    <s v="substitutes"/>
    <s v="-"/>
    <x v="17"/>
    <n v="4"/>
    <n v="1"/>
    <n v="0.25"/>
    <n v="0.56999999999999995"/>
    <n v="0.56999999999999995"/>
    <n v="0"/>
    <m/>
    <n v="0"/>
    <n v="0"/>
    <n v="0"/>
    <n v="0"/>
    <n v="0"/>
    <n v="0"/>
    <n v="0"/>
    <n v="0"/>
  </r>
  <r>
    <x v="0"/>
    <x v="2"/>
    <d v="2026-01-15T00:00:00"/>
    <s v="No Portfolio"/>
    <s v="USD"/>
    <x v="4"/>
    <s v="stroller tray"/>
    <s v="Amazon"/>
    <s v="United States"/>
    <s v="substitutes"/>
    <s v="-"/>
    <x v="17"/>
    <n v="5"/>
    <n v="1"/>
    <n v="0.2"/>
    <n v="0.5"/>
    <n v="0.5"/>
    <n v="0"/>
    <m/>
    <n v="0"/>
    <n v="0"/>
    <n v="0"/>
    <n v="0"/>
    <n v="0"/>
    <n v="0"/>
    <n v="0"/>
    <n v="0"/>
  </r>
  <r>
    <x v="0"/>
    <x v="3"/>
    <d v="2026-01-01T00:00:00"/>
    <s v="No Portfolio"/>
    <s v="USD"/>
    <x v="2"/>
    <s v="Tray"/>
    <s v="Amazon"/>
    <s v="United States"/>
    <s v="asin=&quot;B0DH98H2G4&quot;"/>
    <s v="-"/>
    <x v="18"/>
    <n v="195"/>
    <n v="1"/>
    <n v="5.1282051282051282E-3"/>
    <n v="0.49"/>
    <n v="0.49"/>
    <n v="0"/>
    <m/>
    <n v="0"/>
    <n v="0"/>
    <n v="0"/>
    <n v="0"/>
    <n v="0"/>
    <n v="0"/>
    <n v="0"/>
    <n v="0"/>
  </r>
  <r>
    <x v="0"/>
    <x v="3"/>
    <d v="2026-01-02T00:00:00"/>
    <s v="No Portfolio"/>
    <s v="USD"/>
    <x v="2"/>
    <s v="Tray"/>
    <s v="Amazon"/>
    <s v="United States"/>
    <s v="asin=&quot;B0DH98H2G4&quot;"/>
    <s v="-"/>
    <x v="18"/>
    <n v="22"/>
    <n v="1"/>
    <n v="4.5454545454545463E-2"/>
    <n v="0.48"/>
    <n v="0.48"/>
    <n v="0"/>
    <m/>
    <n v="0"/>
    <n v="0"/>
    <n v="0"/>
    <n v="0"/>
    <n v="0"/>
    <n v="0"/>
    <n v="0"/>
    <n v="0"/>
  </r>
  <r>
    <x v="0"/>
    <x v="1"/>
    <d v="2026-01-07T00:00:00"/>
    <s v="No Portfolio"/>
    <s v="USD"/>
    <x v="2"/>
    <s v="Tray"/>
    <s v="Amazon"/>
    <s v="United States"/>
    <s v="asin=&quot;B0DH98H2G4&quot;"/>
    <s v="-"/>
    <x v="18"/>
    <n v="143"/>
    <n v="1"/>
    <n v="6.993006993006993E-3"/>
    <n v="0"/>
    <n v="0"/>
    <n v="0"/>
    <m/>
    <m/>
    <n v="0"/>
    <n v="0"/>
    <n v="0"/>
    <n v="0"/>
    <n v="0"/>
    <n v="0"/>
    <n v="0"/>
  </r>
  <r>
    <x v="0"/>
    <x v="1"/>
    <d v="2026-01-09T00:00:00"/>
    <s v="No Portfolio"/>
    <s v="USD"/>
    <x v="2"/>
    <s v="Tray"/>
    <s v="Amazon"/>
    <s v="United States"/>
    <s v="asin=&quot;B0DH98H2G4&quot;"/>
    <s v="-"/>
    <x v="18"/>
    <n v="17"/>
    <n v="1"/>
    <n v="5.8823529411764698E-2"/>
    <n v="0.7"/>
    <n v="0.7"/>
    <n v="0"/>
    <m/>
    <n v="0"/>
    <n v="0"/>
    <n v="0"/>
    <n v="0"/>
    <n v="0"/>
    <n v="0"/>
    <n v="0"/>
    <n v="0"/>
  </r>
  <r>
    <x v="0"/>
    <x v="2"/>
    <d v="2026-01-14T00:00:00"/>
    <s v="No Portfolio"/>
    <s v="USD"/>
    <x v="2"/>
    <s v="Tray"/>
    <s v="Amazon"/>
    <s v="United States"/>
    <s v="asin=&quot;B0DH98H2G4&quot;"/>
    <s v="-"/>
    <x v="18"/>
    <n v="435"/>
    <n v="3"/>
    <n v="6.8965517241379309E-3"/>
    <n v="0.5"/>
    <n v="1.5"/>
    <n v="17.09"/>
    <n v="8.777062609713282E-2"/>
    <n v="11.393333333333333"/>
    <n v="1"/>
    <n v="1"/>
    <n v="0.33333333333333331"/>
    <n v="1"/>
    <n v="0"/>
    <n v="17.09"/>
    <n v="0"/>
  </r>
  <r>
    <x v="0"/>
    <x v="0"/>
    <d v="2026-01-18T00:00:00"/>
    <s v="No Portfolio"/>
    <s v="USD"/>
    <x v="2"/>
    <s v="Tray"/>
    <s v="Amazon"/>
    <s v="United States"/>
    <s v="asin=&quot;B0DH98H2G4&quot;"/>
    <s v="-"/>
    <x v="18"/>
    <n v="281"/>
    <n v="1"/>
    <n v="3.5587188612099638E-3"/>
    <n v="0.5"/>
    <n v="0.5"/>
    <n v="0"/>
    <m/>
    <n v="0"/>
    <n v="0"/>
    <n v="0"/>
    <n v="0"/>
    <n v="0"/>
    <n v="0"/>
    <n v="0"/>
    <n v="0"/>
  </r>
  <r>
    <x v="0"/>
    <x v="0"/>
    <d v="2026-01-21T00:00:00"/>
    <s v="No Portfolio"/>
    <s v="USD"/>
    <x v="6"/>
    <s v="ENC"/>
    <s v="Amazon"/>
    <s v="United States"/>
    <s v="substitutes"/>
    <s v="-"/>
    <x v="19"/>
    <n v="1"/>
    <n v="1"/>
    <n v="1"/>
    <n v="1.17"/>
    <n v="1.17"/>
    <n v="0"/>
    <m/>
    <n v="0"/>
    <n v="0"/>
    <n v="0"/>
    <n v="0"/>
    <n v="0"/>
    <n v="0"/>
    <n v="0"/>
    <n v="0"/>
  </r>
  <r>
    <x v="0"/>
    <x v="3"/>
    <d v="2026-01-01T00:00:00"/>
    <s v="No Portfolio"/>
    <s v="USD"/>
    <x v="2"/>
    <s v="Tray"/>
    <s v="Amazon"/>
    <s v="United States"/>
    <s v="asin=&quot;B0DQ4LSJ88&quot;"/>
    <s v="-"/>
    <x v="20"/>
    <n v="1"/>
    <n v="1"/>
    <n v="1"/>
    <n v="0.78"/>
    <n v="0.78"/>
    <n v="0"/>
    <m/>
    <n v="0"/>
    <n v="0"/>
    <n v="0"/>
    <n v="0"/>
    <n v="0"/>
    <n v="0"/>
    <n v="0"/>
    <n v="0"/>
  </r>
  <r>
    <x v="0"/>
    <x v="0"/>
    <d v="2026-01-18T00:00:00"/>
    <s v="No Portfolio"/>
    <s v="USD"/>
    <x v="2"/>
    <s v="Tray"/>
    <s v="Amazon"/>
    <s v="United States"/>
    <s v="asin=&quot;B0DSBVB1WW&quot;"/>
    <s v="-"/>
    <x v="21"/>
    <n v="9"/>
    <n v="1"/>
    <n v="0.1111111111111111"/>
    <n v="0.33"/>
    <n v="0.33"/>
    <n v="0"/>
    <m/>
    <n v="0"/>
    <n v="0"/>
    <n v="0"/>
    <n v="0"/>
    <n v="0"/>
    <n v="0"/>
    <n v="0"/>
    <n v="0"/>
  </r>
  <r>
    <x v="0"/>
    <x v="0"/>
    <d v="2026-01-21T00:00:00"/>
    <s v="No Portfolio"/>
    <s v="USD"/>
    <x v="2"/>
    <s v="Tray"/>
    <s v="Amazon"/>
    <s v="United States"/>
    <s v="asin=&quot;B0DSBVB1WW&quot;"/>
    <s v="-"/>
    <x v="21"/>
    <n v="514"/>
    <n v="4"/>
    <n v="7.7821011673151752E-3"/>
    <n v="0.66"/>
    <n v="2.64"/>
    <n v="17.09"/>
    <n v="0.15447630193095377"/>
    <n v="6.4734848484848477"/>
    <n v="1"/>
    <n v="1"/>
    <n v="0.25"/>
    <n v="1"/>
    <n v="0"/>
    <n v="17.09"/>
    <n v="0"/>
  </r>
  <r>
    <x v="0"/>
    <x v="2"/>
    <d v="2026-01-17T00:00:00"/>
    <s v="No Portfolio"/>
    <s v="USD"/>
    <x v="4"/>
    <s v="stroller tray"/>
    <s v="Amazon"/>
    <s v="United States"/>
    <s v="substitutes"/>
    <s v="-"/>
    <x v="22"/>
    <n v="8"/>
    <n v="1"/>
    <n v="0.125"/>
    <n v="0.5"/>
    <n v="0.5"/>
    <n v="0"/>
    <m/>
    <n v="0"/>
    <n v="0"/>
    <n v="0"/>
    <n v="0"/>
    <n v="0"/>
    <n v="0"/>
    <n v="0"/>
    <n v="0"/>
  </r>
  <r>
    <x v="0"/>
    <x v="1"/>
    <d v="2026-01-09T00:00:00"/>
    <s v="No Portfolio"/>
    <s v="USD"/>
    <x v="6"/>
    <s v="ENC"/>
    <s v="Amazon"/>
    <s v="United States"/>
    <s v="substitutes"/>
    <s v="-"/>
    <x v="23"/>
    <n v="1"/>
    <n v="1"/>
    <n v="1"/>
    <n v="1.2"/>
    <n v="1.2"/>
    <n v="0"/>
    <m/>
    <n v="0"/>
    <n v="0"/>
    <n v="0"/>
    <n v="0"/>
    <n v="0"/>
    <n v="0"/>
    <n v="0"/>
    <n v="0"/>
  </r>
  <r>
    <x v="0"/>
    <x v="3"/>
    <d v="2026-01-01T00:00:00"/>
    <s v="No Portfolio"/>
    <s v="USD"/>
    <x v="2"/>
    <s v="Tray"/>
    <s v="Amazon"/>
    <s v="United States"/>
    <s v="asin=&quot;B0F4KJN2VC&quot;"/>
    <s v="-"/>
    <x v="24"/>
    <n v="155"/>
    <n v="2"/>
    <n v="1.2903225806451613E-2"/>
    <n v="0.49"/>
    <n v="0.98"/>
    <n v="0"/>
    <m/>
    <n v="0"/>
    <n v="0"/>
    <n v="0"/>
    <n v="0"/>
    <n v="0"/>
    <n v="0"/>
    <n v="0"/>
    <n v="0"/>
  </r>
  <r>
    <x v="0"/>
    <x v="3"/>
    <d v="2026-01-02T00:00:00"/>
    <s v="No Portfolio"/>
    <s v="USD"/>
    <x v="2"/>
    <s v="Tray"/>
    <s v="Amazon"/>
    <s v="United States"/>
    <s v="asin=&quot;B0F4KJN2VC&quot;"/>
    <s v="-"/>
    <x v="24"/>
    <n v="69"/>
    <n v="3"/>
    <n v="4.3478260869565216E-2"/>
    <n v="0.6"/>
    <n v="1.8"/>
    <n v="0"/>
    <m/>
    <n v="0"/>
    <n v="0"/>
    <n v="0"/>
    <n v="0"/>
    <n v="0"/>
    <n v="0"/>
    <n v="0"/>
    <n v="0"/>
  </r>
  <r>
    <x v="0"/>
    <x v="3"/>
    <d v="2026-01-03T00:00:00"/>
    <s v="No Portfolio"/>
    <s v="USD"/>
    <x v="2"/>
    <s v="Tray"/>
    <s v="Amazon"/>
    <s v="United States"/>
    <s v="asin=&quot;B0F4KJN2VC&quot;"/>
    <s v="-"/>
    <x v="24"/>
    <n v="167"/>
    <n v="4"/>
    <n v="2.3952095808383235E-2"/>
    <n v="0.5"/>
    <n v="2"/>
    <n v="0"/>
    <m/>
    <n v="0"/>
    <n v="0"/>
    <n v="0"/>
    <n v="0"/>
    <n v="0"/>
    <n v="0"/>
    <n v="0"/>
    <n v="0"/>
  </r>
  <r>
    <x v="0"/>
    <x v="1"/>
    <d v="2026-01-04T00:00:00"/>
    <s v="No Portfolio"/>
    <s v="USD"/>
    <x v="2"/>
    <s v="Tray"/>
    <s v="Amazon"/>
    <s v="United States"/>
    <s v="asin=&quot;B0F4KJN2VC&quot;"/>
    <s v="-"/>
    <x v="24"/>
    <n v="113"/>
    <n v="4"/>
    <n v="3.5398230088495575E-2"/>
    <n v="0.53"/>
    <n v="2.12"/>
    <n v="0"/>
    <m/>
    <n v="0"/>
    <n v="0"/>
    <n v="0"/>
    <n v="0"/>
    <n v="0"/>
    <n v="0"/>
    <n v="0"/>
    <n v="0"/>
  </r>
  <r>
    <x v="0"/>
    <x v="1"/>
    <d v="2026-01-05T00:00:00"/>
    <s v="No Portfolio"/>
    <s v="USD"/>
    <x v="2"/>
    <s v="Tray"/>
    <s v="Amazon"/>
    <s v="United States"/>
    <s v="asin=&quot;B0F4KJN2VC&quot;"/>
    <s v="-"/>
    <x v="24"/>
    <n v="90"/>
    <n v="2"/>
    <n v="2.2222222222222223E-2"/>
    <n v="0.65"/>
    <n v="1.3"/>
    <n v="0"/>
    <m/>
    <n v="0"/>
    <n v="0"/>
    <n v="0"/>
    <n v="0"/>
    <n v="0"/>
    <n v="0"/>
    <n v="0"/>
    <n v="0"/>
  </r>
  <r>
    <x v="0"/>
    <x v="1"/>
    <d v="2026-01-07T00:00:00"/>
    <s v="No Portfolio"/>
    <s v="USD"/>
    <x v="2"/>
    <s v="Tray"/>
    <s v="Amazon"/>
    <s v="United States"/>
    <s v="asin=&quot;B0F4KJN2VC&quot;"/>
    <s v="-"/>
    <x v="24"/>
    <n v="164"/>
    <n v="4"/>
    <n v="2.4390243902439025E-2"/>
    <n v="0.62"/>
    <n v="2.48"/>
    <n v="34.18"/>
    <n v="7.2557050906963141E-2"/>
    <n v="13.78225806451613"/>
    <n v="1"/>
    <n v="2"/>
    <n v="0.25"/>
    <n v="2"/>
    <n v="0"/>
    <n v="34.18"/>
    <n v="0"/>
  </r>
  <r>
    <x v="0"/>
    <x v="1"/>
    <d v="2026-01-08T00:00:00"/>
    <s v="No Portfolio"/>
    <s v="USD"/>
    <x v="2"/>
    <s v="Tray"/>
    <s v="Amazon"/>
    <s v="United States"/>
    <s v="asin=&quot;B0F4KJN2VC&quot;"/>
    <s v="-"/>
    <x v="24"/>
    <n v="64"/>
    <n v="1"/>
    <n v="1.5625E-2"/>
    <n v="0.68"/>
    <n v="0.68"/>
    <n v="0"/>
    <m/>
    <n v="0"/>
    <n v="0"/>
    <n v="0"/>
    <n v="0"/>
    <n v="0"/>
    <n v="0"/>
    <n v="0"/>
    <n v="0"/>
  </r>
  <r>
    <x v="0"/>
    <x v="2"/>
    <d v="2026-01-14T00:00:00"/>
    <s v="No Portfolio"/>
    <s v="USD"/>
    <x v="2"/>
    <s v="Tray"/>
    <s v="Amazon"/>
    <s v="United States"/>
    <s v="asin=&quot;B0F4KJN2VC&quot;"/>
    <s v="-"/>
    <x v="24"/>
    <n v="139"/>
    <n v="2"/>
    <n v="1.4388489208633094E-2"/>
    <n v="0.47"/>
    <n v="0.94"/>
    <n v="0"/>
    <m/>
    <n v="0"/>
    <n v="0"/>
    <n v="0"/>
    <n v="0"/>
    <n v="0"/>
    <n v="0"/>
    <n v="0"/>
    <n v="0"/>
  </r>
  <r>
    <x v="0"/>
    <x v="2"/>
    <d v="2026-01-15T00:00:00"/>
    <s v="No Portfolio"/>
    <s v="USD"/>
    <x v="2"/>
    <s v="Tray"/>
    <s v="Amazon"/>
    <s v="United States"/>
    <s v="asin=&quot;B0F4KJN2VC&quot;"/>
    <s v="-"/>
    <x v="24"/>
    <n v="107"/>
    <n v="3"/>
    <n v="2.803738317757009E-2"/>
    <n v="0.56333333333333335"/>
    <n v="1.69"/>
    <n v="0"/>
    <m/>
    <n v="0"/>
    <n v="0"/>
    <n v="0"/>
    <n v="0"/>
    <n v="0"/>
    <n v="0"/>
    <n v="0"/>
    <n v="0"/>
  </r>
  <r>
    <x v="0"/>
    <x v="2"/>
    <d v="2026-01-16T00:00:00"/>
    <s v="No Portfolio"/>
    <s v="USD"/>
    <x v="2"/>
    <s v="Tray"/>
    <s v="Amazon"/>
    <s v="United States"/>
    <s v="asin=&quot;B0F4KJN2VC&quot;"/>
    <s v="-"/>
    <x v="24"/>
    <n v="95"/>
    <n v="1"/>
    <n v="1.0526315789473684E-2"/>
    <n v="0.52"/>
    <n v="0.52"/>
    <n v="0"/>
    <m/>
    <n v="0"/>
    <n v="0"/>
    <n v="0"/>
    <n v="0"/>
    <n v="0"/>
    <n v="0"/>
    <n v="0"/>
    <n v="0"/>
  </r>
  <r>
    <x v="0"/>
    <x v="2"/>
    <d v="2026-01-17T00:00:00"/>
    <s v="No Portfolio"/>
    <s v="USD"/>
    <x v="2"/>
    <s v="Tray"/>
    <s v="Amazon"/>
    <s v="United States"/>
    <s v="asin=&quot;B0F4KJN2VC&quot;"/>
    <s v="-"/>
    <x v="24"/>
    <n v="70"/>
    <n v="2"/>
    <n v="2.8571428571428571E-2"/>
    <n v="0.54"/>
    <n v="1.08"/>
    <n v="17.09"/>
    <n v="6.3194850789935642E-2"/>
    <n v="15.824074074074073"/>
    <n v="1"/>
    <n v="1"/>
    <n v="0.5"/>
    <n v="1"/>
    <n v="0"/>
    <n v="17.09"/>
    <n v="0"/>
  </r>
  <r>
    <x v="0"/>
    <x v="0"/>
    <d v="2026-01-19T00:00:00"/>
    <s v="No Portfolio"/>
    <s v="USD"/>
    <x v="2"/>
    <s v="Tray"/>
    <s v="Amazon"/>
    <s v="United States"/>
    <s v="asin=&quot;B0F4KJN2VC&quot;"/>
    <s v="-"/>
    <x v="24"/>
    <n v="133"/>
    <n v="3"/>
    <n v="2.2556390977443604E-2"/>
    <n v="0.57999999999999996"/>
    <n v="1.74"/>
    <n v="0"/>
    <m/>
    <n v="0"/>
    <n v="0"/>
    <n v="0"/>
    <n v="0"/>
    <n v="0"/>
    <n v="0"/>
    <n v="0"/>
    <n v="0"/>
  </r>
  <r>
    <x v="0"/>
    <x v="0"/>
    <d v="2026-01-20T00:00:00"/>
    <s v="No Portfolio"/>
    <s v="USD"/>
    <x v="2"/>
    <s v="Tray"/>
    <s v="Amazon"/>
    <s v="United States"/>
    <s v="asin=&quot;B0F4KJN2VC&quot;"/>
    <s v="-"/>
    <x v="24"/>
    <n v="125"/>
    <n v="2"/>
    <n v="1.6E-2"/>
    <n v="0.57999999999999996"/>
    <n v="1.1599999999999999"/>
    <n v="0"/>
    <m/>
    <n v="0"/>
    <n v="0"/>
    <n v="0"/>
    <n v="0"/>
    <n v="0"/>
    <n v="0"/>
    <n v="0"/>
    <n v="0"/>
  </r>
  <r>
    <x v="0"/>
    <x v="0"/>
    <d v="2026-01-18T00:00:00"/>
    <s v="No Portfolio"/>
    <s v="USD"/>
    <x v="4"/>
    <s v="stroller tray"/>
    <s v="Amazon"/>
    <s v="United States"/>
    <s v="substitutes"/>
    <s v="-"/>
    <x v="25"/>
    <n v="1"/>
    <n v="1"/>
    <n v="1"/>
    <n v="0.44"/>
    <n v="0.44"/>
    <n v="0"/>
    <m/>
    <n v="0"/>
    <n v="0"/>
    <n v="0"/>
    <n v="0"/>
    <n v="0"/>
    <n v="0"/>
    <n v="0"/>
    <n v="0"/>
  </r>
  <r>
    <x v="0"/>
    <x v="1"/>
    <d v="2026-01-04T00:00:00"/>
    <s v="No Portfolio"/>
    <s v="USD"/>
    <x v="4"/>
    <s v="stroller tray"/>
    <s v="Amazon"/>
    <s v="United States"/>
    <s v="substitutes"/>
    <s v="-"/>
    <x v="26"/>
    <n v="1"/>
    <n v="1"/>
    <n v="1"/>
    <n v="0.51"/>
    <n v="0.51"/>
    <n v="0"/>
    <m/>
    <n v="0"/>
    <n v="0"/>
    <n v="0"/>
    <n v="0"/>
    <n v="0"/>
    <n v="0"/>
    <n v="0"/>
    <n v="0"/>
  </r>
  <r>
    <x v="0"/>
    <x v="1"/>
    <d v="2026-01-09T00:00:00"/>
    <s v="No Portfolio"/>
    <s v="USD"/>
    <x v="6"/>
    <s v="ENC"/>
    <s v="Amazon"/>
    <s v="United States"/>
    <s v="substitutes"/>
    <s v="-"/>
    <x v="27"/>
    <n v="4"/>
    <n v="1"/>
    <n v="0.25"/>
    <n v="1.1499999999999999"/>
    <n v="1.1499999999999999"/>
    <n v="0"/>
    <m/>
    <n v="0"/>
    <n v="0"/>
    <n v="0"/>
    <n v="0"/>
    <n v="0"/>
    <n v="0"/>
    <n v="0"/>
    <n v="0"/>
  </r>
  <r>
    <x v="0"/>
    <x v="1"/>
    <d v="2026-01-05T00:00:00"/>
    <s v="No Portfolio"/>
    <s v="USD"/>
    <x v="6"/>
    <s v="ENC"/>
    <s v="Amazon"/>
    <s v="United States"/>
    <s v="substitutes"/>
    <s v="-"/>
    <x v="28"/>
    <n v="1"/>
    <n v="1"/>
    <n v="1"/>
    <n v="1.0900000000000001"/>
    <n v="1.0900000000000001"/>
    <n v="0"/>
    <m/>
    <n v="0"/>
    <n v="0"/>
    <n v="0"/>
    <n v="0"/>
    <n v="0"/>
    <n v="0"/>
    <n v="0"/>
    <n v="0"/>
  </r>
  <r>
    <x v="0"/>
    <x v="3"/>
    <d v="2026-01-01T00:00:00"/>
    <s v="No Portfolio"/>
    <s v="USD"/>
    <x v="7"/>
    <s v="Phrase&amp;Exact组"/>
    <s v="Amazon"/>
    <s v="United States"/>
    <s v="baby carrier"/>
    <s v="PHRASE"/>
    <x v="29"/>
    <n v="894"/>
    <n v="1"/>
    <n v="1.1185682326621924E-3"/>
    <n v="0.8"/>
    <n v="0.8"/>
    <n v="0"/>
    <m/>
    <n v="0"/>
    <n v="0"/>
    <n v="0"/>
    <n v="0"/>
    <n v="0"/>
    <n v="0"/>
    <n v="0"/>
    <n v="0"/>
  </r>
  <r>
    <x v="0"/>
    <x v="3"/>
    <d v="2026-01-03T00:00:00"/>
    <s v="No Portfolio"/>
    <s v="USD"/>
    <x v="7"/>
    <s v="Phrase&amp;Exact组"/>
    <s v="Amazon"/>
    <s v="United States"/>
    <s v="baby carrier"/>
    <s v="PHRASE"/>
    <x v="29"/>
    <n v="437"/>
    <n v="1"/>
    <n v="2.2883295194508009E-3"/>
    <n v="1.25"/>
    <n v="1.25"/>
    <n v="0"/>
    <m/>
    <n v="0"/>
    <n v="0"/>
    <n v="0"/>
    <n v="0"/>
    <n v="0"/>
    <n v="0"/>
    <n v="0"/>
    <n v="0"/>
  </r>
  <r>
    <x v="0"/>
    <x v="3"/>
    <d v="2026-01-02T00:00:00"/>
    <s v="No Portfolio"/>
    <s v="USD"/>
    <x v="8"/>
    <s v="baby carrier"/>
    <s v="Amazon"/>
    <s v="United States"/>
    <s v="close-match"/>
    <s v="-"/>
    <x v="29"/>
    <n v="2370"/>
    <n v="2"/>
    <n v="8.438818565400844E-4"/>
    <n v="0.41"/>
    <n v="0.82"/>
    <n v="0"/>
    <m/>
    <n v="0"/>
    <n v="0"/>
    <n v="0"/>
    <n v="0"/>
    <n v="0"/>
    <n v="0"/>
    <n v="0"/>
    <n v="0"/>
  </r>
  <r>
    <x v="0"/>
    <x v="1"/>
    <d v="2026-01-04T00:00:00"/>
    <s v="No Portfolio"/>
    <s v="USD"/>
    <x v="8"/>
    <s v="baby carrier"/>
    <s v="Amazon"/>
    <s v="United States"/>
    <s v="close-match"/>
    <s v="-"/>
    <x v="29"/>
    <n v="613"/>
    <n v="1"/>
    <n v="1.6313213703099509E-3"/>
    <n v="0.03"/>
    <n v="0.03"/>
    <n v="0"/>
    <m/>
    <n v="0"/>
    <n v="0"/>
    <n v="0"/>
    <n v="0"/>
    <n v="0"/>
    <n v="0"/>
    <n v="0"/>
    <n v="0"/>
  </r>
  <r>
    <x v="0"/>
    <x v="1"/>
    <d v="2026-01-04T00:00:00"/>
    <s v="No Portfolio"/>
    <s v="USD"/>
    <x v="7"/>
    <s v="Phrase&amp;Exact组"/>
    <s v="Amazon"/>
    <s v="United States"/>
    <s v="baby carrier"/>
    <s v="PHRASE"/>
    <x v="30"/>
    <n v="14"/>
    <n v="1"/>
    <n v="7.1428571428571425E-2"/>
    <n v="0.5"/>
    <n v="0.5"/>
    <n v="0"/>
    <m/>
    <n v="0"/>
    <n v="0"/>
    <n v="0"/>
    <n v="0"/>
    <n v="0"/>
    <n v="0"/>
    <n v="0"/>
    <n v="0"/>
  </r>
  <r>
    <x v="0"/>
    <x v="1"/>
    <d v="2026-01-04T00:00:00"/>
    <s v="No Portfolio"/>
    <s v="USD"/>
    <x v="7"/>
    <s v="Phrase&amp;Exact组"/>
    <s v="Amazon"/>
    <s v="United States"/>
    <s v="baby carrier"/>
    <s v="PHRASE"/>
    <x v="31"/>
    <n v="47"/>
    <n v="1"/>
    <n v="2.1276595744680851E-2"/>
    <n v="0.04"/>
    <n v="0.04"/>
    <n v="0"/>
    <m/>
    <n v="0"/>
    <n v="0"/>
    <n v="0"/>
    <n v="0"/>
    <n v="0"/>
    <n v="0"/>
    <n v="0"/>
    <n v="0"/>
  </r>
  <r>
    <x v="0"/>
    <x v="3"/>
    <d v="2026-01-03T00:00:00"/>
    <s v="No Portfolio"/>
    <s v="USD"/>
    <x v="7"/>
    <s v="Phrase&amp;Exact组"/>
    <s v="Amazon"/>
    <s v="United States"/>
    <s v="baby carrier"/>
    <s v="PHRASE"/>
    <x v="32"/>
    <n v="502"/>
    <n v="1"/>
    <n v="1.9920318725099601E-3"/>
    <n v="0.5"/>
    <n v="0.5"/>
    <n v="0"/>
    <m/>
    <n v="0"/>
    <n v="0"/>
    <n v="0"/>
    <n v="0"/>
    <n v="0"/>
    <n v="0"/>
    <n v="0"/>
    <n v="0"/>
  </r>
  <r>
    <x v="0"/>
    <x v="1"/>
    <d v="2026-01-04T00:00:00"/>
    <s v="No Portfolio"/>
    <s v="USD"/>
    <x v="8"/>
    <s v="baby carrier"/>
    <s v="Amazon"/>
    <s v="United States"/>
    <s v="close-match"/>
    <s v="-"/>
    <x v="33"/>
    <n v="218"/>
    <n v="1"/>
    <n v="4.5871559633027525E-3"/>
    <n v="0.03"/>
    <n v="0.03"/>
    <n v="0"/>
    <m/>
    <n v="0"/>
    <n v="0"/>
    <n v="0"/>
    <n v="0"/>
    <n v="0"/>
    <n v="0"/>
    <n v="0"/>
    <n v="0"/>
  </r>
  <r>
    <x v="0"/>
    <x v="3"/>
    <d v="2026-01-01T00:00:00"/>
    <s v="No Portfolio"/>
    <s v="USD"/>
    <x v="7"/>
    <s v="Phrase&amp;Exact组"/>
    <s v="Amazon"/>
    <s v="United States"/>
    <s v="baby carrier"/>
    <s v="PHRASE"/>
    <x v="34"/>
    <n v="122"/>
    <n v="1"/>
    <n v="8.1967213114754103E-3"/>
    <n v="0.48"/>
    <n v="0.48"/>
    <n v="0"/>
    <m/>
    <n v="0"/>
    <n v="0"/>
    <n v="0"/>
    <n v="0"/>
    <n v="0"/>
    <n v="0"/>
    <n v="0"/>
    <n v="0"/>
  </r>
  <r>
    <x v="0"/>
    <x v="3"/>
    <d v="2026-01-02T00:00:00"/>
    <s v="No Portfolio"/>
    <s v="USD"/>
    <x v="7"/>
    <s v="Phrase&amp;Exact组"/>
    <s v="Amazon"/>
    <s v="United States"/>
    <s v="baby carrier"/>
    <s v="PHRASE"/>
    <x v="34"/>
    <n v="69"/>
    <n v="1"/>
    <n v="1.4492753623188406E-2"/>
    <n v="0.42"/>
    <n v="0.42"/>
    <n v="0"/>
    <m/>
    <n v="0"/>
    <n v="0"/>
    <n v="0"/>
    <n v="0"/>
    <n v="0"/>
    <n v="0"/>
    <n v="0"/>
    <n v="0"/>
  </r>
  <r>
    <x v="0"/>
    <x v="1"/>
    <d v="2026-01-04T00:00:00"/>
    <s v="No Portfolio"/>
    <s v="USD"/>
    <x v="7"/>
    <s v="Phrase&amp;Exact组"/>
    <s v="Amazon"/>
    <s v="United States"/>
    <s v="baby carrier"/>
    <s v="PHRASE"/>
    <x v="34"/>
    <n v="119"/>
    <n v="1"/>
    <n v="8.4033613445378148E-3"/>
    <n v="0.8"/>
    <n v="0.8"/>
    <n v="0"/>
    <m/>
    <n v="0"/>
    <n v="0"/>
    <n v="0"/>
    <n v="0"/>
    <n v="0"/>
    <n v="0"/>
    <n v="0"/>
    <n v="0"/>
  </r>
  <r>
    <x v="0"/>
    <x v="3"/>
    <d v="2026-01-01T00:00:00"/>
    <s v="No Portfolio"/>
    <s v="USD"/>
    <x v="7"/>
    <s v="Phrase&amp;Exact组"/>
    <s v="Amazon"/>
    <s v="United States"/>
    <s v="baby carrier"/>
    <s v="PHRASE"/>
    <x v="35"/>
    <n v="68"/>
    <n v="1"/>
    <n v="1.4705882352941175E-2"/>
    <n v="0.8"/>
    <n v="0.8"/>
    <n v="0"/>
    <m/>
    <n v="0"/>
    <n v="0"/>
    <n v="0"/>
    <n v="0"/>
    <n v="0"/>
    <n v="0"/>
    <n v="0"/>
    <n v="0"/>
  </r>
  <r>
    <x v="0"/>
    <x v="2"/>
    <d v="2026-01-12T00:00:00"/>
    <s v="No Portfolio"/>
    <s v="USD"/>
    <x v="5"/>
    <s v="ENC Yellow"/>
    <s v="Amazon"/>
    <s v="United States"/>
    <s v="loose-match"/>
    <s v="-"/>
    <x v="36"/>
    <n v="1"/>
    <n v="1"/>
    <n v="1"/>
    <n v="0.72"/>
    <n v="0.72"/>
    <n v="0"/>
    <m/>
    <n v="0"/>
    <n v="0"/>
    <n v="0"/>
    <n v="0"/>
    <n v="0"/>
    <n v="0"/>
    <n v="0"/>
    <n v="0"/>
  </r>
  <r>
    <x v="0"/>
    <x v="3"/>
    <d v="2026-01-02T00:00:00"/>
    <s v="No Portfolio"/>
    <s v="USD"/>
    <x v="5"/>
    <s v="ENC Yellow"/>
    <s v="Amazon"/>
    <s v="United States"/>
    <s v="close-match"/>
    <s v="-"/>
    <x v="37"/>
    <n v="9"/>
    <n v="1"/>
    <n v="0.1111111111111111"/>
    <n v="1.37"/>
    <n v="1.37"/>
    <n v="0"/>
    <m/>
    <n v="0"/>
    <n v="0"/>
    <n v="0"/>
    <n v="0"/>
    <n v="0"/>
    <n v="0"/>
    <n v="0"/>
    <n v="0"/>
  </r>
  <r>
    <x v="0"/>
    <x v="2"/>
    <d v="2026-01-11T00:00:00"/>
    <s v="No Portfolio"/>
    <s v="USD"/>
    <x v="6"/>
    <s v="ENC"/>
    <s v="Amazon"/>
    <s v="United States"/>
    <s v="loose-match"/>
    <s v="-"/>
    <x v="38"/>
    <n v="1"/>
    <n v="1"/>
    <n v="1"/>
    <n v="1.31"/>
    <n v="1.31"/>
    <n v="0"/>
    <m/>
    <n v="0"/>
    <n v="0"/>
    <n v="0"/>
    <n v="0"/>
    <n v="0"/>
    <n v="0"/>
    <n v="0"/>
    <n v="0"/>
  </r>
  <r>
    <x v="0"/>
    <x v="2"/>
    <d v="2026-01-13T00:00:00"/>
    <s v="No Portfolio"/>
    <s v="USD"/>
    <x v="1"/>
    <s v="broad组"/>
    <s v="Amazon"/>
    <s v="United States"/>
    <s v="stroller snack tray attachment"/>
    <s v="BROAD"/>
    <x v="39"/>
    <n v="2"/>
    <n v="1"/>
    <n v="0.5"/>
    <n v="1.17"/>
    <n v="1.17"/>
    <n v="0"/>
    <m/>
    <n v="0"/>
    <n v="0"/>
    <n v="0"/>
    <n v="0"/>
    <n v="0"/>
    <n v="0"/>
    <n v="0"/>
    <n v="0"/>
  </r>
  <r>
    <x v="0"/>
    <x v="0"/>
    <d v="2026-01-18T00:00:00"/>
    <s v="No Portfolio"/>
    <s v="USD"/>
    <x v="0"/>
    <s v="broad组"/>
    <s v="Amazon"/>
    <s v="United States"/>
    <s v="stroller snack tray"/>
    <s v="BROAD"/>
    <x v="40"/>
    <n v="1"/>
    <n v="1"/>
    <n v="1"/>
    <n v="0.21"/>
    <n v="0.21"/>
    <n v="0"/>
    <m/>
    <n v="0"/>
    <n v="0"/>
    <n v="0"/>
    <n v="0"/>
    <n v="0"/>
    <n v="0"/>
    <n v="0"/>
    <n v="0"/>
  </r>
  <r>
    <x v="0"/>
    <x v="1"/>
    <d v="2026-01-07T00:00:00"/>
    <s v="No Portfolio"/>
    <s v="USD"/>
    <x v="4"/>
    <s v="stroller tray"/>
    <s v="Amazon"/>
    <s v="United States"/>
    <s v="close-match"/>
    <s v="-"/>
    <x v="41"/>
    <n v="1"/>
    <n v="1"/>
    <n v="1"/>
    <n v="0.76"/>
    <n v="0.76"/>
    <n v="0"/>
    <m/>
    <n v="0"/>
    <n v="0"/>
    <n v="0"/>
    <n v="0"/>
    <n v="0"/>
    <n v="0"/>
    <n v="0"/>
    <n v="0"/>
  </r>
  <r>
    <x v="0"/>
    <x v="2"/>
    <d v="2026-01-12T00:00:00"/>
    <s v="No Portfolio"/>
    <s v="USD"/>
    <x v="4"/>
    <s v="stroller tray"/>
    <s v="Amazon"/>
    <s v="United States"/>
    <s v="loose-match"/>
    <s v="-"/>
    <x v="42"/>
    <n v="2"/>
    <n v="1"/>
    <n v="0.5"/>
    <n v="0.48"/>
    <n v="0.48"/>
    <n v="0"/>
    <m/>
    <n v="0"/>
    <n v="0"/>
    <n v="0"/>
    <n v="0"/>
    <n v="0"/>
    <n v="0"/>
    <n v="0"/>
    <n v="0"/>
  </r>
  <r>
    <x v="0"/>
    <x v="3"/>
    <d v="2026-01-02T00:00:00"/>
    <s v="No Portfolio"/>
    <s v="USD"/>
    <x v="5"/>
    <s v="ENC Yellow"/>
    <s v="Amazon"/>
    <s v="United States"/>
    <s v="close-match"/>
    <s v="-"/>
    <x v="43"/>
    <n v="29"/>
    <n v="1"/>
    <n v="3.4482758620689655E-2"/>
    <n v="0.91"/>
    <n v="0.91"/>
    <n v="0"/>
    <m/>
    <n v="0"/>
    <n v="0"/>
    <n v="0"/>
    <n v="0"/>
    <n v="0"/>
    <n v="0"/>
    <n v="0"/>
    <n v="0"/>
  </r>
  <r>
    <x v="0"/>
    <x v="1"/>
    <d v="2026-01-06T00:00:00"/>
    <s v="No Portfolio"/>
    <s v="USD"/>
    <x v="5"/>
    <s v="ENC Yellow"/>
    <s v="Amazon"/>
    <s v="United States"/>
    <s v="close-match"/>
    <s v="-"/>
    <x v="43"/>
    <n v="22"/>
    <n v="1"/>
    <n v="4.5454545454545463E-2"/>
    <n v="0.95"/>
    <n v="0.95"/>
    <n v="0"/>
    <m/>
    <n v="0"/>
    <n v="0"/>
    <n v="0"/>
    <n v="0"/>
    <n v="0"/>
    <n v="0"/>
    <n v="0"/>
    <n v="0"/>
  </r>
  <r>
    <x v="0"/>
    <x v="1"/>
    <d v="2026-01-08T00:00:00"/>
    <s v="No Portfolio"/>
    <s v="USD"/>
    <x v="5"/>
    <s v="ENC Yellow"/>
    <s v="Amazon"/>
    <s v="United States"/>
    <s v="close-match"/>
    <s v="-"/>
    <x v="43"/>
    <n v="11"/>
    <n v="1"/>
    <n v="9.0909090909090925E-2"/>
    <n v="0.99"/>
    <n v="0.99"/>
    <n v="0"/>
    <m/>
    <n v="0"/>
    <n v="0"/>
    <n v="0"/>
    <n v="0"/>
    <n v="0"/>
    <n v="0"/>
    <n v="0"/>
    <n v="0"/>
  </r>
  <r>
    <x v="0"/>
    <x v="3"/>
    <d v="2026-01-03T00:00:00"/>
    <s v="No Portfolio"/>
    <s v="USD"/>
    <x v="5"/>
    <s v="ENC Yellow"/>
    <s v="Amazon"/>
    <s v="United States"/>
    <s v="loose-match"/>
    <s v="-"/>
    <x v="44"/>
    <n v="2"/>
    <n v="1"/>
    <n v="0.5"/>
    <n v="0.72"/>
    <n v="0.72"/>
    <n v="0"/>
    <m/>
    <n v="0"/>
    <n v="0"/>
    <n v="0"/>
    <n v="0"/>
    <n v="0"/>
    <n v="0"/>
    <n v="0"/>
    <n v="0"/>
  </r>
  <r>
    <x v="0"/>
    <x v="3"/>
    <d v="2026-01-03T00:00:00"/>
    <s v="No Portfolio"/>
    <s v="USD"/>
    <x v="6"/>
    <s v="ENC"/>
    <s v="Amazon"/>
    <s v="United States"/>
    <s v="loose-match"/>
    <s v="-"/>
    <x v="45"/>
    <n v="1"/>
    <n v="1"/>
    <n v="1"/>
    <n v="1.4"/>
    <n v="1.4"/>
    <n v="0"/>
    <m/>
    <n v="0"/>
    <n v="0"/>
    <n v="0"/>
    <n v="0"/>
    <n v="0"/>
    <n v="0"/>
    <n v="0"/>
    <n v="0"/>
  </r>
  <r>
    <x v="0"/>
    <x v="0"/>
    <d v="2026-01-19T00:00:00"/>
    <s v="No Portfolio"/>
    <s v="USD"/>
    <x v="3"/>
    <s v="ENC Grey"/>
    <s v="Amazon"/>
    <s v="United States"/>
    <s v="close-match"/>
    <s v="-"/>
    <x v="46"/>
    <n v="3"/>
    <n v="1"/>
    <n v="0.33333333333333331"/>
    <n v="0.54"/>
    <n v="0.54"/>
    <n v="0"/>
    <m/>
    <n v="0"/>
    <n v="0"/>
    <n v="0"/>
    <n v="0"/>
    <n v="0"/>
    <n v="0"/>
    <n v="0"/>
    <n v="0"/>
  </r>
  <r>
    <x v="0"/>
    <x v="2"/>
    <d v="2026-01-16T00:00:00"/>
    <s v="No Portfolio"/>
    <s v="USD"/>
    <x v="5"/>
    <s v="ENC Yellow"/>
    <s v="Amazon"/>
    <s v="United States"/>
    <s v="close-match"/>
    <s v="-"/>
    <x v="46"/>
    <n v="4"/>
    <n v="1"/>
    <n v="0.25"/>
    <n v="0.6"/>
    <n v="0.6"/>
    <n v="0"/>
    <m/>
    <n v="0"/>
    <n v="0"/>
    <n v="0"/>
    <n v="0"/>
    <n v="0"/>
    <n v="0"/>
    <n v="0"/>
    <n v="0"/>
  </r>
  <r>
    <x v="0"/>
    <x v="0"/>
    <d v="2026-01-18T00:00:00"/>
    <s v="No Portfolio"/>
    <s v="USD"/>
    <x v="5"/>
    <s v="ENC Yellow"/>
    <s v="Amazon"/>
    <s v="United States"/>
    <s v="close-match"/>
    <s v="-"/>
    <x v="46"/>
    <n v="12"/>
    <n v="1"/>
    <n v="8.3333333333333315E-2"/>
    <n v="0.6"/>
    <n v="0.6"/>
    <n v="0"/>
    <m/>
    <n v="0"/>
    <n v="0"/>
    <n v="0"/>
    <n v="0"/>
    <n v="0"/>
    <n v="0"/>
    <n v="0"/>
    <n v="0"/>
  </r>
  <r>
    <x v="0"/>
    <x v="2"/>
    <d v="2026-01-12T00:00:00"/>
    <s v="No Portfolio"/>
    <s v="USD"/>
    <x v="3"/>
    <s v="ENC Grey"/>
    <s v="Amazon"/>
    <s v="United States"/>
    <s v="close-match"/>
    <s v="-"/>
    <x v="47"/>
    <n v="1"/>
    <n v="1"/>
    <n v="1"/>
    <n v="0.42"/>
    <n v="0.42"/>
    <n v="0"/>
    <m/>
    <n v="0"/>
    <n v="0"/>
    <n v="0"/>
    <n v="0"/>
    <n v="0"/>
    <n v="0"/>
    <n v="0"/>
    <n v="0"/>
  </r>
  <r>
    <x v="0"/>
    <x v="1"/>
    <d v="2026-01-05T00:00:00"/>
    <s v="No Portfolio"/>
    <s v="USD"/>
    <x v="5"/>
    <s v="ENC Yellow"/>
    <s v="Amazon"/>
    <s v="United States"/>
    <s v="close-match"/>
    <s v="-"/>
    <x v="47"/>
    <n v="11"/>
    <n v="1"/>
    <n v="9.0909090909090925E-2"/>
    <n v="0.99"/>
    <n v="0.99"/>
    <n v="7.83"/>
    <n v="0.12643678160919539"/>
    <n v="7.9090909090909092"/>
    <n v="1"/>
    <n v="1"/>
    <n v="1"/>
    <n v="1"/>
    <n v="0"/>
    <n v="7.83"/>
    <n v="0"/>
  </r>
  <r>
    <x v="0"/>
    <x v="2"/>
    <d v="2026-01-12T00:00:00"/>
    <s v="No Portfolio"/>
    <s v="USD"/>
    <x v="5"/>
    <s v="ENC Yellow"/>
    <s v="Amazon"/>
    <s v="United States"/>
    <s v="close-match"/>
    <s v="-"/>
    <x v="47"/>
    <n v="8"/>
    <n v="1"/>
    <n v="0.125"/>
    <n v="0.6"/>
    <n v="0.6"/>
    <n v="0"/>
    <m/>
    <n v="0"/>
    <n v="0"/>
    <n v="0"/>
    <n v="0"/>
    <n v="0"/>
    <n v="0"/>
    <n v="0"/>
    <n v="0"/>
  </r>
  <r>
    <x v="0"/>
    <x v="3"/>
    <d v="2026-01-01T00:00:00"/>
    <s v="No Portfolio"/>
    <s v="USD"/>
    <x v="5"/>
    <s v="ENC Yellow"/>
    <s v="Amazon"/>
    <s v="United States"/>
    <s v="close-match"/>
    <s v="-"/>
    <x v="48"/>
    <n v="19"/>
    <n v="1"/>
    <n v="5.2631578947368418E-2"/>
    <n v="0.6"/>
    <n v="0.6"/>
    <n v="0"/>
    <m/>
    <n v="0"/>
    <n v="0"/>
    <n v="0"/>
    <n v="0"/>
    <n v="0"/>
    <n v="0"/>
    <n v="0"/>
    <n v="0"/>
  </r>
  <r>
    <x v="0"/>
    <x v="1"/>
    <d v="2026-01-06T00:00:00"/>
    <s v="No Portfolio"/>
    <s v="USD"/>
    <x v="5"/>
    <s v="ENC Yellow"/>
    <s v="Amazon"/>
    <s v="United States"/>
    <s v="close-match"/>
    <s v="-"/>
    <x v="48"/>
    <n v="32"/>
    <n v="1"/>
    <n v="3.125E-2"/>
    <n v="0.6"/>
    <n v="0.6"/>
    <n v="0"/>
    <m/>
    <n v="0"/>
    <n v="0"/>
    <n v="0"/>
    <n v="0"/>
    <n v="0"/>
    <n v="0"/>
    <n v="0"/>
    <n v="0"/>
  </r>
  <r>
    <x v="0"/>
    <x v="3"/>
    <d v="2026-01-03T00:00:00"/>
    <s v="No Portfolio"/>
    <s v="USD"/>
    <x v="5"/>
    <s v="ENC Yellow"/>
    <s v="Amazon"/>
    <s v="United States"/>
    <s v="close-match"/>
    <s v="-"/>
    <x v="49"/>
    <n v="4"/>
    <n v="1"/>
    <n v="0.25"/>
    <n v="0.99"/>
    <n v="0.99"/>
    <n v="0"/>
    <m/>
    <n v="0"/>
    <n v="0"/>
    <n v="0"/>
    <n v="0"/>
    <n v="0"/>
    <n v="0"/>
    <n v="0"/>
    <n v="0"/>
  </r>
  <r>
    <x v="0"/>
    <x v="3"/>
    <d v="2026-01-02T00:00:00"/>
    <s v="No Portfolio"/>
    <s v="USD"/>
    <x v="9"/>
    <s v="BNF"/>
    <s v="Amazon"/>
    <s v="United States"/>
    <s v="baby nail trimmer electric"/>
    <s v="BROAD"/>
    <x v="49"/>
    <n v="10"/>
    <n v="1"/>
    <n v="0.1"/>
    <n v="0.45"/>
    <n v="0.45"/>
    <n v="0"/>
    <m/>
    <n v="0"/>
    <n v="0"/>
    <n v="0"/>
    <n v="0"/>
    <n v="0"/>
    <n v="0"/>
    <n v="0"/>
    <n v="0"/>
  </r>
  <r>
    <x v="0"/>
    <x v="3"/>
    <d v="2026-01-02T00:00:00"/>
    <s v="No Portfolio"/>
    <s v="USD"/>
    <x v="6"/>
    <s v="ENC"/>
    <s v="Amazon"/>
    <s v="United States"/>
    <s v="loose-match"/>
    <s v="-"/>
    <x v="50"/>
    <n v="2"/>
    <n v="1"/>
    <n v="0.5"/>
    <n v="0.24"/>
    <n v="0.24"/>
    <n v="0"/>
    <m/>
    <n v="0"/>
    <n v="0"/>
    <n v="0"/>
    <n v="0"/>
    <n v="0"/>
    <n v="0"/>
    <n v="0"/>
    <n v="0"/>
  </r>
  <r>
    <x v="0"/>
    <x v="1"/>
    <d v="2026-01-04T00:00:00"/>
    <s v="No Portfolio"/>
    <s v="USD"/>
    <x v="7"/>
    <s v="broad组"/>
    <s v="Amazon"/>
    <s v="United States"/>
    <s v="baby carrier"/>
    <s v="BROAD"/>
    <x v="51"/>
    <n v="50"/>
    <n v="1"/>
    <n v="0.02"/>
    <n v="0.72"/>
    <n v="0.72"/>
    <n v="0"/>
    <m/>
    <n v="0"/>
    <n v="0"/>
    <n v="0"/>
    <n v="0"/>
    <n v="0"/>
    <n v="0"/>
    <n v="0"/>
    <n v="0"/>
  </r>
  <r>
    <x v="0"/>
    <x v="3"/>
    <d v="2026-01-01T00:00:00"/>
    <s v="No Portfolio"/>
    <s v="USD"/>
    <x v="7"/>
    <s v="broad组"/>
    <s v="Amazon"/>
    <s v="United States"/>
    <s v="newborn baby carrier"/>
    <s v="BROAD"/>
    <x v="51"/>
    <n v="2"/>
    <n v="1"/>
    <n v="0.5"/>
    <n v="0.45"/>
    <n v="0.45"/>
    <n v="0"/>
    <m/>
    <n v="0"/>
    <n v="0"/>
    <n v="0"/>
    <n v="0"/>
    <n v="0"/>
    <n v="0"/>
    <n v="0"/>
    <n v="0"/>
  </r>
  <r>
    <x v="0"/>
    <x v="2"/>
    <d v="2026-01-17T00:00:00"/>
    <s v="No Portfolio"/>
    <s v="USD"/>
    <x v="4"/>
    <s v="stroller tray"/>
    <s v="Amazon"/>
    <s v="United States"/>
    <s v="loose-match"/>
    <s v="-"/>
    <x v="52"/>
    <n v="1"/>
    <n v="1"/>
    <n v="1"/>
    <n v="0.45"/>
    <n v="0.45"/>
    <n v="0"/>
    <m/>
    <n v="0"/>
    <n v="0"/>
    <n v="0"/>
    <n v="0"/>
    <n v="0"/>
    <n v="0"/>
    <n v="0"/>
    <n v="0"/>
  </r>
  <r>
    <x v="0"/>
    <x v="1"/>
    <d v="2026-01-04T00:00:00"/>
    <s v="No Portfolio"/>
    <s v="USD"/>
    <x v="0"/>
    <s v="broad组"/>
    <s v="Amazon"/>
    <s v="United States"/>
    <s v="stroller accessories"/>
    <s v="BROAD"/>
    <x v="53"/>
    <n v="1"/>
    <n v="1"/>
    <n v="1"/>
    <n v="0.16"/>
    <n v="0.16"/>
    <n v="0"/>
    <m/>
    <n v="0"/>
    <n v="0"/>
    <n v="0"/>
    <n v="0"/>
    <n v="0"/>
    <n v="0"/>
    <n v="0"/>
    <n v="0"/>
  </r>
  <r>
    <x v="0"/>
    <x v="1"/>
    <d v="2026-01-07T00:00:00"/>
    <s v="No Portfolio"/>
    <s v="USD"/>
    <x v="4"/>
    <s v="stroller tray"/>
    <s v="Amazon"/>
    <s v="United States"/>
    <s v="loose-match"/>
    <s v="-"/>
    <x v="54"/>
    <n v="1"/>
    <n v="1"/>
    <n v="1"/>
    <n v="0.54"/>
    <n v="0.54"/>
    <n v="0"/>
    <m/>
    <n v="0"/>
    <n v="0"/>
    <n v="0"/>
    <n v="0"/>
    <n v="0"/>
    <n v="0"/>
    <n v="0"/>
    <n v="0"/>
  </r>
  <r>
    <x v="0"/>
    <x v="3"/>
    <d v="2026-01-03T00:00:00"/>
    <s v="No Portfolio"/>
    <s v="USD"/>
    <x v="8"/>
    <s v="baby carrier"/>
    <s v="Amazon"/>
    <s v="United States"/>
    <s v="loose-match"/>
    <s v="-"/>
    <x v="55"/>
    <n v="10"/>
    <n v="1"/>
    <n v="0.1"/>
    <n v="0.64"/>
    <n v="0.64"/>
    <n v="0"/>
    <m/>
    <n v="0"/>
    <n v="0"/>
    <n v="0"/>
    <n v="0"/>
    <n v="0"/>
    <n v="0"/>
    <n v="0"/>
    <n v="0"/>
  </r>
  <r>
    <x v="0"/>
    <x v="3"/>
    <d v="2026-01-02T00:00:00"/>
    <s v="No Portfolio"/>
    <s v="USD"/>
    <x v="7"/>
    <s v="broad组"/>
    <s v="Amazon"/>
    <s v="United States"/>
    <s v="baby carrier"/>
    <s v="BROAD"/>
    <x v="56"/>
    <n v="53"/>
    <n v="1"/>
    <n v="1.8867924528301886E-2"/>
    <n v="0.72"/>
    <n v="0.72"/>
    <n v="0"/>
    <m/>
    <n v="0"/>
    <n v="0"/>
    <n v="0"/>
    <n v="0"/>
    <n v="0"/>
    <n v="0"/>
    <n v="0"/>
    <n v="0"/>
  </r>
  <r>
    <x v="0"/>
    <x v="1"/>
    <d v="2026-01-04T00:00:00"/>
    <s v="No Portfolio"/>
    <s v="USD"/>
    <x v="0"/>
    <s v="phrase&amp;exact"/>
    <s v="Amazon"/>
    <s v="United States"/>
    <s v="stroller cup holder"/>
    <s v="PHRASE"/>
    <x v="57"/>
    <n v="1"/>
    <n v="1"/>
    <n v="1"/>
    <n v="0.2"/>
    <n v="0.2"/>
    <n v="0"/>
    <m/>
    <n v="0"/>
    <n v="0"/>
    <n v="0"/>
    <n v="0"/>
    <n v="0"/>
    <n v="0"/>
    <n v="0"/>
    <n v="0"/>
  </r>
  <r>
    <x v="0"/>
    <x v="0"/>
    <d v="2026-01-19T00:00:00"/>
    <s v="No Portfolio"/>
    <s v="USD"/>
    <x v="4"/>
    <s v="stroller tray"/>
    <s v="Amazon"/>
    <s v="United States"/>
    <s v="loose-match"/>
    <s v="-"/>
    <x v="58"/>
    <n v="1"/>
    <n v="1"/>
    <n v="1"/>
    <n v="0.6"/>
    <n v="0.6"/>
    <n v="0"/>
    <m/>
    <n v="0"/>
    <n v="0"/>
    <n v="0"/>
    <n v="0"/>
    <n v="0"/>
    <n v="0"/>
    <n v="0"/>
    <n v="0"/>
  </r>
  <r>
    <x v="0"/>
    <x v="3"/>
    <d v="2026-01-02T00:00:00"/>
    <s v="No Portfolio"/>
    <s v="USD"/>
    <x v="0"/>
    <s v="broad组"/>
    <s v="Amazon"/>
    <s v="United States"/>
    <s v="stroller accessories"/>
    <s v="BROAD"/>
    <x v="59"/>
    <n v="3"/>
    <n v="1"/>
    <n v="0.33333333333333331"/>
    <n v="0.16"/>
    <n v="0.16"/>
    <n v="0"/>
    <m/>
    <n v="0"/>
    <n v="0"/>
    <n v="0"/>
    <n v="0"/>
    <n v="0"/>
    <n v="0"/>
    <n v="0"/>
    <n v="0"/>
  </r>
  <r>
    <x v="0"/>
    <x v="2"/>
    <d v="2026-01-14T00:00:00"/>
    <s v="No Portfolio"/>
    <s v="USD"/>
    <x v="4"/>
    <s v="stroller tray"/>
    <s v="Amazon"/>
    <s v="United States"/>
    <s v="loose-match"/>
    <s v="-"/>
    <x v="60"/>
    <n v="2"/>
    <n v="1"/>
    <n v="0.5"/>
    <n v="0.45"/>
    <n v="0.45"/>
    <n v="17.09"/>
    <n v="2.6331187829139849E-2"/>
    <n v="37.977777777777774"/>
    <n v="1"/>
    <n v="1"/>
    <n v="1"/>
    <n v="1"/>
    <n v="0"/>
    <n v="17.09"/>
    <n v="0"/>
  </r>
  <r>
    <x v="0"/>
    <x v="2"/>
    <d v="2026-01-11T00:00:00"/>
    <s v="No Portfolio"/>
    <s v="USD"/>
    <x v="4"/>
    <s v="stroller tray"/>
    <s v="Amazon"/>
    <s v="United States"/>
    <s v="loose-match"/>
    <s v="-"/>
    <x v="61"/>
    <n v="1"/>
    <n v="1"/>
    <n v="1"/>
    <n v="0.54"/>
    <n v="0.54"/>
    <n v="0"/>
    <m/>
    <n v="0"/>
    <n v="0"/>
    <n v="0"/>
    <n v="0"/>
    <n v="0"/>
    <n v="0"/>
    <n v="0"/>
    <n v="0"/>
  </r>
  <r>
    <x v="0"/>
    <x v="2"/>
    <d v="2026-01-14T00:00:00"/>
    <s v="No Portfolio"/>
    <s v="USD"/>
    <x v="0"/>
    <s v="broad组"/>
    <s v="Amazon"/>
    <s v="United States"/>
    <s v="stroller snack tray attachment"/>
    <s v="BROAD"/>
    <x v="62"/>
    <n v="2"/>
    <n v="1"/>
    <n v="0.5"/>
    <n v="0.21"/>
    <n v="0.21"/>
    <n v="0"/>
    <m/>
    <n v="0"/>
    <n v="0"/>
    <n v="0"/>
    <n v="0"/>
    <n v="0"/>
    <n v="0"/>
    <n v="0"/>
    <n v="0"/>
  </r>
  <r>
    <x v="0"/>
    <x v="2"/>
    <d v="2026-01-12T00:00:00"/>
    <s v="No Portfolio"/>
    <s v="USD"/>
    <x v="1"/>
    <s v="broad组"/>
    <s v="Amazon"/>
    <s v="United States"/>
    <s v="universal snack tray"/>
    <s v="BROAD"/>
    <x v="63"/>
    <n v="3"/>
    <n v="1"/>
    <n v="0.33333333333333331"/>
    <n v="1.75"/>
    <n v="1.75"/>
    <n v="0"/>
    <m/>
    <n v="0"/>
    <n v="0"/>
    <n v="0"/>
    <n v="0"/>
    <n v="0"/>
    <n v="0"/>
    <n v="0"/>
    <n v="0"/>
  </r>
  <r>
    <x v="0"/>
    <x v="2"/>
    <d v="2026-01-15T00:00:00"/>
    <s v="No Portfolio"/>
    <s v="USD"/>
    <x v="0"/>
    <s v="broad组"/>
    <s v="Amazon"/>
    <s v="United States"/>
    <s v="stroller snack tray"/>
    <s v="BROAD"/>
    <x v="64"/>
    <n v="1"/>
    <n v="1"/>
    <n v="1"/>
    <n v="0.4"/>
    <n v="0.4"/>
    <n v="0"/>
    <m/>
    <n v="0"/>
    <n v="0"/>
    <n v="0"/>
    <n v="0"/>
    <n v="0"/>
    <n v="0"/>
    <n v="0"/>
    <n v="0"/>
  </r>
  <r>
    <x v="0"/>
    <x v="3"/>
    <d v="2026-01-01T00:00:00"/>
    <s v="No Portfolio"/>
    <s v="USD"/>
    <x v="0"/>
    <s v="broad组"/>
    <s v="Amazon"/>
    <s v="United States"/>
    <s v="clip on snack tray"/>
    <s v="BROAD"/>
    <x v="65"/>
    <n v="1"/>
    <n v="1"/>
    <n v="1"/>
    <n v="0.2"/>
    <n v="0.2"/>
    <n v="0"/>
    <m/>
    <n v="0"/>
    <n v="0"/>
    <n v="0"/>
    <n v="0"/>
    <n v="0"/>
    <n v="0"/>
    <n v="0"/>
    <n v="0"/>
  </r>
  <r>
    <x v="0"/>
    <x v="2"/>
    <d v="2026-01-13T00:00:00"/>
    <s v="No Portfolio"/>
    <s v="USD"/>
    <x v="1"/>
    <s v="broad组"/>
    <s v="Amazon"/>
    <s v="United States"/>
    <s v="snack tray for stroller"/>
    <s v="BROAD"/>
    <x v="66"/>
    <n v="1"/>
    <n v="1"/>
    <n v="1"/>
    <n v="0.84"/>
    <n v="0.84"/>
    <n v="0"/>
    <m/>
    <n v="0"/>
    <n v="0"/>
    <n v="0"/>
    <n v="0"/>
    <n v="0"/>
    <n v="0"/>
    <n v="0"/>
    <n v="0"/>
  </r>
  <r>
    <x v="0"/>
    <x v="2"/>
    <d v="2026-01-17T00:00:00"/>
    <s v="No Portfolio"/>
    <s v="USD"/>
    <x v="2"/>
    <s v="Tray"/>
    <s v="Amazon"/>
    <s v="United States"/>
    <s v="asin=&quot;B0F4Y5Y5RF&quot;"/>
    <s v="-"/>
    <x v="67"/>
    <n v="4"/>
    <n v="1"/>
    <n v="0.25"/>
    <n v="0.62"/>
    <n v="0.62"/>
    <n v="0"/>
    <m/>
    <n v="0"/>
    <n v="0"/>
    <n v="0"/>
    <n v="0"/>
    <n v="0"/>
    <n v="0"/>
    <n v="0"/>
    <n v="0"/>
  </r>
  <r>
    <x v="0"/>
    <x v="0"/>
    <d v="2026-01-20T00:00:00"/>
    <s v="No Portfolio"/>
    <s v="USD"/>
    <x v="4"/>
    <s v="stroller tray"/>
    <s v="Amazon"/>
    <s v="United States"/>
    <s v="loose-match"/>
    <s v="-"/>
    <x v="68"/>
    <n v="1"/>
    <n v="1"/>
    <n v="1"/>
    <n v="0.6"/>
    <n v="0.6"/>
    <n v="0"/>
    <m/>
    <n v="0"/>
    <n v="0"/>
    <n v="0"/>
    <n v="0"/>
    <n v="0"/>
    <n v="0"/>
    <n v="0"/>
    <n v="0"/>
  </r>
  <r>
    <x v="0"/>
    <x v="0"/>
    <d v="2026-01-20T00:00:00"/>
    <s v="No Portfolio"/>
    <s v="USD"/>
    <x v="1"/>
    <s v="broad组"/>
    <s v="Amazon"/>
    <s v="United States"/>
    <s v="stroller snack tray attachment"/>
    <s v="BROAD"/>
    <x v="69"/>
    <n v="2"/>
    <n v="1"/>
    <n v="0.5"/>
    <n v="1.48"/>
    <n v="1.48"/>
    <n v="0"/>
    <m/>
    <n v="0"/>
    <n v="0"/>
    <n v="0"/>
    <n v="0"/>
    <n v="0"/>
    <n v="0"/>
    <n v="0"/>
    <n v="0"/>
  </r>
  <r>
    <x v="0"/>
    <x v="3"/>
    <d v="2026-01-03T00:00:00"/>
    <s v="No Portfolio"/>
    <s v="USD"/>
    <x v="8"/>
    <s v="baby carrier"/>
    <s v="Amazon"/>
    <s v="United States"/>
    <s v="loose-match"/>
    <s v="-"/>
    <x v="70"/>
    <n v="20"/>
    <n v="1"/>
    <n v="0.05"/>
    <n v="0.88"/>
    <n v="0.88"/>
    <n v="0"/>
    <m/>
    <n v="0"/>
    <n v="0"/>
    <n v="0"/>
    <n v="0"/>
    <n v="0"/>
    <n v="0"/>
    <n v="0"/>
    <n v="0"/>
  </r>
  <r>
    <x v="0"/>
    <x v="1"/>
    <d v="2026-01-06T00:00:00"/>
    <s v="No Portfolio"/>
    <s v="USD"/>
    <x v="4"/>
    <s v="stroller tray"/>
    <s v="Amazon"/>
    <s v="United States"/>
    <s v="loose-match"/>
    <s v="-"/>
    <x v="71"/>
    <n v="1"/>
    <n v="1"/>
    <n v="1"/>
    <n v="0.54"/>
    <n v="0.54"/>
    <n v="0"/>
    <m/>
    <n v="0"/>
    <n v="0"/>
    <n v="0"/>
    <n v="0"/>
    <n v="0"/>
    <n v="0"/>
    <n v="0"/>
    <n v="0"/>
  </r>
  <r>
    <x v="0"/>
    <x v="1"/>
    <d v="2026-01-10T00:00:00"/>
    <s v="No Portfolio"/>
    <s v="USD"/>
    <x v="4"/>
    <s v="stroller tray"/>
    <s v="Amazon"/>
    <s v="United States"/>
    <s v="loose-match"/>
    <s v="-"/>
    <x v="72"/>
    <n v="1"/>
    <n v="1"/>
    <n v="1"/>
    <n v="0.54"/>
    <n v="0.54"/>
    <n v="0"/>
    <m/>
    <n v="0"/>
    <n v="0"/>
    <n v="0"/>
    <n v="0"/>
    <n v="0"/>
    <n v="0"/>
    <n v="0"/>
    <n v="0"/>
  </r>
  <r>
    <x v="0"/>
    <x v="1"/>
    <d v="2026-01-08T00:00:00"/>
    <s v="No Portfolio"/>
    <s v="USD"/>
    <x v="0"/>
    <s v="broad组"/>
    <s v="Amazon"/>
    <s v="United States"/>
    <s v="stroller cup holder"/>
    <s v="BROAD"/>
    <x v="73"/>
    <n v="2"/>
    <n v="1"/>
    <n v="0.5"/>
    <n v="0.4"/>
    <n v="0.4"/>
    <n v="0"/>
    <m/>
    <n v="0"/>
    <n v="0"/>
    <n v="0"/>
    <n v="0"/>
    <n v="0"/>
    <n v="0"/>
    <n v="0"/>
    <n v="0"/>
  </r>
  <r>
    <x v="0"/>
    <x v="1"/>
    <d v="2026-01-07T00:00:00"/>
    <s v="No Portfolio"/>
    <s v="USD"/>
    <x v="1"/>
    <s v="broad组"/>
    <s v="Amazon"/>
    <s v="United States"/>
    <s v="cup holder and tray for stroller"/>
    <s v="BROAD"/>
    <x v="74"/>
    <n v="1"/>
    <n v="1"/>
    <n v="1"/>
    <n v="1.02"/>
    <n v="1.02"/>
    <n v="0"/>
    <m/>
    <n v="0"/>
    <n v="0"/>
    <n v="0"/>
    <n v="0"/>
    <n v="0"/>
    <n v="0"/>
    <n v="0"/>
    <n v="0"/>
  </r>
  <r>
    <x v="0"/>
    <x v="2"/>
    <d v="2026-01-13T00:00:00"/>
    <s v="No Portfolio"/>
    <s v="USD"/>
    <x v="4"/>
    <s v="stroller tray"/>
    <s v="Amazon"/>
    <s v="United States"/>
    <s v="loose-match"/>
    <s v="-"/>
    <x v="75"/>
    <n v="2"/>
    <n v="1"/>
    <n v="0.5"/>
    <n v="0.48"/>
    <n v="0.48"/>
    <n v="0"/>
    <m/>
    <n v="0"/>
    <n v="0"/>
    <n v="0"/>
    <n v="0"/>
    <n v="0"/>
    <n v="0"/>
    <n v="0"/>
    <n v="0"/>
  </r>
  <r>
    <x v="0"/>
    <x v="2"/>
    <d v="2026-01-17T00:00:00"/>
    <s v="No Portfolio"/>
    <s v="USD"/>
    <x v="1"/>
    <s v="broad组"/>
    <s v="Amazon"/>
    <s v="United States"/>
    <s v="stroller tray"/>
    <s v="BROAD"/>
    <x v="76"/>
    <n v="1"/>
    <n v="1"/>
    <n v="1"/>
    <n v="0.88"/>
    <n v="0.88"/>
    <n v="0"/>
    <m/>
    <n v="0"/>
    <n v="0"/>
    <n v="0"/>
    <n v="0"/>
    <n v="0"/>
    <n v="0"/>
    <n v="0"/>
    <n v="0"/>
  </r>
  <r>
    <x v="0"/>
    <x v="2"/>
    <d v="2026-01-14T00:00:00"/>
    <s v="No Portfolio"/>
    <s v="USD"/>
    <x v="4"/>
    <s v="stroller tray"/>
    <s v="Amazon"/>
    <s v="United States"/>
    <s v="loose-match"/>
    <s v="-"/>
    <x v="77"/>
    <n v="2"/>
    <n v="1"/>
    <n v="0.5"/>
    <n v="0.45"/>
    <n v="0.45"/>
    <n v="0"/>
    <m/>
    <n v="0"/>
    <n v="0"/>
    <n v="0"/>
    <n v="0"/>
    <n v="0"/>
    <n v="0"/>
    <n v="0"/>
    <n v="0"/>
  </r>
  <r>
    <x v="0"/>
    <x v="2"/>
    <d v="2026-01-17T00:00:00"/>
    <s v="No Portfolio"/>
    <s v="USD"/>
    <x v="1"/>
    <s v="broad组"/>
    <s v="Amazon"/>
    <s v="United States"/>
    <s v="clip on snack tray"/>
    <s v="BROAD"/>
    <x v="78"/>
    <n v="2"/>
    <n v="1"/>
    <n v="0.5"/>
    <n v="1.32"/>
    <n v="1.32"/>
    <n v="0"/>
    <m/>
    <n v="0"/>
    <n v="0"/>
    <n v="0"/>
    <n v="0"/>
    <n v="0"/>
    <n v="0"/>
    <n v="0"/>
    <n v="0"/>
  </r>
  <r>
    <x v="0"/>
    <x v="1"/>
    <d v="2026-01-05T00:00:00"/>
    <s v="No Portfolio"/>
    <s v="USD"/>
    <x v="4"/>
    <s v="stroller tray"/>
    <s v="Amazon"/>
    <s v="United States"/>
    <s v="loose-match"/>
    <s v="-"/>
    <x v="79"/>
    <n v="1"/>
    <n v="1"/>
    <n v="1"/>
    <n v="0.54"/>
    <n v="0.54"/>
    <n v="0"/>
    <m/>
    <n v="0"/>
    <n v="0"/>
    <n v="0"/>
    <n v="0"/>
    <n v="0"/>
    <n v="0"/>
    <n v="0"/>
    <n v="0"/>
  </r>
  <r>
    <x v="0"/>
    <x v="1"/>
    <d v="2026-01-10T00:00:00"/>
    <s v="No Portfolio"/>
    <s v="USD"/>
    <x v="0"/>
    <s v="broad组"/>
    <s v="Amazon"/>
    <s v="United States"/>
    <s v="stroller cup holder"/>
    <s v="BROAD"/>
    <x v="80"/>
    <n v="1"/>
    <n v="1"/>
    <n v="1"/>
    <n v="0.4"/>
    <n v="0.4"/>
    <n v="0"/>
    <m/>
    <n v="0"/>
    <n v="0"/>
    <n v="0"/>
    <n v="0"/>
    <n v="0"/>
    <n v="0"/>
    <n v="0"/>
    <n v="0"/>
  </r>
  <r>
    <x v="0"/>
    <x v="1"/>
    <d v="2026-01-05T00:00:00"/>
    <s v="No Portfolio"/>
    <s v="USD"/>
    <x v="4"/>
    <s v="stroller tray"/>
    <s v="Amazon"/>
    <s v="United States"/>
    <s v="close-match"/>
    <s v="-"/>
    <x v="81"/>
    <n v="2"/>
    <n v="1"/>
    <n v="0.5"/>
    <n v="0.77"/>
    <n v="0.77"/>
    <n v="0"/>
    <m/>
    <n v="0"/>
    <n v="0"/>
    <n v="0"/>
    <n v="0"/>
    <n v="0"/>
    <n v="0"/>
    <n v="0"/>
    <n v="0"/>
  </r>
  <r>
    <x v="0"/>
    <x v="1"/>
    <d v="2026-01-09T00:00:00"/>
    <s v="No Portfolio"/>
    <s v="USD"/>
    <x v="4"/>
    <s v="stroller tray"/>
    <s v="Amazon"/>
    <s v="United States"/>
    <s v="close-match"/>
    <s v="-"/>
    <x v="82"/>
    <n v="1"/>
    <n v="1"/>
    <n v="1"/>
    <n v="0.77"/>
    <n v="0.77"/>
    <n v="0"/>
    <m/>
    <n v="0"/>
    <n v="0"/>
    <n v="0"/>
    <n v="0"/>
    <n v="0"/>
    <n v="0"/>
    <n v="0"/>
    <n v="0"/>
  </r>
  <r>
    <x v="0"/>
    <x v="3"/>
    <d v="2026-01-01T00:00:00"/>
    <s v="No Portfolio"/>
    <s v="USD"/>
    <x v="1"/>
    <s v="broad组"/>
    <s v="Amazon"/>
    <s v="United States"/>
    <s v="wagon cup holder"/>
    <s v="BROAD"/>
    <x v="83"/>
    <n v="10"/>
    <n v="1"/>
    <n v="0.1"/>
    <n v="0.97"/>
    <n v="0.97"/>
    <n v="0"/>
    <m/>
    <n v="0"/>
    <n v="0"/>
    <n v="0"/>
    <n v="0"/>
    <n v="0"/>
    <n v="0"/>
    <n v="0"/>
    <n v="0"/>
  </r>
  <r>
    <x v="0"/>
    <x v="2"/>
    <d v="2026-01-13T00:00:00"/>
    <s v="No Portfolio"/>
    <s v="USD"/>
    <x v="0"/>
    <s v="broad组"/>
    <s v="Amazon"/>
    <s v="United States"/>
    <s v="stroller cup holder"/>
    <s v="BROAD"/>
    <x v="84"/>
    <n v="4"/>
    <n v="1"/>
    <n v="0.25"/>
    <n v="0.2"/>
    <n v="0.2"/>
    <n v="0"/>
    <m/>
    <n v="0"/>
    <n v="0"/>
    <n v="0"/>
    <n v="0"/>
    <n v="0"/>
    <n v="0"/>
    <n v="0"/>
    <n v="0"/>
  </r>
  <r>
    <x v="0"/>
    <x v="2"/>
    <d v="2026-01-12T00:00:00"/>
    <s v="No Portfolio"/>
    <s v="USD"/>
    <x v="4"/>
    <s v="stroller tray"/>
    <s v="Amazon"/>
    <s v="United States"/>
    <s v="loose-match"/>
    <s v="-"/>
    <x v="85"/>
    <n v="4"/>
    <n v="1"/>
    <n v="0.25"/>
    <n v="0.48"/>
    <n v="0.48"/>
    <n v="0"/>
    <m/>
    <n v="0"/>
    <n v="0"/>
    <n v="0"/>
    <n v="0"/>
    <n v="0"/>
    <n v="0"/>
    <n v="0"/>
    <n v="0"/>
  </r>
  <r>
    <x v="0"/>
    <x v="2"/>
    <d v="2026-01-13T00:00:00"/>
    <s v="No Portfolio"/>
    <s v="USD"/>
    <x v="4"/>
    <s v="stroller tray"/>
    <s v="Amazon"/>
    <s v="United States"/>
    <s v="close-match"/>
    <s v="-"/>
    <x v="86"/>
    <n v="2"/>
    <n v="1"/>
    <n v="0.5"/>
    <n v="0.48"/>
    <n v="0.48"/>
    <n v="0"/>
    <m/>
    <n v="0"/>
    <n v="0"/>
    <n v="0"/>
    <n v="0"/>
    <n v="0"/>
    <n v="0"/>
    <n v="0"/>
    <n v="0"/>
  </r>
  <r>
    <x v="0"/>
    <x v="2"/>
    <d v="2026-01-12T00:00:00"/>
    <s v="No Portfolio"/>
    <s v="USD"/>
    <x v="4"/>
    <s v="stroller tray"/>
    <s v="Amazon"/>
    <s v="United States"/>
    <s v="loose-match"/>
    <s v="-"/>
    <x v="87"/>
    <n v="1"/>
    <n v="1"/>
    <n v="1"/>
    <n v="0.52"/>
    <n v="0.52"/>
    <n v="0"/>
    <m/>
    <n v="0"/>
    <n v="0"/>
    <n v="0"/>
    <n v="0"/>
    <n v="0"/>
    <n v="0"/>
    <n v="0"/>
    <n v="0"/>
  </r>
  <r>
    <x v="0"/>
    <x v="3"/>
    <d v="2026-01-03T00:00:00"/>
    <s v="No Portfolio"/>
    <s v="USD"/>
    <x v="1"/>
    <s v="broad组"/>
    <s v="Amazon"/>
    <s v="United States"/>
    <s v="snack tray for stroller"/>
    <s v="BROAD"/>
    <x v="88"/>
    <n v="1"/>
    <n v="1"/>
    <n v="1"/>
    <n v="0.99"/>
    <n v="0.99"/>
    <n v="0"/>
    <m/>
    <n v="0"/>
    <n v="0"/>
    <n v="0"/>
    <n v="0"/>
    <n v="0"/>
    <n v="0"/>
    <n v="0"/>
    <n v="0"/>
  </r>
  <r>
    <x v="0"/>
    <x v="1"/>
    <d v="2026-01-07T00:00:00"/>
    <s v="No Portfolio"/>
    <s v="USD"/>
    <x v="4"/>
    <s v="stroller tray"/>
    <s v="Amazon"/>
    <s v="United States"/>
    <s v="loose-match"/>
    <s v="-"/>
    <x v="89"/>
    <n v="1"/>
    <n v="1"/>
    <n v="1"/>
    <n v="0.54"/>
    <n v="0.54"/>
    <n v="0"/>
    <m/>
    <n v="0"/>
    <n v="0"/>
    <n v="0"/>
    <n v="0"/>
    <n v="0"/>
    <n v="0"/>
    <n v="0"/>
    <n v="0"/>
  </r>
  <r>
    <x v="0"/>
    <x v="0"/>
    <d v="2026-01-20T00:00:00"/>
    <s v="No Portfolio"/>
    <s v="USD"/>
    <x v="4"/>
    <s v="stroller tray"/>
    <s v="Amazon"/>
    <s v="United States"/>
    <s v="loose-match"/>
    <s v="-"/>
    <x v="90"/>
    <n v="1"/>
    <n v="1"/>
    <n v="1"/>
    <n v="0.53"/>
    <n v="0.53"/>
    <n v="0"/>
    <m/>
    <n v="0"/>
    <n v="0"/>
    <n v="0"/>
    <n v="0"/>
    <n v="0"/>
    <n v="0"/>
    <n v="0"/>
    <n v="0"/>
  </r>
  <r>
    <x v="0"/>
    <x v="3"/>
    <d v="2026-01-02T00:00:00"/>
    <s v="No Portfolio"/>
    <s v="USD"/>
    <x v="6"/>
    <s v="ENC"/>
    <s v="Amazon"/>
    <s v="United States"/>
    <s v="close-match"/>
    <s v="-"/>
    <x v="91"/>
    <n v="1"/>
    <n v="1"/>
    <n v="1"/>
    <n v="1.1299999999999999"/>
    <n v="1.1299999999999999"/>
    <n v="0"/>
    <m/>
    <n v="0"/>
    <n v="0"/>
    <n v="0"/>
    <n v="0"/>
    <n v="0"/>
    <n v="0"/>
    <n v="0"/>
    <n v="0"/>
  </r>
  <r>
    <x v="0"/>
    <x v="2"/>
    <d v="2026-01-16T00:00:00"/>
    <s v="No Portfolio"/>
    <s v="USD"/>
    <x v="4"/>
    <s v="stroller tray"/>
    <s v="Amazon"/>
    <s v="United States"/>
    <s v="loose-match"/>
    <s v="-"/>
    <x v="92"/>
    <n v="2"/>
    <n v="1"/>
    <n v="0.5"/>
    <n v="0.54"/>
    <n v="0.54"/>
    <n v="0"/>
    <m/>
    <n v="0"/>
    <n v="0"/>
    <n v="0"/>
    <n v="0"/>
    <n v="0"/>
    <n v="0"/>
    <n v="0"/>
    <n v="0"/>
  </r>
  <r>
    <x v="0"/>
    <x v="0"/>
    <d v="2026-01-21T00:00:00"/>
    <s v="No Portfolio"/>
    <s v="USD"/>
    <x v="4"/>
    <s v="stroller tray"/>
    <s v="Amazon"/>
    <s v="United States"/>
    <s v="loose-match"/>
    <s v="-"/>
    <x v="93"/>
    <n v="1"/>
    <n v="1"/>
    <n v="1"/>
    <n v="0.53"/>
    <n v="0.53"/>
    <n v="0"/>
    <m/>
    <n v="0"/>
    <n v="0"/>
    <n v="0"/>
    <n v="0"/>
    <n v="0"/>
    <n v="0"/>
    <n v="0"/>
    <n v="0"/>
  </r>
  <r>
    <x v="0"/>
    <x v="1"/>
    <d v="2026-01-05T00:00:00"/>
    <s v="No Portfolio"/>
    <s v="USD"/>
    <x v="2"/>
    <s v="Tray"/>
    <s v="Amazon"/>
    <s v="United States"/>
    <s v="asin=&quot;B0DSBVB1WW&quot;"/>
    <s v="-"/>
    <x v="94"/>
    <n v="2"/>
    <n v="1"/>
    <n v="0.5"/>
    <n v="0.74"/>
    <n v="0.74"/>
    <n v="34.18"/>
    <n v="2.1650087770626096E-2"/>
    <n v="46.189189189189186"/>
    <n v="1"/>
    <n v="2"/>
    <n v="1"/>
    <n v="0"/>
    <n v="2"/>
    <n v="0"/>
    <n v="34.18"/>
  </r>
  <r>
    <x v="0"/>
    <x v="0"/>
    <d v="2026-01-18T00:00:00"/>
    <s v="No Portfolio"/>
    <s v="USD"/>
    <x v="4"/>
    <s v="stroller tray"/>
    <s v="Amazon"/>
    <s v="United States"/>
    <s v="loose-match"/>
    <s v="-"/>
    <x v="95"/>
    <n v="3"/>
    <n v="1"/>
    <n v="0.33333333333333331"/>
    <n v="0.44"/>
    <n v="0.44"/>
    <n v="0"/>
    <m/>
    <n v="0"/>
    <n v="0"/>
    <n v="0"/>
    <n v="0"/>
    <n v="0"/>
    <n v="0"/>
    <n v="0"/>
    <n v="0"/>
  </r>
  <r>
    <x v="0"/>
    <x v="2"/>
    <d v="2026-01-11T00:00:00"/>
    <s v="No Portfolio"/>
    <s v="USD"/>
    <x v="0"/>
    <s v="broad组"/>
    <s v="Amazon"/>
    <s v="United States"/>
    <s v="stroller tray"/>
    <s v="BROAD"/>
    <x v="96"/>
    <n v="1"/>
    <n v="1"/>
    <n v="1"/>
    <n v="0.21"/>
    <n v="0.21"/>
    <n v="0"/>
    <m/>
    <n v="0"/>
    <n v="0"/>
    <n v="0"/>
    <n v="0"/>
    <n v="0"/>
    <n v="0"/>
    <n v="0"/>
    <n v="0"/>
  </r>
  <r>
    <x v="0"/>
    <x v="3"/>
    <d v="2026-01-02T00:00:00"/>
    <s v="No Portfolio"/>
    <s v="USD"/>
    <x v="4"/>
    <s v="stroller tray"/>
    <s v="Amazon"/>
    <s v="United States"/>
    <s v="close-match"/>
    <s v="-"/>
    <x v="97"/>
    <n v="1"/>
    <n v="1"/>
    <n v="1"/>
    <n v="0.67"/>
    <n v="0.67"/>
    <n v="0"/>
    <m/>
    <n v="0"/>
    <n v="0"/>
    <n v="0"/>
    <n v="0"/>
    <n v="0"/>
    <n v="0"/>
    <n v="0"/>
    <n v="0"/>
  </r>
  <r>
    <x v="0"/>
    <x v="1"/>
    <d v="2026-01-09T00:00:00"/>
    <s v="No Portfolio"/>
    <s v="USD"/>
    <x v="0"/>
    <s v="broad组"/>
    <s v="Amazon"/>
    <s v="United States"/>
    <s v="stroller accessories"/>
    <s v="BROAD"/>
    <x v="98"/>
    <n v="1"/>
    <n v="1"/>
    <n v="1"/>
    <n v="0.3"/>
    <n v="0.3"/>
    <n v="0"/>
    <m/>
    <n v="0"/>
    <n v="0"/>
    <n v="0"/>
    <n v="0"/>
    <n v="0"/>
    <n v="0"/>
    <n v="0"/>
    <n v="0"/>
  </r>
  <r>
    <x v="0"/>
    <x v="0"/>
    <d v="2026-01-21T00:00:00"/>
    <s v="No Portfolio"/>
    <s v="USD"/>
    <x v="0"/>
    <s v="broad组"/>
    <s v="Amazon"/>
    <s v="United States"/>
    <s v="stroller accessories"/>
    <s v="BROAD"/>
    <x v="99"/>
    <n v="1"/>
    <n v="1"/>
    <n v="1"/>
    <n v="0.16"/>
    <n v="0.16"/>
    <n v="0"/>
    <m/>
    <n v="0"/>
    <n v="0"/>
    <n v="0"/>
    <n v="0"/>
    <n v="0"/>
    <n v="0"/>
    <n v="0"/>
    <n v="0"/>
  </r>
  <r>
    <x v="0"/>
    <x v="0"/>
    <d v="2026-01-21T00:00:00"/>
    <s v="No Portfolio"/>
    <s v="USD"/>
    <x v="4"/>
    <s v="stroller tray"/>
    <s v="Amazon"/>
    <s v="United States"/>
    <s v="loose-match"/>
    <s v="-"/>
    <x v="100"/>
    <n v="2"/>
    <n v="1"/>
    <n v="0.5"/>
    <n v="0.53"/>
    <n v="0.53"/>
    <n v="0"/>
    <m/>
    <n v="0"/>
    <n v="0"/>
    <n v="0"/>
    <n v="0"/>
    <n v="0"/>
    <n v="0"/>
    <n v="0"/>
    <n v="0"/>
  </r>
  <r>
    <x v="0"/>
    <x v="2"/>
    <d v="2026-01-15T00:00:00"/>
    <s v="No Portfolio"/>
    <s v="USD"/>
    <x v="9"/>
    <s v="ENC"/>
    <s v="Amazon"/>
    <s v="United States"/>
    <s v="electric nail clipper"/>
    <s v="BROAD"/>
    <x v="101"/>
    <n v="2"/>
    <n v="1"/>
    <n v="0.5"/>
    <n v="1"/>
    <n v="1"/>
    <n v="0"/>
    <m/>
    <n v="0"/>
    <n v="0"/>
    <n v="0"/>
    <n v="0"/>
    <n v="0"/>
    <n v="0"/>
    <n v="0"/>
    <n v="0"/>
  </r>
  <r>
    <x v="0"/>
    <x v="2"/>
    <d v="2026-01-12T00:00:00"/>
    <s v="No Portfolio"/>
    <s v="USD"/>
    <x v="6"/>
    <s v="ENC"/>
    <s v="Amazon"/>
    <s v="United States"/>
    <s v="close-match"/>
    <s v="-"/>
    <x v="102"/>
    <n v="1"/>
    <n v="1"/>
    <n v="1"/>
    <n v="1.03"/>
    <n v="1.03"/>
    <n v="0"/>
    <m/>
    <n v="0"/>
    <n v="0"/>
    <n v="0"/>
    <n v="0"/>
    <n v="0"/>
    <n v="0"/>
    <n v="0"/>
    <n v="0"/>
  </r>
  <r>
    <x v="0"/>
    <x v="0"/>
    <d v="2026-01-19T00:00:00"/>
    <s v="No Portfolio"/>
    <s v="USD"/>
    <x v="6"/>
    <s v="ENC"/>
    <s v="Amazon"/>
    <s v="United States"/>
    <s v="close-match"/>
    <s v="-"/>
    <x v="103"/>
    <n v="2"/>
    <n v="1"/>
    <n v="0.5"/>
    <n v="1.29"/>
    <n v="1.29"/>
    <n v="25.73"/>
    <n v="5.0136027982899331E-2"/>
    <n v="19.945736434108525"/>
    <n v="1"/>
    <n v="1"/>
    <n v="1"/>
    <n v="1"/>
    <n v="0"/>
    <n v="25.73"/>
    <n v="0"/>
  </r>
  <r>
    <x v="0"/>
    <x v="1"/>
    <d v="2026-01-07T00:00:00"/>
    <s v="No Portfolio"/>
    <s v="USD"/>
    <x v="5"/>
    <s v="ENC Yellow"/>
    <s v="Amazon"/>
    <s v="United States"/>
    <s v="close-match"/>
    <s v="-"/>
    <x v="104"/>
    <n v="1"/>
    <n v="1"/>
    <n v="1"/>
    <n v="0.99"/>
    <n v="0.99"/>
    <n v="7.83"/>
    <n v="0.12643678160919539"/>
    <n v="7.9090909090909092"/>
    <n v="1"/>
    <n v="1"/>
    <n v="1"/>
    <n v="1"/>
    <n v="0"/>
    <n v="7.83"/>
    <n v="0"/>
  </r>
  <r>
    <x v="0"/>
    <x v="2"/>
    <d v="2026-01-15T00:00:00"/>
    <s v="No Portfolio"/>
    <s v="USD"/>
    <x v="6"/>
    <s v="ENC"/>
    <s v="Amazon"/>
    <s v="United States"/>
    <s v="loose-match"/>
    <s v="-"/>
    <x v="105"/>
    <n v="2"/>
    <n v="1"/>
    <n v="0.5"/>
    <n v="1.1000000000000001"/>
    <n v="1.1000000000000001"/>
    <n v="0"/>
    <m/>
    <n v="0"/>
    <n v="0"/>
    <n v="0"/>
    <n v="0"/>
    <n v="0"/>
    <n v="0"/>
    <n v="0"/>
    <n v="0"/>
  </r>
  <r>
    <x v="0"/>
    <x v="0"/>
    <d v="2026-01-18T00:00:00"/>
    <s v="No Portfolio"/>
    <s v="USD"/>
    <x v="9"/>
    <s v="ENC"/>
    <s v="Amazon"/>
    <s v="United States"/>
    <s v="electric nail clipper"/>
    <s v="BROAD"/>
    <x v="106"/>
    <n v="3"/>
    <n v="1"/>
    <n v="0.33333333333333331"/>
    <n v="0.52"/>
    <n v="0.52"/>
    <n v="0"/>
    <m/>
    <n v="0"/>
    <n v="0"/>
    <n v="0"/>
    <n v="0"/>
    <n v="0"/>
    <n v="0"/>
    <n v="0"/>
    <n v="0"/>
  </r>
  <r>
    <x v="0"/>
    <x v="2"/>
    <d v="2026-01-16T00:00:00"/>
    <s v="No Portfolio"/>
    <s v="USD"/>
    <x v="6"/>
    <s v="ENC"/>
    <s v="Amazon"/>
    <s v="United States"/>
    <s v="close-match"/>
    <s v="-"/>
    <x v="107"/>
    <n v="5"/>
    <n v="1"/>
    <n v="0.2"/>
    <n v="1.18"/>
    <n v="1.18"/>
    <n v="0"/>
    <m/>
    <n v="0"/>
    <n v="0"/>
    <n v="0"/>
    <n v="0"/>
    <n v="0"/>
    <n v="0"/>
    <n v="0"/>
    <n v="0"/>
  </r>
  <r>
    <x v="0"/>
    <x v="0"/>
    <d v="2026-01-18T00:00:00"/>
    <s v="No Portfolio"/>
    <s v="USD"/>
    <x v="6"/>
    <s v="ENC"/>
    <s v="Amazon"/>
    <s v="United States"/>
    <s v="close-match"/>
    <s v="-"/>
    <x v="107"/>
    <n v="38"/>
    <n v="1"/>
    <n v="2.6315789473684209E-2"/>
    <n v="1.25"/>
    <n v="1.25"/>
    <n v="0"/>
    <m/>
    <n v="0"/>
    <n v="0"/>
    <n v="0"/>
    <n v="0"/>
    <n v="0"/>
    <n v="0"/>
    <n v="0"/>
    <n v="0"/>
  </r>
  <r>
    <x v="0"/>
    <x v="2"/>
    <d v="2026-01-17T00:00:00"/>
    <s v="No Portfolio"/>
    <s v="USD"/>
    <x v="9"/>
    <s v="ENC"/>
    <s v="Amazon"/>
    <s v="United States"/>
    <s v="electric nail clipper"/>
    <s v="BROAD"/>
    <x v="107"/>
    <n v="47"/>
    <n v="1"/>
    <n v="2.1276595744680851E-2"/>
    <n v="0.52"/>
    <n v="0.52"/>
    <n v="0"/>
    <m/>
    <n v="0"/>
    <n v="0"/>
    <n v="0"/>
    <n v="0"/>
    <n v="0"/>
    <n v="0"/>
    <n v="0"/>
    <n v="0"/>
  </r>
  <r>
    <x v="0"/>
    <x v="0"/>
    <d v="2026-01-21T00:00:00"/>
    <s v="No Portfolio"/>
    <s v="USD"/>
    <x v="9"/>
    <s v="ENC"/>
    <s v="Amazon"/>
    <s v="United States"/>
    <s v="electric nail clipper"/>
    <s v="BROAD"/>
    <x v="107"/>
    <n v="15"/>
    <n v="1"/>
    <n v="6.6666666666666666E-2"/>
    <n v="0.52"/>
    <n v="0.52"/>
    <n v="25.73"/>
    <n v="2.02098717450447E-2"/>
    <n v="49.480769230769226"/>
    <n v="1"/>
    <n v="1"/>
    <n v="1"/>
    <n v="1"/>
    <n v="0"/>
    <n v="25.73"/>
    <n v="0"/>
  </r>
  <r>
    <x v="0"/>
    <x v="2"/>
    <d v="2026-01-16T00:00:00"/>
    <s v="No Portfolio"/>
    <s v="USD"/>
    <x v="6"/>
    <s v="ENC"/>
    <s v="Amazon"/>
    <s v="United States"/>
    <s v="close-match"/>
    <s v="-"/>
    <x v="108"/>
    <n v="1"/>
    <n v="1"/>
    <n v="1"/>
    <n v="1.18"/>
    <n v="1.18"/>
    <n v="25.73"/>
    <n v="4.5860862806062962E-2"/>
    <n v="21.805084745762713"/>
    <n v="1"/>
    <n v="1"/>
    <n v="1"/>
    <n v="1"/>
    <n v="0"/>
    <n v="25.73"/>
    <n v="0"/>
  </r>
  <r>
    <x v="0"/>
    <x v="1"/>
    <d v="2026-01-10T00:00:00"/>
    <s v="No Portfolio"/>
    <s v="USD"/>
    <x v="6"/>
    <s v="ENC"/>
    <s v="Amazon"/>
    <s v="United States"/>
    <s v="close-match"/>
    <s v="-"/>
    <x v="109"/>
    <n v="1"/>
    <n v="1"/>
    <n v="1"/>
    <n v="1.42"/>
    <n v="1.42"/>
    <n v="0"/>
    <m/>
    <n v="0"/>
    <n v="0"/>
    <n v="0"/>
    <n v="0"/>
    <n v="0"/>
    <n v="0"/>
    <n v="0"/>
    <n v="0"/>
  </r>
  <r>
    <x v="0"/>
    <x v="2"/>
    <d v="2026-01-15T00:00:00"/>
    <s v="No Portfolio"/>
    <s v="USD"/>
    <x v="9"/>
    <s v="ENC"/>
    <s v="Amazon"/>
    <s v="United States"/>
    <s v="electric nail clipper"/>
    <s v="BROAD"/>
    <x v="110"/>
    <n v="1"/>
    <n v="1"/>
    <n v="1"/>
    <n v="1"/>
    <n v="1"/>
    <n v="0"/>
    <m/>
    <n v="0"/>
    <n v="0"/>
    <n v="0"/>
    <n v="0"/>
    <n v="0"/>
    <n v="0"/>
    <n v="0"/>
    <n v="0"/>
  </r>
  <r>
    <x v="0"/>
    <x v="3"/>
    <d v="2026-01-02T00:00:00"/>
    <s v="No Portfolio"/>
    <s v="USD"/>
    <x v="6"/>
    <s v="ENC"/>
    <s v="Amazon"/>
    <s v="United States"/>
    <s v="close-match"/>
    <s v="-"/>
    <x v="111"/>
    <n v="1"/>
    <n v="1"/>
    <n v="1"/>
    <n v="1.43"/>
    <n v="1.43"/>
    <n v="0"/>
    <m/>
    <n v="0"/>
    <n v="0"/>
    <n v="0"/>
    <n v="0"/>
    <n v="0"/>
    <n v="0"/>
    <n v="0"/>
    <n v="0"/>
  </r>
  <r>
    <x v="0"/>
    <x v="2"/>
    <d v="2026-01-17T00:00:00"/>
    <s v="No Portfolio"/>
    <s v="USD"/>
    <x v="6"/>
    <s v="ENC"/>
    <s v="Amazon"/>
    <s v="United States"/>
    <s v="close-match"/>
    <s v="-"/>
    <x v="112"/>
    <n v="5"/>
    <n v="1"/>
    <n v="0.2"/>
    <n v="1.23"/>
    <n v="1.23"/>
    <n v="0"/>
    <m/>
    <n v="0"/>
    <n v="0"/>
    <n v="0"/>
    <n v="0"/>
    <n v="0"/>
    <n v="0"/>
    <n v="0"/>
    <n v="0"/>
  </r>
  <r>
    <x v="0"/>
    <x v="2"/>
    <d v="2026-01-14T00:00:00"/>
    <s v="No Portfolio"/>
    <s v="USD"/>
    <x v="9"/>
    <s v="ENC"/>
    <s v="Amazon"/>
    <s v="United States"/>
    <s v="electric nail clipper"/>
    <s v="BROAD"/>
    <x v="112"/>
    <n v="12"/>
    <n v="1"/>
    <n v="8.3333333333333315E-2"/>
    <n v="0.52"/>
    <n v="0.52"/>
    <n v="25.73"/>
    <n v="2.02098717450447E-2"/>
    <n v="49.480769230769226"/>
    <n v="1"/>
    <n v="1"/>
    <n v="1"/>
    <n v="1"/>
    <n v="0"/>
    <n v="25.73"/>
    <n v="0"/>
  </r>
  <r>
    <x v="0"/>
    <x v="2"/>
    <d v="2026-01-14T00:00:00"/>
    <s v="No Portfolio"/>
    <s v="USD"/>
    <x v="6"/>
    <s v="ENC"/>
    <s v="Amazon"/>
    <s v="United States"/>
    <s v="loose-match"/>
    <s v="-"/>
    <x v="113"/>
    <n v="7"/>
    <n v="1"/>
    <n v="0.14285714285714285"/>
    <n v="1.05"/>
    <n v="1.05"/>
    <n v="25.73"/>
    <n v="4.0808394869801791E-2"/>
    <n v="24.504761904761903"/>
    <n v="1"/>
    <n v="1"/>
    <n v="1"/>
    <n v="1"/>
    <n v="0"/>
    <n v="25.73"/>
    <n v="0"/>
  </r>
  <r>
    <x v="0"/>
    <x v="2"/>
    <d v="2026-01-14T00:00:00"/>
    <s v="No Portfolio"/>
    <s v="USD"/>
    <x v="9"/>
    <s v="ENC"/>
    <s v="Amazon"/>
    <s v="United States"/>
    <s v="electric nail clipper"/>
    <s v="BROAD"/>
    <x v="113"/>
    <n v="36"/>
    <n v="1"/>
    <n v="2.7777777777777776E-2"/>
    <n v="0.52"/>
    <n v="0.52"/>
    <n v="0"/>
    <m/>
    <n v="0"/>
    <n v="0"/>
    <n v="0"/>
    <n v="0"/>
    <n v="0"/>
    <n v="0"/>
    <n v="0"/>
    <n v="0"/>
  </r>
  <r>
    <x v="0"/>
    <x v="0"/>
    <d v="2026-01-20T00:00:00"/>
    <s v="No Portfolio"/>
    <s v="USD"/>
    <x v="9"/>
    <s v="ENC"/>
    <s v="Amazon"/>
    <s v="United States"/>
    <s v="electric nail clipper"/>
    <s v="PHRASE"/>
    <x v="113"/>
    <n v="8"/>
    <n v="1"/>
    <n v="0.125"/>
    <n v="0.52"/>
    <n v="0.52"/>
    <n v="0"/>
    <m/>
    <n v="0"/>
    <n v="0"/>
    <n v="0"/>
    <n v="0"/>
    <n v="0"/>
    <n v="0"/>
    <n v="0"/>
    <n v="0"/>
  </r>
  <r>
    <x v="0"/>
    <x v="2"/>
    <d v="2026-01-14T00:00:00"/>
    <s v="No Portfolio"/>
    <s v="USD"/>
    <x v="6"/>
    <s v="ENC"/>
    <s v="Amazon"/>
    <s v="United States"/>
    <s v="close-match"/>
    <s v="-"/>
    <x v="114"/>
    <n v="1"/>
    <n v="1"/>
    <n v="1"/>
    <n v="1.2"/>
    <n v="1.2"/>
    <n v="0"/>
    <m/>
    <n v="0"/>
    <n v="0"/>
    <n v="0"/>
    <n v="0"/>
    <n v="0"/>
    <n v="0"/>
    <n v="0"/>
    <n v="0"/>
  </r>
  <r>
    <x v="0"/>
    <x v="2"/>
    <d v="2026-01-12T00:00:00"/>
    <s v="No Portfolio"/>
    <s v="USD"/>
    <x v="6"/>
    <s v="ENC"/>
    <s v="Amazon"/>
    <s v="United States"/>
    <s v="close-match"/>
    <s v="-"/>
    <x v="115"/>
    <n v="1"/>
    <n v="1"/>
    <n v="1"/>
    <n v="1.23"/>
    <n v="1.23"/>
    <n v="0"/>
    <m/>
    <n v="0"/>
    <n v="0"/>
    <n v="0"/>
    <n v="0"/>
    <n v="0"/>
    <n v="0"/>
    <n v="0"/>
    <n v="0"/>
  </r>
  <r>
    <x v="0"/>
    <x v="2"/>
    <d v="2026-01-13T00:00:00"/>
    <s v="No Portfolio"/>
    <s v="USD"/>
    <x v="9"/>
    <s v="ENC"/>
    <s v="Amazon"/>
    <s v="United States"/>
    <s v="electric nail clipper"/>
    <s v="BROAD"/>
    <x v="116"/>
    <n v="2"/>
    <n v="1"/>
    <n v="0.5"/>
    <n v="0.52"/>
    <n v="0.52"/>
    <n v="0"/>
    <m/>
    <n v="0"/>
    <n v="0"/>
    <n v="0"/>
    <n v="0"/>
    <n v="0"/>
    <n v="0"/>
    <n v="0"/>
    <n v="0"/>
  </r>
  <r>
    <x v="0"/>
    <x v="2"/>
    <d v="2026-01-13T00:00:00"/>
    <s v="No Portfolio"/>
    <s v="USD"/>
    <x v="9"/>
    <s v="ENC"/>
    <s v="Amazon"/>
    <s v="United States"/>
    <s v="electric nail clipper"/>
    <s v="BROAD"/>
    <x v="117"/>
    <n v="1"/>
    <n v="1"/>
    <n v="1"/>
    <n v="0.68"/>
    <n v="0.68"/>
    <n v="0"/>
    <m/>
    <n v="0"/>
    <n v="0"/>
    <n v="0"/>
    <n v="0"/>
    <n v="0"/>
    <n v="0"/>
    <n v="0"/>
    <n v="0"/>
  </r>
  <r>
    <x v="0"/>
    <x v="3"/>
    <d v="2026-01-03T00:00:00"/>
    <s v="No Portfolio"/>
    <s v="USD"/>
    <x v="6"/>
    <s v="ENC"/>
    <s v="Amazon"/>
    <s v="United States"/>
    <s v="loose-match"/>
    <s v="-"/>
    <x v="118"/>
    <n v="3"/>
    <n v="1"/>
    <n v="0.33333333333333331"/>
    <n v="1.22"/>
    <n v="1.22"/>
    <n v="0"/>
    <m/>
    <n v="0"/>
    <n v="0"/>
    <n v="0"/>
    <n v="0"/>
    <n v="0"/>
    <n v="0"/>
    <n v="0"/>
    <n v="0"/>
  </r>
  <r>
    <x v="0"/>
    <x v="2"/>
    <d v="2026-01-17T00:00:00"/>
    <s v="No Portfolio"/>
    <s v="USD"/>
    <x v="9"/>
    <s v="ENC"/>
    <s v="Amazon"/>
    <s v="United States"/>
    <s v="electric nail clipper"/>
    <s v="BROAD"/>
    <x v="119"/>
    <n v="2"/>
    <n v="1"/>
    <n v="0.5"/>
    <n v="0.68"/>
    <n v="0.68"/>
    <n v="0"/>
    <m/>
    <n v="0"/>
    <n v="0"/>
    <n v="0"/>
    <n v="0"/>
    <n v="0"/>
    <n v="0"/>
    <n v="0"/>
    <n v="0"/>
  </r>
  <r>
    <x v="0"/>
    <x v="0"/>
    <d v="2026-01-20T00:00:00"/>
    <s v="No Portfolio"/>
    <s v="USD"/>
    <x v="6"/>
    <s v="ENC"/>
    <s v="Amazon"/>
    <s v="United States"/>
    <s v="loose-match"/>
    <s v="-"/>
    <x v="120"/>
    <n v="1"/>
    <n v="1"/>
    <n v="1"/>
    <n v="1.22"/>
    <n v="1.22"/>
    <n v="0"/>
    <m/>
    <n v="0"/>
    <n v="0"/>
    <n v="0"/>
    <n v="0"/>
    <n v="0"/>
    <n v="0"/>
    <n v="0"/>
    <n v="0"/>
  </r>
  <r>
    <x v="0"/>
    <x v="0"/>
    <d v="2026-01-21T00:00:00"/>
    <s v="No Portfolio"/>
    <s v="USD"/>
    <x v="6"/>
    <s v="ENC"/>
    <s v="Amazon"/>
    <s v="United States"/>
    <s v="loose-match"/>
    <s v="-"/>
    <x v="120"/>
    <n v="1"/>
    <n v="1"/>
    <n v="1"/>
    <n v="1.22"/>
    <n v="1.22"/>
    <n v="0"/>
    <m/>
    <n v="0"/>
    <n v="0"/>
    <n v="0"/>
    <n v="0"/>
    <n v="0"/>
    <n v="0"/>
    <n v="0"/>
    <n v="0"/>
  </r>
  <r>
    <x v="0"/>
    <x v="2"/>
    <d v="2026-01-17T00:00:00"/>
    <s v="No Portfolio"/>
    <s v="USD"/>
    <x v="9"/>
    <s v="ENC"/>
    <s v="Amazon"/>
    <s v="United States"/>
    <s v="electric nail clipper"/>
    <s v="BROAD"/>
    <x v="121"/>
    <n v="1"/>
    <n v="1"/>
    <n v="1"/>
    <n v="1"/>
    <n v="1"/>
    <n v="0"/>
    <m/>
    <n v="0"/>
    <n v="0"/>
    <n v="0"/>
    <n v="0"/>
    <n v="0"/>
    <n v="0"/>
    <n v="0"/>
    <n v="0"/>
  </r>
  <r>
    <x v="0"/>
    <x v="1"/>
    <d v="2026-01-04T00:00:00"/>
    <s v="No Portfolio"/>
    <s v="USD"/>
    <x v="6"/>
    <s v="ENC"/>
    <s v="Amazon"/>
    <s v="United States"/>
    <s v="loose-match"/>
    <s v="-"/>
    <x v="122"/>
    <n v="1"/>
    <n v="1"/>
    <n v="1"/>
    <n v="1.25"/>
    <n v="1.25"/>
    <n v="0"/>
    <m/>
    <n v="0"/>
    <n v="0"/>
    <n v="0"/>
    <n v="0"/>
    <n v="0"/>
    <n v="0"/>
    <n v="0"/>
    <n v="0"/>
  </r>
  <r>
    <x v="0"/>
    <x v="0"/>
    <d v="2026-01-18T00:00:00"/>
    <s v="No Portfolio"/>
    <s v="USD"/>
    <x v="9"/>
    <s v="ENC"/>
    <s v="Amazon"/>
    <s v="United States"/>
    <s v="electric nail clipper"/>
    <s v="BROAD"/>
    <x v="123"/>
    <n v="7"/>
    <n v="1"/>
    <n v="0.14285714285714285"/>
    <n v="0.68"/>
    <n v="0.68"/>
    <n v="0"/>
    <m/>
    <n v="0"/>
    <n v="0"/>
    <n v="0"/>
    <n v="0"/>
    <n v="0"/>
    <n v="0"/>
    <n v="0"/>
    <n v="0"/>
  </r>
  <r>
    <x v="0"/>
    <x v="2"/>
    <d v="2026-01-13T00:00:00"/>
    <s v="No Portfolio"/>
    <s v="USD"/>
    <x v="6"/>
    <s v="ENC"/>
    <s v="Amazon"/>
    <s v="United States"/>
    <s v="loose-match"/>
    <s v="-"/>
    <x v="124"/>
    <n v="1"/>
    <n v="1"/>
    <n v="1"/>
    <n v="1.2"/>
    <n v="1.2"/>
    <n v="0"/>
    <m/>
    <n v="0"/>
    <n v="0"/>
    <n v="0"/>
    <n v="0"/>
    <n v="0"/>
    <n v="0"/>
    <n v="0"/>
    <n v="0"/>
  </r>
  <r>
    <x v="0"/>
    <x v="0"/>
    <d v="2026-01-19T00:00:00"/>
    <s v="No Portfolio"/>
    <s v="USD"/>
    <x v="6"/>
    <s v="ENC"/>
    <s v="Amazon"/>
    <s v="United States"/>
    <s v="loose-match"/>
    <s v="-"/>
    <x v="125"/>
    <n v="1"/>
    <n v="1"/>
    <n v="1"/>
    <n v="1.24"/>
    <n v="1.24"/>
    <n v="0"/>
    <m/>
    <n v="0"/>
    <n v="0"/>
    <n v="0"/>
    <n v="0"/>
    <n v="0"/>
    <n v="0"/>
    <n v="0"/>
    <n v="0"/>
  </r>
  <r>
    <x v="0"/>
    <x v="2"/>
    <d v="2026-01-14T00:00:00"/>
    <s v="No Portfolio"/>
    <s v="USD"/>
    <x v="9"/>
    <s v="ENC"/>
    <s v="Amazon"/>
    <s v="United States"/>
    <s v="electric nail clipper"/>
    <s v="BROAD"/>
    <x v="126"/>
    <n v="1"/>
    <n v="1"/>
    <n v="1"/>
    <n v="0.68"/>
    <n v="0.68"/>
    <n v="0"/>
    <m/>
    <n v="0"/>
    <n v="0"/>
    <n v="0"/>
    <n v="0"/>
    <n v="0"/>
    <n v="0"/>
    <n v="0"/>
    <n v="0"/>
  </r>
  <r>
    <x v="0"/>
    <x v="1"/>
    <d v="2026-01-08T00:00:00"/>
    <s v="No Portfolio"/>
    <s v="USD"/>
    <x v="6"/>
    <s v="ENC"/>
    <s v="Amazon"/>
    <s v="United States"/>
    <s v="loose-match"/>
    <s v="-"/>
    <x v="127"/>
    <n v="1"/>
    <n v="1"/>
    <n v="1"/>
    <n v="1.3"/>
    <n v="1.3"/>
    <n v="0"/>
    <m/>
    <n v="0"/>
    <n v="0"/>
    <n v="0"/>
    <n v="0"/>
    <n v="0"/>
    <n v="0"/>
    <n v="0"/>
    <n v="0"/>
  </r>
  <r>
    <x v="0"/>
    <x v="0"/>
    <d v="2026-01-19T00:00:00"/>
    <s v="No Portfolio"/>
    <s v="USD"/>
    <x v="3"/>
    <s v="ENC Grey"/>
    <s v="Amazon"/>
    <s v="United States"/>
    <s v="close-match"/>
    <s v="-"/>
    <x v="128"/>
    <n v="1"/>
    <n v="1"/>
    <n v="1"/>
    <n v="0.54"/>
    <n v="0.54"/>
    <n v="0"/>
    <m/>
    <n v="0"/>
    <n v="0"/>
    <n v="0"/>
    <n v="0"/>
    <n v="0"/>
    <n v="0"/>
    <n v="0"/>
    <n v="0"/>
  </r>
  <r>
    <x v="0"/>
    <x v="3"/>
    <d v="2026-01-03T00:00:00"/>
    <s v="No Portfolio"/>
    <s v="USD"/>
    <x v="0"/>
    <s v="broad组"/>
    <s v="Amazon"/>
    <s v="United States"/>
    <s v="stroller accessories"/>
    <s v="BROAD"/>
    <x v="129"/>
    <n v="2"/>
    <n v="1"/>
    <n v="0.5"/>
    <n v="0.15"/>
    <n v="0.15"/>
    <n v="0"/>
    <m/>
    <n v="0"/>
    <n v="0"/>
    <n v="0"/>
    <n v="0"/>
    <n v="0"/>
    <n v="0"/>
    <n v="0"/>
    <n v="0"/>
  </r>
  <r>
    <x v="0"/>
    <x v="3"/>
    <d v="2026-01-03T00:00:00"/>
    <s v="No Portfolio"/>
    <s v="USD"/>
    <x v="8"/>
    <s v="baby carrier"/>
    <s v="Amazon"/>
    <s v="United States"/>
    <s v="loose-match"/>
    <s v="-"/>
    <x v="130"/>
    <n v="1"/>
    <n v="1"/>
    <n v="1"/>
    <n v="0.64"/>
    <n v="0.64"/>
    <n v="0"/>
    <m/>
    <n v="0"/>
    <n v="0"/>
    <n v="0"/>
    <n v="0"/>
    <n v="0"/>
    <n v="0"/>
    <n v="0"/>
    <n v="0"/>
  </r>
  <r>
    <x v="0"/>
    <x v="2"/>
    <d v="2026-01-11T00:00:00"/>
    <s v="No Portfolio"/>
    <s v="USD"/>
    <x v="0"/>
    <s v="broad组"/>
    <s v="Amazon"/>
    <s v="United States"/>
    <s v="stroller tray"/>
    <s v="BROAD"/>
    <x v="131"/>
    <n v="2"/>
    <n v="1"/>
    <n v="0.5"/>
    <n v="0.21"/>
    <n v="0.21"/>
    <n v="0"/>
    <m/>
    <n v="0"/>
    <n v="0"/>
    <n v="0"/>
    <n v="0"/>
    <n v="0"/>
    <n v="0"/>
    <n v="0"/>
    <n v="0"/>
  </r>
  <r>
    <x v="0"/>
    <x v="1"/>
    <d v="2026-01-05T00:00:00"/>
    <s v="No Portfolio"/>
    <s v="USD"/>
    <x v="7"/>
    <s v="Phrase&amp;Exact组"/>
    <s v="Amazon"/>
    <s v="United States"/>
    <s v="baby carriers"/>
    <s v="PHRASE"/>
    <x v="132"/>
    <n v="1"/>
    <n v="1"/>
    <n v="1"/>
    <n v="0.8"/>
    <n v="0.8"/>
    <n v="0"/>
    <m/>
    <n v="0"/>
    <n v="0"/>
    <n v="0"/>
    <n v="0"/>
    <n v="0"/>
    <n v="0"/>
    <n v="0"/>
    <n v="0"/>
  </r>
  <r>
    <x v="0"/>
    <x v="2"/>
    <d v="2026-01-17T00:00:00"/>
    <s v="No Portfolio"/>
    <s v="USD"/>
    <x v="0"/>
    <s v="broad组"/>
    <s v="Amazon"/>
    <s v="United States"/>
    <s v="stroller snack tray"/>
    <s v="BROAD"/>
    <x v="133"/>
    <n v="3"/>
    <n v="1"/>
    <n v="0.33333333333333331"/>
    <n v="0.21"/>
    <n v="0.21"/>
    <n v="0"/>
    <m/>
    <n v="0"/>
    <n v="0"/>
    <n v="0"/>
    <n v="0"/>
    <n v="0"/>
    <n v="0"/>
    <n v="0"/>
    <n v="0"/>
  </r>
  <r>
    <x v="0"/>
    <x v="2"/>
    <d v="2026-01-16T00:00:00"/>
    <s v="No Portfolio"/>
    <s v="USD"/>
    <x v="2"/>
    <s v="Tray"/>
    <s v="Amazon"/>
    <s v="United States"/>
    <s v="asin=&quot;B0F4KJN2VC&quot;"/>
    <s v="-"/>
    <x v="134"/>
    <n v="1"/>
    <n v="1"/>
    <n v="1"/>
    <n v="0.52"/>
    <n v="0.52"/>
    <n v="0"/>
    <m/>
    <n v="0"/>
    <n v="0"/>
    <n v="0"/>
    <n v="0"/>
    <n v="0"/>
    <n v="0"/>
    <n v="0"/>
    <n v="0"/>
  </r>
  <r>
    <x v="0"/>
    <x v="1"/>
    <d v="2026-01-04T00:00:00"/>
    <s v="No Portfolio"/>
    <s v="USD"/>
    <x v="0"/>
    <s v="broad组"/>
    <s v="Amazon"/>
    <s v="United States"/>
    <s v="stroller tray"/>
    <s v="BROAD"/>
    <x v="135"/>
    <n v="8"/>
    <n v="1"/>
    <n v="0.125"/>
    <n v="0.2"/>
    <n v="0.2"/>
    <n v="0"/>
    <m/>
    <n v="0"/>
    <n v="0"/>
    <n v="0"/>
    <n v="0"/>
    <n v="0"/>
    <n v="0"/>
    <n v="0"/>
    <n v="0"/>
  </r>
  <r>
    <x v="0"/>
    <x v="2"/>
    <d v="2026-01-11T00:00:00"/>
    <s v="No Portfolio"/>
    <s v="USD"/>
    <x v="0"/>
    <s v="phrase&amp;exact"/>
    <s v="Amazon"/>
    <s v="United States"/>
    <s v="stroller cup holder"/>
    <s v="PHRASE"/>
    <x v="136"/>
    <n v="1"/>
    <n v="1"/>
    <n v="1"/>
    <n v="0.2"/>
    <n v="0.2"/>
    <n v="0"/>
    <m/>
    <n v="0"/>
    <n v="0"/>
    <n v="0"/>
    <n v="0"/>
    <n v="0"/>
    <n v="0"/>
    <n v="0"/>
    <n v="0"/>
  </r>
  <r>
    <x v="0"/>
    <x v="2"/>
    <d v="2026-01-16T00:00:00"/>
    <s v="No Portfolio"/>
    <s v="USD"/>
    <x v="9"/>
    <s v="ENC"/>
    <s v="Amazon"/>
    <s v="United States"/>
    <s v="electric nail clipper"/>
    <s v="BROAD"/>
    <x v="137"/>
    <n v="2"/>
    <n v="1"/>
    <n v="0.5"/>
    <n v="0.68"/>
    <n v="0.68"/>
    <n v="0"/>
    <m/>
    <n v="0"/>
    <n v="0"/>
    <n v="0"/>
    <n v="0"/>
    <n v="0"/>
    <n v="0"/>
    <n v="0"/>
    <n v="0"/>
  </r>
  <r>
    <x v="0"/>
    <x v="1"/>
    <d v="2026-01-10T00:00:00"/>
    <s v="No Portfolio"/>
    <s v="USD"/>
    <x v="1"/>
    <s v="broad组"/>
    <s v="Amazon"/>
    <s v="United States"/>
    <s v="snack tray for stroller"/>
    <s v="BROAD"/>
    <x v="138"/>
    <n v="2"/>
    <n v="1"/>
    <n v="0.5"/>
    <n v="0.79"/>
    <n v="0.79"/>
    <n v="0"/>
    <m/>
    <n v="0"/>
    <n v="0"/>
    <n v="0"/>
    <n v="0"/>
    <n v="0"/>
    <n v="0"/>
    <n v="0"/>
    <n v="0"/>
  </r>
  <r>
    <x v="0"/>
    <x v="2"/>
    <d v="2026-01-17T00:00:00"/>
    <s v="No Portfolio"/>
    <s v="USD"/>
    <x v="0"/>
    <s v="broad组"/>
    <s v="Amazon"/>
    <s v="United States"/>
    <s v="jeep double stroller snack tray"/>
    <s v="BROAD"/>
    <x v="139"/>
    <n v="2"/>
    <n v="1"/>
    <n v="0.5"/>
    <n v="0.4"/>
    <n v="0.4"/>
    <n v="0"/>
    <m/>
    <n v="0"/>
    <n v="0"/>
    <n v="0"/>
    <n v="0"/>
    <n v="0"/>
    <n v="0"/>
    <n v="0"/>
    <n v="0"/>
  </r>
  <r>
    <x v="0"/>
    <x v="3"/>
    <d v="2026-01-03T00:00:00"/>
    <s v="No Portfolio"/>
    <s v="USD"/>
    <x v="4"/>
    <s v="stroller tray"/>
    <s v="Amazon"/>
    <s v="United States"/>
    <s v="loose-match"/>
    <s v="-"/>
    <x v="140"/>
    <n v="1"/>
    <n v="1"/>
    <n v="1"/>
    <n v="0.48"/>
    <n v="0.48"/>
    <n v="0"/>
    <m/>
    <n v="0"/>
    <n v="0"/>
    <n v="0"/>
    <n v="0"/>
    <n v="0"/>
    <n v="0"/>
    <n v="0"/>
    <n v="0"/>
  </r>
  <r>
    <x v="0"/>
    <x v="3"/>
    <d v="2026-01-03T00:00:00"/>
    <s v="No Portfolio"/>
    <s v="USD"/>
    <x v="1"/>
    <s v="broad组"/>
    <s v="Amazon"/>
    <s v="United States"/>
    <s v="snack tray for stroller"/>
    <s v="BROAD"/>
    <x v="141"/>
    <n v="1"/>
    <n v="1"/>
    <n v="1"/>
    <n v="0.99"/>
    <n v="0.99"/>
    <n v="0"/>
    <m/>
    <n v="0"/>
    <n v="0"/>
    <n v="0"/>
    <n v="0"/>
    <n v="0"/>
    <n v="0"/>
    <n v="0"/>
    <n v="0"/>
  </r>
  <r>
    <x v="0"/>
    <x v="1"/>
    <d v="2026-01-10T00:00:00"/>
    <s v="No Portfolio"/>
    <s v="USD"/>
    <x v="0"/>
    <s v="phrase&amp;exact"/>
    <s v="Amazon"/>
    <s v="United States"/>
    <s v="stroller snack tray"/>
    <s v="PHRASE"/>
    <x v="142"/>
    <n v="1"/>
    <n v="1"/>
    <n v="1"/>
    <n v="0.2"/>
    <n v="0.2"/>
    <n v="0"/>
    <m/>
    <n v="0"/>
    <n v="0"/>
    <n v="0"/>
    <n v="0"/>
    <n v="0"/>
    <n v="0"/>
    <n v="0"/>
    <n v="0"/>
  </r>
  <r>
    <x v="0"/>
    <x v="0"/>
    <d v="2026-01-19T00:00:00"/>
    <s v="No Portfolio"/>
    <s v="USD"/>
    <x v="0"/>
    <s v="broad组"/>
    <s v="Amazon"/>
    <s v="United States"/>
    <s v="stroller snack tray"/>
    <s v="BROAD"/>
    <x v="143"/>
    <n v="2"/>
    <n v="1"/>
    <n v="0.5"/>
    <n v="0.21"/>
    <n v="0.21"/>
    <n v="17.09"/>
    <n v="1.2287887653598594E-2"/>
    <n v="81.38095238095238"/>
    <n v="1"/>
    <n v="1"/>
    <n v="1"/>
    <n v="1"/>
    <n v="0"/>
    <n v="17.09"/>
    <n v="0"/>
  </r>
  <r>
    <x v="0"/>
    <x v="2"/>
    <d v="2026-01-14T00:00:00"/>
    <s v="No Portfolio"/>
    <s v="USD"/>
    <x v="0"/>
    <s v="broad组"/>
    <s v="Amazon"/>
    <s v="United States"/>
    <s v="stroller snack tray"/>
    <s v="BROAD"/>
    <x v="144"/>
    <n v="3"/>
    <n v="1"/>
    <n v="0.33333333333333331"/>
    <n v="0.21"/>
    <n v="0.21"/>
    <n v="0"/>
    <m/>
    <n v="0"/>
    <n v="0"/>
    <n v="0"/>
    <n v="0"/>
    <n v="0"/>
    <n v="0"/>
    <n v="0"/>
    <n v="0"/>
  </r>
  <r>
    <x v="0"/>
    <x v="3"/>
    <d v="2026-01-01T00:00:00"/>
    <s v="No Portfolio"/>
    <s v="USD"/>
    <x v="1"/>
    <s v="broad组"/>
    <s v="Amazon"/>
    <s v="United States"/>
    <s v="wagon cup holder"/>
    <s v="BROAD"/>
    <x v="145"/>
    <n v="8"/>
    <n v="1"/>
    <n v="0.125"/>
    <n v="0.97"/>
    <n v="0.97"/>
    <n v="0"/>
    <m/>
    <n v="0"/>
    <n v="0"/>
    <n v="0"/>
    <n v="0"/>
    <n v="0"/>
    <n v="0"/>
    <n v="0"/>
    <n v="0"/>
  </r>
  <r>
    <x v="0"/>
    <x v="2"/>
    <d v="2026-01-11T00:00:00"/>
    <s v="No Portfolio"/>
    <s v="USD"/>
    <x v="4"/>
    <s v="stroller tray"/>
    <s v="Amazon"/>
    <s v="United States"/>
    <s v="loose-match"/>
    <s v="-"/>
    <x v="146"/>
    <n v="1"/>
    <n v="1"/>
    <n v="1"/>
    <n v="0.54"/>
    <n v="0.54"/>
    <n v="0"/>
    <m/>
    <n v="0"/>
    <n v="0"/>
    <n v="0"/>
    <n v="0"/>
    <n v="0"/>
    <n v="0"/>
    <n v="0"/>
    <n v="0"/>
  </r>
  <r>
    <x v="0"/>
    <x v="1"/>
    <d v="2026-01-04T00:00:00"/>
    <s v="No Portfolio"/>
    <s v="USD"/>
    <x v="0"/>
    <s v="phrase&amp;exact"/>
    <s v="Amazon"/>
    <s v="United States"/>
    <s v="stroller snack tray"/>
    <s v="PHRASE"/>
    <x v="147"/>
    <n v="2"/>
    <n v="1"/>
    <n v="0.5"/>
    <n v="0.2"/>
    <n v="0.2"/>
    <n v="0"/>
    <m/>
    <n v="0"/>
    <n v="0"/>
    <n v="0"/>
    <n v="0"/>
    <n v="0"/>
    <n v="0"/>
    <n v="0"/>
    <n v="0"/>
  </r>
  <r>
    <x v="0"/>
    <x v="0"/>
    <d v="2026-01-18T00:00:00"/>
    <s v="No Portfolio"/>
    <s v="USD"/>
    <x v="0"/>
    <s v="broad组"/>
    <s v="Amazon"/>
    <s v="United States"/>
    <s v="stroller cup holder"/>
    <s v="BROAD"/>
    <x v="148"/>
    <n v="1"/>
    <n v="1"/>
    <n v="1"/>
    <n v="0.2"/>
    <n v="0.2"/>
    <n v="0"/>
    <m/>
    <n v="0"/>
    <n v="0"/>
    <n v="0"/>
    <n v="0"/>
    <n v="0"/>
    <n v="0"/>
    <n v="0"/>
    <n v="0"/>
  </r>
  <r>
    <x v="0"/>
    <x v="1"/>
    <d v="2026-01-08T00:00:00"/>
    <s v="No Portfolio"/>
    <s v="USD"/>
    <x v="6"/>
    <s v="ENC"/>
    <s v="Amazon"/>
    <s v="United States"/>
    <s v="loose-match"/>
    <s v="-"/>
    <x v="149"/>
    <n v="1"/>
    <n v="1"/>
    <n v="1"/>
    <n v="1.3"/>
    <n v="1.3"/>
    <n v="0"/>
    <m/>
    <n v="0"/>
    <n v="0"/>
    <n v="0"/>
    <n v="0"/>
    <n v="0"/>
    <n v="0"/>
    <n v="0"/>
    <n v="0"/>
  </r>
  <r>
    <x v="0"/>
    <x v="1"/>
    <d v="2026-01-06T00:00:00"/>
    <s v="No Portfolio"/>
    <s v="USD"/>
    <x v="0"/>
    <s v="broad组"/>
    <s v="Amazon"/>
    <s v="United States"/>
    <s v="stroller cup holder"/>
    <s v="BROAD"/>
    <x v="150"/>
    <n v="1"/>
    <n v="1"/>
    <n v="1"/>
    <n v="0.21"/>
    <n v="0.21"/>
    <n v="0"/>
    <m/>
    <n v="0"/>
    <n v="0"/>
    <n v="0"/>
    <n v="0"/>
    <n v="0"/>
    <n v="0"/>
    <n v="0"/>
    <n v="0"/>
  </r>
  <r>
    <x v="0"/>
    <x v="3"/>
    <d v="2026-01-02T00:00:00"/>
    <s v="No Portfolio"/>
    <s v="USD"/>
    <x v="7"/>
    <s v="Phrase&amp;Exact组"/>
    <s v="Amazon"/>
    <s v="United States"/>
    <s v="baby carrier"/>
    <s v="PHRASE"/>
    <x v="151"/>
    <n v="5"/>
    <n v="1"/>
    <n v="0.2"/>
    <n v="0.5"/>
    <n v="0.5"/>
    <n v="0"/>
    <m/>
    <n v="0"/>
    <n v="0"/>
    <n v="0"/>
    <n v="0"/>
    <n v="0"/>
    <n v="0"/>
    <n v="0"/>
    <n v="0"/>
  </r>
  <r>
    <x v="0"/>
    <x v="1"/>
    <d v="2026-01-05T00:00:00"/>
    <s v="No Portfolio"/>
    <s v="USD"/>
    <x v="7"/>
    <s v="Phrase&amp;Exact组"/>
    <s v="Amazon"/>
    <s v="United States"/>
    <s v="baby carrier"/>
    <s v="PHRASE"/>
    <x v="152"/>
    <n v="3"/>
    <n v="1"/>
    <n v="0.33333333333333331"/>
    <n v="0.41"/>
    <n v="0.41"/>
    <n v="0"/>
    <m/>
    <n v="0"/>
    <n v="0"/>
    <n v="0"/>
    <n v="0"/>
    <n v="0"/>
    <n v="0"/>
    <n v="0"/>
    <n v="0"/>
  </r>
  <r>
    <x v="0"/>
    <x v="3"/>
    <d v="2026-01-03T00:00:00"/>
    <s v="No Portfolio"/>
    <s v="USD"/>
    <x v="4"/>
    <s v="stroller tray"/>
    <s v="Amazon"/>
    <s v="United States"/>
    <s v="loose-match"/>
    <s v="-"/>
    <x v="153"/>
    <n v="1"/>
    <n v="1"/>
    <n v="1"/>
    <n v="0.48"/>
    <n v="0.48"/>
    <n v="0"/>
    <m/>
    <n v="0"/>
    <n v="0"/>
    <n v="0"/>
    <n v="0"/>
    <n v="0"/>
    <n v="0"/>
    <n v="0"/>
    <n v="0"/>
  </r>
  <r>
    <x v="0"/>
    <x v="2"/>
    <d v="2026-01-16T00:00:00"/>
    <s v="No Portfolio"/>
    <s v="USD"/>
    <x v="4"/>
    <s v="stroller tray"/>
    <s v="Amazon"/>
    <s v="United States"/>
    <s v="loose-match"/>
    <s v="-"/>
    <x v="154"/>
    <n v="1"/>
    <n v="1"/>
    <n v="1"/>
    <n v="0.46"/>
    <n v="0.46"/>
    <n v="0"/>
    <m/>
    <n v="0"/>
    <n v="0"/>
    <n v="0"/>
    <n v="0"/>
    <n v="0"/>
    <n v="0"/>
    <n v="0"/>
    <n v="0"/>
  </r>
  <r>
    <x v="0"/>
    <x v="1"/>
    <d v="2026-01-09T00:00:00"/>
    <s v="No Portfolio"/>
    <s v="USD"/>
    <x v="5"/>
    <s v="ENC Yellow"/>
    <s v="Amazon"/>
    <s v="United States"/>
    <s v="close-match"/>
    <s v="-"/>
    <x v="155"/>
    <n v="5"/>
    <n v="2"/>
    <n v="0.4"/>
    <n v="0.6"/>
    <n v="1.2"/>
    <n v="0"/>
    <m/>
    <n v="0"/>
    <n v="0"/>
    <n v="0"/>
    <n v="0"/>
    <n v="0"/>
    <n v="0"/>
    <n v="0"/>
    <n v="0"/>
  </r>
  <r>
    <x v="0"/>
    <x v="0"/>
    <d v="2026-01-20T00:00:00"/>
    <s v="No Portfolio"/>
    <s v="USD"/>
    <x v="5"/>
    <s v="ENC Yellow"/>
    <s v="Amazon"/>
    <s v="United States"/>
    <s v="loose-match"/>
    <s v="-"/>
    <x v="156"/>
    <n v="1"/>
    <n v="1"/>
    <n v="1"/>
    <n v="0.72"/>
    <n v="0.72"/>
    <n v="0"/>
    <m/>
    <n v="0"/>
    <n v="0"/>
    <n v="0"/>
    <n v="0"/>
    <n v="0"/>
    <n v="0"/>
    <n v="0"/>
    <n v="0"/>
  </r>
  <r>
    <x v="0"/>
    <x v="0"/>
    <d v="2026-01-18T00:00:00"/>
    <s v="No Portfolio"/>
    <s v="USD"/>
    <x v="6"/>
    <s v="ENC"/>
    <s v="Amazon"/>
    <s v="United States"/>
    <s v="close-match"/>
    <s v="-"/>
    <x v="157"/>
    <n v="1"/>
    <n v="1"/>
    <n v="1"/>
    <n v="1.01"/>
    <n v="1.01"/>
    <n v="0"/>
    <m/>
    <n v="0"/>
    <n v="0"/>
    <n v="0"/>
    <n v="0"/>
    <n v="0"/>
    <n v="0"/>
    <n v="0"/>
    <n v="0"/>
  </r>
  <r>
    <x v="0"/>
    <x v="1"/>
    <d v="2026-01-04T00:00:00"/>
    <s v="No Portfolio"/>
    <s v="USD"/>
    <x v="5"/>
    <s v="ENC Yellow"/>
    <s v="Amazon"/>
    <s v="United States"/>
    <s v="loose-match"/>
    <s v="-"/>
    <x v="158"/>
    <n v="1"/>
    <n v="1"/>
    <n v="1"/>
    <n v="1"/>
    <n v="1"/>
    <n v="0"/>
    <m/>
    <n v="0"/>
    <n v="0"/>
    <n v="0"/>
    <n v="0"/>
    <n v="0"/>
    <n v="0"/>
    <n v="0"/>
    <n v="0"/>
  </r>
  <r>
    <x v="0"/>
    <x v="1"/>
    <d v="2026-01-10T00:00:00"/>
    <s v="No Portfolio"/>
    <s v="USD"/>
    <x v="6"/>
    <s v="ENC"/>
    <s v="Amazon"/>
    <s v="United States"/>
    <s v="close-match"/>
    <s v="-"/>
    <x v="159"/>
    <n v="4"/>
    <n v="1"/>
    <n v="0.25"/>
    <n v="0.91"/>
    <n v="0.91"/>
    <n v="0"/>
    <m/>
    <n v="0"/>
    <n v="0"/>
    <n v="0"/>
    <n v="0"/>
    <n v="0"/>
    <n v="0"/>
    <n v="0"/>
    <n v="0"/>
  </r>
  <r>
    <x v="0"/>
    <x v="2"/>
    <d v="2026-01-15T00:00:00"/>
    <s v="No Portfolio"/>
    <s v="USD"/>
    <x v="6"/>
    <s v="ENC"/>
    <s v="Amazon"/>
    <s v="United States"/>
    <s v="close-match"/>
    <s v="-"/>
    <x v="159"/>
    <n v="2"/>
    <n v="1"/>
    <n v="0.5"/>
    <n v="1.2"/>
    <n v="1.2"/>
    <n v="0"/>
    <m/>
    <n v="0"/>
    <n v="0"/>
    <n v="0"/>
    <n v="0"/>
    <n v="0"/>
    <n v="0"/>
    <n v="0"/>
    <n v="0"/>
  </r>
  <r>
    <x v="0"/>
    <x v="1"/>
    <d v="2026-01-05T00:00:00"/>
    <s v="No Portfolio"/>
    <s v="USD"/>
    <x v="5"/>
    <s v="ENC Yellow"/>
    <s v="Amazon"/>
    <s v="United States"/>
    <s v="close-match"/>
    <s v="-"/>
    <x v="160"/>
    <n v="4"/>
    <n v="1"/>
    <n v="0.25"/>
    <n v="0.9"/>
    <n v="0.9"/>
    <n v="0"/>
    <m/>
    <n v="0"/>
    <n v="0"/>
    <n v="0"/>
    <n v="0"/>
    <n v="0"/>
    <n v="0"/>
    <n v="0"/>
    <n v="0"/>
  </r>
  <r>
    <x v="0"/>
    <x v="1"/>
    <d v="2026-01-06T00:00:00"/>
    <s v="No Portfolio"/>
    <s v="USD"/>
    <x v="5"/>
    <s v="ENC Yellow"/>
    <s v="Amazon"/>
    <s v="United States"/>
    <s v="close-match"/>
    <s v="-"/>
    <x v="160"/>
    <n v="6"/>
    <n v="1"/>
    <n v="0.16666666666666663"/>
    <n v="0.98"/>
    <n v="0.98"/>
    <n v="0"/>
    <m/>
    <n v="0"/>
    <n v="0"/>
    <n v="0"/>
    <n v="0"/>
    <n v="0"/>
    <n v="0"/>
    <n v="0"/>
    <n v="0"/>
  </r>
  <r>
    <x v="0"/>
    <x v="0"/>
    <d v="2026-01-20T00:00:00"/>
    <s v="No Portfolio"/>
    <s v="USD"/>
    <x v="6"/>
    <s v="ENC"/>
    <s v="Amazon"/>
    <s v="United States"/>
    <s v="loose-match"/>
    <s v="-"/>
    <x v="161"/>
    <n v="1"/>
    <n v="1"/>
    <n v="1"/>
    <n v="1.22"/>
    <n v="1.22"/>
    <n v="25.73"/>
    <n v="4.7415468324912551E-2"/>
    <n v="21.090163934426229"/>
    <n v="1"/>
    <n v="1"/>
    <n v="1"/>
    <n v="1"/>
    <n v="0"/>
    <n v="25.73"/>
    <n v="0"/>
  </r>
  <r>
    <x v="0"/>
    <x v="1"/>
    <d v="2026-01-07T00:00:00"/>
    <s v="No Portfolio"/>
    <s v="USD"/>
    <x v="6"/>
    <s v="ENC"/>
    <s v="Amazon"/>
    <s v="United States"/>
    <s v="close-match"/>
    <s v="-"/>
    <x v="162"/>
    <n v="1"/>
    <n v="1"/>
    <n v="1"/>
    <n v="1.1000000000000001"/>
    <n v="1.1000000000000001"/>
    <n v="0"/>
    <m/>
    <n v="0"/>
    <n v="0"/>
    <n v="0"/>
    <n v="0"/>
    <n v="0"/>
    <n v="0"/>
    <n v="0"/>
    <n v="0"/>
  </r>
  <r>
    <x v="0"/>
    <x v="0"/>
    <d v="2026-01-18T00:00:00"/>
    <s v="No Portfolio"/>
    <s v="USD"/>
    <x v="5"/>
    <s v="ENC Yellow"/>
    <s v="Amazon"/>
    <s v="United States"/>
    <s v="close-match"/>
    <s v="-"/>
    <x v="163"/>
    <n v="1"/>
    <n v="1"/>
    <n v="1"/>
    <n v="0.6"/>
    <n v="0.6"/>
    <n v="0"/>
    <m/>
    <n v="0"/>
    <n v="0"/>
    <n v="0"/>
    <n v="0"/>
    <n v="0"/>
    <n v="0"/>
    <n v="0"/>
    <n v="0"/>
  </r>
  <r>
    <x v="0"/>
    <x v="1"/>
    <d v="2026-01-08T00:00:00"/>
    <s v="No Portfolio"/>
    <s v="USD"/>
    <x v="5"/>
    <s v="ENC Yellow"/>
    <s v="Amazon"/>
    <s v="United States"/>
    <s v="close-match"/>
    <s v="-"/>
    <x v="164"/>
    <n v="3"/>
    <n v="1"/>
    <n v="0.33333333333333331"/>
    <n v="0.99"/>
    <n v="0.99"/>
    <n v="0"/>
    <m/>
    <n v="0"/>
    <n v="0"/>
    <n v="0"/>
    <n v="0"/>
    <n v="0"/>
    <n v="0"/>
    <n v="0"/>
    <n v="0"/>
  </r>
  <r>
    <x v="0"/>
    <x v="3"/>
    <d v="2026-01-03T00:00:00"/>
    <s v="No Portfolio"/>
    <s v="USD"/>
    <x v="5"/>
    <s v="ENC Yellow"/>
    <s v="Amazon"/>
    <s v="United States"/>
    <s v="close-match"/>
    <s v="-"/>
    <x v="165"/>
    <n v="2"/>
    <n v="1"/>
    <n v="0.5"/>
    <n v="1.37"/>
    <n v="1.37"/>
    <n v="7.83"/>
    <n v="0.17496807151979568"/>
    <n v="5.7153284671532845"/>
    <n v="1"/>
    <n v="1"/>
    <n v="1"/>
    <n v="1"/>
    <n v="0"/>
    <n v="7.83"/>
    <n v="0"/>
  </r>
  <r>
    <x v="0"/>
    <x v="2"/>
    <d v="2026-01-11T00:00:00"/>
    <s v="No Portfolio"/>
    <s v="USD"/>
    <x v="1"/>
    <s v="broad组"/>
    <s v="Amazon"/>
    <s v="United States"/>
    <s v="baby stroller parent cup holders"/>
    <s v="BROAD"/>
    <x v="166"/>
    <n v="12"/>
    <n v="1"/>
    <n v="8.3333333333333315E-2"/>
    <n v="1.31"/>
    <n v="1.31"/>
    <n v="0"/>
    <m/>
    <n v="0"/>
    <n v="0"/>
    <n v="0"/>
    <n v="0"/>
    <n v="0"/>
    <n v="0"/>
    <n v="0"/>
    <n v="0"/>
  </r>
  <r>
    <x v="0"/>
    <x v="2"/>
    <d v="2026-01-13T00:00:00"/>
    <s v="No Portfolio"/>
    <s v="USD"/>
    <x v="0"/>
    <s v="broad组"/>
    <s v="Amazon"/>
    <s v="United States"/>
    <s v="stroller snack tray"/>
    <s v="BROAD"/>
    <x v="167"/>
    <n v="3"/>
    <n v="1"/>
    <n v="0.33333333333333331"/>
    <n v="0.21"/>
    <n v="0.21"/>
    <n v="0"/>
    <m/>
    <n v="0"/>
    <n v="0"/>
    <n v="0"/>
    <n v="0"/>
    <n v="0"/>
    <n v="0"/>
    <n v="0"/>
    <n v="0"/>
  </r>
  <r>
    <x v="0"/>
    <x v="1"/>
    <d v="2026-01-07T00:00:00"/>
    <s v="No Portfolio"/>
    <s v="USD"/>
    <x v="0"/>
    <s v="phrase&amp;exact"/>
    <s v="Amazon"/>
    <s v="United States"/>
    <s v="nuna snack tray for stroller"/>
    <s v="PHRASE"/>
    <x v="168"/>
    <n v="2"/>
    <n v="1"/>
    <n v="0.5"/>
    <n v="0.2"/>
    <n v="0.2"/>
    <n v="0"/>
    <m/>
    <n v="0"/>
    <n v="0"/>
    <n v="0"/>
    <n v="0"/>
    <n v="0"/>
    <n v="0"/>
    <n v="0"/>
    <n v="0"/>
  </r>
  <r>
    <x v="0"/>
    <x v="2"/>
    <d v="2026-01-11T00:00:00"/>
    <s v="No Portfolio"/>
    <s v="USD"/>
    <x v="0"/>
    <s v="phrase&amp;exact"/>
    <s v="Amazon"/>
    <s v="United States"/>
    <s v="nuna snack tray for stroller"/>
    <s v="PHRASE"/>
    <x v="168"/>
    <n v="9"/>
    <n v="1"/>
    <n v="0.1111111111111111"/>
    <n v="0.2"/>
    <n v="0.2"/>
    <n v="0"/>
    <m/>
    <n v="0"/>
    <n v="0"/>
    <n v="0"/>
    <n v="0"/>
    <n v="0"/>
    <n v="0"/>
    <n v="0"/>
    <n v="0"/>
  </r>
  <r>
    <x v="0"/>
    <x v="1"/>
    <d v="2026-01-08T00:00:00"/>
    <s v="No Portfolio"/>
    <s v="USD"/>
    <x v="0"/>
    <s v="broad组"/>
    <s v="Amazon"/>
    <s v="United States"/>
    <s v="stroller attachment"/>
    <s v="BROAD"/>
    <x v="169"/>
    <n v="2"/>
    <n v="1"/>
    <n v="0.5"/>
    <n v="0.4"/>
    <n v="0.4"/>
    <n v="0"/>
    <m/>
    <n v="0"/>
    <n v="0"/>
    <n v="0"/>
    <n v="0"/>
    <n v="0"/>
    <n v="0"/>
    <n v="0"/>
    <n v="0"/>
  </r>
  <r>
    <x v="0"/>
    <x v="1"/>
    <d v="2026-01-07T00:00:00"/>
    <s v="No Portfolio"/>
    <s v="USD"/>
    <x v="0"/>
    <s v="broad组"/>
    <s v="Amazon"/>
    <s v="United States"/>
    <s v="wagon cup holder"/>
    <s v="BROAD"/>
    <x v="170"/>
    <n v="1"/>
    <n v="1"/>
    <n v="1"/>
    <n v="0.2"/>
    <n v="0.2"/>
    <n v="0"/>
    <m/>
    <n v="0"/>
    <n v="0"/>
    <n v="0"/>
    <n v="0"/>
    <n v="0"/>
    <n v="0"/>
    <n v="0"/>
    <n v="0"/>
  </r>
  <r>
    <x v="0"/>
    <x v="2"/>
    <d v="2026-01-14T00:00:00"/>
    <s v="No Portfolio"/>
    <s v="USD"/>
    <x v="1"/>
    <s v="broad组"/>
    <s v="Amazon"/>
    <s v="United States"/>
    <s v="clip on snack tray"/>
    <s v="BROAD"/>
    <x v="171"/>
    <n v="1"/>
    <n v="1"/>
    <n v="1"/>
    <n v="1.38"/>
    <n v="1.38"/>
    <n v="0"/>
    <m/>
    <n v="0"/>
    <n v="0"/>
    <n v="0"/>
    <n v="0"/>
    <n v="0"/>
    <n v="0"/>
    <n v="0"/>
    <n v="0"/>
  </r>
  <r>
    <x v="0"/>
    <x v="2"/>
    <d v="2026-01-13T00:00:00"/>
    <s v="No Portfolio"/>
    <s v="USD"/>
    <x v="6"/>
    <s v="ENC"/>
    <s v="Amazon"/>
    <s v="United States"/>
    <s v="loose-match"/>
    <s v="-"/>
    <x v="172"/>
    <n v="1"/>
    <n v="1"/>
    <n v="1"/>
    <n v="0.97"/>
    <n v="0.97"/>
    <n v="0"/>
    <m/>
    <n v="0"/>
    <n v="0"/>
    <n v="0"/>
    <n v="0"/>
    <n v="0"/>
    <n v="0"/>
    <n v="0"/>
    <n v="0"/>
  </r>
  <r>
    <x v="0"/>
    <x v="0"/>
    <d v="2026-01-20T00:00:00"/>
    <s v="No Portfolio"/>
    <s v="USD"/>
    <x v="1"/>
    <s v="broad组"/>
    <s v="Amazon"/>
    <s v="United States"/>
    <s v="cup holder and tray for stroller"/>
    <s v="BROAD"/>
    <x v="173"/>
    <n v="3"/>
    <n v="1"/>
    <n v="0.33333333333333331"/>
    <n v="1.02"/>
    <n v="1.02"/>
    <n v="0"/>
    <m/>
    <n v="0"/>
    <n v="0"/>
    <n v="0"/>
    <n v="0"/>
    <n v="0"/>
    <n v="0"/>
    <n v="0"/>
    <n v="0"/>
  </r>
  <r>
    <x v="0"/>
    <x v="0"/>
    <d v="2026-01-18T00:00:00"/>
    <s v="No Portfolio"/>
    <s v="USD"/>
    <x v="9"/>
    <s v="ENC"/>
    <s v="Amazon"/>
    <s v="United States"/>
    <s v="electric nail clipper"/>
    <s v="BROAD"/>
    <x v="174"/>
    <n v="3"/>
    <n v="1"/>
    <n v="0.33333333333333331"/>
    <n v="0.52"/>
    <n v="0.52"/>
    <n v="0"/>
    <m/>
    <n v="0"/>
    <n v="0"/>
    <n v="0"/>
    <n v="0"/>
    <n v="0"/>
    <n v="0"/>
    <n v="0"/>
    <n v="0"/>
  </r>
  <r>
    <x v="0"/>
    <x v="2"/>
    <d v="2026-01-17T00:00:00"/>
    <s v="No Portfolio"/>
    <s v="USD"/>
    <x v="6"/>
    <s v="ENC"/>
    <s v="Amazon"/>
    <s v="United States"/>
    <s v="loose-match"/>
    <s v="-"/>
    <x v="175"/>
    <n v="1"/>
    <n v="1"/>
    <n v="1"/>
    <n v="0.93"/>
    <n v="0.93"/>
    <n v="0"/>
    <m/>
    <n v="0"/>
    <n v="0"/>
    <n v="0"/>
    <n v="0"/>
    <n v="0"/>
    <n v="0"/>
    <n v="0"/>
    <n v="0"/>
  </r>
  <r>
    <x v="0"/>
    <x v="3"/>
    <d v="2026-01-03T00:00:00"/>
    <s v="No Portfolio"/>
    <s v="USD"/>
    <x v="4"/>
    <s v="stroller tray"/>
    <s v="Amazon"/>
    <s v="United States"/>
    <s v="loose-match"/>
    <s v="-"/>
    <x v="176"/>
    <n v="1"/>
    <n v="1"/>
    <n v="1"/>
    <n v="0.48"/>
    <n v="0.48"/>
    <n v="0"/>
    <m/>
    <n v="0"/>
    <n v="0"/>
    <n v="0"/>
    <n v="0"/>
    <n v="0"/>
    <n v="0"/>
    <n v="0"/>
    <n v="0"/>
  </r>
  <r>
    <x v="0"/>
    <x v="1"/>
    <d v="2026-01-10T00:00:00"/>
    <s v="No Portfolio"/>
    <s v="USD"/>
    <x v="0"/>
    <s v="broad组"/>
    <s v="Amazon"/>
    <s v="United States"/>
    <s v="stroller tray"/>
    <s v="BROAD"/>
    <x v="177"/>
    <n v="1"/>
    <n v="1"/>
    <n v="1"/>
    <n v="0.21"/>
    <n v="0.21"/>
    <n v="0"/>
    <m/>
    <n v="0"/>
    <n v="0"/>
    <n v="0"/>
    <n v="0"/>
    <n v="0"/>
    <n v="0"/>
    <n v="0"/>
    <n v="0"/>
  </r>
  <r>
    <x v="0"/>
    <x v="2"/>
    <d v="2026-01-15T00:00:00"/>
    <s v="No Portfolio"/>
    <s v="USD"/>
    <x v="0"/>
    <s v="broad组"/>
    <s v="Amazon"/>
    <s v="United States"/>
    <s v="snack holder for stroller"/>
    <s v="BROAD"/>
    <x v="178"/>
    <n v="1"/>
    <n v="1"/>
    <n v="1"/>
    <n v="0.21"/>
    <n v="0.21"/>
    <n v="0"/>
    <m/>
    <n v="0"/>
    <n v="0"/>
    <n v="0"/>
    <n v="0"/>
    <n v="0"/>
    <n v="0"/>
    <n v="0"/>
    <n v="0"/>
  </r>
  <r>
    <x v="0"/>
    <x v="1"/>
    <d v="2026-01-06T00:00:00"/>
    <s v="No Portfolio"/>
    <s v="USD"/>
    <x v="4"/>
    <s v="stroller tray"/>
    <s v="Amazon"/>
    <s v="United States"/>
    <s v="loose-match"/>
    <s v="-"/>
    <x v="179"/>
    <n v="2"/>
    <n v="1"/>
    <n v="0.5"/>
    <n v="0.54"/>
    <n v="0.54"/>
    <n v="0"/>
    <m/>
    <n v="0"/>
    <n v="0"/>
    <n v="0"/>
    <n v="0"/>
    <n v="0"/>
    <n v="0"/>
    <n v="0"/>
    <n v="0"/>
  </r>
  <r>
    <x v="0"/>
    <x v="2"/>
    <d v="2026-01-17T00:00:00"/>
    <s v="No Portfolio"/>
    <s v="USD"/>
    <x v="4"/>
    <s v="stroller tray"/>
    <s v="Amazon"/>
    <s v="United States"/>
    <s v="close-match"/>
    <s v="-"/>
    <x v="180"/>
    <n v="1"/>
    <n v="1"/>
    <n v="1"/>
    <n v="0.56999999999999995"/>
    <n v="0.56999999999999995"/>
    <n v="0"/>
    <m/>
    <n v="0"/>
    <n v="0"/>
    <n v="0"/>
    <n v="0"/>
    <n v="0"/>
    <n v="0"/>
    <n v="0"/>
    <n v="0"/>
  </r>
  <r>
    <x v="0"/>
    <x v="1"/>
    <d v="2026-01-06T00:00:00"/>
    <s v="No Portfolio"/>
    <s v="USD"/>
    <x v="1"/>
    <s v="broad组"/>
    <s v="Amazon"/>
    <s v="United States"/>
    <s v="snack cup for stroller"/>
    <s v="BROAD"/>
    <x v="181"/>
    <n v="1"/>
    <n v="1"/>
    <n v="1"/>
    <n v="0.76"/>
    <n v="0.76"/>
    <n v="0"/>
    <m/>
    <n v="0"/>
    <n v="0"/>
    <n v="0"/>
    <n v="0"/>
    <n v="0"/>
    <n v="0"/>
    <n v="0"/>
    <n v="0"/>
  </r>
  <r>
    <x v="0"/>
    <x v="0"/>
    <d v="2026-01-19T00:00:00"/>
    <s v="No Portfolio"/>
    <s v="USD"/>
    <x v="0"/>
    <s v="broad组"/>
    <s v="Amazon"/>
    <s v="United States"/>
    <s v="universal snack tray"/>
    <s v="BROAD"/>
    <x v="182"/>
    <n v="1"/>
    <n v="1"/>
    <n v="1"/>
    <n v="0.21"/>
    <n v="0.21"/>
    <n v="0"/>
    <m/>
    <n v="0"/>
    <n v="0"/>
    <n v="0"/>
    <n v="0"/>
    <n v="0"/>
    <n v="0"/>
    <n v="0"/>
    <n v="0"/>
  </r>
  <r>
    <x v="0"/>
    <x v="3"/>
    <d v="2026-01-03T00:00:00"/>
    <s v="No Portfolio"/>
    <s v="USD"/>
    <x v="0"/>
    <s v="broad组"/>
    <s v="Amazon"/>
    <s v="United States"/>
    <s v="snack holder for stroller"/>
    <s v="BROAD"/>
    <x v="183"/>
    <n v="1"/>
    <n v="1"/>
    <n v="1"/>
    <n v="0.21"/>
    <n v="0.21"/>
    <n v="0"/>
    <m/>
    <n v="0"/>
    <n v="0"/>
    <n v="0"/>
    <n v="0"/>
    <n v="0"/>
    <n v="0"/>
    <n v="0"/>
    <n v="0"/>
  </r>
  <r>
    <x v="0"/>
    <x v="3"/>
    <d v="2026-01-01T00:00:00"/>
    <s v="No Portfolio"/>
    <s v="USD"/>
    <x v="4"/>
    <s v="stroller tray"/>
    <s v="Amazon"/>
    <s v="United States"/>
    <s v="loose-match"/>
    <s v="-"/>
    <x v="184"/>
    <n v="1"/>
    <n v="1"/>
    <n v="1"/>
    <n v="0.57999999999999996"/>
    <n v="0.57999999999999996"/>
    <n v="17.09"/>
    <n v="3.3937975424224692E-2"/>
    <n v="29.465517241379313"/>
    <n v="1"/>
    <n v="1"/>
    <n v="1"/>
    <n v="1"/>
    <n v="0"/>
    <n v="17.09"/>
    <n v="0"/>
  </r>
  <r>
    <x v="0"/>
    <x v="3"/>
    <d v="2026-01-01T00:00:00"/>
    <s v="No Portfolio"/>
    <s v="USD"/>
    <x v="4"/>
    <s v="stroller tray"/>
    <s v="Amazon"/>
    <s v="United States"/>
    <s v="loose-match"/>
    <s v="-"/>
    <x v="185"/>
    <n v="1"/>
    <n v="1"/>
    <n v="1"/>
    <n v="0.48"/>
    <n v="0.48"/>
    <n v="0"/>
    <m/>
    <n v="0"/>
    <n v="0"/>
    <n v="0"/>
    <n v="0"/>
    <n v="0"/>
    <n v="0"/>
    <n v="0"/>
    <n v="0"/>
  </r>
  <r>
    <x v="0"/>
    <x v="0"/>
    <d v="2026-01-20T00:00:00"/>
    <s v="No Portfolio"/>
    <s v="USD"/>
    <x v="0"/>
    <s v="broad组"/>
    <s v="Amazon"/>
    <s v="United States"/>
    <s v="snack tray for stroller"/>
    <s v="BROAD"/>
    <x v="186"/>
    <n v="1"/>
    <n v="1"/>
    <n v="1"/>
    <n v="0.21"/>
    <n v="0.21"/>
    <n v="0"/>
    <m/>
    <n v="0"/>
    <n v="0"/>
    <n v="0"/>
    <n v="0"/>
    <n v="0"/>
    <n v="0"/>
    <n v="0"/>
    <n v="0"/>
  </r>
  <r>
    <x v="0"/>
    <x v="1"/>
    <d v="2026-01-04T00:00:00"/>
    <s v="No Portfolio"/>
    <s v="USD"/>
    <x v="4"/>
    <s v="stroller tray"/>
    <s v="Amazon"/>
    <s v="United States"/>
    <s v="close-match"/>
    <s v="-"/>
    <x v="187"/>
    <n v="19"/>
    <n v="1"/>
    <n v="5.2631578947368418E-2"/>
    <n v="0.65"/>
    <n v="0.65"/>
    <n v="35.08"/>
    <n v="1.8529076396807301E-2"/>
    <n v="53.969230769230762"/>
    <n v="2"/>
    <n v="2"/>
    <n v="2"/>
    <n v="0"/>
    <n v="2"/>
    <n v="0"/>
    <n v="35.08"/>
  </r>
  <r>
    <x v="0"/>
    <x v="1"/>
    <d v="2026-01-06T00:00:00"/>
    <s v="No Portfolio"/>
    <s v="USD"/>
    <x v="4"/>
    <s v="stroller tray"/>
    <s v="Amazon"/>
    <s v="United States"/>
    <s v="close-match"/>
    <s v="-"/>
    <x v="187"/>
    <n v="15"/>
    <n v="1"/>
    <n v="6.6666666666666666E-2"/>
    <n v="0.77"/>
    <n v="0.77"/>
    <n v="0"/>
    <m/>
    <n v="0"/>
    <n v="0"/>
    <n v="0"/>
    <n v="0"/>
    <n v="0"/>
    <n v="0"/>
    <n v="0"/>
    <n v="0"/>
  </r>
  <r>
    <x v="0"/>
    <x v="0"/>
    <d v="2026-01-18T00:00:00"/>
    <s v="No Portfolio"/>
    <s v="USD"/>
    <x v="4"/>
    <s v="stroller tray"/>
    <s v="Amazon"/>
    <s v="United States"/>
    <s v="close-match"/>
    <s v="-"/>
    <x v="187"/>
    <n v="12"/>
    <n v="2"/>
    <n v="0.16666666666666663"/>
    <n v="0.49"/>
    <n v="0.98"/>
    <n v="0"/>
    <m/>
    <n v="0"/>
    <n v="0"/>
    <n v="0"/>
    <n v="0"/>
    <n v="0"/>
    <n v="0"/>
    <n v="0"/>
    <n v="0"/>
  </r>
  <r>
    <x v="0"/>
    <x v="3"/>
    <d v="2026-01-02T00:00:00"/>
    <s v="No Portfolio"/>
    <s v="USD"/>
    <x v="0"/>
    <s v="phrase&amp;exact"/>
    <s v="Amazon"/>
    <s v="United States"/>
    <s v="snack tray for stroller"/>
    <s v="PHRASE"/>
    <x v="187"/>
    <n v="26"/>
    <n v="1"/>
    <n v="3.8461538461538464E-2"/>
    <n v="0.2"/>
    <n v="0.2"/>
    <n v="0"/>
    <m/>
    <n v="0"/>
    <n v="0"/>
    <n v="0"/>
    <n v="0"/>
    <n v="0"/>
    <n v="0"/>
    <n v="0"/>
    <n v="0"/>
  </r>
  <r>
    <x v="0"/>
    <x v="1"/>
    <d v="2026-01-06T00:00:00"/>
    <s v="No Portfolio"/>
    <s v="USD"/>
    <x v="0"/>
    <s v="phrase&amp;exact"/>
    <s v="Amazon"/>
    <s v="United States"/>
    <s v="snack tray for stroller"/>
    <s v="PHRASE"/>
    <x v="187"/>
    <n v="10"/>
    <n v="1"/>
    <n v="0.1"/>
    <n v="0.2"/>
    <n v="0.2"/>
    <n v="0"/>
    <m/>
    <n v="0"/>
    <n v="0"/>
    <n v="0"/>
    <n v="0"/>
    <n v="0"/>
    <n v="0"/>
    <n v="0"/>
    <n v="0"/>
  </r>
  <r>
    <x v="0"/>
    <x v="2"/>
    <d v="2026-01-15T00:00:00"/>
    <s v="No Portfolio"/>
    <s v="USD"/>
    <x v="2"/>
    <s v="Tray"/>
    <s v="Amazon"/>
    <s v="United States"/>
    <s v="asin=&quot;B0F4KJN2VC&quot;"/>
    <s v="-"/>
    <x v="187"/>
    <n v="2"/>
    <n v="1"/>
    <n v="0.5"/>
    <n v="0.53"/>
    <n v="0.53"/>
    <n v="0"/>
    <m/>
    <n v="0"/>
    <n v="0"/>
    <n v="0"/>
    <n v="0"/>
    <n v="0"/>
    <n v="0"/>
    <n v="0"/>
    <n v="0"/>
  </r>
  <r>
    <x v="0"/>
    <x v="1"/>
    <d v="2026-01-09T00:00:00"/>
    <s v="No Portfolio"/>
    <s v="USD"/>
    <x v="1"/>
    <s v="broad组"/>
    <s v="Amazon"/>
    <s v="United States"/>
    <s v="snack tray for stroller"/>
    <s v="BROAD"/>
    <x v="187"/>
    <n v="16"/>
    <n v="1"/>
    <n v="6.25E-2"/>
    <n v="1.22"/>
    <n v="1.22"/>
    <n v="0"/>
    <m/>
    <n v="0"/>
    <n v="0"/>
    <n v="0"/>
    <n v="0"/>
    <n v="0"/>
    <n v="0"/>
    <n v="0"/>
    <n v="0"/>
  </r>
  <r>
    <x v="0"/>
    <x v="2"/>
    <d v="2026-01-16T00:00:00"/>
    <s v="No Portfolio"/>
    <s v="USD"/>
    <x v="2"/>
    <s v="Tray"/>
    <s v="Amazon"/>
    <s v="United States"/>
    <s v="asin=&quot;B0DSBVB1WW&quot;"/>
    <s v="-"/>
    <x v="188"/>
    <n v="2"/>
    <n v="1"/>
    <n v="0.5"/>
    <n v="0.56999999999999995"/>
    <n v="0.56999999999999995"/>
    <n v="0"/>
    <m/>
    <n v="0"/>
    <n v="0"/>
    <n v="0"/>
    <n v="0"/>
    <n v="0"/>
    <n v="0"/>
    <n v="0"/>
    <n v="0"/>
  </r>
  <r>
    <x v="0"/>
    <x v="2"/>
    <d v="2026-01-17T00:00:00"/>
    <s v="No Portfolio"/>
    <s v="USD"/>
    <x v="0"/>
    <s v="broad组"/>
    <s v="Amazon"/>
    <s v="United States"/>
    <s v="snack tray for stroller"/>
    <s v="BROAD"/>
    <x v="188"/>
    <n v="3"/>
    <n v="1"/>
    <n v="0.33333333333333331"/>
    <n v="0.21"/>
    <n v="0.21"/>
    <n v="0"/>
    <m/>
    <n v="0"/>
    <n v="0"/>
    <n v="0"/>
    <n v="0"/>
    <n v="0"/>
    <n v="0"/>
    <n v="0"/>
    <n v="0"/>
  </r>
  <r>
    <x v="0"/>
    <x v="0"/>
    <d v="2026-01-20T00:00:00"/>
    <s v="No Portfolio"/>
    <s v="USD"/>
    <x v="0"/>
    <s v="broad组"/>
    <s v="Amazon"/>
    <s v="United States"/>
    <s v="clip on snack tray"/>
    <s v="BROAD"/>
    <x v="189"/>
    <n v="2"/>
    <n v="1"/>
    <n v="0.5"/>
    <n v="0.21"/>
    <n v="0.21"/>
    <n v="0"/>
    <m/>
    <n v="0"/>
    <n v="0"/>
    <n v="0"/>
    <n v="0"/>
    <n v="0"/>
    <n v="0"/>
    <n v="0"/>
    <n v="0"/>
  </r>
  <r>
    <x v="0"/>
    <x v="1"/>
    <d v="2026-01-08T00:00:00"/>
    <s v="No Portfolio"/>
    <s v="USD"/>
    <x v="0"/>
    <s v="broad组"/>
    <s v="Amazon"/>
    <s v="United States"/>
    <s v="stroller snack tray"/>
    <s v="BROAD"/>
    <x v="190"/>
    <n v="1"/>
    <n v="1"/>
    <n v="1"/>
    <n v="0.21"/>
    <n v="0.21"/>
    <n v="0"/>
    <m/>
    <n v="0"/>
    <n v="0"/>
    <n v="0"/>
    <n v="0"/>
    <n v="0"/>
    <n v="0"/>
    <n v="0"/>
    <n v="0"/>
  </r>
  <r>
    <x v="0"/>
    <x v="1"/>
    <d v="2026-01-04T00:00:00"/>
    <s v="No Portfolio"/>
    <s v="USD"/>
    <x v="1"/>
    <s v="broad组"/>
    <s v="Amazon"/>
    <s v="United States"/>
    <s v="stroller tray"/>
    <s v="BROAD"/>
    <x v="191"/>
    <n v="2"/>
    <n v="1"/>
    <n v="0.5"/>
    <n v="0.7"/>
    <n v="0.7"/>
    <n v="0"/>
    <m/>
    <n v="0"/>
    <n v="0"/>
    <n v="0"/>
    <n v="0"/>
    <n v="0"/>
    <n v="0"/>
    <n v="0"/>
    <n v="0"/>
  </r>
  <r>
    <x v="0"/>
    <x v="1"/>
    <d v="2026-01-05T00:00:00"/>
    <s v="No Portfolio"/>
    <s v="USD"/>
    <x v="0"/>
    <s v="phrase&amp;exact"/>
    <s v="Amazon"/>
    <s v="United States"/>
    <s v="stroller accessories"/>
    <s v="EXACT"/>
    <x v="192"/>
    <n v="26"/>
    <n v="1"/>
    <n v="3.8461538461538464E-2"/>
    <n v="0.2"/>
    <n v="0.2"/>
    <n v="0"/>
    <m/>
    <n v="0"/>
    <n v="0"/>
    <n v="0"/>
    <n v="0"/>
    <n v="0"/>
    <n v="0"/>
    <n v="0"/>
    <n v="0"/>
  </r>
  <r>
    <x v="0"/>
    <x v="1"/>
    <d v="2026-01-06T00:00:00"/>
    <s v="No Portfolio"/>
    <s v="USD"/>
    <x v="0"/>
    <s v="phrase&amp;exact"/>
    <s v="Amazon"/>
    <s v="United States"/>
    <s v="stroller accessories"/>
    <s v="EXACT"/>
    <x v="192"/>
    <n v="12"/>
    <n v="1"/>
    <n v="8.3333333333333315E-2"/>
    <n v="0.2"/>
    <n v="0.2"/>
    <n v="0"/>
    <m/>
    <n v="0"/>
    <n v="0"/>
    <n v="0"/>
    <n v="0"/>
    <n v="0"/>
    <n v="0"/>
    <n v="0"/>
    <n v="0"/>
  </r>
  <r>
    <x v="0"/>
    <x v="1"/>
    <d v="2026-01-10T00:00:00"/>
    <s v="No Portfolio"/>
    <s v="USD"/>
    <x v="0"/>
    <s v="phrase&amp;exact"/>
    <s v="Amazon"/>
    <s v="United States"/>
    <s v="stroller accessories"/>
    <s v="EXACT"/>
    <x v="192"/>
    <n v="4"/>
    <n v="1"/>
    <n v="0.25"/>
    <n v="0.2"/>
    <n v="0.2"/>
    <n v="0"/>
    <m/>
    <n v="0"/>
    <n v="0"/>
    <n v="0"/>
    <n v="0"/>
    <n v="0"/>
    <n v="0"/>
    <n v="0"/>
    <n v="0"/>
  </r>
  <r>
    <x v="0"/>
    <x v="2"/>
    <d v="2026-01-13T00:00:00"/>
    <s v="No Portfolio"/>
    <s v="USD"/>
    <x v="0"/>
    <s v="phrase&amp;exact"/>
    <s v="Amazon"/>
    <s v="United States"/>
    <s v="stroller accessories"/>
    <s v="EXACT"/>
    <x v="192"/>
    <n v="22"/>
    <n v="1"/>
    <n v="4.5454545454545463E-2"/>
    <n v="0.2"/>
    <n v="0.2"/>
    <n v="0"/>
    <m/>
    <n v="0"/>
    <n v="0"/>
    <n v="0"/>
    <n v="0"/>
    <n v="0"/>
    <n v="0"/>
    <n v="0"/>
    <n v="0"/>
  </r>
  <r>
    <x v="0"/>
    <x v="2"/>
    <d v="2026-01-16T00:00:00"/>
    <s v="No Portfolio"/>
    <s v="USD"/>
    <x v="0"/>
    <s v="broad组"/>
    <s v="Amazon"/>
    <s v="United States"/>
    <s v="stroller attachment"/>
    <s v="BROAD"/>
    <x v="193"/>
    <n v="1"/>
    <n v="1"/>
    <n v="1"/>
    <n v="0.2"/>
    <n v="0.2"/>
    <n v="0"/>
    <m/>
    <n v="0"/>
    <n v="0"/>
    <n v="0"/>
    <n v="0"/>
    <n v="0"/>
    <n v="0"/>
    <n v="0"/>
    <n v="0"/>
  </r>
  <r>
    <x v="0"/>
    <x v="0"/>
    <d v="2026-01-19T00:00:00"/>
    <s v="No Portfolio"/>
    <s v="USD"/>
    <x v="0"/>
    <s v="broad组"/>
    <s v="Amazon"/>
    <s v="United States"/>
    <s v="snack tray for stroller"/>
    <s v="BROAD"/>
    <x v="194"/>
    <n v="1"/>
    <n v="1"/>
    <n v="1"/>
    <n v="0.2"/>
    <n v="0.2"/>
    <n v="0"/>
    <m/>
    <n v="0"/>
    <n v="0"/>
    <n v="0"/>
    <n v="0"/>
    <n v="0"/>
    <n v="0"/>
    <n v="0"/>
    <n v="0"/>
  </r>
  <r>
    <x v="0"/>
    <x v="0"/>
    <d v="2026-01-20T00:00:00"/>
    <s v="No Portfolio"/>
    <s v="USD"/>
    <x v="4"/>
    <s v="stroller tray"/>
    <s v="Amazon"/>
    <s v="United States"/>
    <s v="loose-match"/>
    <s v="-"/>
    <x v="195"/>
    <n v="2"/>
    <n v="1"/>
    <n v="0.5"/>
    <n v="0.53"/>
    <n v="0.53"/>
    <n v="0"/>
    <m/>
    <n v="0"/>
    <n v="0"/>
    <n v="0"/>
    <n v="0"/>
    <n v="0"/>
    <n v="0"/>
    <n v="0"/>
    <n v="0"/>
  </r>
  <r>
    <x v="0"/>
    <x v="3"/>
    <d v="2026-01-01T00:00:00"/>
    <s v="No Portfolio"/>
    <s v="USD"/>
    <x v="0"/>
    <s v="broad组"/>
    <s v="Amazon"/>
    <s v="United States"/>
    <s v="stroller accessories"/>
    <s v="BROAD"/>
    <x v="196"/>
    <n v="1"/>
    <n v="1"/>
    <n v="1"/>
    <n v="0.17"/>
    <n v="0.17"/>
    <n v="0"/>
    <m/>
    <n v="0"/>
    <n v="0"/>
    <n v="0"/>
    <n v="0"/>
    <n v="0"/>
    <n v="0"/>
    <n v="0"/>
    <n v="0"/>
  </r>
  <r>
    <x v="0"/>
    <x v="2"/>
    <d v="2026-01-16T00:00:00"/>
    <s v="No Portfolio"/>
    <s v="USD"/>
    <x v="4"/>
    <s v="stroller tray"/>
    <s v="Amazon"/>
    <s v="United States"/>
    <s v="loose-match"/>
    <s v="-"/>
    <x v="197"/>
    <n v="1"/>
    <n v="1"/>
    <n v="1"/>
    <n v="0.46"/>
    <n v="0.46"/>
    <n v="0"/>
    <m/>
    <n v="0"/>
    <n v="0"/>
    <n v="0"/>
    <n v="0"/>
    <n v="0"/>
    <n v="0"/>
    <n v="0"/>
    <n v="0"/>
  </r>
  <r>
    <x v="0"/>
    <x v="1"/>
    <d v="2026-01-10T00:00:00"/>
    <s v="No Portfolio"/>
    <s v="USD"/>
    <x v="4"/>
    <s v="stroller tray"/>
    <s v="Amazon"/>
    <s v="United States"/>
    <s v="close-match"/>
    <s v="-"/>
    <x v="198"/>
    <n v="11"/>
    <n v="1"/>
    <n v="9.0909090909090925E-2"/>
    <n v="0.75"/>
    <n v="0.75"/>
    <n v="0"/>
    <m/>
    <n v="0"/>
    <n v="0"/>
    <n v="0"/>
    <n v="0"/>
    <n v="0"/>
    <n v="0"/>
    <n v="0"/>
    <n v="0"/>
  </r>
  <r>
    <x v="0"/>
    <x v="0"/>
    <d v="2026-01-19T00:00:00"/>
    <s v="No Portfolio"/>
    <s v="USD"/>
    <x v="0"/>
    <s v="broad组"/>
    <s v="Amazon"/>
    <s v="United States"/>
    <s v="stroller cup holder"/>
    <s v="BROAD"/>
    <x v="198"/>
    <n v="12"/>
    <n v="1"/>
    <n v="8.3333333333333315E-2"/>
    <n v="0.21"/>
    <n v="0.21"/>
    <n v="0"/>
    <m/>
    <n v="0"/>
    <n v="0"/>
    <n v="0"/>
    <n v="0"/>
    <n v="0"/>
    <n v="0"/>
    <n v="0"/>
    <n v="0"/>
  </r>
  <r>
    <x v="0"/>
    <x v="1"/>
    <d v="2026-01-04T00:00:00"/>
    <s v="No Portfolio"/>
    <s v="USD"/>
    <x v="0"/>
    <s v="phrase&amp;exact"/>
    <s v="Amazon"/>
    <s v="United States"/>
    <s v="stroller cup holder"/>
    <s v="PHRASE"/>
    <x v="198"/>
    <n v="17"/>
    <n v="1"/>
    <n v="5.8823529411764698E-2"/>
    <n v="0.2"/>
    <n v="0.2"/>
    <n v="0"/>
    <m/>
    <n v="0"/>
    <n v="0"/>
    <n v="0"/>
    <n v="0"/>
    <n v="0"/>
    <n v="0"/>
    <n v="0"/>
    <n v="0"/>
  </r>
  <r>
    <x v="0"/>
    <x v="1"/>
    <d v="2026-01-05T00:00:00"/>
    <s v="No Portfolio"/>
    <s v="USD"/>
    <x v="0"/>
    <s v="phrase&amp;exact"/>
    <s v="Amazon"/>
    <s v="United States"/>
    <s v="stroller cup holder"/>
    <s v="PHRASE"/>
    <x v="198"/>
    <n v="26"/>
    <n v="1"/>
    <n v="3.8461538461538464E-2"/>
    <n v="0.2"/>
    <n v="0.2"/>
    <n v="0"/>
    <m/>
    <n v="0"/>
    <n v="0"/>
    <n v="0"/>
    <n v="0"/>
    <n v="0"/>
    <n v="0"/>
    <n v="0"/>
    <n v="0"/>
  </r>
  <r>
    <x v="0"/>
    <x v="0"/>
    <d v="2026-01-21T00:00:00"/>
    <s v="No Portfolio"/>
    <s v="USD"/>
    <x v="0"/>
    <s v="phrase&amp;exact"/>
    <s v="Amazon"/>
    <s v="United States"/>
    <s v="stroller cup holder"/>
    <s v="PHRASE"/>
    <x v="198"/>
    <n v="8"/>
    <n v="1"/>
    <n v="0.125"/>
    <n v="0.2"/>
    <n v="0.2"/>
    <n v="17.09"/>
    <n v="1.1702750146284377E-2"/>
    <n v="85.449999999999989"/>
    <n v="1"/>
    <n v="1"/>
    <n v="1"/>
    <n v="0"/>
    <n v="1"/>
    <n v="0"/>
    <n v="17.09"/>
  </r>
  <r>
    <x v="0"/>
    <x v="1"/>
    <d v="2026-01-09T00:00:00"/>
    <s v="No Portfolio"/>
    <s v="USD"/>
    <x v="1"/>
    <s v="broad组"/>
    <s v="Amazon"/>
    <s v="United States"/>
    <s v="baby stroller parent cup holders"/>
    <s v="BROAD"/>
    <x v="198"/>
    <n v="26"/>
    <n v="1"/>
    <n v="3.8461538461538464E-2"/>
    <n v="1.31"/>
    <n v="1.31"/>
    <n v="0"/>
    <m/>
    <n v="0"/>
    <n v="0"/>
    <n v="0"/>
    <n v="0"/>
    <n v="0"/>
    <n v="0"/>
    <n v="0"/>
    <n v="0"/>
  </r>
  <r>
    <x v="0"/>
    <x v="2"/>
    <d v="2026-01-14T00:00:00"/>
    <s v="No Portfolio"/>
    <s v="USD"/>
    <x v="1"/>
    <s v="broad组"/>
    <s v="Amazon"/>
    <s v="United States"/>
    <s v="baby stroller parent cup holders"/>
    <s v="BROAD"/>
    <x v="198"/>
    <n v="61"/>
    <n v="1"/>
    <n v="1.6393442622950821E-2"/>
    <n v="1.38"/>
    <n v="1.38"/>
    <n v="0"/>
    <m/>
    <n v="0"/>
    <n v="0"/>
    <n v="0"/>
    <n v="0"/>
    <n v="0"/>
    <n v="0"/>
    <n v="0"/>
    <n v="0"/>
  </r>
  <r>
    <x v="0"/>
    <x v="2"/>
    <d v="2026-01-16T00:00:00"/>
    <s v="No Portfolio"/>
    <s v="USD"/>
    <x v="1"/>
    <s v="broad组"/>
    <s v="Amazon"/>
    <s v="United States"/>
    <s v="baby stroller parent cup holders"/>
    <s v="BROAD"/>
    <x v="198"/>
    <n v="141"/>
    <n v="1"/>
    <n v="7.0921985815602844E-3"/>
    <n v="1.1499999999999999"/>
    <n v="1.1499999999999999"/>
    <n v="0"/>
    <m/>
    <n v="0"/>
    <n v="0"/>
    <n v="0"/>
    <n v="0"/>
    <n v="0"/>
    <n v="0"/>
    <n v="0"/>
    <n v="0"/>
  </r>
  <r>
    <x v="0"/>
    <x v="0"/>
    <d v="2026-01-18T00:00:00"/>
    <s v="No Portfolio"/>
    <s v="USD"/>
    <x v="1"/>
    <s v="broad组"/>
    <s v="Amazon"/>
    <s v="United States"/>
    <s v="baby stroller parent cup holders"/>
    <s v="BROAD"/>
    <x v="198"/>
    <n v="22"/>
    <n v="1"/>
    <n v="4.5454545454545463E-2"/>
    <n v="1.1499999999999999"/>
    <n v="1.1499999999999999"/>
    <n v="0"/>
    <m/>
    <n v="0"/>
    <n v="0"/>
    <n v="0"/>
    <n v="0"/>
    <n v="0"/>
    <n v="0"/>
    <n v="0"/>
    <n v="0"/>
  </r>
  <r>
    <x v="0"/>
    <x v="0"/>
    <d v="2026-01-21T00:00:00"/>
    <s v="No Portfolio"/>
    <s v="USD"/>
    <x v="4"/>
    <s v="stroller tray"/>
    <s v="Amazon"/>
    <s v="United States"/>
    <s v="close-match"/>
    <s v="-"/>
    <x v="199"/>
    <n v="13"/>
    <n v="1"/>
    <n v="7.6923076923076927E-2"/>
    <n v="0.68"/>
    <n v="0.68"/>
    <n v="0"/>
    <m/>
    <n v="0"/>
    <n v="0"/>
    <n v="0"/>
    <n v="0"/>
    <n v="0"/>
    <n v="0"/>
    <n v="0"/>
    <n v="0"/>
  </r>
  <r>
    <x v="0"/>
    <x v="2"/>
    <d v="2026-01-11T00:00:00"/>
    <s v="No Portfolio"/>
    <s v="USD"/>
    <x v="0"/>
    <s v="phrase&amp;exact"/>
    <s v="Amazon"/>
    <s v="United States"/>
    <s v="stroller cup holder"/>
    <s v="PHRASE"/>
    <x v="199"/>
    <n v="4"/>
    <n v="1"/>
    <n v="0.25"/>
    <n v="0.2"/>
    <n v="0.2"/>
    <n v="0"/>
    <m/>
    <n v="0"/>
    <n v="0"/>
    <n v="0"/>
    <n v="0"/>
    <n v="0"/>
    <n v="0"/>
    <n v="0"/>
    <n v="0"/>
  </r>
  <r>
    <x v="0"/>
    <x v="2"/>
    <d v="2026-01-12T00:00:00"/>
    <s v="No Portfolio"/>
    <s v="USD"/>
    <x v="1"/>
    <s v="broad组"/>
    <s v="Amazon"/>
    <s v="United States"/>
    <s v="baby stroller parent cup holders"/>
    <s v="BROAD"/>
    <x v="199"/>
    <n v="21"/>
    <n v="1"/>
    <n v="4.7619047619047623E-2"/>
    <n v="1.25"/>
    <n v="1.25"/>
    <n v="0"/>
    <m/>
    <n v="0"/>
    <n v="0"/>
    <n v="0"/>
    <n v="0"/>
    <n v="0"/>
    <n v="0"/>
    <n v="0"/>
    <n v="0"/>
  </r>
  <r>
    <x v="0"/>
    <x v="0"/>
    <d v="2026-01-18T00:00:00"/>
    <s v="No Portfolio"/>
    <s v="USD"/>
    <x v="1"/>
    <s v="broad组"/>
    <s v="Amazon"/>
    <s v="United States"/>
    <s v="baby stroller parent cup holders"/>
    <s v="BROAD"/>
    <x v="199"/>
    <n v="19"/>
    <n v="1"/>
    <n v="5.2631578947368418E-2"/>
    <n v="1.1499999999999999"/>
    <n v="1.1499999999999999"/>
    <n v="17.09"/>
    <n v="6.7290813341135167E-2"/>
    <n v="14.860869565217392"/>
    <n v="1"/>
    <n v="1"/>
    <n v="1"/>
    <n v="1"/>
    <n v="0"/>
    <n v="17.09"/>
    <n v="0"/>
  </r>
  <r>
    <x v="0"/>
    <x v="1"/>
    <d v="2026-01-09T00:00:00"/>
    <s v="No Portfolio"/>
    <s v="USD"/>
    <x v="1"/>
    <s v="Phrase&amp;Exact组"/>
    <s v="Amazon"/>
    <s v="United States"/>
    <s v="stroller cup holder attachment"/>
    <s v="EXACT"/>
    <x v="199"/>
    <n v="16"/>
    <n v="1"/>
    <n v="6.25E-2"/>
    <n v="0.53"/>
    <n v="0.53"/>
    <n v="0"/>
    <m/>
    <n v="0"/>
    <n v="0"/>
    <n v="0"/>
    <n v="0"/>
    <n v="0"/>
    <n v="0"/>
    <n v="0"/>
    <n v="0"/>
  </r>
  <r>
    <x v="0"/>
    <x v="2"/>
    <d v="2026-01-12T00:00:00"/>
    <s v="No Portfolio"/>
    <s v="USD"/>
    <x v="0"/>
    <s v="phrase&amp;exact"/>
    <s v="Amazon"/>
    <s v="United States"/>
    <s v="stroller cup holder"/>
    <s v="PHRASE"/>
    <x v="200"/>
    <n v="1"/>
    <n v="1"/>
    <n v="1"/>
    <n v="0.4"/>
    <n v="0.4"/>
    <n v="0"/>
    <m/>
    <n v="0"/>
    <n v="0"/>
    <n v="0"/>
    <n v="0"/>
    <n v="0"/>
    <n v="0"/>
    <n v="0"/>
    <n v="0"/>
  </r>
  <r>
    <x v="0"/>
    <x v="2"/>
    <d v="2026-01-13T00:00:00"/>
    <s v="No Portfolio"/>
    <s v="USD"/>
    <x v="0"/>
    <s v="broad组"/>
    <s v="Amazon"/>
    <s v="United States"/>
    <s v="stroller tray"/>
    <s v="BROAD"/>
    <x v="201"/>
    <n v="1"/>
    <n v="1"/>
    <n v="1"/>
    <n v="0.21"/>
    <n v="0.21"/>
    <n v="0"/>
    <m/>
    <n v="0"/>
    <n v="0"/>
    <n v="0"/>
    <n v="0"/>
    <n v="0"/>
    <n v="0"/>
    <n v="0"/>
    <n v="0"/>
  </r>
  <r>
    <x v="0"/>
    <x v="0"/>
    <d v="2026-01-19T00:00:00"/>
    <s v="No Portfolio"/>
    <s v="USD"/>
    <x v="4"/>
    <s v="stroller tray"/>
    <s v="Amazon"/>
    <s v="United States"/>
    <s v="close-match"/>
    <s v="-"/>
    <x v="202"/>
    <n v="3"/>
    <n v="1"/>
    <n v="0.33333333333333331"/>
    <n v="0.81"/>
    <n v="0.81"/>
    <n v="0"/>
    <m/>
    <n v="0"/>
    <n v="0"/>
    <n v="0"/>
    <n v="0"/>
    <n v="0"/>
    <n v="0"/>
    <n v="0"/>
    <n v="0"/>
  </r>
  <r>
    <x v="0"/>
    <x v="2"/>
    <d v="2026-01-11T00:00:00"/>
    <s v="No Portfolio"/>
    <s v="USD"/>
    <x v="4"/>
    <s v="stroller tray"/>
    <s v="Amazon"/>
    <s v="United States"/>
    <s v="loose-match"/>
    <s v="-"/>
    <x v="203"/>
    <n v="1"/>
    <n v="1"/>
    <n v="1"/>
    <n v="0.54"/>
    <n v="0.54"/>
    <n v="0"/>
    <m/>
    <n v="0"/>
    <n v="0"/>
    <n v="0"/>
    <n v="0"/>
    <n v="0"/>
    <n v="0"/>
    <n v="0"/>
    <n v="0"/>
  </r>
  <r>
    <x v="0"/>
    <x v="0"/>
    <d v="2026-01-19T00:00:00"/>
    <s v="No Portfolio"/>
    <s v="USD"/>
    <x v="4"/>
    <s v="stroller tray"/>
    <s v="Amazon"/>
    <s v="United States"/>
    <s v="loose-match"/>
    <s v="-"/>
    <x v="204"/>
    <n v="3"/>
    <n v="1"/>
    <n v="0.33333333333333331"/>
    <n v="0.6"/>
    <n v="0.6"/>
    <n v="0"/>
    <m/>
    <n v="0"/>
    <n v="0"/>
    <n v="0"/>
    <n v="0"/>
    <n v="0"/>
    <n v="0"/>
    <n v="0"/>
    <n v="0"/>
  </r>
  <r>
    <x v="0"/>
    <x v="2"/>
    <d v="2026-01-13T00:00:00"/>
    <s v="No Portfolio"/>
    <s v="USD"/>
    <x v="4"/>
    <s v="stroller tray"/>
    <s v="Amazon"/>
    <s v="United States"/>
    <s v="close-match"/>
    <s v="-"/>
    <x v="205"/>
    <n v="5"/>
    <n v="1"/>
    <n v="0.2"/>
    <n v="0.48"/>
    <n v="0.48"/>
    <n v="0"/>
    <m/>
    <n v="0"/>
    <n v="0"/>
    <n v="0"/>
    <n v="0"/>
    <n v="0"/>
    <n v="0"/>
    <n v="0"/>
    <n v="0"/>
  </r>
  <r>
    <x v="0"/>
    <x v="0"/>
    <d v="2026-01-19T00:00:00"/>
    <s v="No Portfolio"/>
    <s v="USD"/>
    <x v="4"/>
    <s v="stroller tray"/>
    <s v="Amazon"/>
    <s v="United States"/>
    <s v="close-match"/>
    <s v="-"/>
    <x v="205"/>
    <n v="33"/>
    <n v="1"/>
    <n v="3.0303030303030304E-2"/>
    <n v="0.49"/>
    <n v="0.49"/>
    <n v="0"/>
    <m/>
    <n v="0"/>
    <n v="0"/>
    <n v="0"/>
    <n v="0"/>
    <n v="0"/>
    <n v="0"/>
    <n v="0"/>
    <n v="0"/>
  </r>
  <r>
    <x v="0"/>
    <x v="0"/>
    <d v="2026-01-20T00:00:00"/>
    <s v="No Portfolio"/>
    <s v="USD"/>
    <x v="4"/>
    <s v="stroller tray"/>
    <s v="Amazon"/>
    <s v="United States"/>
    <s v="close-match"/>
    <s v="-"/>
    <x v="205"/>
    <n v="12"/>
    <n v="1"/>
    <n v="8.3333333333333315E-2"/>
    <n v="0.81"/>
    <n v="0.81"/>
    <n v="0"/>
    <m/>
    <n v="0"/>
    <n v="0"/>
    <n v="0"/>
    <n v="0"/>
    <n v="0"/>
    <n v="0"/>
    <n v="0"/>
    <n v="0"/>
  </r>
  <r>
    <x v="0"/>
    <x v="2"/>
    <d v="2026-01-13T00:00:00"/>
    <s v="No Portfolio"/>
    <s v="USD"/>
    <x v="4"/>
    <s v="stroller tray"/>
    <s v="Amazon"/>
    <s v="United States"/>
    <s v="substitutes"/>
    <s v="-"/>
    <x v="205"/>
    <n v="5"/>
    <n v="1"/>
    <n v="0.2"/>
    <n v="0.5"/>
    <n v="0.5"/>
    <n v="0"/>
    <m/>
    <n v="0"/>
    <n v="0"/>
    <n v="0"/>
    <n v="0"/>
    <n v="0"/>
    <n v="0"/>
    <n v="0"/>
    <n v="0"/>
  </r>
  <r>
    <x v="0"/>
    <x v="1"/>
    <d v="2026-01-08T00:00:00"/>
    <s v="No Portfolio"/>
    <s v="USD"/>
    <x v="1"/>
    <s v="Phrase&amp;Exact组"/>
    <s v="Amazon"/>
    <s v="United States"/>
    <s v="stroller snack tray"/>
    <s v="EXACT"/>
    <x v="205"/>
    <n v="21"/>
    <n v="1"/>
    <n v="4.7619047619047623E-2"/>
    <n v="1.1499999999999999"/>
    <n v="1.1499999999999999"/>
    <n v="0"/>
    <m/>
    <n v="0"/>
    <n v="0"/>
    <n v="0"/>
    <n v="0"/>
    <n v="0"/>
    <n v="0"/>
    <n v="0"/>
    <n v="0"/>
  </r>
  <r>
    <x v="0"/>
    <x v="2"/>
    <d v="2026-01-15T00:00:00"/>
    <s v="No Portfolio"/>
    <s v="USD"/>
    <x v="1"/>
    <s v="Phrase&amp;Exact组"/>
    <s v="Amazon"/>
    <s v="United States"/>
    <s v="stroller snack tray"/>
    <s v="EXACT"/>
    <x v="205"/>
    <n v="33"/>
    <n v="1"/>
    <n v="3.0303030303030304E-2"/>
    <n v="1.3"/>
    <n v="1.3"/>
    <n v="0"/>
    <m/>
    <n v="0"/>
    <n v="0"/>
    <n v="0"/>
    <n v="0"/>
    <n v="0"/>
    <n v="0"/>
    <n v="0"/>
    <n v="0"/>
  </r>
  <r>
    <x v="0"/>
    <x v="2"/>
    <d v="2026-01-12T00:00:00"/>
    <s v="No Portfolio"/>
    <s v="USD"/>
    <x v="0"/>
    <s v="phrase&amp;exact"/>
    <s v="Amazon"/>
    <s v="United States"/>
    <s v="stroller snack tray"/>
    <s v="PHRASE"/>
    <x v="205"/>
    <n v="10"/>
    <n v="1"/>
    <n v="0.1"/>
    <n v="0.2"/>
    <n v="0.2"/>
    <n v="0"/>
    <m/>
    <n v="0"/>
    <n v="0"/>
    <n v="0"/>
    <n v="0"/>
    <n v="0"/>
    <n v="0"/>
    <n v="0"/>
    <n v="0"/>
  </r>
  <r>
    <x v="0"/>
    <x v="2"/>
    <d v="2026-01-14T00:00:00"/>
    <s v="No Portfolio"/>
    <s v="USD"/>
    <x v="0"/>
    <s v="phrase&amp;exact"/>
    <s v="Amazon"/>
    <s v="United States"/>
    <s v="stroller snack tray"/>
    <s v="PHRASE"/>
    <x v="205"/>
    <n v="11"/>
    <n v="1"/>
    <n v="9.0909090909090925E-2"/>
    <n v="0.21"/>
    <n v="0.21"/>
    <n v="0"/>
    <m/>
    <n v="0"/>
    <n v="0"/>
    <n v="0"/>
    <n v="0"/>
    <n v="0"/>
    <n v="0"/>
    <n v="0"/>
    <n v="0"/>
  </r>
  <r>
    <x v="0"/>
    <x v="2"/>
    <d v="2026-01-16T00:00:00"/>
    <s v="No Portfolio"/>
    <s v="USD"/>
    <x v="0"/>
    <s v="phrase&amp;exact"/>
    <s v="Amazon"/>
    <s v="United States"/>
    <s v="stroller snack tray"/>
    <s v="PHRASE"/>
    <x v="205"/>
    <n v="20"/>
    <n v="1"/>
    <n v="0.05"/>
    <n v="0.2"/>
    <n v="0.2"/>
    <n v="0"/>
    <m/>
    <n v="0"/>
    <n v="0"/>
    <n v="0"/>
    <n v="0"/>
    <n v="0"/>
    <n v="0"/>
    <n v="0"/>
    <n v="0"/>
  </r>
  <r>
    <x v="0"/>
    <x v="1"/>
    <d v="2026-01-07T00:00:00"/>
    <s v="No Portfolio"/>
    <s v="USD"/>
    <x v="0"/>
    <s v="phrase&amp;exact"/>
    <s v="Amazon"/>
    <s v="United States"/>
    <s v="stroller snack tray"/>
    <s v="EXACT"/>
    <x v="205"/>
    <n v="22"/>
    <n v="1"/>
    <n v="4.5454545454545463E-2"/>
    <n v="0.2"/>
    <n v="0.2"/>
    <n v="0"/>
    <m/>
    <n v="0"/>
    <n v="0"/>
    <n v="0"/>
    <n v="0"/>
    <n v="0"/>
    <n v="0"/>
    <n v="0"/>
    <n v="0"/>
  </r>
  <r>
    <x v="0"/>
    <x v="1"/>
    <d v="2026-01-09T00:00:00"/>
    <s v="No Portfolio"/>
    <s v="USD"/>
    <x v="2"/>
    <s v="Tray"/>
    <s v="Amazon"/>
    <s v="United States"/>
    <s v="asin=&quot;B0DSBVB1WW&quot;"/>
    <s v="-"/>
    <x v="205"/>
    <n v="5"/>
    <n v="2"/>
    <n v="0.4"/>
    <n v="0.7"/>
    <n v="1.4"/>
    <n v="0"/>
    <m/>
    <n v="0"/>
    <n v="0"/>
    <n v="0"/>
    <n v="0"/>
    <n v="0"/>
    <n v="0"/>
    <n v="0"/>
    <n v="0"/>
  </r>
  <r>
    <x v="0"/>
    <x v="1"/>
    <d v="2026-01-10T00:00:00"/>
    <s v="No Portfolio"/>
    <s v="USD"/>
    <x v="2"/>
    <s v="Tray"/>
    <s v="Amazon"/>
    <s v="United States"/>
    <s v="asin=&quot;B0DSBVB1WW&quot;"/>
    <s v="-"/>
    <x v="205"/>
    <n v="22"/>
    <n v="2"/>
    <n v="9.0909090909090925E-2"/>
    <n v="0.7"/>
    <n v="1.4"/>
    <n v="0"/>
    <m/>
    <n v="0"/>
    <n v="0"/>
    <n v="0"/>
    <n v="0"/>
    <n v="0"/>
    <n v="0"/>
    <n v="0"/>
    <n v="0"/>
  </r>
  <r>
    <x v="0"/>
    <x v="2"/>
    <d v="2026-01-13T00:00:00"/>
    <s v="No Portfolio"/>
    <s v="USD"/>
    <x v="0"/>
    <s v="broad组"/>
    <s v="Amazon"/>
    <s v="United States"/>
    <s v="snack tray for stroller"/>
    <s v="BROAD"/>
    <x v="205"/>
    <n v="9"/>
    <n v="1"/>
    <n v="0.1111111111111111"/>
    <n v="0.2"/>
    <n v="0.2"/>
    <n v="0"/>
    <m/>
    <n v="0"/>
    <n v="0"/>
    <n v="0"/>
    <n v="0"/>
    <n v="0"/>
    <n v="0"/>
    <n v="0"/>
    <n v="0"/>
  </r>
  <r>
    <x v="0"/>
    <x v="2"/>
    <d v="2026-01-11T00:00:00"/>
    <s v="No Portfolio"/>
    <s v="USD"/>
    <x v="1"/>
    <s v="broad组"/>
    <s v="Amazon"/>
    <s v="United States"/>
    <s v="stroller snack tray attachment"/>
    <s v="BROAD"/>
    <x v="205"/>
    <n v="10"/>
    <n v="1"/>
    <n v="0.1"/>
    <n v="1.73"/>
    <n v="1.73"/>
    <n v="0"/>
    <m/>
    <n v="0"/>
    <n v="0"/>
    <n v="0"/>
    <n v="0"/>
    <n v="0"/>
    <n v="0"/>
    <n v="0"/>
    <n v="0"/>
  </r>
  <r>
    <x v="0"/>
    <x v="1"/>
    <d v="2026-01-04T00:00:00"/>
    <s v="No Portfolio"/>
    <s v="USD"/>
    <x v="4"/>
    <s v="stroller tray"/>
    <s v="Amazon"/>
    <s v="United States"/>
    <s v="close-match"/>
    <s v="-"/>
    <x v="206"/>
    <n v="34"/>
    <n v="1"/>
    <n v="2.9411764705882349E-2"/>
    <n v="0.65"/>
    <n v="0.65"/>
    <n v="35.979999999999997"/>
    <n v="1.8065591995553087E-2"/>
    <n v="55.353846153846149"/>
    <n v="1"/>
    <n v="2"/>
    <n v="1"/>
    <n v="0"/>
    <n v="2"/>
    <n v="0"/>
    <n v="35.979999999999997"/>
  </r>
  <r>
    <x v="0"/>
    <x v="2"/>
    <d v="2026-01-15T00:00:00"/>
    <s v="No Portfolio"/>
    <s v="USD"/>
    <x v="4"/>
    <s v="stroller tray"/>
    <s v="Amazon"/>
    <s v="United States"/>
    <s v="close-match"/>
    <s v="-"/>
    <x v="206"/>
    <n v="1"/>
    <n v="1"/>
    <n v="1"/>
    <n v="0.46"/>
    <n v="0.46"/>
    <n v="17.09"/>
    <n v="2.6916325336454067E-2"/>
    <n v="37.152173913043477"/>
    <n v="1"/>
    <n v="1"/>
    <n v="1"/>
    <n v="1"/>
    <n v="0"/>
    <n v="17.09"/>
    <n v="0"/>
  </r>
  <r>
    <x v="0"/>
    <x v="1"/>
    <d v="2026-01-05T00:00:00"/>
    <s v="No Portfolio"/>
    <s v="USD"/>
    <x v="1"/>
    <s v="broad组"/>
    <s v="Amazon"/>
    <s v="United States"/>
    <s v="stroller snack tray attachment"/>
    <s v="BROAD"/>
    <x v="206"/>
    <n v="21"/>
    <n v="1"/>
    <n v="4.7619047619047623E-2"/>
    <n v="1.33"/>
    <n v="1.33"/>
    <n v="17.989999999999998"/>
    <n v="7.3929961089494178E-2"/>
    <n v="13.526315789473683"/>
    <n v="1"/>
    <n v="1"/>
    <n v="1"/>
    <n v="1"/>
    <n v="0"/>
    <n v="17.989999999999998"/>
    <n v="0"/>
  </r>
  <r>
    <x v="0"/>
    <x v="1"/>
    <d v="2026-01-06T00:00:00"/>
    <s v="No Portfolio"/>
    <s v="USD"/>
    <x v="0"/>
    <s v="broad组"/>
    <s v="Amazon"/>
    <s v="United States"/>
    <s v="stroller snack tray attachment"/>
    <s v="BROAD"/>
    <x v="206"/>
    <n v="2"/>
    <n v="1"/>
    <n v="0.5"/>
    <n v="0.2"/>
    <n v="0.2"/>
    <n v="0"/>
    <m/>
    <n v="0"/>
    <n v="0"/>
    <n v="0"/>
    <n v="0"/>
    <n v="0"/>
    <n v="0"/>
    <n v="0"/>
    <n v="0"/>
  </r>
  <r>
    <x v="0"/>
    <x v="2"/>
    <d v="2026-01-16T00:00:00"/>
    <s v="No Portfolio"/>
    <s v="USD"/>
    <x v="1"/>
    <s v="broad组"/>
    <s v="Amazon"/>
    <s v="United States"/>
    <s v="snack tray for stroller"/>
    <s v="BROAD"/>
    <x v="206"/>
    <n v="14"/>
    <n v="1"/>
    <n v="7.1428571428571425E-2"/>
    <n v="1.04"/>
    <n v="1.04"/>
    <n v="0"/>
    <m/>
    <n v="0"/>
    <n v="0"/>
    <n v="0"/>
    <n v="0"/>
    <n v="0"/>
    <n v="0"/>
    <n v="0"/>
    <n v="0"/>
  </r>
  <r>
    <x v="0"/>
    <x v="1"/>
    <d v="2026-01-06T00:00:00"/>
    <s v="No Portfolio"/>
    <s v="USD"/>
    <x v="1"/>
    <s v="Phrase&amp;Exact组"/>
    <s v="Amazon"/>
    <s v="United States"/>
    <s v="stroller snack tray attachment"/>
    <s v="EXACT"/>
    <x v="206"/>
    <n v="211"/>
    <n v="1"/>
    <n v="4.7393364928909956E-3"/>
    <n v="1.07"/>
    <n v="1.07"/>
    <n v="0"/>
    <m/>
    <n v="0"/>
    <n v="0"/>
    <n v="0"/>
    <n v="0"/>
    <n v="0"/>
    <n v="0"/>
    <n v="0"/>
    <n v="0"/>
  </r>
  <r>
    <x v="0"/>
    <x v="1"/>
    <d v="2026-01-07T00:00:00"/>
    <s v="No Portfolio"/>
    <s v="USD"/>
    <x v="1"/>
    <s v="Phrase&amp;Exact组"/>
    <s v="Amazon"/>
    <s v="United States"/>
    <s v="stroller snack tray attachment"/>
    <s v="EXACT"/>
    <x v="206"/>
    <n v="53"/>
    <n v="2"/>
    <n v="3.7735849056603772E-2"/>
    <n v="0.99"/>
    <n v="1.98"/>
    <n v="0"/>
    <m/>
    <n v="0"/>
    <n v="0"/>
    <n v="0"/>
    <n v="0"/>
    <n v="0"/>
    <n v="0"/>
    <n v="0"/>
    <n v="0"/>
  </r>
  <r>
    <x v="0"/>
    <x v="0"/>
    <d v="2026-01-21T00:00:00"/>
    <s v="No Portfolio"/>
    <s v="USD"/>
    <x v="1"/>
    <s v="Phrase&amp;Exact组"/>
    <s v="Amazon"/>
    <s v="United States"/>
    <s v="stroller snack tray attachment"/>
    <s v="EXACT"/>
    <x v="206"/>
    <n v="43"/>
    <n v="1"/>
    <n v="2.3255813953488372E-2"/>
    <n v="1.06"/>
    <n v="1.06"/>
    <n v="0"/>
    <m/>
    <n v="0"/>
    <n v="0"/>
    <n v="0"/>
    <n v="0"/>
    <n v="0"/>
    <n v="0"/>
    <n v="0"/>
    <n v="0"/>
  </r>
  <r>
    <x v="0"/>
    <x v="2"/>
    <d v="2026-01-15T00:00:00"/>
    <s v="No Portfolio"/>
    <s v="USD"/>
    <x v="1"/>
    <s v="broad组"/>
    <s v="Amazon"/>
    <s v="United States"/>
    <s v="universal snack tray"/>
    <s v="BROAD"/>
    <x v="207"/>
    <n v="3"/>
    <n v="1"/>
    <n v="0.33333333333333331"/>
    <n v="1.42"/>
    <n v="1.42"/>
    <n v="0"/>
    <m/>
    <n v="0"/>
    <n v="0"/>
    <n v="0"/>
    <n v="0"/>
    <n v="0"/>
    <n v="0"/>
    <n v="0"/>
    <n v="0"/>
  </r>
  <r>
    <x v="0"/>
    <x v="3"/>
    <d v="2026-01-02T00:00:00"/>
    <s v="No Portfolio"/>
    <s v="USD"/>
    <x v="4"/>
    <s v="stroller tray"/>
    <s v="Amazon"/>
    <s v="United States"/>
    <s v="close-match"/>
    <s v="-"/>
    <x v="208"/>
    <n v="8"/>
    <n v="1"/>
    <n v="0.125"/>
    <n v="0.67"/>
    <n v="0.67"/>
    <n v="0"/>
    <m/>
    <n v="0"/>
    <n v="0"/>
    <n v="0"/>
    <n v="0"/>
    <n v="0"/>
    <n v="0"/>
    <n v="0"/>
    <n v="0"/>
  </r>
  <r>
    <x v="0"/>
    <x v="1"/>
    <d v="2026-01-08T00:00:00"/>
    <s v="No Portfolio"/>
    <s v="USD"/>
    <x v="4"/>
    <s v="stroller tray"/>
    <s v="Amazon"/>
    <s v="United States"/>
    <s v="close-match"/>
    <s v="-"/>
    <x v="208"/>
    <n v="2"/>
    <n v="1"/>
    <n v="0.5"/>
    <n v="0.77"/>
    <n v="0.77"/>
    <n v="0"/>
    <m/>
    <n v="0"/>
    <n v="0"/>
    <n v="0"/>
    <n v="0"/>
    <n v="0"/>
    <n v="0"/>
    <n v="0"/>
    <n v="0"/>
  </r>
  <r>
    <x v="0"/>
    <x v="0"/>
    <d v="2026-01-20T00:00:00"/>
    <s v="No Portfolio"/>
    <s v="USD"/>
    <x v="2"/>
    <s v="Tray"/>
    <s v="Amazon"/>
    <s v="United States"/>
    <s v="asin=&quot;B09BG5RNLV&quot;"/>
    <s v="-"/>
    <x v="208"/>
    <n v="12"/>
    <n v="1"/>
    <n v="8.3333333333333315E-2"/>
    <n v="0.64"/>
    <n v="0.64"/>
    <n v="0"/>
    <m/>
    <n v="0"/>
    <n v="0"/>
    <n v="0"/>
    <n v="0"/>
    <n v="0"/>
    <n v="0"/>
    <n v="0"/>
    <n v="0"/>
  </r>
  <r>
    <x v="0"/>
    <x v="2"/>
    <d v="2026-01-16T00:00:00"/>
    <s v="No Portfolio"/>
    <s v="USD"/>
    <x v="4"/>
    <s v="stroller tray"/>
    <s v="Amazon"/>
    <s v="United States"/>
    <s v="close-match"/>
    <s v="-"/>
    <x v="209"/>
    <n v="3"/>
    <n v="1"/>
    <n v="0.33333333333333331"/>
    <n v="0.47"/>
    <n v="0.47"/>
    <n v="0"/>
    <m/>
    <n v="0"/>
    <n v="0"/>
    <n v="0"/>
    <n v="0"/>
    <n v="0"/>
    <n v="0"/>
    <n v="0"/>
    <n v="0"/>
  </r>
  <r>
    <x v="0"/>
    <x v="1"/>
    <d v="2026-01-08T00:00:00"/>
    <s v="No Portfolio"/>
    <s v="USD"/>
    <x v="1"/>
    <s v="Phrase&amp;Exact组"/>
    <s v="Amazon"/>
    <s v="United States"/>
    <s v="stroller tray attachment"/>
    <s v="PHRASE"/>
    <x v="209"/>
    <n v="4"/>
    <n v="1"/>
    <n v="0.25"/>
    <n v="1.53"/>
    <n v="1.53"/>
    <n v="0"/>
    <m/>
    <n v="0"/>
    <n v="0"/>
    <n v="0"/>
    <n v="0"/>
    <n v="0"/>
    <n v="0"/>
    <n v="0"/>
    <n v="0"/>
  </r>
  <r>
    <x v="0"/>
    <x v="1"/>
    <d v="2026-01-10T00:00:00"/>
    <s v="No Portfolio"/>
    <s v="USD"/>
    <x v="1"/>
    <s v="Phrase&amp;Exact组"/>
    <s v="Amazon"/>
    <s v="United States"/>
    <s v="stroller tray attachment"/>
    <s v="PHRASE"/>
    <x v="209"/>
    <n v="29"/>
    <n v="1"/>
    <n v="3.4482758620689655E-2"/>
    <n v="1.62"/>
    <n v="1.62"/>
    <n v="0"/>
    <m/>
    <n v="0"/>
    <n v="0"/>
    <n v="0"/>
    <n v="0"/>
    <n v="0"/>
    <n v="0"/>
    <n v="0"/>
    <n v="0"/>
  </r>
  <r>
    <x v="0"/>
    <x v="1"/>
    <d v="2026-01-06T00:00:00"/>
    <s v="No Portfolio"/>
    <s v="USD"/>
    <x v="0"/>
    <s v="phrase&amp;exact"/>
    <s v="Amazon"/>
    <s v="United States"/>
    <s v="stroller tray attachment"/>
    <s v="PHRASE"/>
    <x v="209"/>
    <n v="8"/>
    <n v="1"/>
    <n v="0.125"/>
    <n v="0.2"/>
    <n v="0.2"/>
    <n v="0"/>
    <m/>
    <n v="0"/>
    <n v="0"/>
    <n v="0"/>
    <n v="0"/>
    <n v="0"/>
    <n v="0"/>
    <n v="0"/>
    <n v="0"/>
  </r>
  <r>
    <x v="0"/>
    <x v="1"/>
    <d v="2026-01-08T00:00:00"/>
    <s v="No Portfolio"/>
    <s v="USD"/>
    <x v="1"/>
    <s v="broad组"/>
    <s v="Amazon"/>
    <s v="United States"/>
    <s v="stroller snack tray attachment"/>
    <s v="BROAD"/>
    <x v="209"/>
    <n v="18"/>
    <n v="1"/>
    <n v="5.5555555555555552E-2"/>
    <n v="1.73"/>
    <n v="1.73"/>
    <n v="0"/>
    <m/>
    <n v="0"/>
    <n v="0"/>
    <n v="0"/>
    <n v="0"/>
    <n v="0"/>
    <n v="0"/>
    <n v="0"/>
    <n v="0"/>
  </r>
  <r>
    <x v="0"/>
    <x v="1"/>
    <d v="2026-01-04T00:00:00"/>
    <s v="No Portfolio"/>
    <s v="USD"/>
    <x v="0"/>
    <s v="phrase&amp;exact"/>
    <s v="Amazon"/>
    <s v="United States"/>
    <s v="stroller tray attachment"/>
    <s v="PHRASE"/>
    <x v="210"/>
    <n v="19"/>
    <n v="1"/>
    <n v="5.2631578947368418E-2"/>
    <n v="0.2"/>
    <n v="0.2"/>
    <n v="0"/>
    <m/>
    <n v="0"/>
    <n v="0"/>
    <n v="0"/>
    <n v="0"/>
    <n v="0"/>
    <n v="0"/>
    <n v="0"/>
    <n v="0"/>
  </r>
  <r>
    <x v="0"/>
    <x v="0"/>
    <d v="2026-01-19T00:00:00"/>
    <s v="No Portfolio"/>
    <s v="USD"/>
    <x v="0"/>
    <s v="phrase&amp;exact"/>
    <s v="Amazon"/>
    <s v="United States"/>
    <s v="stroller tray attachment"/>
    <s v="PHRASE"/>
    <x v="210"/>
    <n v="3"/>
    <n v="1"/>
    <n v="0.33333333333333331"/>
    <n v="0.2"/>
    <n v="0.2"/>
    <n v="0"/>
    <m/>
    <n v="0"/>
    <n v="0"/>
    <n v="0"/>
    <n v="0"/>
    <n v="0"/>
    <n v="0"/>
    <n v="0"/>
    <n v="0"/>
  </r>
  <r>
    <x v="0"/>
    <x v="2"/>
    <d v="2026-01-16T00:00:00"/>
    <s v="No Portfolio"/>
    <s v="USD"/>
    <x v="0"/>
    <s v="broad组"/>
    <s v="Amazon"/>
    <s v="United States"/>
    <s v="stroller tray"/>
    <s v="BROAD"/>
    <x v="211"/>
    <n v="2"/>
    <n v="1"/>
    <n v="0.5"/>
    <n v="0.21"/>
    <n v="0.21"/>
    <n v="0"/>
    <m/>
    <n v="0"/>
    <n v="0"/>
    <n v="0"/>
    <n v="0"/>
    <n v="0"/>
    <n v="0"/>
    <n v="0"/>
    <n v="0"/>
  </r>
  <r>
    <x v="0"/>
    <x v="2"/>
    <d v="2026-01-12T00:00:00"/>
    <s v="No Portfolio"/>
    <s v="USD"/>
    <x v="0"/>
    <s v="broad组"/>
    <s v="Amazon"/>
    <s v="United States"/>
    <s v="stroller tray"/>
    <s v="BROAD"/>
    <x v="212"/>
    <n v="2"/>
    <n v="2"/>
    <n v="1"/>
    <n v="0.21"/>
    <n v="0.42"/>
    <n v="0"/>
    <m/>
    <n v="0"/>
    <n v="0"/>
    <n v="0"/>
    <n v="0"/>
    <n v="0"/>
    <n v="0"/>
    <n v="0"/>
    <n v="0"/>
  </r>
  <r>
    <x v="0"/>
    <x v="1"/>
    <d v="2026-01-05T00:00:00"/>
    <s v="No Portfolio"/>
    <s v="USD"/>
    <x v="4"/>
    <s v="stroller tray"/>
    <s v="Amazon"/>
    <s v="United States"/>
    <s v="close-match"/>
    <s v="-"/>
    <x v="213"/>
    <n v="4"/>
    <n v="1"/>
    <n v="0.25"/>
    <n v="0.77"/>
    <n v="0.77"/>
    <n v="0"/>
    <m/>
    <n v="0"/>
    <n v="0"/>
    <n v="0"/>
    <n v="0"/>
    <n v="0"/>
    <n v="0"/>
    <n v="0"/>
    <n v="0"/>
  </r>
  <r>
    <x v="0"/>
    <x v="2"/>
    <d v="2026-01-16T00:00:00"/>
    <s v="No Portfolio"/>
    <s v="USD"/>
    <x v="0"/>
    <s v="broad组"/>
    <s v="Amazon"/>
    <s v="United States"/>
    <s v="stroller snack tray"/>
    <s v="BROAD"/>
    <x v="214"/>
    <n v="3"/>
    <n v="1"/>
    <n v="0.33333333333333331"/>
    <n v="0.2"/>
    <n v="0.2"/>
    <n v="0"/>
    <m/>
    <n v="0"/>
    <n v="0"/>
    <n v="0"/>
    <n v="0"/>
    <n v="0"/>
    <n v="0"/>
    <n v="0"/>
    <n v="0"/>
  </r>
  <r>
    <x v="0"/>
    <x v="0"/>
    <d v="2026-01-18T00:00:00"/>
    <s v="No Portfolio"/>
    <s v="USD"/>
    <x v="4"/>
    <s v="stroller tray"/>
    <s v="Amazon"/>
    <s v="United States"/>
    <s v="loose-match"/>
    <s v="-"/>
    <x v="215"/>
    <n v="1"/>
    <n v="1"/>
    <n v="1"/>
    <n v="0.44"/>
    <n v="0.44"/>
    <n v="0"/>
    <m/>
    <n v="0"/>
    <n v="0"/>
    <n v="0"/>
    <n v="0"/>
    <n v="0"/>
    <n v="0"/>
    <n v="0"/>
    <n v="0"/>
  </r>
  <r>
    <x v="0"/>
    <x v="2"/>
    <d v="2026-01-17T00:00:00"/>
    <s v="No Portfolio"/>
    <s v="USD"/>
    <x v="6"/>
    <s v="ENC"/>
    <s v="Amazon"/>
    <s v="United States"/>
    <s v="loose-match"/>
    <s v="-"/>
    <x v="216"/>
    <n v="1"/>
    <n v="1"/>
    <n v="1"/>
    <n v="0.93"/>
    <n v="0.93"/>
    <n v="0"/>
    <m/>
    <n v="0"/>
    <n v="0"/>
    <n v="0"/>
    <n v="0"/>
    <n v="0"/>
    <n v="0"/>
    <n v="0"/>
    <n v="0"/>
  </r>
  <r>
    <x v="0"/>
    <x v="1"/>
    <d v="2026-01-09T00:00:00"/>
    <s v="No Portfolio"/>
    <s v="USD"/>
    <x v="0"/>
    <s v="broad组"/>
    <s v="Amazon"/>
    <s v="United States"/>
    <s v="cup holder for stroller"/>
    <s v="BROAD"/>
    <x v="217"/>
    <n v="1"/>
    <n v="1"/>
    <n v="1"/>
    <n v="0.4"/>
    <n v="0.4"/>
    <n v="0"/>
    <m/>
    <n v="0"/>
    <n v="0"/>
    <n v="0"/>
    <n v="0"/>
    <n v="0"/>
    <n v="0"/>
    <n v="0"/>
    <n v="0"/>
  </r>
  <r>
    <x v="0"/>
    <x v="3"/>
    <d v="2026-01-01T00:00:00"/>
    <s v="No Portfolio"/>
    <s v="USD"/>
    <x v="7"/>
    <s v="Phrase&amp;Exact组"/>
    <s v="Amazon"/>
    <s v="United States"/>
    <s v="toddler carrier"/>
    <s v="PHRASE"/>
    <x v="218"/>
    <n v="193"/>
    <n v="1"/>
    <n v="5.1813471502590684E-3"/>
    <n v="0.04"/>
    <n v="0.04"/>
    <n v="0"/>
    <m/>
    <n v="0"/>
    <n v="0"/>
    <n v="0"/>
    <n v="0"/>
    <n v="0"/>
    <n v="0"/>
    <n v="0"/>
    <n v="0"/>
  </r>
  <r>
    <x v="0"/>
    <x v="3"/>
    <d v="2026-01-02T00:00:00"/>
    <s v="No Portfolio"/>
    <s v="USD"/>
    <x v="7"/>
    <s v="Phrase&amp;Exact组"/>
    <s v="Amazon"/>
    <s v="United States"/>
    <s v="toddler carrier"/>
    <s v="PHRASE"/>
    <x v="218"/>
    <n v="70"/>
    <n v="1"/>
    <n v="1.4285714285714285E-2"/>
    <n v="0.04"/>
    <n v="0.04"/>
    <n v="0"/>
    <m/>
    <n v="0"/>
    <n v="0"/>
    <n v="0"/>
    <n v="0"/>
    <n v="0"/>
    <n v="0"/>
    <n v="0"/>
    <n v="0"/>
  </r>
  <r>
    <x v="0"/>
    <x v="3"/>
    <d v="2026-01-02T00:00:00"/>
    <s v="No Portfolio"/>
    <s v="USD"/>
    <x v="7"/>
    <s v="broad组"/>
    <s v="Amazon"/>
    <s v="United States"/>
    <s v="toddler carrier"/>
    <s v="BROAD"/>
    <x v="218"/>
    <n v="10"/>
    <n v="1"/>
    <n v="0.1"/>
    <n v="0.45"/>
    <n v="0.45"/>
    <n v="0"/>
    <m/>
    <n v="0"/>
    <n v="0"/>
    <n v="0"/>
    <n v="0"/>
    <n v="0"/>
    <n v="0"/>
    <n v="0"/>
    <n v="0"/>
  </r>
  <r>
    <x v="0"/>
    <x v="3"/>
    <d v="2026-01-02T00:00:00"/>
    <s v="No Portfolio"/>
    <s v="USD"/>
    <x v="8"/>
    <s v="baby carrier"/>
    <s v="Amazon"/>
    <s v="United States"/>
    <s v="loose-match"/>
    <s v="-"/>
    <x v="219"/>
    <n v="13"/>
    <n v="1"/>
    <n v="7.6923076923076927E-2"/>
    <n v="0.46"/>
    <n v="0.46"/>
    <n v="0"/>
    <m/>
    <n v="0"/>
    <n v="0"/>
    <n v="0"/>
    <n v="0"/>
    <n v="0"/>
    <n v="0"/>
    <n v="0"/>
    <n v="0"/>
  </r>
  <r>
    <x v="0"/>
    <x v="2"/>
    <d v="2026-01-11T00:00:00"/>
    <s v="No Portfolio"/>
    <s v="USD"/>
    <x v="6"/>
    <s v="ENC"/>
    <s v="Amazon"/>
    <s v="United States"/>
    <s v="loose-match"/>
    <s v="-"/>
    <x v="220"/>
    <n v="1"/>
    <n v="1"/>
    <n v="1"/>
    <n v="1.19"/>
    <n v="1.19"/>
    <n v="0"/>
    <m/>
    <n v="0"/>
    <n v="0"/>
    <n v="0"/>
    <n v="0"/>
    <n v="0"/>
    <n v="0"/>
    <n v="0"/>
    <n v="0"/>
  </r>
  <r>
    <x v="0"/>
    <x v="3"/>
    <d v="2026-01-02T00:00:00"/>
    <s v="No Portfolio"/>
    <s v="USD"/>
    <x v="0"/>
    <s v="broad组"/>
    <s v="Amazon"/>
    <s v="United States"/>
    <s v="stroller tray"/>
    <s v="BROAD"/>
    <x v="221"/>
    <n v="1"/>
    <n v="1"/>
    <n v="1"/>
    <n v="0.21"/>
    <n v="0.21"/>
    <n v="0"/>
    <m/>
    <n v="0"/>
    <n v="0"/>
    <n v="0"/>
    <n v="0"/>
    <n v="0"/>
    <n v="0"/>
    <n v="0"/>
    <n v="0"/>
  </r>
  <r>
    <x v="0"/>
    <x v="3"/>
    <d v="2026-01-01T00:00:00"/>
    <s v="No Portfolio"/>
    <s v="USD"/>
    <x v="0"/>
    <s v="broad组"/>
    <s v="Amazon"/>
    <s v="United States"/>
    <s v="stroller tray"/>
    <s v="BROAD"/>
    <x v="222"/>
    <n v="2"/>
    <n v="1"/>
    <n v="0.5"/>
    <n v="0.2"/>
    <n v="0.2"/>
    <n v="0"/>
    <m/>
    <n v="0"/>
    <n v="0"/>
    <n v="0"/>
    <n v="0"/>
    <n v="0"/>
    <n v="0"/>
    <n v="0"/>
    <n v="0"/>
  </r>
  <r>
    <x v="0"/>
    <x v="3"/>
    <d v="2026-01-03T00:00:00"/>
    <s v="No Portfolio"/>
    <s v="USD"/>
    <x v="4"/>
    <s v="stroller tray"/>
    <s v="Amazon"/>
    <s v="United States"/>
    <s v="close-match"/>
    <s v="-"/>
    <x v="223"/>
    <n v="5"/>
    <n v="1"/>
    <n v="0.2"/>
    <n v="0.79"/>
    <n v="0.79"/>
    <n v="0"/>
    <m/>
    <n v="0"/>
    <n v="0"/>
    <n v="0"/>
    <n v="0"/>
    <n v="0"/>
    <n v="0"/>
    <n v="0"/>
    <n v="0"/>
  </r>
  <r>
    <x v="0"/>
    <x v="2"/>
    <d v="2026-01-14T00:00:00"/>
    <s v="No Portfolio"/>
    <s v="USD"/>
    <x v="0"/>
    <s v="broad组"/>
    <s v="Amazon"/>
    <s v="United States"/>
    <s v="stroller tray"/>
    <s v="BROAD"/>
    <x v="224"/>
    <n v="1"/>
    <n v="1"/>
    <n v="1"/>
    <n v="0.21"/>
    <n v="0.21"/>
    <n v="0"/>
    <m/>
    <n v="0"/>
    <n v="0"/>
    <n v="0"/>
    <n v="0"/>
    <n v="0"/>
    <n v="0"/>
    <n v="0"/>
    <n v="0"/>
  </r>
  <r>
    <x v="0"/>
    <x v="0"/>
    <d v="2026-01-20T00:00:00"/>
    <s v="No Portfolio"/>
    <s v="USD"/>
    <x v="0"/>
    <s v="broad组"/>
    <s v="Amazon"/>
    <s v="United States"/>
    <s v="cup holder for stroller"/>
    <s v="BROAD"/>
    <x v="225"/>
    <n v="1"/>
    <n v="1"/>
    <n v="1"/>
    <n v="0.21"/>
    <n v="0.21"/>
    <n v="0"/>
    <m/>
    <n v="0"/>
    <n v="0"/>
    <n v="0"/>
    <n v="0"/>
    <n v="0"/>
    <n v="0"/>
    <n v="0"/>
    <n v="0"/>
  </r>
  <r>
    <x v="0"/>
    <x v="3"/>
    <d v="2026-01-03T00:00:00"/>
    <s v="No Portfolio"/>
    <s v="USD"/>
    <x v="7"/>
    <s v="Phrase&amp;Exact组"/>
    <s v="Amazon"/>
    <s v="United States"/>
    <s v="baby carrier"/>
    <s v="PHRASE"/>
    <x v="226"/>
    <n v="210"/>
    <n v="1"/>
    <n v="4.7619047619047623E-3"/>
    <n v="0.5"/>
    <n v="0.5"/>
    <n v="0"/>
    <m/>
    <n v="0"/>
    <n v="0"/>
    <n v="0"/>
    <n v="0"/>
    <n v="0"/>
    <n v="0"/>
    <n v="0"/>
    <n v="0"/>
  </r>
  <r>
    <x v="0"/>
    <x v="2"/>
    <d v="2026-01-12T00:00:00"/>
    <s v="No Portfolio"/>
    <s v="USD"/>
    <x v="0"/>
    <s v="broad组"/>
    <s v="Amazon"/>
    <s v="United States"/>
    <s v="stroller tray"/>
    <s v="BROAD"/>
    <x v="227"/>
    <n v="5"/>
    <n v="1"/>
    <n v="0.2"/>
    <n v="0.21"/>
    <n v="0.21"/>
    <n v="0"/>
    <m/>
    <n v="0"/>
    <n v="0"/>
    <n v="0"/>
    <n v="0"/>
    <n v="0"/>
    <n v="0"/>
    <n v="0"/>
    <n v="0"/>
  </r>
  <r>
    <x v="0"/>
    <x v="1"/>
    <d v="2026-01-10T00:00:00"/>
    <s v="No Portfolio"/>
    <s v="USD"/>
    <x v="0"/>
    <s v="broad组"/>
    <s v="Amazon"/>
    <s v="United States"/>
    <s v="stroller attachment"/>
    <s v="BROAD"/>
    <x v="228"/>
    <n v="2"/>
    <n v="1"/>
    <n v="0.5"/>
    <n v="0.21"/>
    <n v="0.21"/>
    <n v="0"/>
    <m/>
    <n v="0"/>
    <n v="0"/>
    <n v="0"/>
    <n v="0"/>
    <n v="0"/>
    <n v="0"/>
    <n v="0"/>
    <n v="0"/>
  </r>
  <r>
    <x v="0"/>
    <x v="1"/>
    <d v="2026-01-08T00:00:00"/>
    <s v="No Portfolio"/>
    <s v="USD"/>
    <x v="2"/>
    <s v="Tray"/>
    <s v="Amazon"/>
    <s v="United States"/>
    <s v="asin=&quot;B0F4KJN2VC&quot;"/>
    <s v="-"/>
    <x v="229"/>
    <n v="3"/>
    <n v="1"/>
    <n v="0.33333333333333331"/>
    <n v="0.68"/>
    <n v="0.68"/>
    <n v="0"/>
    <m/>
    <n v="0"/>
    <n v="0"/>
    <n v="0"/>
    <n v="0"/>
    <n v="0"/>
    <n v="0"/>
    <n v="0"/>
    <n v="0"/>
  </r>
  <r>
    <x v="0"/>
    <x v="2"/>
    <d v="2026-01-13T00:00:00"/>
    <s v="No Portfolio"/>
    <s v="USD"/>
    <x v="4"/>
    <s v="stroller tray"/>
    <s v="Amazon"/>
    <s v="United States"/>
    <s v="substitutes"/>
    <s v="-"/>
    <x v="230"/>
    <n v="1"/>
    <n v="1"/>
    <n v="1"/>
    <n v="0.61"/>
    <n v="0.61"/>
    <n v="0"/>
    <m/>
    <n v="0"/>
    <n v="0"/>
    <n v="0"/>
    <n v="0"/>
    <n v="0"/>
    <n v="0"/>
    <n v="0"/>
    <n v="0"/>
  </r>
  <r>
    <x v="0"/>
    <x v="1"/>
    <d v="2026-01-05T00:00:00"/>
    <s v="No Portfolio"/>
    <s v="USD"/>
    <x v="1"/>
    <s v="broad组"/>
    <s v="Amazon"/>
    <s v="United States"/>
    <s v="stroller snack tray attachment"/>
    <s v="BROAD"/>
    <x v="230"/>
    <n v="1"/>
    <n v="1"/>
    <n v="1"/>
    <n v="1.23"/>
    <n v="1.23"/>
    <n v="0"/>
    <m/>
    <n v="0"/>
    <n v="0"/>
    <n v="0"/>
    <n v="0"/>
    <n v="0"/>
    <n v="0"/>
    <n v="0"/>
    <n v="0"/>
  </r>
  <r>
    <x v="0"/>
    <x v="1"/>
    <d v="2026-01-06T00:00:00"/>
    <s v="No Portfolio"/>
    <s v="USD"/>
    <x v="1"/>
    <s v="broad组"/>
    <s v="Amazon"/>
    <s v="United States"/>
    <s v="stroller tray"/>
    <s v="BROAD"/>
    <x v="231"/>
    <n v="2"/>
    <n v="1"/>
    <n v="0.5"/>
    <n v="0.7"/>
    <n v="0.7"/>
    <n v="0"/>
    <m/>
    <n v="0"/>
    <n v="0"/>
    <n v="0"/>
    <n v="0"/>
    <n v="0"/>
    <n v="0"/>
    <n v="0"/>
    <n v="0"/>
  </r>
  <r>
    <x v="0"/>
    <x v="2"/>
    <d v="2026-01-15T00:00:00"/>
    <s v="No Portfolio"/>
    <s v="USD"/>
    <x v="0"/>
    <s v="broad组"/>
    <s v="Amazon"/>
    <s v="United States"/>
    <s v="stroller tray"/>
    <s v="BROAD"/>
    <x v="231"/>
    <n v="3"/>
    <n v="1"/>
    <n v="0.33333333333333331"/>
    <n v="0.4"/>
    <n v="0.4"/>
    <n v="17.09"/>
    <n v="2.3405500292568757E-2"/>
    <n v="42.724999999999994"/>
    <n v="1"/>
    <n v="1"/>
    <n v="1"/>
    <n v="1"/>
    <n v="0"/>
    <n v="17.09"/>
    <n v="0"/>
  </r>
  <r>
    <x v="0"/>
    <x v="1"/>
    <d v="2026-01-08T00:00:00"/>
    <s v="No Portfolio"/>
    <s v="USD"/>
    <x v="4"/>
    <s v="stroller tray"/>
    <s v="Amazon"/>
    <s v="United States"/>
    <s v="close-match"/>
    <s v="-"/>
    <x v="232"/>
    <n v="3"/>
    <n v="1"/>
    <n v="0.33333333333333331"/>
    <n v="0.93"/>
    <n v="0.93"/>
    <n v="0"/>
    <m/>
    <n v="0"/>
    <n v="0"/>
    <n v="0"/>
    <n v="0"/>
    <n v="0"/>
    <n v="0"/>
    <n v="0"/>
    <n v="0"/>
  </r>
  <r>
    <x v="0"/>
    <x v="2"/>
    <d v="2026-01-12T00:00:00"/>
    <s v="No Portfolio"/>
    <s v="USD"/>
    <x v="4"/>
    <s v="stroller tray"/>
    <s v="Amazon"/>
    <s v="United States"/>
    <s v="close-match"/>
    <s v="-"/>
    <x v="233"/>
    <n v="4"/>
    <n v="1"/>
    <n v="0.25"/>
    <n v="0.53"/>
    <n v="0.53"/>
    <n v="0"/>
    <m/>
    <n v="0"/>
    <n v="0"/>
    <n v="0"/>
    <n v="0"/>
    <n v="0"/>
    <n v="0"/>
    <n v="0"/>
    <n v="0"/>
  </r>
  <r>
    <x v="0"/>
    <x v="0"/>
    <d v="2026-01-21T00:00:00"/>
    <s v="No Portfolio"/>
    <s v="USD"/>
    <x v="4"/>
    <s v="stroller tray"/>
    <s v="Amazon"/>
    <s v="United States"/>
    <s v="close-match"/>
    <s v="-"/>
    <x v="233"/>
    <n v="1"/>
    <n v="1"/>
    <n v="1"/>
    <n v="0.68"/>
    <n v="0.68"/>
    <n v="0"/>
    <m/>
    <n v="0"/>
    <n v="0"/>
    <n v="0"/>
    <n v="0"/>
    <n v="0"/>
    <n v="0"/>
    <n v="0"/>
    <n v="0"/>
  </r>
  <r>
    <x v="0"/>
    <x v="3"/>
    <d v="2026-01-03T00:00:00"/>
    <s v="No Portfolio"/>
    <s v="USD"/>
    <x v="1"/>
    <s v="broad组"/>
    <s v="Amazon"/>
    <s v="United States"/>
    <s v="universal snack tray"/>
    <s v="BROAD"/>
    <x v="233"/>
    <n v="2"/>
    <n v="1"/>
    <n v="0.5"/>
    <n v="0.91"/>
    <n v="0.91"/>
    <n v="0"/>
    <m/>
    <n v="0"/>
    <n v="0"/>
    <n v="0"/>
    <n v="0"/>
    <n v="0"/>
    <n v="0"/>
    <n v="0"/>
    <n v="0"/>
  </r>
  <r>
    <x v="0"/>
    <x v="0"/>
    <d v="2026-01-18T00:00:00"/>
    <s v="No Portfolio"/>
    <s v="USD"/>
    <x v="1"/>
    <s v="broad组"/>
    <s v="Amazon"/>
    <s v="United States"/>
    <s v="clip on snack tray"/>
    <s v="BROAD"/>
    <x v="233"/>
    <n v="12"/>
    <n v="1"/>
    <n v="8.3333333333333315E-2"/>
    <n v="0.1"/>
    <n v="0.1"/>
    <n v="0"/>
    <m/>
    <n v="0"/>
    <n v="0"/>
    <n v="0"/>
    <n v="0"/>
    <n v="0"/>
    <n v="0"/>
    <n v="0"/>
    <n v="0"/>
  </r>
  <r>
    <x v="0"/>
    <x v="2"/>
    <d v="2026-01-16T00:00:00"/>
    <s v="No Portfolio"/>
    <s v="USD"/>
    <x v="0"/>
    <s v="phrase&amp;exact"/>
    <s v="Amazon"/>
    <s v="United States"/>
    <s v="universal snack tray"/>
    <s v="PHRASE"/>
    <x v="233"/>
    <n v="4"/>
    <n v="1"/>
    <n v="0.25"/>
    <n v="0.2"/>
    <n v="0.2"/>
    <n v="0"/>
    <m/>
    <n v="0"/>
    <n v="0"/>
    <n v="0"/>
    <n v="0"/>
    <n v="0"/>
    <n v="0"/>
    <n v="0"/>
    <n v="0"/>
  </r>
  <r>
    <x v="0"/>
    <x v="0"/>
    <d v="2026-01-19T00:00:00"/>
    <s v="No Portfolio"/>
    <s v="USD"/>
    <x v="0"/>
    <s v="broad组"/>
    <s v="Amazon"/>
    <s v="United States"/>
    <s v="universal snack tray"/>
    <s v="BROAD"/>
    <x v="233"/>
    <n v="6"/>
    <n v="1"/>
    <n v="0.16666666666666663"/>
    <n v="0.17"/>
    <n v="0.17"/>
    <n v="0"/>
    <m/>
    <n v="0"/>
    <n v="0"/>
    <n v="0"/>
    <n v="0"/>
    <n v="0"/>
    <n v="0"/>
    <n v="0"/>
    <n v="0"/>
  </r>
  <r>
    <x v="0"/>
    <x v="0"/>
    <d v="2026-01-20T00:00:00"/>
    <s v="No Portfolio"/>
    <s v="USD"/>
    <x v="0"/>
    <s v="broad组"/>
    <s v="Amazon"/>
    <s v="United States"/>
    <s v="universal snack tray"/>
    <s v="BROAD"/>
    <x v="233"/>
    <n v="11"/>
    <n v="1"/>
    <n v="9.0909090909090925E-2"/>
    <n v="0.2"/>
    <n v="0.2"/>
    <n v="0"/>
    <m/>
    <n v="0"/>
    <n v="0"/>
    <n v="0"/>
    <n v="0"/>
    <n v="0"/>
    <n v="0"/>
    <n v="0"/>
    <n v="0"/>
  </r>
  <r>
    <x v="0"/>
    <x v="3"/>
    <d v="2026-01-02T00:00:00"/>
    <s v="No Portfolio"/>
    <s v="USD"/>
    <x v="0"/>
    <s v="broad组"/>
    <s v="Amazon"/>
    <s v="United States"/>
    <s v="universal snack tray"/>
    <s v="BROAD"/>
    <x v="234"/>
    <n v="1"/>
    <n v="1"/>
    <n v="1"/>
    <n v="0.21"/>
    <n v="0.21"/>
    <n v="0"/>
    <m/>
    <n v="0"/>
    <n v="0"/>
    <n v="0"/>
    <n v="0"/>
    <n v="0"/>
    <n v="0"/>
    <n v="0"/>
    <n v="0"/>
  </r>
  <r>
    <x v="0"/>
    <x v="1"/>
    <d v="2026-01-04T00:00:00"/>
    <s v="No Portfolio"/>
    <s v="USD"/>
    <x v="4"/>
    <s v="stroller tray"/>
    <s v="Amazon"/>
    <s v="United States"/>
    <s v="close-match"/>
    <s v="-"/>
    <x v="235"/>
    <n v="38"/>
    <n v="1"/>
    <n v="2.6315789473684209E-2"/>
    <n v="0.65"/>
    <n v="0.65"/>
    <n v="0"/>
    <m/>
    <n v="0"/>
    <n v="0"/>
    <n v="0"/>
    <n v="0"/>
    <n v="0"/>
    <n v="0"/>
    <n v="0"/>
    <n v="0"/>
  </r>
  <r>
    <x v="0"/>
    <x v="2"/>
    <d v="2026-01-14T00:00:00"/>
    <s v="No Portfolio"/>
    <s v="USD"/>
    <x v="4"/>
    <s v="stroller tray"/>
    <s v="Amazon"/>
    <s v="United States"/>
    <s v="close-match"/>
    <s v="-"/>
    <x v="235"/>
    <n v="25"/>
    <n v="1"/>
    <n v="0.04"/>
    <n v="0.48"/>
    <n v="0.48"/>
    <n v="0"/>
    <m/>
    <n v="0"/>
    <n v="0"/>
    <n v="0"/>
    <n v="0"/>
    <n v="0"/>
    <n v="0"/>
    <n v="0"/>
    <n v="0"/>
  </r>
  <r>
    <x v="0"/>
    <x v="1"/>
    <d v="2026-01-04T00:00:00"/>
    <s v="No Portfolio"/>
    <s v="USD"/>
    <x v="0"/>
    <s v="phrase&amp;exact"/>
    <s v="Amazon"/>
    <s v="United States"/>
    <s v="snack tray for stroller"/>
    <s v="PHRASE"/>
    <x v="235"/>
    <n v="34"/>
    <n v="1"/>
    <n v="2.9411764705882349E-2"/>
    <n v="0.2"/>
    <n v="0.2"/>
    <n v="0"/>
    <m/>
    <n v="0"/>
    <n v="0"/>
    <n v="0"/>
    <n v="0"/>
    <n v="0"/>
    <n v="0"/>
    <n v="0"/>
    <n v="0"/>
  </r>
  <r>
    <x v="0"/>
    <x v="1"/>
    <d v="2026-01-05T00:00:00"/>
    <s v="No Portfolio"/>
    <s v="USD"/>
    <x v="0"/>
    <s v="phrase&amp;exact"/>
    <s v="Amazon"/>
    <s v="United States"/>
    <s v="snack tray for stroller"/>
    <s v="PHRASE"/>
    <x v="235"/>
    <n v="28"/>
    <n v="1"/>
    <n v="3.5714285714285712E-2"/>
    <n v="0.2"/>
    <n v="0.2"/>
    <n v="0"/>
    <m/>
    <n v="0"/>
    <n v="0"/>
    <n v="0"/>
    <n v="0"/>
    <n v="0"/>
    <n v="0"/>
    <n v="0"/>
    <n v="0"/>
  </r>
  <r>
    <x v="0"/>
    <x v="2"/>
    <d v="2026-01-14T00:00:00"/>
    <s v="No Portfolio"/>
    <s v="USD"/>
    <x v="0"/>
    <s v="phrase&amp;exact"/>
    <s v="Amazon"/>
    <s v="United States"/>
    <s v="snack tray for stroller"/>
    <s v="PHRASE"/>
    <x v="235"/>
    <n v="18"/>
    <n v="1"/>
    <n v="5.5555555555555552E-2"/>
    <n v="0.2"/>
    <n v="0.2"/>
    <n v="0"/>
    <m/>
    <n v="0"/>
    <n v="0"/>
    <n v="0"/>
    <n v="0"/>
    <n v="0"/>
    <n v="0"/>
    <n v="0"/>
    <n v="0"/>
  </r>
  <r>
    <x v="0"/>
    <x v="2"/>
    <d v="2026-01-16T00:00:00"/>
    <s v="No Portfolio"/>
    <s v="USD"/>
    <x v="2"/>
    <s v="Tray"/>
    <s v="Amazon"/>
    <s v="United States"/>
    <s v="asin=&quot;B0F4KJN2VC&quot;"/>
    <s v="-"/>
    <x v="235"/>
    <n v="2"/>
    <n v="1"/>
    <n v="0.5"/>
    <n v="0.52"/>
    <n v="0.52"/>
    <n v="0"/>
    <m/>
    <n v="0"/>
    <n v="0"/>
    <n v="0"/>
    <n v="0"/>
    <n v="0"/>
    <n v="0"/>
    <n v="0"/>
    <n v="0"/>
  </r>
  <r>
    <x v="0"/>
    <x v="1"/>
    <d v="2026-01-05T00:00:00"/>
    <s v="No Portfolio"/>
    <s v="USD"/>
    <x v="0"/>
    <s v="broad组"/>
    <s v="Amazon"/>
    <s v="United States"/>
    <s v="universal stroller snack tray"/>
    <s v="BROAD"/>
    <x v="235"/>
    <n v="2"/>
    <n v="1"/>
    <n v="0.5"/>
    <n v="0.21"/>
    <n v="0.21"/>
    <n v="0"/>
    <m/>
    <n v="0"/>
    <n v="0"/>
    <n v="0"/>
    <n v="0"/>
    <n v="0"/>
    <n v="0"/>
    <n v="0"/>
    <n v="0"/>
  </r>
  <r>
    <x v="0"/>
    <x v="2"/>
    <d v="2026-01-17T00:00:00"/>
    <s v="No Portfolio"/>
    <s v="USD"/>
    <x v="1"/>
    <s v="broad组"/>
    <s v="Amazon"/>
    <s v="United States"/>
    <s v="universal snack tray"/>
    <s v="BROAD"/>
    <x v="235"/>
    <n v="45"/>
    <n v="1"/>
    <n v="2.2222222222222223E-2"/>
    <n v="1"/>
    <n v="1"/>
    <n v="0"/>
    <m/>
    <n v="0"/>
    <n v="0"/>
    <n v="0"/>
    <n v="0"/>
    <n v="0"/>
    <n v="0"/>
    <n v="0"/>
    <n v="0"/>
  </r>
  <r>
    <x v="0"/>
    <x v="3"/>
    <d v="2026-01-02T00:00:00"/>
    <s v="No Portfolio"/>
    <s v="USD"/>
    <x v="1"/>
    <s v="Phrase&amp;Exact组"/>
    <s v="Amazon"/>
    <s v="United States"/>
    <s v="universal snack tray"/>
    <s v="PHRASE"/>
    <x v="235"/>
    <n v="434"/>
    <n v="2"/>
    <n v="4.608294930875576E-3"/>
    <n v="1.5349999999999999"/>
    <n v="3.07"/>
    <n v="0"/>
    <m/>
    <n v="0"/>
    <n v="0"/>
    <n v="0"/>
    <n v="0"/>
    <n v="0"/>
    <n v="0"/>
    <n v="0"/>
    <n v="0"/>
  </r>
  <r>
    <x v="0"/>
    <x v="1"/>
    <d v="2026-01-04T00:00:00"/>
    <s v="No Portfolio"/>
    <s v="USD"/>
    <x v="1"/>
    <s v="Phrase&amp;Exact组"/>
    <s v="Amazon"/>
    <s v="United States"/>
    <s v="universal snack tray"/>
    <s v="PHRASE"/>
    <x v="235"/>
    <n v="113"/>
    <n v="1"/>
    <n v="8.8495575221238937E-3"/>
    <n v="1.33"/>
    <n v="1.33"/>
    <n v="0"/>
    <m/>
    <n v="0"/>
    <n v="0"/>
    <n v="0"/>
    <n v="0"/>
    <n v="0"/>
    <n v="0"/>
    <n v="0"/>
    <n v="0"/>
  </r>
  <r>
    <x v="0"/>
    <x v="0"/>
    <d v="2026-01-21T00:00:00"/>
    <s v="No Portfolio"/>
    <s v="USD"/>
    <x v="1"/>
    <s v="Phrase&amp;Exact组"/>
    <s v="Amazon"/>
    <s v="United States"/>
    <s v="universal snack tray"/>
    <s v="PHRASE"/>
    <x v="235"/>
    <n v="25"/>
    <n v="1"/>
    <n v="0.04"/>
    <n v="1.2"/>
    <n v="1.2"/>
    <n v="0"/>
    <m/>
    <n v="0"/>
    <n v="0"/>
    <n v="0"/>
    <n v="0"/>
    <n v="0"/>
    <n v="0"/>
    <n v="0"/>
    <n v="0"/>
  </r>
  <r>
    <x v="0"/>
    <x v="1"/>
    <d v="2026-01-08T00:00:00"/>
    <s v="No Portfolio"/>
    <s v="USD"/>
    <x v="2"/>
    <s v="Tray"/>
    <s v="Amazon"/>
    <s v="United States"/>
    <s v="asin=&quot;B0DSBVB1WW&quot;"/>
    <s v="-"/>
    <x v="236"/>
    <n v="2"/>
    <n v="1"/>
    <n v="0.5"/>
    <n v="0.7"/>
    <n v="0.7"/>
    <n v="0"/>
    <m/>
    <n v="0"/>
    <n v="0"/>
    <n v="0"/>
    <n v="0"/>
    <n v="0"/>
    <n v="0"/>
    <n v="0"/>
    <n v="0"/>
  </r>
  <r>
    <x v="0"/>
    <x v="3"/>
    <d v="2026-01-02T00:00:00"/>
    <s v="No Portfolio"/>
    <s v="USD"/>
    <x v="4"/>
    <s v="stroller tray"/>
    <s v="Amazon"/>
    <s v="United States"/>
    <s v="close-match"/>
    <s v="-"/>
    <x v="237"/>
    <n v="8"/>
    <n v="1"/>
    <n v="0.125"/>
    <n v="0.81"/>
    <n v="0.81"/>
    <n v="0"/>
    <m/>
    <n v="0"/>
    <n v="0"/>
    <n v="0"/>
    <n v="0"/>
    <n v="0"/>
    <n v="0"/>
    <n v="0"/>
    <n v="0"/>
  </r>
  <r>
    <x v="0"/>
    <x v="0"/>
    <d v="2026-01-19T00:00:00"/>
    <s v="No Portfolio"/>
    <s v="USD"/>
    <x v="1"/>
    <s v="broad组"/>
    <s v="Amazon"/>
    <s v="United States"/>
    <s v="baby stroller parent cup holders"/>
    <s v="BROAD"/>
    <x v="237"/>
    <n v="2"/>
    <n v="1"/>
    <n v="0.5"/>
    <n v="1.1499999999999999"/>
    <n v="1.1499999999999999"/>
    <n v="0"/>
    <m/>
    <n v="0"/>
    <n v="0"/>
    <n v="0"/>
    <n v="0"/>
    <n v="0"/>
    <n v="0"/>
    <n v="0"/>
    <n v="0"/>
  </r>
  <r>
    <x v="0"/>
    <x v="1"/>
    <d v="2026-01-06T00:00:00"/>
    <s v="No Portfolio"/>
    <s v="USD"/>
    <x v="4"/>
    <s v="stroller tray"/>
    <s v="Amazon"/>
    <s v="United States"/>
    <s v="close-match"/>
    <s v="-"/>
    <x v="238"/>
    <n v="17"/>
    <n v="1"/>
    <n v="5.8823529411764698E-2"/>
    <n v="0.77"/>
    <n v="0.77"/>
    <n v="0"/>
    <m/>
    <n v="0"/>
    <n v="0"/>
    <n v="0"/>
    <n v="0"/>
    <n v="0"/>
    <n v="0"/>
    <n v="0"/>
    <n v="0"/>
  </r>
  <r>
    <x v="0"/>
    <x v="2"/>
    <d v="2026-01-14T00:00:00"/>
    <s v="No Portfolio"/>
    <s v="USD"/>
    <x v="4"/>
    <s v="stroller tray"/>
    <s v="Amazon"/>
    <s v="United States"/>
    <s v="close-match"/>
    <s v="-"/>
    <x v="238"/>
    <n v="14"/>
    <n v="1"/>
    <n v="7.1428571428571425E-2"/>
    <n v="0.48"/>
    <n v="0.48"/>
    <n v="17.09"/>
    <n v="2.8086600351082503E-2"/>
    <n v="35.604166666666664"/>
    <n v="1"/>
    <n v="1"/>
    <n v="1"/>
    <n v="1"/>
    <n v="0"/>
    <n v="17.09"/>
    <n v="0"/>
  </r>
  <r>
    <x v="0"/>
    <x v="2"/>
    <d v="2026-01-12T00:00:00"/>
    <s v="No Portfolio"/>
    <s v="USD"/>
    <x v="0"/>
    <s v="phrase&amp;exact"/>
    <s v="Amazon"/>
    <s v="United States"/>
    <s v="stroller snack tray"/>
    <s v="PHRASE"/>
    <x v="238"/>
    <n v="6"/>
    <n v="1"/>
    <n v="0.16666666666666663"/>
    <n v="0.2"/>
    <n v="0.2"/>
    <n v="0"/>
    <m/>
    <n v="0"/>
    <n v="0"/>
    <n v="0"/>
    <n v="0"/>
    <n v="0"/>
    <n v="0"/>
    <n v="0"/>
    <n v="0"/>
  </r>
  <r>
    <x v="0"/>
    <x v="0"/>
    <d v="2026-01-19T00:00:00"/>
    <s v="No Portfolio"/>
    <s v="USD"/>
    <x v="0"/>
    <s v="phrase&amp;exact"/>
    <s v="Amazon"/>
    <s v="United States"/>
    <s v="stroller snack tray"/>
    <s v="PHRASE"/>
    <x v="238"/>
    <n v="5"/>
    <n v="1"/>
    <n v="0.2"/>
    <n v="0.2"/>
    <n v="0.2"/>
    <n v="0"/>
    <m/>
    <n v="0"/>
    <n v="0"/>
    <n v="0"/>
    <n v="0"/>
    <n v="0"/>
    <n v="0"/>
    <n v="0"/>
    <n v="0"/>
  </r>
  <r>
    <x v="0"/>
    <x v="1"/>
    <d v="2026-01-10T00:00:00"/>
    <s v="No Portfolio"/>
    <s v="USD"/>
    <x v="2"/>
    <s v="Tray"/>
    <s v="Amazon"/>
    <s v="United States"/>
    <s v="asin=&quot;B0DSBVB1WW&quot;"/>
    <s v="-"/>
    <x v="238"/>
    <n v="9"/>
    <n v="1"/>
    <n v="0.1111111111111111"/>
    <n v="0.67"/>
    <n v="0.67"/>
    <n v="0"/>
    <m/>
    <n v="0"/>
    <n v="0"/>
    <n v="0"/>
    <n v="0"/>
    <n v="0"/>
    <n v="0"/>
    <n v="0"/>
    <n v="0"/>
  </r>
  <r>
    <x v="0"/>
    <x v="2"/>
    <d v="2026-01-16T00:00:00"/>
    <s v="No Portfolio"/>
    <s v="USD"/>
    <x v="1"/>
    <s v="broad组"/>
    <s v="Amazon"/>
    <s v="United States"/>
    <s v="snack tray for stroller"/>
    <s v="BROAD"/>
    <x v="238"/>
    <n v="34"/>
    <n v="1"/>
    <n v="2.9411764705882349E-2"/>
    <n v="0.64"/>
    <n v="0.64"/>
    <n v="0"/>
    <m/>
    <n v="0"/>
    <n v="0"/>
    <n v="0"/>
    <n v="0"/>
    <n v="0"/>
    <n v="0"/>
    <n v="0"/>
    <n v="0"/>
  </r>
  <r>
    <x v="0"/>
    <x v="3"/>
    <d v="2026-01-01T00:00:00"/>
    <s v="No Portfolio"/>
    <s v="USD"/>
    <x v="1"/>
    <s v="broad组"/>
    <s v="Amazon"/>
    <s v="United States"/>
    <s v="universal snack tray"/>
    <s v="BROAD"/>
    <x v="238"/>
    <n v="101"/>
    <n v="1"/>
    <n v="9.9009900990099011E-3"/>
    <n v="1.08"/>
    <n v="1.08"/>
    <n v="0"/>
    <m/>
    <n v="0"/>
    <n v="0"/>
    <n v="0"/>
    <n v="0"/>
    <n v="0"/>
    <n v="0"/>
    <n v="0"/>
    <n v="0"/>
  </r>
  <r>
    <x v="0"/>
    <x v="0"/>
    <d v="2026-01-19T00:00:00"/>
    <s v="No Portfolio"/>
    <s v="USD"/>
    <x v="1"/>
    <s v="broad组"/>
    <s v="Amazon"/>
    <s v="United States"/>
    <s v="universal snack tray"/>
    <s v="BROAD"/>
    <x v="238"/>
    <n v="8"/>
    <n v="1"/>
    <n v="0.125"/>
    <n v="0.96"/>
    <n v="0.96"/>
    <n v="0"/>
    <m/>
    <n v="0"/>
    <n v="0"/>
    <n v="0"/>
    <n v="0"/>
    <n v="0"/>
    <n v="0"/>
    <n v="0"/>
    <n v="0"/>
  </r>
  <r>
    <x v="0"/>
    <x v="1"/>
    <d v="2026-01-08T00:00:00"/>
    <s v="No Portfolio"/>
    <s v="USD"/>
    <x v="4"/>
    <s v="stroller tray"/>
    <s v="Amazon"/>
    <s v="United States"/>
    <s v="close-match"/>
    <s v="-"/>
    <x v="239"/>
    <n v="1"/>
    <n v="1"/>
    <n v="1"/>
    <n v="0.77"/>
    <n v="0.77"/>
    <n v="0"/>
    <m/>
    <n v="0"/>
    <n v="0"/>
    <n v="0"/>
    <n v="0"/>
    <n v="0"/>
    <n v="0"/>
    <n v="0"/>
    <n v="0"/>
  </r>
  <r>
    <x v="0"/>
    <x v="3"/>
    <d v="2026-01-02T00:00:00"/>
    <s v="No Portfolio"/>
    <s v="USD"/>
    <x v="0"/>
    <s v="broad组"/>
    <s v="Amazon"/>
    <s v="United States"/>
    <s v="universal stroller snack tray"/>
    <s v="BROAD"/>
    <x v="240"/>
    <n v="2"/>
    <n v="1"/>
    <n v="0.5"/>
    <n v="0.21"/>
    <n v="0.21"/>
    <n v="0"/>
    <m/>
    <n v="0"/>
    <n v="0"/>
    <n v="0"/>
    <n v="0"/>
    <n v="0"/>
    <n v="0"/>
    <n v="0"/>
    <n v="0"/>
  </r>
  <r>
    <x v="0"/>
    <x v="1"/>
    <d v="2026-01-10T00:00:00"/>
    <s v="No Portfolio"/>
    <s v="USD"/>
    <x v="0"/>
    <s v="broad组"/>
    <s v="Amazon"/>
    <s v="United States"/>
    <s v="universal stroller snack tray"/>
    <s v="BROAD"/>
    <x v="240"/>
    <n v="3"/>
    <n v="1"/>
    <n v="0.33333333333333331"/>
    <n v="0.21"/>
    <n v="0.21"/>
    <n v="0"/>
    <m/>
    <n v="0"/>
    <n v="0"/>
    <n v="0"/>
    <n v="0"/>
    <n v="0"/>
    <n v="0"/>
    <n v="0"/>
    <n v="0"/>
  </r>
  <r>
    <x v="0"/>
    <x v="2"/>
    <d v="2026-01-11T00:00:00"/>
    <s v="No Portfolio"/>
    <s v="USD"/>
    <x v="0"/>
    <s v="phrase&amp;exact"/>
    <s v="Amazon"/>
    <s v="United States"/>
    <s v="universal stroller tray"/>
    <s v="PHRASE"/>
    <x v="241"/>
    <n v="7"/>
    <n v="1"/>
    <n v="0.14285714285714285"/>
    <n v="0.2"/>
    <n v="0.2"/>
    <n v="17.09"/>
    <n v="1.1702750146284377E-2"/>
    <n v="85.449999999999989"/>
    <n v="1"/>
    <n v="1"/>
    <n v="1"/>
    <n v="1"/>
    <n v="0"/>
    <n v="17.09"/>
    <n v="0"/>
  </r>
  <r>
    <x v="0"/>
    <x v="1"/>
    <d v="2026-01-09T00:00:00"/>
    <s v="No Portfolio"/>
    <s v="USD"/>
    <x v="4"/>
    <s v="stroller tray"/>
    <s v="Amazon"/>
    <s v="United States"/>
    <s v="close-match"/>
    <s v="-"/>
    <x v="242"/>
    <n v="1"/>
    <n v="1"/>
    <n v="1"/>
    <n v="0.75"/>
    <n v="0.75"/>
    <n v="0"/>
    <m/>
    <n v="0"/>
    <n v="0"/>
    <n v="0"/>
    <n v="0"/>
    <n v="0"/>
    <n v="0"/>
    <n v="0"/>
    <n v="0"/>
  </r>
  <r>
    <x v="0"/>
    <x v="1"/>
    <d v="2026-01-09T00:00:00"/>
    <s v="No Portfolio"/>
    <s v="USD"/>
    <x v="4"/>
    <s v="stroller tray"/>
    <s v="Amazon"/>
    <s v="United States"/>
    <s v="loose-match"/>
    <s v="-"/>
    <x v="243"/>
    <n v="1"/>
    <n v="1"/>
    <n v="1"/>
    <n v="0.65"/>
    <n v="0.65"/>
    <n v="0"/>
    <m/>
    <n v="0"/>
    <n v="0"/>
    <n v="0"/>
    <n v="0"/>
    <n v="0"/>
    <n v="0"/>
    <n v="0"/>
    <n v="0"/>
  </r>
  <r>
    <x v="0"/>
    <x v="2"/>
    <d v="2026-01-13T00:00:00"/>
    <s v="No Portfolio"/>
    <s v="USD"/>
    <x v="0"/>
    <s v="broad组"/>
    <s v="Amazon"/>
    <s v="United States"/>
    <s v="stroller accessories"/>
    <s v="BROAD"/>
    <x v="244"/>
    <n v="2"/>
    <n v="1"/>
    <n v="0.5"/>
    <n v="0.16"/>
    <n v="0.16"/>
    <n v="0"/>
    <m/>
    <n v="0"/>
    <n v="0"/>
    <n v="0"/>
    <n v="0"/>
    <n v="0"/>
    <n v="0"/>
    <n v="0"/>
    <n v="0"/>
  </r>
  <r>
    <x v="0"/>
    <x v="2"/>
    <d v="2026-01-16T00:00:00"/>
    <s v="No Portfolio"/>
    <s v="USD"/>
    <x v="4"/>
    <s v="stroller tray"/>
    <s v="Amazon"/>
    <s v="United States"/>
    <s v="loose-match"/>
    <s v="-"/>
    <x v="245"/>
    <n v="3"/>
    <n v="1"/>
    <n v="0.33333333333333331"/>
    <n v="0.46"/>
    <n v="0.46"/>
    <n v="0"/>
    <m/>
    <n v="0"/>
    <n v="0"/>
    <n v="0"/>
    <n v="0"/>
    <n v="0"/>
    <n v="0"/>
    <n v="0"/>
    <n v="0"/>
  </r>
  <r>
    <x v="0"/>
    <x v="2"/>
    <d v="2026-01-17T00:00:00"/>
    <s v="No Portfolio"/>
    <s v="USD"/>
    <x v="0"/>
    <s v="broad组"/>
    <s v="Amazon"/>
    <s v="United States"/>
    <s v="clip on snack tray"/>
    <s v="BROAD"/>
    <x v="246"/>
    <n v="1"/>
    <n v="1"/>
    <n v="1"/>
    <n v="0.21"/>
    <n v="0.21"/>
    <n v="0"/>
    <m/>
    <n v="0"/>
    <n v="0"/>
    <n v="0"/>
    <n v="0"/>
    <n v="0"/>
    <n v="0"/>
    <n v="0"/>
    <n v="0"/>
  </r>
  <r>
    <x v="0"/>
    <x v="2"/>
    <d v="2026-01-14T00:00:00"/>
    <s v="No Portfolio"/>
    <s v="USD"/>
    <x v="4"/>
    <s v="stroller tray"/>
    <s v="Amazon"/>
    <s v="United States"/>
    <s v="loose-match"/>
    <s v="-"/>
    <x v="247"/>
    <n v="1"/>
    <n v="1"/>
    <n v="1"/>
    <n v="0.45"/>
    <n v="0.45"/>
    <n v="0"/>
    <m/>
    <n v="0"/>
    <n v="0"/>
    <n v="0"/>
    <n v="0"/>
    <n v="0"/>
    <n v="0"/>
    <n v="0"/>
    <n v="0"/>
  </r>
  <r>
    <x v="0"/>
    <x v="4"/>
    <d v="2026-01-27T00:00:00"/>
    <s v="No Portfolio"/>
    <s v="USD"/>
    <x v="0"/>
    <s v="phrase&amp;exact"/>
    <s v="Amazon"/>
    <s v="United States"/>
    <s v="stroller cup holder"/>
    <s v="PHRASE"/>
    <x v="0"/>
    <n v="11"/>
    <n v="2"/>
    <n v="0.18181818181818182"/>
    <n v="0.2"/>
    <n v="0.4"/>
    <n v="0"/>
    <m/>
    <n v="0"/>
    <n v="0"/>
    <n v="0"/>
    <n v="0"/>
    <n v="0"/>
    <n v="0"/>
    <n v="0"/>
    <n v="0"/>
  </r>
  <r>
    <x v="0"/>
    <x v="0"/>
    <d v="2026-01-22T00:00:00"/>
    <s v="No Portfolio"/>
    <s v="USD"/>
    <x v="2"/>
    <s v="Tray"/>
    <s v="Amazon"/>
    <s v="United States"/>
    <s v="asin=&quot;B0DSBVB1WW&quot;"/>
    <s v="-"/>
    <x v="248"/>
    <n v="2"/>
    <n v="1"/>
    <n v="0.5"/>
    <n v="0.66"/>
    <n v="0.66"/>
    <n v="0"/>
    <m/>
    <n v="0"/>
    <n v="0"/>
    <n v="0"/>
    <n v="0"/>
    <n v="0"/>
    <n v="0"/>
    <n v="0"/>
    <n v="0"/>
  </r>
  <r>
    <x v="0"/>
    <x v="4"/>
    <d v="2026-01-26T00:00:00"/>
    <s v="No Portfolio"/>
    <s v="USD"/>
    <x v="6"/>
    <s v="ENC"/>
    <s v="Amazon"/>
    <s v="United States"/>
    <s v="loose-match"/>
    <s v="-"/>
    <x v="249"/>
    <n v="1"/>
    <n v="1"/>
    <n v="1"/>
    <n v="1.18"/>
    <n v="1.18"/>
    <n v="0"/>
    <m/>
    <n v="0"/>
    <n v="0"/>
    <n v="0"/>
    <n v="0"/>
    <n v="0"/>
    <n v="0"/>
    <n v="0"/>
    <n v="0"/>
  </r>
  <r>
    <x v="0"/>
    <x v="4"/>
    <d v="2026-01-26T00:00:00"/>
    <s v="No Portfolio"/>
    <s v="USD"/>
    <x v="9"/>
    <s v="ENC"/>
    <s v="Amazon"/>
    <s v="United States"/>
    <s v="electric nail clipper"/>
    <s v="BROAD"/>
    <x v="250"/>
    <n v="1"/>
    <n v="1"/>
    <n v="1"/>
    <n v="0.52"/>
    <n v="0.52"/>
    <n v="0"/>
    <m/>
    <n v="0"/>
    <n v="0"/>
    <n v="0"/>
    <n v="0"/>
    <n v="0"/>
    <n v="0"/>
    <n v="0"/>
    <n v="0"/>
  </r>
  <r>
    <x v="0"/>
    <x v="0"/>
    <d v="2026-01-24T00:00:00"/>
    <s v="No Portfolio"/>
    <s v="USD"/>
    <x v="6"/>
    <s v="ENC"/>
    <s v="Amazon"/>
    <s v="United States"/>
    <s v="close-match"/>
    <s v="-"/>
    <x v="251"/>
    <n v="1"/>
    <n v="1"/>
    <n v="1"/>
    <n v="1.21"/>
    <n v="1.21"/>
    <n v="0"/>
    <m/>
    <n v="0"/>
    <n v="0"/>
    <n v="0"/>
    <n v="0"/>
    <n v="0"/>
    <n v="0"/>
    <n v="0"/>
    <n v="0"/>
  </r>
  <r>
    <x v="0"/>
    <x v="0"/>
    <d v="2026-01-24T00:00:00"/>
    <s v="No Portfolio"/>
    <s v="USD"/>
    <x v="4"/>
    <s v="stroller tray"/>
    <s v="Amazon"/>
    <s v="United States"/>
    <s v="substitutes"/>
    <s v="-"/>
    <x v="5"/>
    <n v="8"/>
    <n v="1"/>
    <n v="0.125"/>
    <n v="0.53"/>
    <n v="0.53"/>
    <n v="0"/>
    <m/>
    <n v="0"/>
    <n v="0"/>
    <n v="0"/>
    <n v="0"/>
    <n v="0"/>
    <n v="0"/>
    <n v="0"/>
    <n v="0"/>
  </r>
  <r>
    <x v="0"/>
    <x v="4"/>
    <d v="2026-01-31T00:00:00"/>
    <s v="No Portfolio"/>
    <s v="USD"/>
    <x v="4"/>
    <s v="stroller tray"/>
    <s v="Amazon"/>
    <s v="United States"/>
    <s v="substitutes"/>
    <s v="-"/>
    <x v="252"/>
    <n v="3"/>
    <n v="1"/>
    <n v="0.33333333333333331"/>
    <n v="0.1"/>
    <n v="0.1"/>
    <n v="0"/>
    <m/>
    <n v="0"/>
    <n v="0"/>
    <n v="0"/>
    <n v="0"/>
    <n v="0"/>
    <n v="0"/>
    <n v="0"/>
    <n v="0"/>
  </r>
  <r>
    <x v="0"/>
    <x v="0"/>
    <d v="2026-01-24T00:00:00"/>
    <s v="No Portfolio"/>
    <s v="USD"/>
    <x v="2"/>
    <s v="Tray"/>
    <s v="Amazon"/>
    <s v="United States"/>
    <s v="asin=&quot;B09BG5RNLV&quot;"/>
    <s v="-"/>
    <x v="9"/>
    <n v="56"/>
    <n v="1"/>
    <n v="1.7857142857142856E-2"/>
    <n v="0.71"/>
    <n v="0.71"/>
    <n v="0"/>
    <m/>
    <n v="0"/>
    <n v="0"/>
    <n v="0"/>
    <n v="0"/>
    <n v="0"/>
    <n v="0"/>
    <n v="0"/>
    <n v="0"/>
  </r>
  <r>
    <x v="0"/>
    <x v="4"/>
    <d v="2026-01-25T00:00:00"/>
    <s v="No Portfolio"/>
    <s v="USD"/>
    <x v="4"/>
    <s v="stroller tray"/>
    <s v="Amazon"/>
    <s v="United States"/>
    <s v="substitutes"/>
    <s v="-"/>
    <x v="253"/>
    <n v="11"/>
    <n v="1"/>
    <n v="9.0909090909090925E-2"/>
    <n v="0.53"/>
    <n v="0.53"/>
    <n v="0"/>
    <m/>
    <n v="0"/>
    <n v="0"/>
    <n v="0"/>
    <n v="0"/>
    <n v="0"/>
    <n v="0"/>
    <n v="0"/>
    <n v="0"/>
  </r>
  <r>
    <x v="0"/>
    <x v="4"/>
    <d v="2026-01-31T00:00:00"/>
    <s v="No Portfolio"/>
    <s v="USD"/>
    <x v="4"/>
    <s v="stroller tray"/>
    <s v="Amazon"/>
    <s v="United States"/>
    <s v="substitutes"/>
    <s v="-"/>
    <x v="254"/>
    <n v="3"/>
    <n v="1"/>
    <n v="0.33333333333333331"/>
    <n v="0.41"/>
    <n v="0.41"/>
    <n v="0"/>
    <m/>
    <n v="0"/>
    <n v="0"/>
    <n v="0"/>
    <n v="0"/>
    <n v="0"/>
    <n v="0"/>
    <n v="0"/>
    <n v="0"/>
  </r>
  <r>
    <x v="0"/>
    <x v="0"/>
    <d v="2026-01-23T00:00:00"/>
    <s v="No Portfolio"/>
    <s v="USD"/>
    <x v="4"/>
    <s v="stroller tray"/>
    <s v="Amazon"/>
    <s v="United States"/>
    <s v="substitutes"/>
    <s v="-"/>
    <x v="255"/>
    <n v="7"/>
    <n v="1"/>
    <n v="0.14285714285714285"/>
    <n v="0.53"/>
    <n v="0.53"/>
    <n v="0"/>
    <m/>
    <n v="0"/>
    <n v="0"/>
    <n v="0"/>
    <n v="0"/>
    <n v="0"/>
    <n v="0"/>
    <n v="0"/>
    <n v="0"/>
  </r>
  <r>
    <x v="0"/>
    <x v="4"/>
    <d v="2026-01-27T00:00:00"/>
    <s v="No Portfolio"/>
    <s v="USD"/>
    <x v="2"/>
    <s v="Tray"/>
    <s v="Amazon"/>
    <s v="United States"/>
    <s v="asin=&quot;B0DH98H2G4&quot;"/>
    <s v="-"/>
    <x v="18"/>
    <n v="21"/>
    <n v="1"/>
    <n v="4.7619047619047623E-2"/>
    <n v="0.54"/>
    <n v="0.54"/>
    <n v="0"/>
    <m/>
    <n v="0"/>
    <n v="0"/>
    <n v="0"/>
    <n v="0"/>
    <n v="0"/>
    <n v="0"/>
    <n v="0"/>
    <n v="0"/>
  </r>
  <r>
    <x v="0"/>
    <x v="4"/>
    <d v="2026-01-30T00:00:00"/>
    <s v="No Portfolio"/>
    <s v="USD"/>
    <x v="4"/>
    <s v="stroller tray"/>
    <s v="Amazon"/>
    <s v="United States"/>
    <s v="substitutes"/>
    <s v="-"/>
    <x v="256"/>
    <n v="1"/>
    <n v="1"/>
    <n v="1"/>
    <n v="0.38"/>
    <n v="0.38"/>
    <n v="0"/>
    <m/>
    <n v="0"/>
    <n v="0"/>
    <n v="0"/>
    <n v="0"/>
    <n v="0"/>
    <n v="0"/>
    <n v="0"/>
    <n v="0"/>
  </r>
  <r>
    <x v="0"/>
    <x v="0"/>
    <d v="2026-01-22T00:00:00"/>
    <s v="No Portfolio"/>
    <s v="USD"/>
    <x v="6"/>
    <s v="ENC"/>
    <s v="Amazon"/>
    <s v="United States"/>
    <s v="substitutes"/>
    <s v="-"/>
    <x v="257"/>
    <n v="1"/>
    <n v="1"/>
    <n v="1"/>
    <n v="1.17"/>
    <n v="1.17"/>
    <n v="0"/>
    <m/>
    <n v="0"/>
    <n v="0"/>
    <n v="0"/>
    <n v="0"/>
    <n v="0"/>
    <n v="0"/>
    <n v="0"/>
    <n v="0"/>
  </r>
  <r>
    <x v="0"/>
    <x v="0"/>
    <d v="2026-01-23T00:00:00"/>
    <s v="No Portfolio"/>
    <s v="USD"/>
    <x v="2"/>
    <s v="Tray"/>
    <s v="Amazon"/>
    <s v="United States"/>
    <s v="asin=&quot;B0DSBVB1WW&quot;"/>
    <s v="-"/>
    <x v="21"/>
    <n v="160"/>
    <n v="2"/>
    <n v="1.2500000000000001E-2"/>
    <n v="0.67"/>
    <n v="1.34"/>
    <n v="0"/>
    <m/>
    <n v="0"/>
    <n v="0"/>
    <n v="0"/>
    <n v="0"/>
    <n v="0"/>
    <n v="0"/>
    <n v="0"/>
    <n v="0"/>
  </r>
  <r>
    <x v="0"/>
    <x v="0"/>
    <d v="2026-01-24T00:00:00"/>
    <s v="No Portfolio"/>
    <s v="USD"/>
    <x v="2"/>
    <s v="Tray"/>
    <s v="Amazon"/>
    <s v="United States"/>
    <s v="asin=&quot;B0DSBVB1WW&quot;"/>
    <s v="-"/>
    <x v="21"/>
    <n v="268"/>
    <n v="2"/>
    <n v="7.4626865671641781E-3"/>
    <n v="0.67"/>
    <n v="1.34"/>
    <n v="0"/>
    <m/>
    <n v="0"/>
    <n v="0"/>
    <n v="0"/>
    <n v="0"/>
    <n v="0"/>
    <n v="0"/>
    <n v="0"/>
    <n v="0"/>
  </r>
  <r>
    <x v="0"/>
    <x v="4"/>
    <d v="2026-01-26T00:00:00"/>
    <s v="No Portfolio"/>
    <s v="USD"/>
    <x v="2"/>
    <s v="Tray"/>
    <s v="Amazon"/>
    <s v="United States"/>
    <s v="asin=&quot;B0DSBVB1WW&quot;"/>
    <s v="-"/>
    <x v="21"/>
    <n v="54"/>
    <n v="1"/>
    <n v="1.8518518518518517E-2"/>
    <n v="0.67"/>
    <n v="0.67"/>
    <n v="0"/>
    <m/>
    <n v="0"/>
    <n v="0"/>
    <n v="0"/>
    <n v="0"/>
    <n v="0"/>
    <n v="0"/>
    <n v="0"/>
    <n v="0"/>
  </r>
  <r>
    <x v="0"/>
    <x v="4"/>
    <d v="2026-01-26T00:00:00"/>
    <s v="No Portfolio"/>
    <s v="USD"/>
    <x v="2"/>
    <s v="Tray"/>
    <s v="Amazon"/>
    <s v="United States"/>
    <s v="asin=&quot;B0F4KJN2VC&quot;"/>
    <s v="-"/>
    <x v="24"/>
    <n v="495"/>
    <n v="1"/>
    <n v="2.0202020202020202E-3"/>
    <n v="0.5"/>
    <n v="0.5"/>
    <n v="0"/>
    <m/>
    <n v="0"/>
    <n v="0"/>
    <n v="0"/>
    <n v="0"/>
    <n v="0"/>
    <n v="0"/>
    <n v="0"/>
    <n v="0"/>
  </r>
  <r>
    <x v="0"/>
    <x v="4"/>
    <d v="2026-01-28T00:00:00"/>
    <s v="No Portfolio"/>
    <s v="USD"/>
    <x v="2"/>
    <s v="Tray"/>
    <s v="Amazon"/>
    <s v="United States"/>
    <s v="asin=&quot;B0F4KJN2VC&quot;"/>
    <s v="-"/>
    <x v="24"/>
    <n v="361"/>
    <n v="5"/>
    <n v="1.3850415512465374E-2"/>
    <n v="0.44800000000000006"/>
    <n v="2.2400000000000002"/>
    <n v="0"/>
    <m/>
    <n v="0"/>
    <n v="0"/>
    <n v="0"/>
    <n v="0"/>
    <n v="0"/>
    <n v="0"/>
    <n v="0"/>
    <n v="0"/>
  </r>
  <r>
    <x v="0"/>
    <x v="4"/>
    <d v="2026-01-25T00:00:00"/>
    <s v="No Portfolio"/>
    <s v="USD"/>
    <x v="4"/>
    <s v="stroller tray"/>
    <s v="Amazon"/>
    <s v="United States"/>
    <s v="substitutes"/>
    <s v="-"/>
    <x v="258"/>
    <n v="13"/>
    <n v="1"/>
    <n v="7.6923076923076927E-2"/>
    <n v="0.53"/>
    <n v="0.53"/>
    <n v="0"/>
    <m/>
    <n v="0"/>
    <n v="0"/>
    <n v="0"/>
    <n v="0"/>
    <n v="0"/>
    <n v="0"/>
    <n v="0"/>
    <n v="0"/>
  </r>
  <r>
    <x v="0"/>
    <x v="4"/>
    <d v="2026-01-28T00:00:00"/>
    <s v="No Portfolio"/>
    <s v="USD"/>
    <x v="4"/>
    <s v="stroller tray"/>
    <s v="Amazon"/>
    <s v="United States"/>
    <s v="substitutes"/>
    <s v="-"/>
    <x v="259"/>
    <n v="2"/>
    <n v="1"/>
    <n v="0.5"/>
    <n v="0.43"/>
    <n v="0.43"/>
    <n v="0"/>
    <m/>
    <n v="0"/>
    <n v="0"/>
    <n v="0"/>
    <n v="0"/>
    <n v="0"/>
    <n v="0"/>
    <n v="0"/>
    <n v="0"/>
  </r>
  <r>
    <x v="0"/>
    <x v="0"/>
    <d v="2026-01-24T00:00:00"/>
    <s v="No Portfolio"/>
    <s v="USD"/>
    <x v="6"/>
    <s v="ENC"/>
    <s v="Amazon"/>
    <s v="United States"/>
    <s v="substitutes"/>
    <s v="-"/>
    <x v="260"/>
    <n v="0"/>
    <n v="1"/>
    <m/>
    <n v="1.17"/>
    <n v="1.17"/>
    <n v="0"/>
    <m/>
    <n v="0"/>
    <n v="0"/>
    <n v="0"/>
    <n v="0"/>
    <n v="0"/>
    <n v="0"/>
    <n v="0"/>
    <n v="0"/>
  </r>
  <r>
    <x v="0"/>
    <x v="0"/>
    <d v="2026-01-23T00:00:00"/>
    <s v="No Portfolio"/>
    <s v="USD"/>
    <x v="4"/>
    <s v="stroller tray"/>
    <s v="Amazon"/>
    <s v="United States"/>
    <s v="loose-match"/>
    <s v="-"/>
    <x v="261"/>
    <n v="2"/>
    <n v="1"/>
    <n v="0.5"/>
    <n v="0.53"/>
    <n v="0.53"/>
    <n v="0"/>
    <m/>
    <n v="0"/>
    <n v="0"/>
    <n v="0"/>
    <n v="0"/>
    <n v="0"/>
    <n v="0"/>
    <n v="0"/>
    <n v="0"/>
  </r>
  <r>
    <x v="0"/>
    <x v="0"/>
    <d v="2026-01-22T00:00:00"/>
    <s v="No Portfolio"/>
    <s v="USD"/>
    <x v="4"/>
    <s v="stroller tray"/>
    <s v="Amazon"/>
    <s v="United States"/>
    <s v="loose-match"/>
    <s v="-"/>
    <x v="262"/>
    <n v="1"/>
    <n v="1"/>
    <n v="1"/>
    <n v="0.53"/>
    <n v="0.53"/>
    <n v="0"/>
    <m/>
    <n v="0"/>
    <n v="0"/>
    <n v="0"/>
    <n v="0"/>
    <n v="0"/>
    <n v="0"/>
    <n v="0"/>
    <n v="0"/>
  </r>
  <r>
    <x v="0"/>
    <x v="4"/>
    <d v="2026-01-27T00:00:00"/>
    <s v="No Portfolio"/>
    <s v="USD"/>
    <x v="2"/>
    <s v="Tray"/>
    <s v="Amazon"/>
    <s v="United States"/>
    <s v="asin=&quot;B0DH98H2G4&quot;"/>
    <s v="-"/>
    <x v="40"/>
    <n v="2"/>
    <n v="1"/>
    <n v="0.5"/>
    <n v="0.54"/>
    <n v="0.54"/>
    <n v="0"/>
    <m/>
    <n v="0"/>
    <n v="0"/>
    <n v="0"/>
    <n v="0"/>
    <n v="0"/>
    <n v="0"/>
    <n v="0"/>
    <n v="0"/>
  </r>
  <r>
    <x v="0"/>
    <x v="4"/>
    <d v="2026-01-27T00:00:00"/>
    <s v="No Portfolio"/>
    <s v="USD"/>
    <x v="4"/>
    <s v="stroller tray"/>
    <s v="Amazon"/>
    <s v="United States"/>
    <s v="loose-match"/>
    <s v="-"/>
    <x v="263"/>
    <n v="2"/>
    <n v="1"/>
    <n v="0.5"/>
    <n v="0.32"/>
    <n v="0.32"/>
    <n v="0"/>
    <m/>
    <n v="0"/>
    <n v="0"/>
    <n v="0"/>
    <n v="0"/>
    <n v="0"/>
    <n v="0"/>
    <n v="0"/>
    <n v="0"/>
  </r>
  <r>
    <x v="0"/>
    <x v="4"/>
    <d v="2026-01-25T00:00:00"/>
    <s v="No Portfolio"/>
    <s v="USD"/>
    <x v="5"/>
    <s v="ENC Yellow"/>
    <s v="Amazon"/>
    <s v="United States"/>
    <s v="close-match"/>
    <s v="-"/>
    <x v="46"/>
    <n v="8"/>
    <n v="1"/>
    <n v="0.125"/>
    <n v="0.6"/>
    <n v="0.6"/>
    <n v="0"/>
    <m/>
    <n v="0"/>
    <n v="0"/>
    <n v="0"/>
    <n v="0"/>
    <n v="0"/>
    <n v="0"/>
    <n v="0"/>
    <n v="0"/>
  </r>
  <r>
    <x v="0"/>
    <x v="4"/>
    <d v="2026-01-31T00:00:00"/>
    <s v="No Portfolio"/>
    <s v="USD"/>
    <x v="5"/>
    <s v="ENC Yellow"/>
    <s v="Amazon"/>
    <s v="United States"/>
    <s v="close-match"/>
    <s v="-"/>
    <x v="47"/>
    <n v="11"/>
    <n v="1"/>
    <n v="9.0909090909090925E-2"/>
    <n v="0.6"/>
    <n v="0.6"/>
    <n v="0"/>
    <m/>
    <n v="0"/>
    <n v="0"/>
    <n v="0"/>
    <n v="0"/>
    <n v="0"/>
    <n v="0"/>
    <n v="0"/>
    <n v="0"/>
  </r>
  <r>
    <x v="0"/>
    <x v="4"/>
    <d v="2026-01-25T00:00:00"/>
    <s v="No Portfolio"/>
    <s v="USD"/>
    <x v="5"/>
    <s v="ENC Yellow"/>
    <s v="Amazon"/>
    <s v="United States"/>
    <s v="close-match"/>
    <s v="-"/>
    <x v="264"/>
    <n v="7"/>
    <n v="1"/>
    <n v="0.14285714285714285"/>
    <n v="0.57999999999999996"/>
    <n v="0.57999999999999996"/>
    <n v="0"/>
    <m/>
    <n v="0"/>
    <n v="0"/>
    <n v="0"/>
    <n v="0"/>
    <n v="0"/>
    <n v="0"/>
    <n v="0"/>
    <n v="0"/>
  </r>
  <r>
    <x v="0"/>
    <x v="4"/>
    <d v="2026-01-26T00:00:00"/>
    <s v="No Portfolio"/>
    <s v="USD"/>
    <x v="4"/>
    <s v="stroller tray"/>
    <s v="Amazon"/>
    <s v="United States"/>
    <s v="substitutes"/>
    <s v="-"/>
    <x v="265"/>
    <n v="6"/>
    <n v="1"/>
    <n v="0.16666666666666663"/>
    <n v="0.48"/>
    <n v="0.48"/>
    <n v="0"/>
    <m/>
    <n v="0"/>
    <n v="0"/>
    <n v="0"/>
    <n v="0"/>
    <n v="0"/>
    <n v="0"/>
    <n v="0"/>
    <n v="0"/>
  </r>
  <r>
    <x v="0"/>
    <x v="4"/>
    <d v="2026-01-29T00:00:00"/>
    <s v="No Portfolio"/>
    <s v="USD"/>
    <x v="2"/>
    <s v="Tray"/>
    <s v="Amazon"/>
    <s v="United States"/>
    <s v="asin=&quot;B0F4KJN2VC&quot;"/>
    <s v="-"/>
    <x v="266"/>
    <n v="2"/>
    <n v="2"/>
    <n v="1"/>
    <n v="0.52"/>
    <n v="1.04"/>
    <n v="17.09"/>
    <n v="6.0854300760678763E-2"/>
    <n v="16.432692307692307"/>
    <n v="1"/>
    <n v="1"/>
    <n v="0.5"/>
    <n v="1"/>
    <n v="0"/>
    <n v="17.09"/>
    <n v="0"/>
  </r>
  <r>
    <x v="0"/>
    <x v="4"/>
    <d v="2026-01-27T00:00:00"/>
    <s v="No Portfolio"/>
    <s v="USD"/>
    <x v="2"/>
    <s v="Tray"/>
    <s v="Amazon"/>
    <s v="United States"/>
    <s v="asin=&quot;B0F4KJN2VC&quot;"/>
    <s v="-"/>
    <x v="267"/>
    <n v="1"/>
    <n v="1"/>
    <n v="1"/>
    <n v="0.49"/>
    <n v="0.49"/>
    <n v="0"/>
    <m/>
    <n v="0"/>
    <n v="0"/>
    <n v="0"/>
    <n v="0"/>
    <n v="0"/>
    <n v="0"/>
    <n v="0"/>
    <n v="0"/>
  </r>
  <r>
    <x v="0"/>
    <x v="4"/>
    <d v="2026-01-25T00:00:00"/>
    <s v="No Portfolio"/>
    <s v="USD"/>
    <x v="2"/>
    <s v="Tray"/>
    <s v="Amazon"/>
    <s v="United States"/>
    <s v="asin=&quot;B0DSBVB1WW&quot;"/>
    <s v="-"/>
    <x v="268"/>
    <n v="2"/>
    <n v="1"/>
    <n v="0.5"/>
    <n v="0.73"/>
    <n v="0.73"/>
    <n v="0"/>
    <m/>
    <n v="0"/>
    <n v="0"/>
    <n v="0"/>
    <n v="0"/>
    <n v="0"/>
    <n v="0"/>
    <n v="0"/>
    <n v="0"/>
  </r>
  <r>
    <x v="0"/>
    <x v="4"/>
    <d v="2026-01-30T00:00:00"/>
    <s v="No Portfolio"/>
    <s v="USD"/>
    <x v="4"/>
    <s v="stroller tray"/>
    <s v="Amazon"/>
    <s v="United States"/>
    <s v="loose-match"/>
    <s v="-"/>
    <x v="269"/>
    <n v="1"/>
    <n v="1"/>
    <n v="1"/>
    <n v="0.48"/>
    <n v="0.48"/>
    <n v="0"/>
    <m/>
    <n v="0"/>
    <n v="0"/>
    <n v="0"/>
    <n v="0"/>
    <n v="0"/>
    <n v="0"/>
    <n v="0"/>
    <n v="0"/>
  </r>
  <r>
    <x v="0"/>
    <x v="4"/>
    <d v="2026-01-29T00:00:00"/>
    <s v="No Portfolio"/>
    <s v="USD"/>
    <x v="1"/>
    <s v="broad组"/>
    <s v="Amazon"/>
    <s v="United States"/>
    <s v="stroller tray"/>
    <s v="BROAD"/>
    <x v="270"/>
    <n v="1"/>
    <n v="1"/>
    <n v="1"/>
    <n v="0.65"/>
    <n v="0.65"/>
    <n v="0"/>
    <m/>
    <n v="0"/>
    <n v="0"/>
    <n v="0"/>
    <n v="0"/>
    <n v="0"/>
    <n v="0"/>
    <n v="0"/>
    <n v="0"/>
  </r>
  <r>
    <x v="0"/>
    <x v="0"/>
    <d v="2026-01-23T00:00:00"/>
    <s v="No Portfolio"/>
    <s v="USD"/>
    <x v="4"/>
    <s v="stroller tray"/>
    <s v="Amazon"/>
    <s v="United States"/>
    <s v="loose-match"/>
    <s v="-"/>
    <x v="271"/>
    <n v="1"/>
    <n v="1"/>
    <n v="1"/>
    <n v="0.64"/>
    <n v="0.64"/>
    <n v="0"/>
    <m/>
    <n v="0"/>
    <n v="0"/>
    <n v="0"/>
    <n v="0"/>
    <n v="0"/>
    <n v="0"/>
    <n v="0"/>
    <n v="0"/>
  </r>
  <r>
    <x v="0"/>
    <x v="4"/>
    <d v="2026-01-31T00:00:00"/>
    <s v="No Portfolio"/>
    <s v="USD"/>
    <x v="6"/>
    <s v="ENC"/>
    <s v="Amazon"/>
    <s v="United States"/>
    <s v="loose-match"/>
    <s v="-"/>
    <x v="272"/>
    <n v="6"/>
    <n v="1"/>
    <n v="0.16666666666666663"/>
    <n v="1.05"/>
    <n v="1.05"/>
    <n v="25.73"/>
    <n v="4.0808394869801791E-2"/>
    <n v="24.504761904761903"/>
    <n v="1"/>
    <n v="1"/>
    <n v="1"/>
    <n v="1"/>
    <n v="0"/>
    <n v="25.73"/>
    <n v="0"/>
  </r>
  <r>
    <x v="0"/>
    <x v="0"/>
    <d v="2026-01-24T00:00:00"/>
    <s v="No Portfolio"/>
    <s v="USD"/>
    <x v="0"/>
    <s v="broad组"/>
    <s v="Amazon"/>
    <s v="United States"/>
    <s v="stroller cup holder"/>
    <s v="BROAD"/>
    <x v="273"/>
    <n v="1"/>
    <n v="1"/>
    <n v="1"/>
    <n v="0.21"/>
    <n v="0.21"/>
    <n v="0"/>
    <m/>
    <n v="0"/>
    <n v="0"/>
    <n v="0"/>
    <n v="0"/>
    <n v="0"/>
    <n v="0"/>
    <n v="0"/>
    <n v="0"/>
  </r>
  <r>
    <x v="0"/>
    <x v="4"/>
    <d v="2026-01-29T00:00:00"/>
    <s v="No Portfolio"/>
    <s v="USD"/>
    <x v="1"/>
    <s v="broad组"/>
    <s v="Amazon"/>
    <s v="United States"/>
    <s v="baby stroller parent cup holders"/>
    <s v="BROAD"/>
    <x v="84"/>
    <n v="51"/>
    <n v="1"/>
    <n v="1.9607843137254902E-2"/>
    <n v="1.2"/>
    <n v="1.2"/>
    <n v="0"/>
    <m/>
    <n v="0"/>
    <n v="0"/>
    <n v="0"/>
    <n v="0"/>
    <n v="0"/>
    <n v="0"/>
    <n v="0"/>
    <n v="0"/>
  </r>
  <r>
    <x v="0"/>
    <x v="0"/>
    <d v="2026-01-22T00:00:00"/>
    <s v="No Portfolio"/>
    <s v="USD"/>
    <x v="1"/>
    <s v="broad组"/>
    <s v="Amazon"/>
    <s v="United States"/>
    <s v="stroller snack tray attachment"/>
    <s v="BROAD"/>
    <x v="94"/>
    <n v="4"/>
    <n v="1"/>
    <n v="0.25"/>
    <n v="1.19"/>
    <n v="1.19"/>
    <n v="0"/>
    <m/>
    <n v="0"/>
    <n v="0"/>
    <n v="0"/>
    <n v="0"/>
    <n v="0"/>
    <n v="0"/>
    <n v="0"/>
    <n v="0"/>
  </r>
  <r>
    <x v="0"/>
    <x v="0"/>
    <d v="2026-01-22T00:00:00"/>
    <s v="No Portfolio"/>
    <s v="USD"/>
    <x v="6"/>
    <s v="ENC"/>
    <s v="Amazon"/>
    <s v="United States"/>
    <s v="close-match"/>
    <s v="-"/>
    <x v="107"/>
    <n v="7"/>
    <n v="1"/>
    <n v="0.14285714285714285"/>
    <n v="1.21"/>
    <n v="1.21"/>
    <n v="0"/>
    <m/>
    <n v="0"/>
    <n v="0"/>
    <n v="0"/>
    <n v="0"/>
    <n v="0"/>
    <n v="0"/>
    <n v="0"/>
    <n v="0"/>
  </r>
  <r>
    <x v="0"/>
    <x v="4"/>
    <d v="2026-01-25T00:00:00"/>
    <s v="No Portfolio"/>
    <s v="USD"/>
    <x v="5"/>
    <s v="ENC Yellow"/>
    <s v="Amazon"/>
    <s v="United States"/>
    <s v="close-match"/>
    <s v="-"/>
    <x v="107"/>
    <n v="1"/>
    <n v="1"/>
    <n v="1"/>
    <n v="0.6"/>
    <n v="0.6"/>
    <n v="0"/>
    <m/>
    <n v="0"/>
    <n v="0"/>
    <n v="0"/>
    <n v="0"/>
    <n v="0"/>
    <n v="0"/>
    <n v="0"/>
    <n v="0"/>
  </r>
  <r>
    <x v="0"/>
    <x v="4"/>
    <d v="2026-01-26T00:00:00"/>
    <s v="No Portfolio"/>
    <s v="USD"/>
    <x v="9"/>
    <s v="ENC"/>
    <s v="Amazon"/>
    <s v="United States"/>
    <s v="electric nail clipper"/>
    <s v="PHRASE"/>
    <x v="112"/>
    <n v="2"/>
    <n v="1"/>
    <n v="0.5"/>
    <n v="0.52"/>
    <n v="0.52"/>
    <n v="0"/>
    <m/>
    <n v="0"/>
    <n v="0"/>
    <n v="0"/>
    <n v="0"/>
    <n v="0"/>
    <n v="0"/>
    <n v="0"/>
    <n v="0"/>
  </r>
  <r>
    <x v="0"/>
    <x v="0"/>
    <d v="2026-01-22T00:00:00"/>
    <s v="No Portfolio"/>
    <s v="USD"/>
    <x v="5"/>
    <s v="ENC Yellow"/>
    <s v="Amazon"/>
    <s v="United States"/>
    <s v="close-match"/>
    <s v="-"/>
    <x v="274"/>
    <n v="2"/>
    <n v="1"/>
    <n v="0.5"/>
    <n v="0.99"/>
    <n v="0.99"/>
    <n v="0"/>
    <m/>
    <n v="0"/>
    <n v="0"/>
    <n v="0"/>
    <n v="0"/>
    <n v="0"/>
    <n v="0"/>
    <n v="0"/>
    <n v="0"/>
  </r>
  <r>
    <x v="0"/>
    <x v="4"/>
    <d v="2026-01-26T00:00:00"/>
    <s v="No Portfolio"/>
    <s v="USD"/>
    <x v="9"/>
    <s v="ENC"/>
    <s v="Amazon"/>
    <s v="United States"/>
    <s v="electric nail clipper"/>
    <s v="BROAD"/>
    <x v="275"/>
    <n v="3"/>
    <n v="1"/>
    <n v="0.33333333333333331"/>
    <n v="0.52"/>
    <n v="0.52"/>
    <n v="0"/>
    <m/>
    <n v="0"/>
    <n v="0"/>
    <n v="0"/>
    <n v="0"/>
    <n v="0"/>
    <n v="0"/>
    <n v="0"/>
    <n v="0"/>
  </r>
  <r>
    <x v="0"/>
    <x v="0"/>
    <d v="2026-01-23T00:00:00"/>
    <s v="No Portfolio"/>
    <s v="USD"/>
    <x v="6"/>
    <s v="ENC"/>
    <s v="Amazon"/>
    <s v="United States"/>
    <s v="loose-match"/>
    <s v="-"/>
    <x v="123"/>
    <n v="1"/>
    <n v="1"/>
    <n v="1"/>
    <n v="1.21"/>
    <n v="1.21"/>
    <n v="0"/>
    <m/>
    <n v="0"/>
    <n v="0"/>
    <n v="0"/>
    <n v="0"/>
    <n v="0"/>
    <n v="0"/>
    <n v="0"/>
    <n v="0"/>
  </r>
  <r>
    <x v="0"/>
    <x v="4"/>
    <d v="2026-01-26T00:00:00"/>
    <s v="No Portfolio"/>
    <s v="USD"/>
    <x v="6"/>
    <s v="ENC"/>
    <s v="Amazon"/>
    <s v="United States"/>
    <s v="loose-match"/>
    <s v="-"/>
    <x v="123"/>
    <n v="37"/>
    <n v="1"/>
    <n v="2.7027027027027025E-2"/>
    <n v="1.03"/>
    <n v="1.03"/>
    <n v="0"/>
    <m/>
    <n v="0"/>
    <n v="0"/>
    <n v="0"/>
    <n v="0"/>
    <n v="0"/>
    <n v="0"/>
    <n v="0"/>
    <n v="0"/>
  </r>
  <r>
    <x v="0"/>
    <x v="4"/>
    <d v="2026-01-25T00:00:00"/>
    <s v="No Portfolio"/>
    <s v="USD"/>
    <x v="6"/>
    <s v="ENC"/>
    <s v="Amazon"/>
    <s v="United States"/>
    <s v="loose-match"/>
    <s v="-"/>
    <x v="124"/>
    <n v="9"/>
    <n v="1"/>
    <n v="0.1111111111111111"/>
    <n v="1.1200000000000001"/>
    <n v="1.1200000000000001"/>
    <n v="0"/>
    <m/>
    <n v="0"/>
    <n v="0"/>
    <n v="0"/>
    <n v="0"/>
    <n v="0"/>
    <n v="0"/>
    <n v="0"/>
    <n v="0"/>
  </r>
  <r>
    <x v="0"/>
    <x v="4"/>
    <d v="2026-01-28T00:00:00"/>
    <s v="No Portfolio"/>
    <s v="USD"/>
    <x v="6"/>
    <s v="ENC"/>
    <s v="Amazon"/>
    <s v="United States"/>
    <s v="loose-match"/>
    <s v="-"/>
    <x v="124"/>
    <n v="4"/>
    <n v="1"/>
    <n v="0.25"/>
    <n v="1"/>
    <n v="1"/>
    <n v="0"/>
    <m/>
    <n v="0"/>
    <n v="0"/>
    <n v="0"/>
    <n v="0"/>
    <n v="0"/>
    <n v="0"/>
    <n v="0"/>
    <n v="0"/>
  </r>
  <r>
    <x v="0"/>
    <x v="4"/>
    <d v="2026-01-27T00:00:00"/>
    <s v="No Portfolio"/>
    <s v="USD"/>
    <x v="6"/>
    <s v="ENC"/>
    <s v="Amazon"/>
    <s v="United States"/>
    <s v="close-match"/>
    <s v="-"/>
    <x v="276"/>
    <n v="1"/>
    <n v="1"/>
    <n v="1"/>
    <n v="1.17"/>
    <n v="1.17"/>
    <n v="0"/>
    <m/>
    <n v="0"/>
    <n v="0"/>
    <n v="0"/>
    <n v="0"/>
    <n v="0"/>
    <n v="0"/>
    <n v="0"/>
    <n v="0"/>
  </r>
  <r>
    <x v="0"/>
    <x v="4"/>
    <d v="2026-01-25T00:00:00"/>
    <s v="No Portfolio"/>
    <s v="USD"/>
    <x v="6"/>
    <s v="ENC"/>
    <s v="Amazon"/>
    <s v="United States"/>
    <s v="loose-match"/>
    <s v="-"/>
    <x v="277"/>
    <n v="1"/>
    <n v="1"/>
    <n v="1"/>
    <n v="1.21"/>
    <n v="1.21"/>
    <n v="0"/>
    <m/>
    <n v="0"/>
    <n v="0"/>
    <n v="0"/>
    <n v="0"/>
    <n v="0"/>
    <n v="0"/>
    <n v="0"/>
    <n v="0"/>
  </r>
  <r>
    <x v="0"/>
    <x v="4"/>
    <d v="2026-01-27T00:00:00"/>
    <s v="No Portfolio"/>
    <s v="USD"/>
    <x v="6"/>
    <s v="ENC"/>
    <s v="Amazon"/>
    <s v="United States"/>
    <s v="close-match"/>
    <s v="-"/>
    <x v="278"/>
    <n v="1"/>
    <n v="1"/>
    <n v="1"/>
    <n v="1.17"/>
    <n v="1.17"/>
    <n v="0"/>
    <m/>
    <n v="0"/>
    <n v="0"/>
    <n v="0"/>
    <n v="0"/>
    <n v="0"/>
    <n v="0"/>
    <n v="0"/>
    <n v="0"/>
  </r>
  <r>
    <x v="0"/>
    <x v="0"/>
    <d v="2026-01-24T00:00:00"/>
    <s v="No Portfolio"/>
    <s v="USD"/>
    <x v="4"/>
    <s v="stroller tray"/>
    <s v="Amazon"/>
    <s v="United States"/>
    <s v="loose-match"/>
    <s v="-"/>
    <x v="279"/>
    <n v="2"/>
    <n v="1"/>
    <n v="0.5"/>
    <n v="0.53"/>
    <n v="0.53"/>
    <n v="0"/>
    <m/>
    <n v="0"/>
    <n v="0"/>
    <n v="0"/>
    <n v="0"/>
    <n v="0"/>
    <n v="0"/>
    <n v="0"/>
    <n v="0"/>
  </r>
  <r>
    <x v="0"/>
    <x v="4"/>
    <d v="2026-01-28T00:00:00"/>
    <s v="No Portfolio"/>
    <s v="USD"/>
    <x v="4"/>
    <s v="stroller tray"/>
    <s v="Amazon"/>
    <s v="United States"/>
    <s v="loose-match"/>
    <s v="-"/>
    <x v="280"/>
    <n v="1"/>
    <n v="1"/>
    <n v="1"/>
    <n v="0.37"/>
    <n v="0.37"/>
    <n v="0"/>
    <m/>
    <n v="0"/>
    <n v="0"/>
    <n v="0"/>
    <n v="0"/>
    <n v="0"/>
    <n v="0"/>
    <n v="0"/>
    <n v="0"/>
  </r>
  <r>
    <x v="0"/>
    <x v="4"/>
    <d v="2026-01-26T00:00:00"/>
    <s v="No Portfolio"/>
    <s v="USD"/>
    <x v="4"/>
    <s v="stroller tray"/>
    <s v="Amazon"/>
    <s v="United States"/>
    <s v="loose-match"/>
    <s v="-"/>
    <x v="281"/>
    <n v="2"/>
    <n v="1"/>
    <n v="0.5"/>
    <n v="0"/>
    <n v="0"/>
    <n v="0"/>
    <m/>
    <m/>
    <n v="0"/>
    <n v="0"/>
    <n v="0"/>
    <n v="0"/>
    <n v="0"/>
    <n v="0"/>
    <n v="0"/>
  </r>
  <r>
    <x v="0"/>
    <x v="4"/>
    <d v="2026-01-28T00:00:00"/>
    <s v="No Portfolio"/>
    <s v="USD"/>
    <x v="4"/>
    <s v="stroller tray"/>
    <s v="Amazon"/>
    <s v="United States"/>
    <s v="substitutes"/>
    <s v="-"/>
    <x v="282"/>
    <n v="3"/>
    <n v="1"/>
    <n v="0.33333333333333331"/>
    <n v="0.52"/>
    <n v="0.52"/>
    <n v="0"/>
    <m/>
    <n v="0"/>
    <n v="0"/>
    <n v="0"/>
    <n v="0"/>
    <n v="0"/>
    <n v="0"/>
    <n v="0"/>
    <n v="0"/>
  </r>
  <r>
    <x v="0"/>
    <x v="4"/>
    <d v="2026-01-26T00:00:00"/>
    <s v="No Portfolio"/>
    <s v="USD"/>
    <x v="4"/>
    <s v="stroller tray"/>
    <s v="Amazon"/>
    <s v="United States"/>
    <s v="substitutes"/>
    <s v="-"/>
    <x v="283"/>
    <n v="2"/>
    <n v="1"/>
    <n v="0.5"/>
    <n v="0.48"/>
    <n v="0.48"/>
    <n v="0"/>
    <m/>
    <n v="0"/>
    <n v="0"/>
    <n v="0"/>
    <n v="0"/>
    <n v="0"/>
    <n v="0"/>
    <n v="0"/>
    <n v="0"/>
  </r>
  <r>
    <x v="0"/>
    <x v="4"/>
    <d v="2026-01-29T00:00:00"/>
    <s v="No Portfolio"/>
    <s v="USD"/>
    <x v="6"/>
    <s v="ENC"/>
    <s v="Amazon"/>
    <s v="United States"/>
    <s v="close-match"/>
    <s v="-"/>
    <x v="284"/>
    <n v="9"/>
    <n v="1"/>
    <n v="0.1111111111111111"/>
    <n v="1.23"/>
    <n v="1.23"/>
    <n v="0"/>
    <m/>
    <n v="0"/>
    <n v="0"/>
    <n v="0"/>
    <n v="0"/>
    <n v="0"/>
    <n v="0"/>
    <n v="0"/>
    <n v="0"/>
  </r>
  <r>
    <x v="0"/>
    <x v="4"/>
    <d v="2026-01-29T00:00:00"/>
    <s v="No Portfolio"/>
    <s v="USD"/>
    <x v="6"/>
    <s v="ENC"/>
    <s v="Amazon"/>
    <s v="United States"/>
    <s v="close-match"/>
    <s v="-"/>
    <x v="285"/>
    <n v="1"/>
    <n v="1"/>
    <n v="1"/>
    <n v="1.0900000000000001"/>
    <n v="1.0900000000000001"/>
    <n v="0"/>
    <m/>
    <n v="0"/>
    <n v="0"/>
    <n v="0"/>
    <n v="0"/>
    <n v="0"/>
    <n v="0"/>
    <n v="0"/>
    <n v="0"/>
  </r>
  <r>
    <x v="0"/>
    <x v="0"/>
    <d v="2026-01-23T00:00:00"/>
    <s v="No Portfolio"/>
    <s v="USD"/>
    <x v="6"/>
    <s v="ENC"/>
    <s v="Amazon"/>
    <s v="United States"/>
    <s v="loose-match"/>
    <s v="-"/>
    <x v="286"/>
    <n v="1"/>
    <n v="1"/>
    <n v="1"/>
    <n v="1.21"/>
    <n v="1.21"/>
    <n v="0"/>
    <m/>
    <n v="0"/>
    <n v="0"/>
    <n v="0"/>
    <n v="0"/>
    <n v="0"/>
    <n v="0"/>
    <n v="0"/>
    <n v="0"/>
  </r>
  <r>
    <x v="0"/>
    <x v="4"/>
    <d v="2026-01-28T00:00:00"/>
    <s v="No Portfolio"/>
    <s v="USD"/>
    <x v="3"/>
    <s v="ENC Grey"/>
    <s v="Amazon"/>
    <s v="United States"/>
    <s v="close-match"/>
    <s v="-"/>
    <x v="287"/>
    <n v="4"/>
    <n v="1"/>
    <n v="0.25"/>
    <n v="0.39"/>
    <n v="0.39"/>
    <n v="0"/>
    <m/>
    <n v="0"/>
    <n v="0"/>
    <n v="0"/>
    <n v="0"/>
    <n v="0"/>
    <n v="0"/>
    <n v="0"/>
    <n v="0"/>
  </r>
  <r>
    <x v="0"/>
    <x v="4"/>
    <d v="2026-01-25T00:00:00"/>
    <s v="No Portfolio"/>
    <s v="USD"/>
    <x v="5"/>
    <s v="ENC Yellow"/>
    <s v="Amazon"/>
    <s v="United States"/>
    <s v="loose-match"/>
    <s v="-"/>
    <x v="288"/>
    <n v="1"/>
    <n v="1"/>
    <n v="1"/>
    <n v="1"/>
    <n v="1"/>
    <n v="0"/>
    <m/>
    <n v="0"/>
    <n v="0"/>
    <n v="0"/>
    <n v="0"/>
    <n v="0"/>
    <n v="0"/>
    <n v="0"/>
    <n v="0"/>
  </r>
  <r>
    <x v="0"/>
    <x v="4"/>
    <d v="2026-01-30T00:00:00"/>
    <s v="No Portfolio"/>
    <s v="USD"/>
    <x v="6"/>
    <s v="ENC"/>
    <s v="Amazon"/>
    <s v="United States"/>
    <s v="loose-match"/>
    <s v="-"/>
    <x v="289"/>
    <n v="129"/>
    <n v="1"/>
    <n v="7.7519379844961239E-3"/>
    <n v="1.04"/>
    <n v="1.04"/>
    <n v="0"/>
    <m/>
    <n v="0"/>
    <n v="0"/>
    <n v="0"/>
    <n v="0"/>
    <n v="0"/>
    <n v="0"/>
    <n v="0"/>
    <n v="0"/>
  </r>
  <r>
    <x v="0"/>
    <x v="4"/>
    <d v="2026-01-25T00:00:00"/>
    <s v="No Portfolio"/>
    <s v="USD"/>
    <x v="4"/>
    <s v="stroller tray"/>
    <s v="Amazon"/>
    <s v="United States"/>
    <s v="close-match"/>
    <s v="-"/>
    <x v="290"/>
    <n v="2"/>
    <n v="1"/>
    <n v="0.5"/>
    <n v="0.65"/>
    <n v="0.65"/>
    <n v="0"/>
    <m/>
    <n v="0"/>
    <n v="0"/>
    <n v="0"/>
    <n v="0"/>
    <n v="0"/>
    <n v="0"/>
    <n v="0"/>
    <n v="0"/>
  </r>
  <r>
    <x v="0"/>
    <x v="4"/>
    <d v="2026-01-31T00:00:00"/>
    <s v="No Portfolio"/>
    <s v="USD"/>
    <x v="4"/>
    <s v="stroller tray"/>
    <s v="Amazon"/>
    <s v="United States"/>
    <s v="loose-match"/>
    <s v="-"/>
    <x v="291"/>
    <n v="2"/>
    <n v="1"/>
    <n v="0.5"/>
    <n v="0.4"/>
    <n v="0.4"/>
    <n v="0"/>
    <m/>
    <n v="0"/>
    <n v="0"/>
    <n v="0"/>
    <n v="0"/>
    <n v="0"/>
    <n v="0"/>
    <n v="0"/>
    <n v="0"/>
  </r>
  <r>
    <x v="0"/>
    <x v="4"/>
    <d v="2026-01-29T00:00:00"/>
    <s v="No Portfolio"/>
    <s v="USD"/>
    <x v="0"/>
    <s v="broad组"/>
    <s v="Amazon"/>
    <s v="United States"/>
    <s v="stroller tray"/>
    <s v="BROAD"/>
    <x v="292"/>
    <n v="2"/>
    <n v="1"/>
    <n v="0.5"/>
    <n v="0.21"/>
    <n v="0.21"/>
    <n v="0"/>
    <m/>
    <n v="0"/>
    <n v="0"/>
    <n v="0"/>
    <n v="0"/>
    <n v="0"/>
    <n v="0"/>
    <n v="0"/>
    <n v="0"/>
  </r>
  <r>
    <x v="0"/>
    <x v="4"/>
    <d v="2026-01-31T00:00:00"/>
    <s v="No Portfolio"/>
    <s v="USD"/>
    <x v="6"/>
    <s v="ENC"/>
    <s v="Amazon"/>
    <s v="United States"/>
    <s v="loose-match"/>
    <s v="-"/>
    <x v="293"/>
    <n v="1"/>
    <n v="1"/>
    <n v="1"/>
    <n v="1.07"/>
    <n v="1.07"/>
    <n v="0"/>
    <m/>
    <n v="0"/>
    <n v="0"/>
    <n v="0"/>
    <n v="0"/>
    <n v="0"/>
    <n v="0"/>
    <n v="0"/>
    <n v="0"/>
  </r>
  <r>
    <x v="0"/>
    <x v="4"/>
    <d v="2026-01-25T00:00:00"/>
    <s v="No Portfolio"/>
    <s v="USD"/>
    <x v="2"/>
    <s v="Tray"/>
    <s v="Amazon"/>
    <s v="United States"/>
    <s v="asin=&quot;B0DSBVB1WW&quot;"/>
    <s v="-"/>
    <x v="294"/>
    <n v="1"/>
    <n v="1"/>
    <n v="1"/>
    <n v="0.81"/>
    <n v="0.81"/>
    <n v="0"/>
    <m/>
    <n v="0"/>
    <n v="0"/>
    <n v="0"/>
    <n v="0"/>
    <n v="0"/>
    <n v="0"/>
    <n v="0"/>
    <n v="0"/>
  </r>
  <r>
    <x v="0"/>
    <x v="4"/>
    <d v="2026-01-25T00:00:00"/>
    <s v="No Portfolio"/>
    <s v="USD"/>
    <x v="4"/>
    <s v="stroller tray"/>
    <s v="Amazon"/>
    <s v="United States"/>
    <s v="loose-match"/>
    <s v="-"/>
    <x v="295"/>
    <n v="1"/>
    <n v="1"/>
    <n v="1"/>
    <n v="0.28000000000000003"/>
    <n v="0.28000000000000003"/>
    <n v="0"/>
    <m/>
    <n v="0"/>
    <n v="0"/>
    <n v="0"/>
    <n v="0"/>
    <n v="0"/>
    <n v="0"/>
    <n v="0"/>
    <n v="0"/>
  </r>
  <r>
    <x v="0"/>
    <x v="0"/>
    <d v="2026-01-24T00:00:00"/>
    <s v="No Portfolio"/>
    <s v="USD"/>
    <x v="2"/>
    <s v="Tray"/>
    <s v="Amazon"/>
    <s v="United States"/>
    <s v="asin=&quot;B0DH98H2G4&quot;"/>
    <s v="-"/>
    <x v="296"/>
    <n v="1"/>
    <n v="1"/>
    <n v="1"/>
    <n v="0.46"/>
    <n v="0.46"/>
    <n v="0"/>
    <m/>
    <n v="0"/>
    <n v="0"/>
    <n v="0"/>
    <n v="0"/>
    <n v="0"/>
    <n v="0"/>
    <n v="0"/>
    <n v="0"/>
  </r>
  <r>
    <x v="0"/>
    <x v="4"/>
    <d v="2026-01-31T00:00:00"/>
    <s v="No Portfolio"/>
    <s v="USD"/>
    <x v="1"/>
    <s v="broad组"/>
    <s v="Amazon"/>
    <s v="United States"/>
    <s v="stroller snack tray attachment"/>
    <s v="BROAD"/>
    <x v="297"/>
    <n v="1"/>
    <n v="1"/>
    <n v="1"/>
    <n v="1.29"/>
    <n v="1.29"/>
    <n v="0"/>
    <m/>
    <n v="0"/>
    <n v="0"/>
    <n v="0"/>
    <n v="0"/>
    <n v="0"/>
    <n v="0"/>
    <n v="0"/>
    <n v="0"/>
  </r>
  <r>
    <x v="0"/>
    <x v="0"/>
    <d v="2026-01-24T00:00:00"/>
    <s v="No Portfolio"/>
    <s v="USD"/>
    <x v="4"/>
    <s v="stroller tray"/>
    <s v="Amazon"/>
    <s v="United States"/>
    <s v="close-match"/>
    <s v="-"/>
    <x v="187"/>
    <n v="23"/>
    <n v="1"/>
    <n v="4.3478260869565216E-2"/>
    <n v="0.68"/>
    <n v="0.68"/>
    <n v="0"/>
    <m/>
    <n v="0"/>
    <n v="0"/>
    <n v="0"/>
    <n v="0"/>
    <n v="0"/>
    <n v="0"/>
    <n v="0"/>
    <n v="0"/>
  </r>
  <r>
    <x v="0"/>
    <x v="4"/>
    <d v="2026-01-30T00:00:00"/>
    <s v="No Portfolio"/>
    <s v="USD"/>
    <x v="4"/>
    <s v="stroller tray"/>
    <s v="Amazon"/>
    <s v="United States"/>
    <s v="close-match"/>
    <s v="-"/>
    <x v="187"/>
    <n v="34"/>
    <n v="1"/>
    <n v="2.9411764705882349E-2"/>
    <n v="0.54"/>
    <n v="0.54"/>
    <n v="0"/>
    <m/>
    <n v="0"/>
    <n v="0"/>
    <n v="0"/>
    <n v="0"/>
    <n v="0"/>
    <n v="0"/>
    <n v="0"/>
    <n v="0"/>
  </r>
  <r>
    <x v="0"/>
    <x v="0"/>
    <d v="2026-01-23T00:00:00"/>
    <s v="No Portfolio"/>
    <s v="USD"/>
    <x v="1"/>
    <s v="broad组"/>
    <s v="Amazon"/>
    <s v="United States"/>
    <s v="snack tray for stroller"/>
    <s v="BROAD"/>
    <x v="187"/>
    <n v="39"/>
    <n v="1"/>
    <n v="2.564102564102564E-2"/>
    <n v="0.9"/>
    <n v="0.9"/>
    <n v="0"/>
    <m/>
    <n v="0"/>
    <n v="0"/>
    <n v="0"/>
    <n v="0"/>
    <n v="0"/>
    <n v="0"/>
    <n v="0"/>
    <n v="0"/>
  </r>
  <r>
    <x v="0"/>
    <x v="4"/>
    <d v="2026-01-26T00:00:00"/>
    <s v="No Portfolio"/>
    <s v="USD"/>
    <x v="4"/>
    <s v="stroller tray"/>
    <s v="Amazon"/>
    <s v="United States"/>
    <s v="loose-match"/>
    <s v="-"/>
    <x v="298"/>
    <n v="2"/>
    <n v="1"/>
    <n v="0.5"/>
    <n v="0.35"/>
    <n v="0.35"/>
    <n v="0"/>
    <m/>
    <n v="0"/>
    <n v="0"/>
    <n v="0"/>
    <n v="0"/>
    <n v="0"/>
    <n v="0"/>
    <n v="0"/>
    <n v="0"/>
  </r>
  <r>
    <x v="0"/>
    <x v="4"/>
    <d v="2026-01-28T00:00:00"/>
    <s v="No Portfolio"/>
    <s v="USD"/>
    <x v="1"/>
    <s v="broad组"/>
    <s v="Amazon"/>
    <s v="United States"/>
    <s v="snack tray for stroller"/>
    <s v="BROAD"/>
    <x v="299"/>
    <n v="12"/>
    <n v="1"/>
    <n v="8.3333333333333315E-2"/>
    <n v="0.7"/>
    <n v="0.7"/>
    <n v="0"/>
    <m/>
    <n v="0"/>
    <n v="0"/>
    <n v="0"/>
    <n v="0"/>
    <n v="0"/>
    <n v="0"/>
    <n v="0"/>
    <n v="0"/>
  </r>
  <r>
    <x v="0"/>
    <x v="0"/>
    <d v="2026-01-24T00:00:00"/>
    <s v="No Portfolio"/>
    <s v="USD"/>
    <x v="0"/>
    <s v="broad组"/>
    <s v="Amazon"/>
    <s v="United States"/>
    <s v="stroller accessories"/>
    <s v="BROAD"/>
    <x v="192"/>
    <n v="2"/>
    <n v="1"/>
    <n v="0.5"/>
    <n v="0.15"/>
    <n v="0.15"/>
    <n v="0"/>
    <m/>
    <n v="0"/>
    <n v="0"/>
    <n v="0"/>
    <n v="0"/>
    <n v="0"/>
    <n v="0"/>
    <n v="0"/>
    <n v="0"/>
  </r>
  <r>
    <x v="0"/>
    <x v="4"/>
    <d v="2026-01-27T00:00:00"/>
    <s v="No Portfolio"/>
    <s v="USD"/>
    <x v="4"/>
    <s v="stroller tray"/>
    <s v="Amazon"/>
    <s v="United States"/>
    <s v="close-match"/>
    <s v="-"/>
    <x v="300"/>
    <n v="2"/>
    <n v="1"/>
    <n v="0.5"/>
    <n v="0.76"/>
    <n v="0.76"/>
    <n v="0"/>
    <m/>
    <n v="0"/>
    <n v="0"/>
    <n v="0"/>
    <n v="0"/>
    <n v="0"/>
    <n v="0"/>
    <n v="0"/>
    <n v="0"/>
  </r>
  <r>
    <x v="0"/>
    <x v="4"/>
    <d v="2026-01-29T00:00:00"/>
    <s v="No Portfolio"/>
    <s v="USD"/>
    <x v="2"/>
    <s v="Tray"/>
    <s v="Amazon"/>
    <s v="United States"/>
    <s v="asin=&quot;B0F4KJN2VC&quot;"/>
    <s v="-"/>
    <x v="301"/>
    <n v="2"/>
    <n v="1"/>
    <n v="0.5"/>
    <n v="0.52"/>
    <n v="0.52"/>
    <n v="0"/>
    <m/>
    <n v="0"/>
    <n v="0"/>
    <n v="0"/>
    <n v="0"/>
    <n v="0"/>
    <n v="0"/>
    <n v="0"/>
    <n v="0"/>
  </r>
  <r>
    <x v="0"/>
    <x v="4"/>
    <d v="2026-01-28T00:00:00"/>
    <s v="No Portfolio"/>
    <s v="USD"/>
    <x v="4"/>
    <s v="stroller tray"/>
    <s v="Amazon"/>
    <s v="United States"/>
    <s v="substitutes"/>
    <s v="-"/>
    <x v="302"/>
    <n v="6"/>
    <n v="1"/>
    <n v="0.16666666666666663"/>
    <n v="0.43"/>
    <n v="0.43"/>
    <n v="0"/>
    <m/>
    <n v="0"/>
    <n v="0"/>
    <n v="0"/>
    <n v="0"/>
    <n v="0"/>
    <n v="0"/>
    <n v="0"/>
    <n v="0"/>
  </r>
  <r>
    <x v="0"/>
    <x v="4"/>
    <d v="2026-01-31T00:00:00"/>
    <s v="No Portfolio"/>
    <s v="USD"/>
    <x v="2"/>
    <s v="Tray"/>
    <s v="Amazon"/>
    <s v="United States"/>
    <s v="asin=&quot;B0DSBVB1WW&quot;"/>
    <s v="-"/>
    <x v="303"/>
    <n v="1"/>
    <n v="1"/>
    <n v="1"/>
    <n v="0.49"/>
    <n v="0.49"/>
    <n v="0"/>
    <m/>
    <n v="0"/>
    <n v="0"/>
    <n v="0"/>
    <n v="0"/>
    <n v="0"/>
    <n v="0"/>
    <n v="0"/>
    <n v="0"/>
  </r>
  <r>
    <x v="0"/>
    <x v="4"/>
    <d v="2026-01-26T00:00:00"/>
    <s v="No Portfolio"/>
    <s v="USD"/>
    <x v="4"/>
    <s v="stroller tray"/>
    <s v="Amazon"/>
    <s v="United States"/>
    <s v="loose-match"/>
    <s v="-"/>
    <x v="197"/>
    <n v="1"/>
    <n v="1"/>
    <n v="1"/>
    <n v="0.35"/>
    <n v="0.35"/>
    <n v="17.09"/>
    <n v="2.0479812755997657E-2"/>
    <n v="48.828571428571429"/>
    <n v="1"/>
    <n v="1"/>
    <n v="1"/>
    <n v="1"/>
    <n v="0"/>
    <n v="17.09"/>
    <n v="0"/>
  </r>
  <r>
    <x v="0"/>
    <x v="4"/>
    <d v="2026-01-29T00:00:00"/>
    <s v="No Portfolio"/>
    <s v="USD"/>
    <x v="4"/>
    <s v="stroller tray"/>
    <s v="Amazon"/>
    <s v="United States"/>
    <s v="close-match"/>
    <s v="-"/>
    <x v="304"/>
    <n v="1"/>
    <n v="1"/>
    <n v="1"/>
    <n v="0.55000000000000004"/>
    <n v="0.55000000000000004"/>
    <n v="0"/>
    <m/>
    <n v="0"/>
    <n v="0"/>
    <n v="0"/>
    <n v="0"/>
    <n v="0"/>
    <n v="0"/>
    <n v="0"/>
    <n v="0"/>
  </r>
  <r>
    <x v="0"/>
    <x v="4"/>
    <d v="2026-01-29T00:00:00"/>
    <s v="No Portfolio"/>
    <s v="USD"/>
    <x v="1"/>
    <s v="broad组"/>
    <s v="Amazon"/>
    <s v="United States"/>
    <s v="cup and snack holder attachment for stroller"/>
    <s v="BROAD"/>
    <x v="305"/>
    <n v="1"/>
    <n v="1"/>
    <n v="1"/>
    <n v="0.95"/>
    <n v="0.95"/>
    <n v="0"/>
    <m/>
    <n v="0"/>
    <n v="0"/>
    <n v="0"/>
    <n v="0"/>
    <n v="0"/>
    <n v="0"/>
    <n v="0"/>
    <n v="0"/>
  </r>
  <r>
    <x v="0"/>
    <x v="0"/>
    <d v="2026-01-22T00:00:00"/>
    <s v="No Portfolio"/>
    <s v="USD"/>
    <x v="4"/>
    <s v="stroller tray"/>
    <s v="Amazon"/>
    <s v="United States"/>
    <s v="close-match"/>
    <s v="-"/>
    <x v="198"/>
    <n v="24"/>
    <n v="1"/>
    <n v="4.1666666666666657E-2"/>
    <n v="0.68"/>
    <n v="0.68"/>
    <n v="17.09"/>
    <n v="3.9789350497366885E-2"/>
    <n v="25.132352941176467"/>
    <n v="1"/>
    <n v="1"/>
    <n v="1"/>
    <n v="0"/>
    <n v="1"/>
    <n v="0"/>
    <n v="17.09"/>
  </r>
  <r>
    <x v="0"/>
    <x v="4"/>
    <d v="2026-01-27T00:00:00"/>
    <s v="No Portfolio"/>
    <s v="USD"/>
    <x v="4"/>
    <s v="stroller tray"/>
    <s v="Amazon"/>
    <s v="United States"/>
    <s v="close-match"/>
    <s v="-"/>
    <x v="198"/>
    <n v="37"/>
    <n v="1"/>
    <n v="2.7027027027027025E-2"/>
    <n v="0.63"/>
    <n v="0.63"/>
    <n v="0"/>
    <m/>
    <n v="0"/>
    <n v="0"/>
    <n v="0"/>
    <n v="0"/>
    <n v="0"/>
    <n v="0"/>
    <n v="0"/>
    <n v="0"/>
  </r>
  <r>
    <x v="0"/>
    <x v="4"/>
    <d v="2026-01-28T00:00:00"/>
    <s v="No Portfolio"/>
    <s v="USD"/>
    <x v="4"/>
    <s v="stroller tray"/>
    <s v="Amazon"/>
    <s v="United States"/>
    <s v="close-match"/>
    <s v="-"/>
    <x v="198"/>
    <n v="50"/>
    <n v="1"/>
    <n v="0.02"/>
    <n v="0.57999999999999996"/>
    <n v="0.57999999999999996"/>
    <n v="0"/>
    <m/>
    <n v="0"/>
    <n v="0"/>
    <n v="0"/>
    <n v="0"/>
    <n v="0"/>
    <n v="0"/>
    <n v="0"/>
    <n v="0"/>
  </r>
  <r>
    <x v="0"/>
    <x v="4"/>
    <d v="2026-01-30T00:00:00"/>
    <s v="No Portfolio"/>
    <s v="USD"/>
    <x v="0"/>
    <s v="phrase&amp;exact"/>
    <s v="Amazon"/>
    <s v="United States"/>
    <s v="stroller cup holder"/>
    <s v="PHRASE"/>
    <x v="198"/>
    <n v="18"/>
    <n v="1"/>
    <n v="5.5555555555555552E-2"/>
    <n v="0.2"/>
    <n v="0.2"/>
    <n v="0"/>
    <m/>
    <n v="0"/>
    <n v="0"/>
    <n v="0"/>
    <n v="0"/>
    <n v="0"/>
    <n v="0"/>
    <n v="0"/>
    <n v="0"/>
  </r>
  <r>
    <x v="0"/>
    <x v="4"/>
    <d v="2026-01-31T00:00:00"/>
    <s v="No Portfolio"/>
    <s v="USD"/>
    <x v="0"/>
    <s v="phrase&amp;exact"/>
    <s v="Amazon"/>
    <s v="United States"/>
    <s v="stroller cup holder"/>
    <s v="PHRASE"/>
    <x v="198"/>
    <n v="26"/>
    <n v="1"/>
    <n v="3.8461538461538464E-2"/>
    <n v="0.2"/>
    <n v="0.2"/>
    <n v="0"/>
    <m/>
    <n v="0"/>
    <n v="0"/>
    <n v="0"/>
    <n v="0"/>
    <n v="0"/>
    <n v="0"/>
    <n v="0"/>
    <n v="0"/>
  </r>
  <r>
    <x v="0"/>
    <x v="4"/>
    <d v="2026-01-25T00:00:00"/>
    <s v="No Portfolio"/>
    <s v="USD"/>
    <x v="1"/>
    <s v="broad组"/>
    <s v="Amazon"/>
    <s v="United States"/>
    <s v="cup holder and tray for stroller"/>
    <s v="BROAD"/>
    <x v="198"/>
    <n v="23"/>
    <n v="1"/>
    <n v="4.3478260869565216E-2"/>
    <n v="1.02"/>
    <n v="1.02"/>
    <n v="0"/>
    <m/>
    <n v="0"/>
    <n v="0"/>
    <n v="0"/>
    <n v="0"/>
    <n v="0"/>
    <n v="0"/>
    <n v="0"/>
    <n v="0"/>
  </r>
  <r>
    <x v="0"/>
    <x v="4"/>
    <d v="2026-01-31T00:00:00"/>
    <s v="No Portfolio"/>
    <s v="USD"/>
    <x v="1"/>
    <s v="broad组"/>
    <s v="Amazon"/>
    <s v="United States"/>
    <s v="baby stroller parent cup holders"/>
    <s v="BROAD"/>
    <x v="198"/>
    <n v="24"/>
    <n v="1"/>
    <n v="4.1666666666666657E-2"/>
    <n v="1.1499999999999999"/>
    <n v="1.1499999999999999"/>
    <n v="0"/>
    <m/>
    <n v="0"/>
    <n v="0"/>
    <n v="0"/>
    <n v="0"/>
    <n v="0"/>
    <n v="0"/>
    <n v="0"/>
    <n v="0"/>
  </r>
  <r>
    <x v="0"/>
    <x v="0"/>
    <d v="2026-01-22T00:00:00"/>
    <s v="No Portfolio"/>
    <s v="USD"/>
    <x v="4"/>
    <s v="stroller tray"/>
    <s v="Amazon"/>
    <s v="United States"/>
    <s v="close-match"/>
    <s v="-"/>
    <x v="199"/>
    <n v="9"/>
    <n v="1"/>
    <n v="0.1111111111111111"/>
    <n v="0.68"/>
    <n v="0.68"/>
    <n v="0"/>
    <m/>
    <n v="0"/>
    <n v="0"/>
    <n v="0"/>
    <n v="0"/>
    <n v="0"/>
    <n v="0"/>
    <n v="0"/>
    <n v="0"/>
  </r>
  <r>
    <x v="0"/>
    <x v="4"/>
    <d v="2026-01-25T00:00:00"/>
    <s v="No Portfolio"/>
    <s v="USD"/>
    <x v="4"/>
    <s v="stroller tray"/>
    <s v="Amazon"/>
    <s v="United States"/>
    <s v="close-match"/>
    <s v="-"/>
    <x v="199"/>
    <n v="52"/>
    <n v="1"/>
    <n v="1.9230769230769232E-2"/>
    <n v="0.65"/>
    <n v="0.65"/>
    <n v="0"/>
    <m/>
    <n v="0"/>
    <n v="0"/>
    <n v="0"/>
    <n v="0"/>
    <n v="0"/>
    <n v="0"/>
    <n v="0"/>
    <n v="0"/>
  </r>
  <r>
    <x v="0"/>
    <x v="4"/>
    <d v="2026-01-30T00:00:00"/>
    <s v="No Portfolio"/>
    <s v="USD"/>
    <x v="4"/>
    <s v="stroller tray"/>
    <s v="Amazon"/>
    <s v="United States"/>
    <s v="close-match"/>
    <s v="-"/>
    <x v="199"/>
    <n v="22"/>
    <n v="1"/>
    <n v="4.5454545454545463E-2"/>
    <n v="0.54"/>
    <n v="0.54"/>
    <n v="0"/>
    <m/>
    <n v="0"/>
    <n v="0"/>
    <n v="0"/>
    <n v="0"/>
    <n v="0"/>
    <n v="0"/>
    <n v="0"/>
    <n v="0"/>
  </r>
  <r>
    <x v="0"/>
    <x v="0"/>
    <d v="2026-01-24T00:00:00"/>
    <s v="No Portfolio"/>
    <s v="USD"/>
    <x v="0"/>
    <s v="phrase&amp;exact"/>
    <s v="Amazon"/>
    <s v="United States"/>
    <s v="stroller cup holder"/>
    <s v="PHRASE"/>
    <x v="199"/>
    <n v="9"/>
    <n v="1"/>
    <n v="0.1111111111111111"/>
    <n v="0.2"/>
    <n v="0.2"/>
    <n v="0"/>
    <m/>
    <n v="0"/>
    <n v="0"/>
    <n v="0"/>
    <n v="0"/>
    <n v="0"/>
    <n v="0"/>
    <n v="0"/>
    <n v="0"/>
  </r>
  <r>
    <x v="0"/>
    <x v="0"/>
    <d v="2026-01-23T00:00:00"/>
    <s v="No Portfolio"/>
    <s v="USD"/>
    <x v="0"/>
    <s v="broad组"/>
    <s v="Amazon"/>
    <s v="United States"/>
    <s v="stroller cup holder attachment"/>
    <s v="BROAD"/>
    <x v="199"/>
    <n v="10"/>
    <n v="1"/>
    <n v="0.1"/>
    <n v="0.2"/>
    <n v="0.2"/>
    <n v="0"/>
    <m/>
    <n v="0"/>
    <n v="0"/>
    <n v="0"/>
    <n v="0"/>
    <n v="0"/>
    <n v="0"/>
    <n v="0"/>
    <n v="0"/>
  </r>
  <r>
    <x v="0"/>
    <x v="4"/>
    <d v="2026-01-30T00:00:00"/>
    <s v="No Portfolio"/>
    <s v="USD"/>
    <x v="1"/>
    <s v="broad组"/>
    <s v="Amazon"/>
    <s v="United States"/>
    <s v="cup holder and tray for stroller"/>
    <s v="BROAD"/>
    <x v="199"/>
    <n v="19"/>
    <n v="1"/>
    <n v="5.2631578947368418E-2"/>
    <n v="1.05"/>
    <n v="1.05"/>
    <n v="0"/>
    <m/>
    <n v="0"/>
    <n v="0"/>
    <n v="0"/>
    <n v="0"/>
    <n v="0"/>
    <n v="0"/>
    <n v="0"/>
    <n v="0"/>
  </r>
  <r>
    <x v="0"/>
    <x v="4"/>
    <d v="2026-01-26T00:00:00"/>
    <s v="No Portfolio"/>
    <s v="USD"/>
    <x v="4"/>
    <s v="stroller tray"/>
    <s v="Amazon"/>
    <s v="United States"/>
    <s v="close-match"/>
    <s v="-"/>
    <x v="306"/>
    <n v="2"/>
    <n v="1"/>
    <n v="0.5"/>
    <n v="0.49"/>
    <n v="0.49"/>
    <n v="34.18"/>
    <n v="1.4335868929198362E-2"/>
    <n v="69.755102040816325"/>
    <n v="1"/>
    <n v="2"/>
    <n v="1"/>
    <n v="0"/>
    <n v="2"/>
    <n v="0"/>
    <n v="34.18"/>
  </r>
  <r>
    <x v="0"/>
    <x v="4"/>
    <d v="2026-01-29T00:00:00"/>
    <s v="No Portfolio"/>
    <s v="USD"/>
    <x v="4"/>
    <s v="stroller tray"/>
    <s v="Amazon"/>
    <s v="United States"/>
    <s v="substitutes"/>
    <s v="-"/>
    <x v="307"/>
    <n v="1"/>
    <n v="1"/>
    <n v="1"/>
    <n v="0.42"/>
    <n v="0.42"/>
    <n v="0"/>
    <m/>
    <n v="0"/>
    <n v="0"/>
    <n v="0"/>
    <n v="0"/>
    <n v="0"/>
    <n v="0"/>
    <n v="0"/>
    <n v="0"/>
  </r>
  <r>
    <x v="0"/>
    <x v="4"/>
    <d v="2026-01-27T00:00:00"/>
    <s v="No Portfolio"/>
    <s v="USD"/>
    <x v="0"/>
    <s v="broad组"/>
    <s v="Amazon"/>
    <s v="United States"/>
    <s v="snack holder for stroller"/>
    <s v="BROAD"/>
    <x v="308"/>
    <n v="1"/>
    <n v="1"/>
    <n v="1"/>
    <n v="0.21"/>
    <n v="0.21"/>
    <n v="0"/>
    <m/>
    <n v="0"/>
    <n v="0"/>
    <n v="0"/>
    <n v="0"/>
    <n v="0"/>
    <n v="0"/>
    <n v="0"/>
    <n v="0"/>
  </r>
  <r>
    <x v="0"/>
    <x v="0"/>
    <d v="2026-01-24T00:00:00"/>
    <s v="No Portfolio"/>
    <s v="USD"/>
    <x v="4"/>
    <s v="stroller tray"/>
    <s v="Amazon"/>
    <s v="United States"/>
    <s v="loose-match"/>
    <s v="-"/>
    <x v="309"/>
    <n v="1"/>
    <n v="1"/>
    <n v="1"/>
    <n v="0.53"/>
    <n v="0.53"/>
    <n v="0"/>
    <m/>
    <n v="0"/>
    <n v="0"/>
    <n v="0"/>
    <n v="0"/>
    <n v="0"/>
    <n v="0"/>
    <n v="0"/>
    <n v="0"/>
  </r>
  <r>
    <x v="0"/>
    <x v="4"/>
    <d v="2026-01-26T00:00:00"/>
    <s v="No Portfolio"/>
    <s v="USD"/>
    <x v="0"/>
    <s v="broad组"/>
    <s v="Amazon"/>
    <s v="United States"/>
    <s v="stroller cup holder"/>
    <s v="BROAD"/>
    <x v="310"/>
    <n v="1"/>
    <n v="1"/>
    <n v="1"/>
    <n v="0.21"/>
    <n v="0.21"/>
    <n v="0"/>
    <m/>
    <n v="0"/>
    <n v="0"/>
    <n v="0"/>
    <n v="0"/>
    <n v="0"/>
    <n v="0"/>
    <n v="0"/>
    <n v="0"/>
  </r>
  <r>
    <x v="0"/>
    <x v="4"/>
    <d v="2026-01-27T00:00:00"/>
    <s v="No Portfolio"/>
    <s v="USD"/>
    <x v="1"/>
    <s v="broad组"/>
    <s v="Amazon"/>
    <s v="United States"/>
    <s v="stroller tray"/>
    <s v="BROAD"/>
    <x v="205"/>
    <n v="3"/>
    <n v="1"/>
    <n v="0.33333333333333331"/>
    <n v="0.85"/>
    <n v="0.85"/>
    <n v="0"/>
    <m/>
    <n v="0"/>
    <n v="0"/>
    <n v="0"/>
    <n v="0"/>
    <n v="0"/>
    <n v="0"/>
    <n v="0"/>
    <n v="0"/>
  </r>
  <r>
    <x v="0"/>
    <x v="0"/>
    <d v="2026-01-23T00:00:00"/>
    <s v="No Portfolio"/>
    <s v="USD"/>
    <x v="0"/>
    <s v="broad组"/>
    <s v="Amazon"/>
    <s v="United States"/>
    <s v="stroller tray"/>
    <s v="BROAD"/>
    <x v="205"/>
    <n v="6"/>
    <n v="1"/>
    <n v="0.16666666666666663"/>
    <n v="0.21"/>
    <n v="0.21"/>
    <n v="34.18"/>
    <n v="6.1439438267992972E-3"/>
    <n v="162.76190476190476"/>
    <n v="1"/>
    <n v="2"/>
    <n v="1"/>
    <n v="2"/>
    <n v="0"/>
    <n v="34.18"/>
    <n v="0"/>
  </r>
  <r>
    <x v="0"/>
    <x v="4"/>
    <d v="2026-01-29T00:00:00"/>
    <s v="No Portfolio"/>
    <s v="USD"/>
    <x v="2"/>
    <s v="Tray"/>
    <s v="Amazon"/>
    <s v="United States"/>
    <s v="asin=&quot;B0F4KJN2VC&quot;"/>
    <s v="-"/>
    <x v="206"/>
    <n v="5"/>
    <n v="1"/>
    <n v="0.2"/>
    <n v="0.52"/>
    <n v="0.52"/>
    <n v="0"/>
    <m/>
    <n v="0"/>
    <n v="0"/>
    <n v="0"/>
    <n v="0"/>
    <n v="0"/>
    <n v="0"/>
    <n v="0"/>
    <n v="0"/>
  </r>
  <r>
    <x v="0"/>
    <x v="4"/>
    <d v="2026-01-25T00:00:00"/>
    <s v="No Portfolio"/>
    <s v="USD"/>
    <x v="1"/>
    <s v="broad组"/>
    <s v="Amazon"/>
    <s v="United States"/>
    <s v="stroller snack tray attachment"/>
    <s v="BROAD"/>
    <x v="206"/>
    <n v="3"/>
    <n v="1"/>
    <n v="0.33333333333333331"/>
    <n v="1.55"/>
    <n v="1.55"/>
    <n v="0"/>
    <m/>
    <n v="0"/>
    <n v="0"/>
    <n v="0"/>
    <n v="0"/>
    <n v="0"/>
    <n v="0"/>
    <n v="0"/>
    <n v="0"/>
  </r>
  <r>
    <x v="0"/>
    <x v="4"/>
    <d v="2026-01-30T00:00:00"/>
    <s v="No Portfolio"/>
    <s v="USD"/>
    <x v="1"/>
    <s v="broad组"/>
    <s v="Amazon"/>
    <s v="United States"/>
    <s v="stroller snack tray attachment"/>
    <s v="BROAD"/>
    <x v="206"/>
    <n v="23"/>
    <n v="1"/>
    <n v="4.3478260869565216E-2"/>
    <n v="1.25"/>
    <n v="1.25"/>
    <n v="0"/>
    <m/>
    <n v="0"/>
    <n v="0"/>
    <n v="0"/>
    <n v="0"/>
    <n v="0"/>
    <n v="0"/>
    <n v="0"/>
    <n v="0"/>
  </r>
  <r>
    <x v="0"/>
    <x v="0"/>
    <d v="2026-01-23T00:00:00"/>
    <s v="No Portfolio"/>
    <s v="USD"/>
    <x v="1"/>
    <s v="Phrase&amp;Exact组"/>
    <s v="Amazon"/>
    <s v="United States"/>
    <s v="stroller snack tray attachment"/>
    <s v="EXACT"/>
    <x v="206"/>
    <n v="30"/>
    <n v="1"/>
    <n v="3.3333333333333333E-2"/>
    <n v="1.06"/>
    <n v="1.06"/>
    <n v="0"/>
    <m/>
    <n v="0"/>
    <n v="0"/>
    <n v="0"/>
    <n v="0"/>
    <n v="0"/>
    <n v="0"/>
    <n v="0"/>
    <n v="0"/>
  </r>
  <r>
    <x v="0"/>
    <x v="0"/>
    <d v="2026-01-22T00:00:00"/>
    <s v="No Portfolio"/>
    <s v="USD"/>
    <x v="0"/>
    <s v="broad组"/>
    <s v="Amazon"/>
    <s v="United States"/>
    <s v="stroller snack tray"/>
    <s v="BROAD"/>
    <x v="311"/>
    <n v="2"/>
    <n v="1"/>
    <n v="0.5"/>
    <n v="0.21"/>
    <n v="0.21"/>
    <n v="0"/>
    <m/>
    <n v="0"/>
    <n v="0"/>
    <n v="0"/>
    <n v="0"/>
    <n v="0"/>
    <n v="0"/>
    <n v="0"/>
    <n v="0"/>
  </r>
  <r>
    <x v="0"/>
    <x v="4"/>
    <d v="2026-01-31T00:00:00"/>
    <s v="No Portfolio"/>
    <s v="USD"/>
    <x v="4"/>
    <s v="stroller tray"/>
    <s v="Amazon"/>
    <s v="United States"/>
    <s v="close-match"/>
    <s v="-"/>
    <x v="208"/>
    <n v="4"/>
    <n v="1"/>
    <n v="0.25"/>
    <n v="0.54"/>
    <n v="0.54"/>
    <n v="0"/>
    <m/>
    <n v="0"/>
    <n v="0"/>
    <n v="0"/>
    <n v="0"/>
    <n v="0"/>
    <n v="0"/>
    <n v="0"/>
    <n v="0"/>
  </r>
  <r>
    <x v="0"/>
    <x v="0"/>
    <d v="2026-01-24T00:00:00"/>
    <s v="No Portfolio"/>
    <s v="USD"/>
    <x v="1"/>
    <s v="broad组"/>
    <s v="Amazon"/>
    <s v="United States"/>
    <s v="stroller tray"/>
    <s v="BROAD"/>
    <x v="208"/>
    <n v="3"/>
    <n v="1"/>
    <n v="0.33333333333333331"/>
    <n v="0.8"/>
    <n v="0.8"/>
    <n v="0"/>
    <m/>
    <n v="0"/>
    <n v="0"/>
    <n v="0"/>
    <n v="0"/>
    <n v="0"/>
    <n v="0"/>
    <n v="0"/>
    <n v="0"/>
  </r>
  <r>
    <x v="0"/>
    <x v="4"/>
    <d v="2026-01-28T00:00:00"/>
    <s v="No Portfolio"/>
    <s v="USD"/>
    <x v="1"/>
    <s v="broad组"/>
    <s v="Amazon"/>
    <s v="United States"/>
    <s v="stroller tray"/>
    <s v="BROAD"/>
    <x v="208"/>
    <n v="19"/>
    <n v="2"/>
    <n v="0.10526315789473684"/>
    <n v="0.7"/>
    <n v="1.4"/>
    <n v="0"/>
    <m/>
    <n v="0"/>
    <n v="0"/>
    <n v="0"/>
    <n v="0"/>
    <n v="0"/>
    <n v="0"/>
    <n v="0"/>
    <n v="0"/>
  </r>
  <r>
    <x v="0"/>
    <x v="4"/>
    <d v="2026-01-26T00:00:00"/>
    <s v="No Portfolio"/>
    <s v="USD"/>
    <x v="2"/>
    <s v="Tray"/>
    <s v="Amazon"/>
    <s v="United States"/>
    <s v="asin=&quot;B0F4KJN2VC&quot;"/>
    <s v="-"/>
    <x v="208"/>
    <n v="8"/>
    <n v="1"/>
    <n v="0.125"/>
    <n v="0.5"/>
    <n v="0.5"/>
    <n v="0"/>
    <m/>
    <n v="0"/>
    <n v="0"/>
    <n v="0"/>
    <n v="0"/>
    <n v="0"/>
    <n v="0"/>
    <n v="0"/>
    <n v="0"/>
  </r>
  <r>
    <x v="0"/>
    <x v="4"/>
    <d v="2026-01-30T00:00:00"/>
    <s v="No Portfolio"/>
    <s v="USD"/>
    <x v="2"/>
    <s v="Tray"/>
    <s v="Amazon"/>
    <s v="United States"/>
    <s v="asin=&quot;B0F4KJN2VC&quot;"/>
    <s v="-"/>
    <x v="208"/>
    <n v="10"/>
    <n v="1"/>
    <n v="0.1"/>
    <n v="0.68"/>
    <n v="0.68"/>
    <n v="0"/>
    <m/>
    <n v="0"/>
    <n v="0"/>
    <n v="0"/>
    <n v="0"/>
    <n v="0"/>
    <n v="0"/>
    <n v="0"/>
    <n v="0"/>
  </r>
  <r>
    <x v="0"/>
    <x v="4"/>
    <d v="2026-01-29T00:00:00"/>
    <s v="No Portfolio"/>
    <s v="USD"/>
    <x v="4"/>
    <s v="stroller tray"/>
    <s v="Amazon"/>
    <s v="United States"/>
    <s v="close-match"/>
    <s v="-"/>
    <x v="209"/>
    <n v="11"/>
    <n v="2"/>
    <n v="0.18181818181818182"/>
    <n v="0.55000000000000004"/>
    <n v="1.1000000000000001"/>
    <n v="0"/>
    <m/>
    <n v="0"/>
    <n v="0"/>
    <n v="0"/>
    <n v="0"/>
    <n v="0"/>
    <n v="0"/>
    <n v="0"/>
    <n v="0"/>
  </r>
  <r>
    <x v="0"/>
    <x v="0"/>
    <d v="2026-01-22T00:00:00"/>
    <s v="No Portfolio"/>
    <s v="USD"/>
    <x v="0"/>
    <s v="phrase&amp;exact"/>
    <s v="Amazon"/>
    <s v="United States"/>
    <s v="stroller tray attachment"/>
    <s v="PHRASE"/>
    <x v="209"/>
    <n v="7"/>
    <n v="1"/>
    <n v="0.14285714285714285"/>
    <n v="0.2"/>
    <n v="0.2"/>
    <n v="0"/>
    <m/>
    <n v="0"/>
    <n v="0"/>
    <n v="0"/>
    <n v="0"/>
    <n v="0"/>
    <n v="0"/>
    <n v="0"/>
    <n v="0"/>
  </r>
  <r>
    <x v="0"/>
    <x v="4"/>
    <d v="2026-01-27T00:00:00"/>
    <s v="No Portfolio"/>
    <s v="USD"/>
    <x v="1"/>
    <s v="broad组"/>
    <s v="Amazon"/>
    <s v="United States"/>
    <s v="stroller tray"/>
    <s v="BROAD"/>
    <x v="210"/>
    <n v="2"/>
    <n v="1"/>
    <n v="0.5"/>
    <n v="0.85"/>
    <n v="0.85"/>
    <n v="0"/>
    <m/>
    <n v="0"/>
    <n v="0"/>
    <n v="0"/>
    <n v="0"/>
    <n v="0"/>
    <n v="0"/>
    <n v="0"/>
    <n v="0"/>
  </r>
  <r>
    <x v="0"/>
    <x v="4"/>
    <d v="2026-01-26T00:00:00"/>
    <s v="No Portfolio"/>
    <s v="USD"/>
    <x v="1"/>
    <s v="broad组"/>
    <s v="Amazon"/>
    <s v="United States"/>
    <s v="snack tray for stroller"/>
    <s v="BROAD"/>
    <x v="312"/>
    <n v="3"/>
    <n v="1"/>
    <n v="0.33333333333333331"/>
    <n v="1.1000000000000001"/>
    <n v="1.1000000000000001"/>
    <n v="0"/>
    <m/>
    <n v="0"/>
    <n v="0"/>
    <n v="0"/>
    <n v="0"/>
    <n v="0"/>
    <n v="0"/>
    <n v="0"/>
    <n v="0"/>
  </r>
  <r>
    <x v="0"/>
    <x v="4"/>
    <d v="2026-01-29T00:00:00"/>
    <s v="No Portfolio"/>
    <s v="USD"/>
    <x v="0"/>
    <s v="phrase&amp;exact"/>
    <s v="Amazon"/>
    <s v="United States"/>
    <s v="universal stroller tray"/>
    <s v="PHRASE"/>
    <x v="313"/>
    <n v="1"/>
    <n v="1"/>
    <n v="1"/>
    <n v="0.2"/>
    <n v="0.2"/>
    <n v="0"/>
    <m/>
    <n v="0"/>
    <n v="0"/>
    <n v="0"/>
    <n v="0"/>
    <n v="0"/>
    <n v="0"/>
    <n v="0"/>
    <n v="0"/>
  </r>
  <r>
    <x v="0"/>
    <x v="4"/>
    <d v="2026-01-31T00:00:00"/>
    <s v="No Portfolio"/>
    <s v="USD"/>
    <x v="2"/>
    <s v="Tray"/>
    <s v="Amazon"/>
    <s v="United States"/>
    <s v="asin=&quot;B0F4KJN2VC&quot;"/>
    <s v="-"/>
    <x v="314"/>
    <n v="1"/>
    <n v="1"/>
    <n v="1"/>
    <n v="0.53"/>
    <n v="0.53"/>
    <n v="0"/>
    <m/>
    <n v="0"/>
    <n v="0"/>
    <n v="0"/>
    <n v="0"/>
    <n v="0"/>
    <n v="0"/>
    <n v="0"/>
    <n v="0"/>
  </r>
  <r>
    <x v="0"/>
    <x v="4"/>
    <d v="2026-01-28T00:00:00"/>
    <s v="No Portfolio"/>
    <s v="USD"/>
    <x v="6"/>
    <s v="ENC"/>
    <s v="Amazon"/>
    <s v="United States"/>
    <s v="loose-match"/>
    <s v="-"/>
    <x v="315"/>
    <n v="1"/>
    <n v="1"/>
    <n v="1"/>
    <n v="1.1000000000000001"/>
    <n v="1.1000000000000001"/>
    <n v="0"/>
    <m/>
    <n v="0"/>
    <n v="0"/>
    <n v="0"/>
    <n v="0"/>
    <n v="0"/>
    <n v="0"/>
    <n v="0"/>
    <n v="0"/>
  </r>
  <r>
    <x v="0"/>
    <x v="4"/>
    <d v="2026-01-27T00:00:00"/>
    <s v="No Portfolio"/>
    <s v="USD"/>
    <x v="2"/>
    <s v="Tray"/>
    <s v="Amazon"/>
    <s v="United States"/>
    <s v="asin=&quot;B0DH98H2G4&quot;"/>
    <s v="-"/>
    <x v="316"/>
    <n v="2"/>
    <n v="1"/>
    <n v="0.5"/>
    <n v="0.54"/>
    <n v="0.54"/>
    <n v="0"/>
    <m/>
    <n v="0"/>
    <n v="0"/>
    <n v="0"/>
    <n v="0"/>
    <n v="0"/>
    <n v="0"/>
    <n v="0"/>
    <n v="0"/>
  </r>
  <r>
    <x v="0"/>
    <x v="4"/>
    <d v="2026-01-28T00:00:00"/>
    <s v="No Portfolio"/>
    <s v="USD"/>
    <x v="0"/>
    <s v="broad组"/>
    <s v="Amazon"/>
    <s v="United States"/>
    <s v="stroller cup holder"/>
    <s v="BROAD"/>
    <x v="317"/>
    <n v="1"/>
    <n v="1"/>
    <n v="1"/>
    <n v="0.21"/>
    <n v="0.21"/>
    <n v="0"/>
    <m/>
    <n v="0"/>
    <n v="0"/>
    <n v="0"/>
    <n v="0"/>
    <n v="0"/>
    <n v="0"/>
    <n v="0"/>
    <n v="0"/>
  </r>
  <r>
    <x v="0"/>
    <x v="0"/>
    <d v="2026-01-23T00:00:00"/>
    <s v="No Portfolio"/>
    <s v="USD"/>
    <x v="4"/>
    <s v="stroller tray"/>
    <s v="Amazon"/>
    <s v="United States"/>
    <s v="loose-match"/>
    <s v="-"/>
    <x v="318"/>
    <n v="1"/>
    <n v="1"/>
    <n v="1"/>
    <n v="0.53"/>
    <n v="0.53"/>
    <n v="0"/>
    <m/>
    <n v="0"/>
    <n v="0"/>
    <n v="0"/>
    <n v="0"/>
    <n v="0"/>
    <n v="0"/>
    <n v="0"/>
    <n v="0"/>
  </r>
  <r>
    <x v="0"/>
    <x v="0"/>
    <d v="2026-01-22T00:00:00"/>
    <s v="No Portfolio"/>
    <s v="USD"/>
    <x v="2"/>
    <s v="Tray"/>
    <s v="Amazon"/>
    <s v="United States"/>
    <s v="asin=&quot;B0DSBVB1WW&quot;"/>
    <s v="-"/>
    <x v="319"/>
    <n v="1"/>
    <n v="1"/>
    <n v="1"/>
    <n v="0.72"/>
    <n v="0.72"/>
    <n v="34.18"/>
    <n v="2.1064950263311878E-2"/>
    <n v="47.472222222222221"/>
    <n v="2"/>
    <n v="2"/>
    <n v="2"/>
    <n v="2"/>
    <n v="0"/>
    <n v="34.18"/>
    <n v="0"/>
  </r>
  <r>
    <x v="0"/>
    <x v="4"/>
    <d v="2026-01-29T00:00:00"/>
    <s v="No Portfolio"/>
    <s v="USD"/>
    <x v="0"/>
    <s v="broad组"/>
    <s v="Amazon"/>
    <s v="United States"/>
    <s v="universal snack tray"/>
    <s v="BROAD"/>
    <x v="320"/>
    <n v="2"/>
    <n v="1"/>
    <n v="0.5"/>
    <n v="0.21"/>
    <n v="0.21"/>
    <n v="0"/>
    <m/>
    <n v="0"/>
    <n v="0"/>
    <n v="0"/>
    <n v="0"/>
    <n v="0"/>
    <n v="0"/>
    <n v="0"/>
    <n v="0"/>
  </r>
  <r>
    <x v="0"/>
    <x v="4"/>
    <d v="2026-01-27T00:00:00"/>
    <s v="No Portfolio"/>
    <s v="USD"/>
    <x v="4"/>
    <s v="stroller tray"/>
    <s v="Amazon"/>
    <s v="United States"/>
    <s v="close-match"/>
    <s v="-"/>
    <x v="233"/>
    <n v="4"/>
    <n v="1"/>
    <n v="0.25"/>
    <n v="0.63"/>
    <n v="0.63"/>
    <n v="0"/>
    <m/>
    <n v="0"/>
    <n v="0"/>
    <n v="0"/>
    <n v="0"/>
    <n v="0"/>
    <n v="0"/>
    <n v="0"/>
    <n v="0"/>
  </r>
  <r>
    <x v="0"/>
    <x v="0"/>
    <d v="2026-01-22T00:00:00"/>
    <s v="No Portfolio"/>
    <s v="USD"/>
    <x v="0"/>
    <s v="broad组"/>
    <s v="Amazon"/>
    <s v="United States"/>
    <s v="universal snack tray"/>
    <s v="BROAD"/>
    <x v="233"/>
    <n v="23"/>
    <n v="1"/>
    <n v="4.3478260869565216E-2"/>
    <n v="0.2"/>
    <n v="0.2"/>
    <n v="0"/>
    <m/>
    <n v="0"/>
    <n v="0"/>
    <n v="0"/>
    <n v="0"/>
    <n v="0"/>
    <n v="0"/>
    <n v="0"/>
    <n v="0"/>
  </r>
  <r>
    <x v="0"/>
    <x v="4"/>
    <d v="2026-01-30T00:00:00"/>
    <s v="No Portfolio"/>
    <s v="USD"/>
    <x v="4"/>
    <s v="stroller tray"/>
    <s v="Amazon"/>
    <s v="United States"/>
    <s v="loose-match"/>
    <s v="-"/>
    <x v="321"/>
    <n v="1"/>
    <n v="1"/>
    <n v="1"/>
    <n v="0.48"/>
    <n v="0.48"/>
    <n v="0"/>
    <m/>
    <n v="0"/>
    <n v="0"/>
    <n v="0"/>
    <n v="0"/>
    <n v="0"/>
    <n v="0"/>
    <n v="0"/>
    <n v="0"/>
  </r>
  <r>
    <x v="0"/>
    <x v="0"/>
    <d v="2026-01-24T00:00:00"/>
    <s v="No Portfolio"/>
    <s v="USD"/>
    <x v="4"/>
    <s v="stroller tray"/>
    <s v="Amazon"/>
    <s v="United States"/>
    <s v="close-match"/>
    <s v="-"/>
    <x v="235"/>
    <n v="19"/>
    <n v="1"/>
    <n v="5.2631578947368418E-2"/>
    <n v="0.68"/>
    <n v="0.68"/>
    <n v="0"/>
    <m/>
    <n v="0"/>
    <n v="0"/>
    <n v="0"/>
    <n v="0"/>
    <n v="0"/>
    <n v="0"/>
    <n v="0"/>
    <n v="0"/>
  </r>
  <r>
    <x v="0"/>
    <x v="0"/>
    <d v="2026-01-23T00:00:00"/>
    <s v="No Portfolio"/>
    <s v="USD"/>
    <x v="0"/>
    <s v="phrase&amp;exact"/>
    <s v="Amazon"/>
    <s v="United States"/>
    <s v="snack tray for stroller"/>
    <s v="PHRASE"/>
    <x v="235"/>
    <n v="9"/>
    <n v="1"/>
    <n v="0.1111111111111111"/>
    <n v="0.2"/>
    <n v="0.2"/>
    <n v="0"/>
    <m/>
    <n v="0"/>
    <n v="0"/>
    <n v="0"/>
    <n v="0"/>
    <n v="0"/>
    <n v="0"/>
    <n v="0"/>
    <n v="0"/>
  </r>
  <r>
    <x v="0"/>
    <x v="4"/>
    <d v="2026-01-26T00:00:00"/>
    <s v="No Portfolio"/>
    <s v="USD"/>
    <x v="2"/>
    <s v="Tray"/>
    <s v="Amazon"/>
    <s v="United States"/>
    <s v="asin=&quot;B0D6RW7WQT&quot;"/>
    <s v="-"/>
    <x v="235"/>
    <n v="17"/>
    <n v="1"/>
    <n v="5.8823529411764698E-2"/>
    <n v="1.1299999999999999"/>
    <n v="1.1299999999999999"/>
    <n v="0"/>
    <m/>
    <n v="0"/>
    <n v="0"/>
    <n v="0"/>
    <n v="0"/>
    <n v="0"/>
    <n v="0"/>
    <n v="0"/>
    <n v="0"/>
  </r>
  <r>
    <x v="0"/>
    <x v="4"/>
    <d v="2026-01-30T00:00:00"/>
    <s v="No Portfolio"/>
    <s v="USD"/>
    <x v="0"/>
    <s v="broad组"/>
    <s v="Amazon"/>
    <s v="United States"/>
    <s v="universal stroller snack tray"/>
    <s v="BROAD"/>
    <x v="235"/>
    <n v="1"/>
    <n v="1"/>
    <n v="1"/>
    <n v="0.2"/>
    <n v="0.2"/>
    <n v="0"/>
    <m/>
    <n v="0"/>
    <n v="0"/>
    <n v="0"/>
    <n v="0"/>
    <n v="0"/>
    <n v="0"/>
    <n v="0"/>
    <n v="0"/>
  </r>
  <r>
    <x v="0"/>
    <x v="0"/>
    <d v="2026-01-24T00:00:00"/>
    <s v="No Portfolio"/>
    <s v="USD"/>
    <x v="1"/>
    <s v="Phrase&amp;Exact组"/>
    <s v="Amazon"/>
    <s v="United States"/>
    <s v="universal snack tray"/>
    <s v="PHRASE"/>
    <x v="235"/>
    <n v="24"/>
    <n v="1"/>
    <n v="4.1666666666666657E-2"/>
    <n v="1.43"/>
    <n v="1.43"/>
    <n v="0"/>
    <m/>
    <n v="0"/>
    <n v="0"/>
    <n v="0"/>
    <n v="0"/>
    <n v="0"/>
    <n v="0"/>
    <n v="0"/>
    <n v="0"/>
  </r>
  <r>
    <x v="0"/>
    <x v="4"/>
    <d v="2026-01-25T00:00:00"/>
    <s v="No Portfolio"/>
    <s v="USD"/>
    <x v="2"/>
    <s v="Tray"/>
    <s v="Amazon"/>
    <s v="United States"/>
    <s v="asin=&quot;B0BZDB9YRP&quot;"/>
    <s v="-"/>
    <x v="237"/>
    <n v="4"/>
    <n v="1"/>
    <n v="0.25"/>
    <n v="0.69"/>
    <n v="0.69"/>
    <n v="0"/>
    <m/>
    <n v="0"/>
    <n v="0"/>
    <n v="0"/>
    <n v="0"/>
    <n v="0"/>
    <n v="0"/>
    <n v="0"/>
    <n v="0"/>
  </r>
  <r>
    <x v="0"/>
    <x v="0"/>
    <d v="2026-01-22T00:00:00"/>
    <s v="No Portfolio"/>
    <s v="USD"/>
    <x v="4"/>
    <s v="stroller tray"/>
    <s v="Amazon"/>
    <s v="United States"/>
    <s v="close-match"/>
    <s v="-"/>
    <x v="238"/>
    <n v="11"/>
    <n v="1"/>
    <n v="9.0909090909090925E-2"/>
    <n v="0.68"/>
    <n v="0.68"/>
    <n v="0"/>
    <m/>
    <n v="0"/>
    <n v="0"/>
    <n v="0"/>
    <n v="0"/>
    <n v="0"/>
    <n v="0"/>
    <n v="0"/>
    <n v="0"/>
  </r>
  <r>
    <x v="0"/>
    <x v="4"/>
    <d v="2026-01-31T00:00:00"/>
    <s v="No Portfolio"/>
    <s v="USD"/>
    <x v="4"/>
    <s v="stroller tray"/>
    <s v="Amazon"/>
    <s v="United States"/>
    <s v="close-match"/>
    <s v="-"/>
    <x v="238"/>
    <n v="12"/>
    <n v="1"/>
    <n v="8.3333333333333315E-2"/>
    <n v="0.59"/>
    <n v="0.59"/>
    <n v="0"/>
    <m/>
    <n v="0"/>
    <n v="0"/>
    <n v="0"/>
    <n v="0"/>
    <n v="0"/>
    <n v="0"/>
    <n v="0"/>
    <n v="0"/>
  </r>
  <r>
    <x v="0"/>
    <x v="0"/>
    <d v="2026-01-22T00:00:00"/>
    <s v="No Portfolio"/>
    <s v="USD"/>
    <x v="1"/>
    <s v="broad组"/>
    <s v="Amazon"/>
    <s v="United States"/>
    <s v="universal snack tray"/>
    <s v="BROAD"/>
    <x v="238"/>
    <n v="8"/>
    <n v="1"/>
    <n v="0.125"/>
    <n v="1.4"/>
    <n v="1.4"/>
    <n v="0"/>
    <m/>
    <n v="0"/>
    <n v="0"/>
    <n v="0"/>
    <n v="0"/>
    <n v="0"/>
    <n v="0"/>
    <n v="0"/>
    <n v="0"/>
  </r>
  <r>
    <x v="0"/>
    <x v="0"/>
    <d v="2026-01-23T00:00:00"/>
    <s v="No Portfolio"/>
    <s v="USD"/>
    <x v="1"/>
    <s v="broad组"/>
    <s v="Amazon"/>
    <s v="United States"/>
    <s v="universal snack tray"/>
    <s v="BROAD"/>
    <x v="238"/>
    <n v="39"/>
    <n v="1"/>
    <n v="2.564102564102564E-2"/>
    <n v="1.4"/>
    <n v="1.4"/>
    <n v="0"/>
    <m/>
    <n v="0"/>
    <n v="0"/>
    <n v="0"/>
    <n v="0"/>
    <n v="0"/>
    <n v="0"/>
    <n v="0"/>
    <n v="0"/>
  </r>
  <r>
    <x v="0"/>
    <x v="4"/>
    <d v="2026-01-26T00:00:00"/>
    <s v="No Portfolio"/>
    <s v="USD"/>
    <x v="1"/>
    <s v="broad组"/>
    <s v="Amazon"/>
    <s v="United States"/>
    <s v="universal snack tray"/>
    <s v="BROAD"/>
    <x v="238"/>
    <n v="14"/>
    <n v="1"/>
    <n v="7.1428571428571425E-2"/>
    <n v="1.08"/>
    <n v="1.08"/>
    <n v="0"/>
    <m/>
    <n v="0"/>
    <n v="0"/>
    <n v="0"/>
    <n v="0"/>
    <n v="0"/>
    <n v="0"/>
    <n v="0"/>
    <n v="0"/>
  </r>
  <r>
    <x v="0"/>
    <x v="4"/>
    <d v="2026-01-31T00:00:00"/>
    <s v="No Portfolio"/>
    <s v="USD"/>
    <x v="2"/>
    <s v="Tray"/>
    <s v="Amazon"/>
    <s v="United States"/>
    <s v="asin=&quot;B0DT4SGSCG&quot;"/>
    <s v="-"/>
    <x v="322"/>
    <n v="1"/>
    <n v="1"/>
    <n v="1"/>
    <n v="1.75"/>
    <n v="1.75"/>
    <n v="0"/>
    <m/>
    <n v="0"/>
    <n v="0"/>
    <n v="0"/>
    <n v="0"/>
    <n v="0"/>
    <n v="0"/>
    <n v="0"/>
    <n v="0"/>
  </r>
  <r>
    <x v="0"/>
    <x v="0"/>
    <d v="2026-01-22T00:00:00"/>
    <s v="No Portfolio"/>
    <s v="USD"/>
    <x v="2"/>
    <s v="Tray"/>
    <s v="Amazon"/>
    <s v="United States"/>
    <s v="asin=&quot;B0DH98H2G4&quot;"/>
    <s v="-"/>
    <x v="323"/>
    <n v="1"/>
    <n v="1"/>
    <n v="1"/>
    <n v="0.46"/>
    <n v="0.46"/>
    <n v="0"/>
    <m/>
    <n v="0"/>
    <n v="0"/>
    <n v="0"/>
    <n v="0"/>
    <n v="0"/>
    <n v="0"/>
    <n v="0"/>
    <n v="0"/>
  </r>
  <r>
    <x v="0"/>
    <x v="4"/>
    <d v="2026-01-31T00:00:00"/>
    <s v="No Portfolio"/>
    <s v="USD"/>
    <x v="0"/>
    <s v="phrase&amp;exact"/>
    <s v="Amazon"/>
    <s v="United States"/>
    <s v="universal stroller tray"/>
    <s v="PHRASE"/>
    <x v="241"/>
    <n v="4"/>
    <n v="1"/>
    <n v="0.25"/>
    <n v="0.2"/>
    <n v="0.2"/>
    <n v="0"/>
    <m/>
    <n v="0"/>
    <n v="0"/>
    <n v="0"/>
    <n v="0"/>
    <n v="0"/>
    <n v="0"/>
    <n v="0"/>
    <n v="0"/>
  </r>
  <r>
    <x v="0"/>
    <x v="0"/>
    <d v="2026-01-22T00:00:00"/>
    <s v="No Portfolio"/>
    <s v="USD"/>
    <x v="2"/>
    <s v="Tray"/>
    <s v="Amazon"/>
    <s v="United States"/>
    <s v="asin=&quot;B0DSBVB1WW&quot;"/>
    <s v="-"/>
    <x v="241"/>
    <n v="4"/>
    <n v="1"/>
    <n v="0.25"/>
    <n v="0.72"/>
    <n v="0.72"/>
    <n v="0"/>
    <m/>
    <n v="0"/>
    <n v="0"/>
    <n v="0"/>
    <n v="0"/>
    <n v="0"/>
    <n v="0"/>
    <n v="0"/>
    <n v="0"/>
  </r>
  <r>
    <x v="0"/>
    <x v="4"/>
    <d v="2026-01-27T00:00:00"/>
    <s v="No Portfolio"/>
    <s v="USD"/>
    <x v="1"/>
    <s v="broad组"/>
    <s v="Amazon"/>
    <s v="United States"/>
    <s v="wagon cup holder"/>
    <s v="BROAD"/>
    <x v="324"/>
    <n v="1"/>
    <n v="1"/>
    <n v="1"/>
    <n v="0.65"/>
    <n v="0.65"/>
    <n v="0"/>
    <m/>
    <n v="0"/>
    <n v="0"/>
    <n v="0"/>
    <n v="0"/>
    <n v="0"/>
    <n v="0"/>
    <n v="0"/>
    <n v="0"/>
  </r>
  <r>
    <x v="0"/>
    <x v="0"/>
    <d v="2026-01-23T00:00:00"/>
    <s v="No Portfolio"/>
    <s v="USD"/>
    <x v="2"/>
    <s v="Tray"/>
    <s v="Amazon"/>
    <s v="United States"/>
    <s v="asin=&quot;B0BZDB9YRP&quot;"/>
    <s v="-"/>
    <x v="325"/>
    <n v="2"/>
    <n v="1"/>
    <n v="0.5"/>
    <n v="0.69"/>
    <n v="0.69"/>
    <n v="0"/>
    <m/>
    <n v="0"/>
    <n v="0"/>
    <n v="0"/>
    <n v="0"/>
    <n v="0"/>
    <n v="0"/>
    <n v="0"/>
    <n v="0"/>
  </r>
  <r>
    <x v="0"/>
    <x v="4"/>
    <d v="2026-01-27T00:00:00"/>
    <s v="No Portfolio"/>
    <s v="USD"/>
    <x v="4"/>
    <s v="stroller tray"/>
    <s v="Amazon"/>
    <s v="United States"/>
    <s v="loose-match"/>
    <s v="-"/>
    <x v="326"/>
    <n v="1"/>
    <n v="1"/>
    <n v="1"/>
    <n v="0.35"/>
    <n v="0.35"/>
    <n v="0"/>
    <m/>
    <n v="0"/>
    <n v="0"/>
    <n v="0"/>
    <n v="0"/>
    <n v="0"/>
    <n v="0"/>
    <n v="0"/>
    <n v="0"/>
  </r>
  <r>
    <x v="0"/>
    <x v="4"/>
    <d v="2026-01-30T00:00:00"/>
    <s v="No Portfolio"/>
    <s v="USD"/>
    <x v="0"/>
    <s v="broad组"/>
    <s v="Amazon"/>
    <s v="United States"/>
    <s v="cup holder for stroller"/>
    <s v="BROAD"/>
    <x v="327"/>
    <n v="5"/>
    <n v="1"/>
    <n v="0.2"/>
    <n v="0.23"/>
    <n v="0.23"/>
    <n v="0"/>
    <m/>
    <n v="0"/>
    <n v="0"/>
    <n v="0"/>
    <n v="0"/>
    <n v="0"/>
    <n v="0"/>
    <n v="0"/>
    <n v="0"/>
  </r>
  <r>
    <x v="1"/>
    <x v="5"/>
    <d v="2026-02-21T00:00:00"/>
    <s v="No Portfolio"/>
    <s v="USD"/>
    <x v="0"/>
    <s v="broad组"/>
    <s v="Amazon"/>
    <s v="United States"/>
    <s v="cup holder and tray for stroller"/>
    <s v="BROAD"/>
    <x v="328"/>
    <n v="2"/>
    <n v="1"/>
    <n v="0.5"/>
    <n v="0.4"/>
    <n v="0.4"/>
    <n v="0"/>
    <m/>
    <n v="0"/>
    <n v="0"/>
    <n v="0"/>
    <n v="0"/>
    <n v="0"/>
    <n v="0"/>
    <n v="0"/>
    <n v="0"/>
  </r>
  <r>
    <x v="1"/>
    <x v="6"/>
    <d v="2026-02-10T00:00:00"/>
    <s v="No Portfolio"/>
    <s v="USD"/>
    <x v="6"/>
    <s v="ENC"/>
    <s v="Amazon"/>
    <s v="United States"/>
    <s v="loose-match"/>
    <s v="-"/>
    <x v="329"/>
    <n v="5"/>
    <n v="1"/>
    <n v="0.2"/>
    <n v="1.1100000000000001"/>
    <n v="1.1100000000000001"/>
    <n v="0"/>
    <m/>
    <n v="0"/>
    <n v="0"/>
    <n v="0"/>
    <n v="0"/>
    <n v="0"/>
    <n v="0"/>
    <n v="0"/>
    <n v="0"/>
  </r>
  <r>
    <x v="1"/>
    <x v="6"/>
    <d v="2026-02-14T00:00:00"/>
    <s v="No Portfolio"/>
    <s v="USD"/>
    <x v="4"/>
    <s v="stroller tray"/>
    <s v="Amazon"/>
    <s v="United States"/>
    <s v="substitutes"/>
    <s v="-"/>
    <x v="330"/>
    <n v="3"/>
    <n v="1"/>
    <n v="0.33333333333333331"/>
    <n v="0.43"/>
    <n v="0.43"/>
    <n v="0"/>
    <m/>
    <n v="0"/>
    <n v="0"/>
    <n v="0"/>
    <n v="0"/>
    <n v="0"/>
    <n v="0"/>
    <n v="0"/>
    <n v="0"/>
  </r>
  <r>
    <x v="1"/>
    <x v="6"/>
    <d v="2026-02-14T00:00:00"/>
    <s v="No Portfolio"/>
    <s v="USD"/>
    <x v="4"/>
    <s v="stroller tray"/>
    <s v="Amazon"/>
    <s v="United States"/>
    <s v="substitutes"/>
    <s v="-"/>
    <x v="331"/>
    <n v="1"/>
    <n v="1"/>
    <n v="1"/>
    <n v="0.47"/>
    <n v="0.47"/>
    <n v="0"/>
    <m/>
    <n v="0"/>
    <n v="0"/>
    <n v="0"/>
    <n v="0"/>
    <n v="0"/>
    <n v="0"/>
    <n v="0"/>
    <n v="0"/>
  </r>
  <r>
    <x v="1"/>
    <x v="7"/>
    <d v="2026-02-02T00:00:00"/>
    <s v="No Portfolio"/>
    <s v="USD"/>
    <x v="4"/>
    <s v="stroller tray"/>
    <s v="Amazon"/>
    <s v="United States"/>
    <s v="substitutes"/>
    <s v="-"/>
    <x v="9"/>
    <n v="3"/>
    <n v="1"/>
    <n v="0.33333333333333331"/>
    <n v="0.23"/>
    <n v="0.23"/>
    <n v="0"/>
    <m/>
    <n v="0"/>
    <n v="0"/>
    <n v="0"/>
    <n v="0"/>
    <n v="0"/>
    <n v="0"/>
    <n v="0"/>
    <n v="0"/>
  </r>
  <r>
    <x v="1"/>
    <x v="5"/>
    <d v="2026-02-15T00:00:00"/>
    <s v="No Portfolio"/>
    <s v="USD"/>
    <x v="4"/>
    <s v="stroller tray"/>
    <s v="Amazon"/>
    <s v="United States"/>
    <s v="substitutes"/>
    <s v="-"/>
    <x v="332"/>
    <n v="4"/>
    <n v="1"/>
    <n v="0.25"/>
    <n v="0.41"/>
    <n v="0.41"/>
    <n v="0"/>
    <m/>
    <n v="0"/>
    <n v="0"/>
    <n v="0"/>
    <n v="0"/>
    <n v="0"/>
    <n v="0"/>
    <n v="0"/>
    <n v="0"/>
  </r>
  <r>
    <x v="1"/>
    <x v="5"/>
    <d v="2026-02-16T00:00:00"/>
    <s v="No Portfolio"/>
    <s v="USD"/>
    <x v="4"/>
    <s v="stroller tray"/>
    <s v="Amazon"/>
    <s v="United States"/>
    <s v="substitutes"/>
    <s v="-"/>
    <x v="333"/>
    <n v="3"/>
    <n v="1"/>
    <n v="0.33333333333333331"/>
    <n v="0.49"/>
    <n v="0.49"/>
    <n v="0"/>
    <m/>
    <n v="0"/>
    <n v="0"/>
    <n v="0"/>
    <n v="0"/>
    <n v="0"/>
    <n v="0"/>
    <n v="0"/>
    <n v="0"/>
  </r>
  <r>
    <x v="1"/>
    <x v="6"/>
    <d v="2026-02-14T00:00:00"/>
    <s v="No Portfolio"/>
    <s v="USD"/>
    <x v="4"/>
    <s v="stroller tray"/>
    <s v="Amazon"/>
    <s v="United States"/>
    <s v="substitutes"/>
    <s v="-"/>
    <x v="334"/>
    <n v="7"/>
    <n v="1"/>
    <n v="0.14285714285714285"/>
    <n v="0.43"/>
    <n v="0.43"/>
    <n v="0"/>
    <m/>
    <n v="0"/>
    <n v="0"/>
    <n v="0"/>
    <n v="0"/>
    <n v="0"/>
    <n v="0"/>
    <n v="0"/>
    <n v="0"/>
  </r>
  <r>
    <x v="1"/>
    <x v="6"/>
    <d v="2026-02-14T00:00:00"/>
    <s v="No Portfolio"/>
    <s v="USD"/>
    <x v="6"/>
    <s v="ENC"/>
    <s v="Amazon"/>
    <s v="United States"/>
    <s v="substitutes"/>
    <s v="-"/>
    <x v="335"/>
    <n v="1"/>
    <n v="1"/>
    <n v="1"/>
    <n v="0.95"/>
    <n v="0.95"/>
    <n v="0"/>
    <m/>
    <n v="0"/>
    <n v="0"/>
    <n v="0"/>
    <n v="0"/>
    <n v="0"/>
    <n v="0"/>
    <n v="0"/>
    <n v="0"/>
  </r>
  <r>
    <x v="1"/>
    <x v="5"/>
    <d v="2026-02-17T00:00:00"/>
    <s v="No Portfolio"/>
    <s v="USD"/>
    <x v="6"/>
    <s v="ENC"/>
    <s v="Amazon"/>
    <s v="United States"/>
    <s v="substitutes"/>
    <s v="-"/>
    <x v="336"/>
    <n v="1"/>
    <n v="1"/>
    <n v="1"/>
    <n v="1.1399999999999999"/>
    <n v="1.1399999999999999"/>
    <n v="0"/>
    <m/>
    <n v="0"/>
    <n v="0"/>
    <n v="0"/>
    <n v="0"/>
    <n v="0"/>
    <n v="0"/>
    <n v="0"/>
    <n v="0"/>
  </r>
  <r>
    <x v="1"/>
    <x v="6"/>
    <d v="2026-02-09T00:00:00"/>
    <s v="No Portfolio"/>
    <s v="USD"/>
    <x v="4"/>
    <s v="stroller tray"/>
    <s v="Amazon"/>
    <s v="United States"/>
    <s v="substitutes"/>
    <s v="-"/>
    <x v="337"/>
    <n v="1"/>
    <n v="1"/>
    <n v="1"/>
    <n v="0.1"/>
    <n v="0.1"/>
    <n v="0"/>
    <m/>
    <n v="0"/>
    <n v="0"/>
    <n v="0"/>
    <n v="0"/>
    <n v="0"/>
    <n v="0"/>
    <n v="0"/>
    <n v="0"/>
  </r>
  <r>
    <x v="1"/>
    <x v="7"/>
    <d v="2026-02-03T00:00:00"/>
    <s v="No Portfolio"/>
    <s v="USD"/>
    <x v="4"/>
    <s v="stroller tray"/>
    <s v="Amazon"/>
    <s v="United States"/>
    <s v="substitutes"/>
    <s v="-"/>
    <x v="338"/>
    <n v="3"/>
    <n v="1"/>
    <n v="0.33333333333333331"/>
    <n v="0.48"/>
    <n v="0.48"/>
    <n v="0"/>
    <m/>
    <n v="0"/>
    <n v="0"/>
    <n v="0"/>
    <n v="0"/>
    <n v="0"/>
    <n v="0"/>
    <n v="0"/>
    <n v="0"/>
  </r>
  <r>
    <x v="1"/>
    <x v="6"/>
    <d v="2026-02-10T00:00:00"/>
    <s v="No Portfolio"/>
    <s v="USD"/>
    <x v="4"/>
    <s v="stroller tray"/>
    <s v="Amazon"/>
    <s v="United States"/>
    <s v="substitutes"/>
    <s v="-"/>
    <x v="16"/>
    <n v="8"/>
    <n v="2"/>
    <n v="0.25"/>
    <n v="0.42"/>
    <n v="0.84"/>
    <n v="0"/>
    <m/>
    <n v="0"/>
    <n v="0"/>
    <n v="0"/>
    <n v="0"/>
    <n v="0"/>
    <n v="0"/>
    <n v="0"/>
    <n v="0"/>
  </r>
  <r>
    <x v="1"/>
    <x v="7"/>
    <d v="2026-02-02T00:00:00"/>
    <s v="No Portfolio"/>
    <s v="USD"/>
    <x v="2"/>
    <s v="Tray"/>
    <s v="Amazon"/>
    <s v="United States"/>
    <s v="asin=&quot;B0D9Q9X59P&quot;"/>
    <s v="-"/>
    <x v="16"/>
    <n v="48"/>
    <n v="1"/>
    <n v="2.0833333333333329E-2"/>
    <n v="0.48"/>
    <n v="0.48"/>
    <n v="0"/>
    <m/>
    <n v="0"/>
    <n v="0"/>
    <n v="0"/>
    <n v="0"/>
    <n v="0"/>
    <n v="0"/>
    <n v="0"/>
    <n v="0"/>
  </r>
  <r>
    <x v="1"/>
    <x v="7"/>
    <d v="2026-02-03T00:00:00"/>
    <s v="No Portfolio"/>
    <s v="USD"/>
    <x v="2"/>
    <s v="Tray"/>
    <s v="Amazon"/>
    <s v="United States"/>
    <s v="asin=&quot;B0D9Q9X59P&quot;"/>
    <s v="-"/>
    <x v="16"/>
    <n v="58"/>
    <n v="1"/>
    <n v="1.7241379310344827E-2"/>
    <n v="0.48"/>
    <n v="0.48"/>
    <n v="0"/>
    <m/>
    <n v="0"/>
    <n v="0"/>
    <n v="0"/>
    <n v="0"/>
    <n v="0"/>
    <n v="0"/>
    <n v="0"/>
    <n v="0"/>
  </r>
  <r>
    <x v="1"/>
    <x v="5"/>
    <d v="2026-02-16T00:00:00"/>
    <s v="No Portfolio"/>
    <s v="USD"/>
    <x v="4"/>
    <s v="stroller tray"/>
    <s v="Amazon"/>
    <s v="United States"/>
    <s v="substitutes"/>
    <s v="-"/>
    <x v="255"/>
    <n v="3"/>
    <n v="1"/>
    <n v="0.33333333333333331"/>
    <n v="0.41"/>
    <n v="0.41"/>
    <n v="0"/>
    <m/>
    <n v="0"/>
    <n v="0"/>
    <n v="0"/>
    <n v="0"/>
    <n v="0"/>
    <n v="0"/>
    <n v="0"/>
    <n v="0"/>
  </r>
  <r>
    <x v="1"/>
    <x v="5"/>
    <d v="2026-02-15T00:00:00"/>
    <s v="No Portfolio"/>
    <s v="USD"/>
    <x v="4"/>
    <s v="stroller tray"/>
    <s v="Amazon"/>
    <s v="United States"/>
    <s v="substitutes"/>
    <s v="-"/>
    <x v="18"/>
    <n v="21"/>
    <n v="1"/>
    <n v="4.7619047619047623E-2"/>
    <n v="0.26"/>
    <n v="0.26"/>
    <n v="17.09"/>
    <n v="1.5213575190169691E-2"/>
    <n v="65.730769230769226"/>
    <n v="1"/>
    <n v="1"/>
    <n v="1"/>
    <n v="1"/>
    <n v="0"/>
    <n v="17.09"/>
    <n v="0"/>
  </r>
  <r>
    <x v="1"/>
    <x v="7"/>
    <d v="2026-02-02T00:00:00"/>
    <s v="No Portfolio"/>
    <s v="USD"/>
    <x v="2"/>
    <s v="Tray"/>
    <s v="Amazon"/>
    <s v="United States"/>
    <s v="asin=&quot;B0DH98H2G4&quot;"/>
    <s v="-"/>
    <x v="18"/>
    <n v="68"/>
    <n v="2"/>
    <n v="2.9411764705882349E-2"/>
    <n v="0.5"/>
    <n v="1"/>
    <n v="0"/>
    <m/>
    <n v="0"/>
    <n v="0"/>
    <n v="0"/>
    <n v="0"/>
    <n v="0"/>
    <n v="0"/>
    <n v="0"/>
    <n v="0"/>
  </r>
  <r>
    <x v="1"/>
    <x v="6"/>
    <d v="2026-02-09T00:00:00"/>
    <s v="No Portfolio"/>
    <s v="USD"/>
    <x v="2"/>
    <s v="Tray"/>
    <s v="Amazon"/>
    <s v="United States"/>
    <s v="asin=&quot;B0DH98H2G4&quot;"/>
    <s v="-"/>
    <x v="18"/>
    <n v="120"/>
    <n v="1"/>
    <n v="8.3333333333333332E-3"/>
    <n v="0.54"/>
    <n v="0.54"/>
    <n v="17.09"/>
    <n v="3.1597425394967821E-2"/>
    <n v="31.648148148148145"/>
    <n v="1"/>
    <n v="1"/>
    <n v="1"/>
    <n v="1"/>
    <n v="0"/>
    <n v="17.09"/>
    <n v="0"/>
  </r>
  <r>
    <x v="1"/>
    <x v="6"/>
    <d v="2026-02-11T00:00:00"/>
    <s v="No Portfolio"/>
    <s v="USD"/>
    <x v="2"/>
    <s v="Tray"/>
    <s v="Amazon"/>
    <s v="United States"/>
    <s v="asin=&quot;B0DH98H2G4&quot;"/>
    <s v="-"/>
    <x v="18"/>
    <n v="671"/>
    <n v="4"/>
    <n v="5.9612518628912071E-3"/>
    <n v="0.57999999999999996"/>
    <n v="2.3199999999999998"/>
    <n v="0"/>
    <m/>
    <n v="0"/>
    <n v="0"/>
    <n v="0"/>
    <n v="0"/>
    <n v="0"/>
    <n v="0"/>
    <n v="0"/>
    <n v="0"/>
  </r>
  <r>
    <x v="1"/>
    <x v="6"/>
    <d v="2026-02-12T00:00:00"/>
    <s v="No Portfolio"/>
    <s v="USD"/>
    <x v="2"/>
    <s v="Tray"/>
    <s v="Amazon"/>
    <s v="United States"/>
    <s v="asin=&quot;B0DH98H2G4&quot;"/>
    <s v="-"/>
    <x v="18"/>
    <n v="167"/>
    <n v="4"/>
    <n v="2.3952095808383235E-2"/>
    <n v="0.55500000000000005"/>
    <n v="2.2200000000000002"/>
    <n v="0"/>
    <m/>
    <n v="0"/>
    <n v="0"/>
    <n v="0"/>
    <n v="0"/>
    <n v="0"/>
    <n v="0"/>
    <n v="0"/>
    <n v="0"/>
  </r>
  <r>
    <x v="1"/>
    <x v="6"/>
    <d v="2026-02-13T00:00:00"/>
    <s v="No Portfolio"/>
    <s v="USD"/>
    <x v="2"/>
    <s v="Tray"/>
    <s v="Amazon"/>
    <s v="United States"/>
    <s v="asin=&quot;B0DH98H2G4&quot;"/>
    <s v="-"/>
    <x v="18"/>
    <n v="298"/>
    <n v="4"/>
    <n v="1.342281879194631E-2"/>
    <n v="0.59"/>
    <n v="2.36"/>
    <n v="0"/>
    <m/>
    <n v="0"/>
    <n v="0"/>
    <n v="0"/>
    <n v="0"/>
    <n v="0"/>
    <n v="0"/>
    <n v="0"/>
    <n v="0"/>
  </r>
  <r>
    <x v="1"/>
    <x v="6"/>
    <d v="2026-02-14T00:00:00"/>
    <s v="No Portfolio"/>
    <s v="USD"/>
    <x v="2"/>
    <s v="Tray"/>
    <s v="Amazon"/>
    <s v="United States"/>
    <s v="asin=&quot;B0DH98H2G4&quot;"/>
    <s v="-"/>
    <x v="18"/>
    <n v="205"/>
    <n v="3"/>
    <n v="1.4634146341463417E-2"/>
    <n v="0.57333333333333336"/>
    <n v="1.72"/>
    <n v="0"/>
    <m/>
    <n v="0"/>
    <n v="0"/>
    <n v="0"/>
    <n v="0"/>
    <n v="0"/>
    <n v="0"/>
    <n v="0"/>
    <n v="0"/>
  </r>
  <r>
    <x v="1"/>
    <x v="5"/>
    <d v="2026-02-16T00:00:00"/>
    <s v="No Portfolio"/>
    <s v="USD"/>
    <x v="6"/>
    <s v="ENC"/>
    <s v="Amazon"/>
    <s v="United States"/>
    <s v="substitutes"/>
    <s v="-"/>
    <x v="339"/>
    <n v="1"/>
    <n v="1"/>
    <n v="1"/>
    <n v="1.19"/>
    <n v="1.19"/>
    <n v="0"/>
    <m/>
    <n v="0"/>
    <n v="0"/>
    <n v="0"/>
    <n v="0"/>
    <n v="0"/>
    <n v="0"/>
    <n v="0"/>
    <n v="0"/>
  </r>
  <r>
    <x v="1"/>
    <x v="7"/>
    <d v="2026-02-05T00:00:00"/>
    <s v="No Portfolio"/>
    <s v="USD"/>
    <x v="6"/>
    <s v="ENC"/>
    <s v="Amazon"/>
    <s v="United States"/>
    <s v="substitutes"/>
    <s v="-"/>
    <x v="340"/>
    <n v="21"/>
    <n v="1"/>
    <n v="4.7619047619047623E-2"/>
    <n v="1.28"/>
    <n v="1.28"/>
    <n v="0"/>
    <m/>
    <n v="0"/>
    <n v="0"/>
    <n v="0"/>
    <n v="0"/>
    <n v="0"/>
    <n v="0"/>
    <n v="0"/>
    <n v="0"/>
  </r>
  <r>
    <x v="1"/>
    <x v="7"/>
    <d v="2026-02-02T00:00:00"/>
    <s v="No Portfolio"/>
    <s v="USD"/>
    <x v="2"/>
    <s v="Tray"/>
    <s v="Amazon"/>
    <s v="United States"/>
    <s v="asin=&quot;B0F4KJN2VC&quot;"/>
    <s v="-"/>
    <x v="24"/>
    <n v="262"/>
    <n v="1"/>
    <n v="3.8167938931297708E-3"/>
    <n v="0.62"/>
    <n v="0.62"/>
    <n v="0"/>
    <m/>
    <n v="0"/>
    <n v="0"/>
    <n v="0"/>
    <n v="0"/>
    <n v="0"/>
    <n v="0"/>
    <n v="0"/>
    <n v="0"/>
  </r>
  <r>
    <x v="1"/>
    <x v="7"/>
    <d v="2026-02-05T00:00:00"/>
    <s v="No Portfolio"/>
    <s v="USD"/>
    <x v="2"/>
    <s v="Tray"/>
    <s v="Amazon"/>
    <s v="United States"/>
    <s v="asin=&quot;B0F4KJN2VC&quot;"/>
    <s v="-"/>
    <x v="24"/>
    <n v="69"/>
    <n v="2"/>
    <n v="2.8985507246376808E-2"/>
    <n v="0.62"/>
    <n v="1.24"/>
    <n v="0"/>
    <m/>
    <n v="0"/>
    <n v="0"/>
    <n v="0"/>
    <n v="0"/>
    <n v="0"/>
    <n v="0"/>
    <n v="0"/>
    <n v="0"/>
  </r>
  <r>
    <x v="1"/>
    <x v="7"/>
    <d v="2026-02-06T00:00:00"/>
    <s v="No Portfolio"/>
    <s v="USD"/>
    <x v="2"/>
    <s v="Tray"/>
    <s v="Amazon"/>
    <s v="United States"/>
    <s v="asin=&quot;B0F4KJN2VC&quot;"/>
    <s v="-"/>
    <x v="24"/>
    <n v="160"/>
    <n v="3"/>
    <n v="1.8749999999999999E-2"/>
    <n v="0.62666666666666659"/>
    <n v="1.88"/>
    <n v="0"/>
    <m/>
    <n v="0"/>
    <n v="0"/>
    <n v="0"/>
    <n v="0"/>
    <n v="0"/>
    <n v="0"/>
    <n v="0"/>
    <n v="0"/>
  </r>
  <r>
    <x v="1"/>
    <x v="7"/>
    <d v="2026-02-07T00:00:00"/>
    <s v="No Portfolio"/>
    <s v="USD"/>
    <x v="2"/>
    <s v="Tray"/>
    <s v="Amazon"/>
    <s v="United States"/>
    <s v="asin=&quot;B0F4KJN2VC&quot;"/>
    <s v="-"/>
    <x v="24"/>
    <n v="132"/>
    <n v="3"/>
    <n v="2.2727272727272731E-2"/>
    <n v="0.54999999999999993"/>
    <n v="1.65"/>
    <n v="17.09"/>
    <n v="9.6547688706846102E-2"/>
    <n v="10.357575757575757"/>
    <n v="1"/>
    <n v="1"/>
    <n v="0.33333333333333331"/>
    <n v="1"/>
    <n v="0"/>
    <n v="17.09"/>
    <n v="0"/>
  </r>
  <r>
    <x v="1"/>
    <x v="6"/>
    <d v="2026-02-08T00:00:00"/>
    <s v="No Portfolio"/>
    <s v="USD"/>
    <x v="2"/>
    <s v="Tray"/>
    <s v="Amazon"/>
    <s v="United States"/>
    <s v="asin=&quot;B0F4KJN2VC&quot;"/>
    <s v="-"/>
    <x v="24"/>
    <n v="53"/>
    <n v="2"/>
    <n v="3.7735849056603772E-2"/>
    <n v="0.52"/>
    <n v="1.04"/>
    <n v="0"/>
    <m/>
    <n v="0"/>
    <n v="0"/>
    <n v="0"/>
    <n v="0"/>
    <n v="0"/>
    <n v="0"/>
    <n v="0"/>
    <n v="0"/>
  </r>
  <r>
    <x v="1"/>
    <x v="6"/>
    <d v="2026-02-14T00:00:00"/>
    <s v="No Portfolio"/>
    <s v="USD"/>
    <x v="2"/>
    <s v="Tray"/>
    <s v="Amazon"/>
    <s v="United States"/>
    <s v="asin=&quot;B0F4KJN2VC&quot;"/>
    <s v="-"/>
    <x v="24"/>
    <n v="189"/>
    <n v="2"/>
    <n v="1.0582010582010581E-2"/>
    <n v="0.38"/>
    <n v="0.76"/>
    <n v="17.09"/>
    <n v="4.4470450555880628E-2"/>
    <n v="22.486842105263158"/>
    <n v="1"/>
    <n v="1"/>
    <n v="0.5"/>
    <n v="1"/>
    <n v="0"/>
    <n v="17.09"/>
    <n v="0"/>
  </r>
  <r>
    <x v="1"/>
    <x v="5"/>
    <d v="2026-02-15T00:00:00"/>
    <s v="No Portfolio"/>
    <s v="USD"/>
    <x v="2"/>
    <s v="Tray"/>
    <s v="Amazon"/>
    <s v="United States"/>
    <s v="asin=&quot;B0F4KJN2VC&quot;"/>
    <s v="-"/>
    <x v="24"/>
    <n v="27"/>
    <n v="1"/>
    <n v="3.7037037037037035E-2"/>
    <n v="0.4"/>
    <n v="0.4"/>
    <n v="0"/>
    <m/>
    <n v="0"/>
    <n v="0"/>
    <n v="0"/>
    <n v="0"/>
    <n v="0"/>
    <n v="0"/>
    <n v="0"/>
    <n v="0"/>
  </r>
  <r>
    <x v="1"/>
    <x v="5"/>
    <d v="2026-02-19T00:00:00"/>
    <s v="No Portfolio"/>
    <s v="USD"/>
    <x v="2"/>
    <s v="Tray"/>
    <s v="Amazon"/>
    <s v="United States"/>
    <s v="asin=&quot;B0F4KJN2VC&quot;"/>
    <s v="-"/>
    <x v="24"/>
    <n v="75"/>
    <n v="1"/>
    <n v="1.3333333333333334E-2"/>
    <n v="0.59"/>
    <n v="0.59"/>
    <n v="0"/>
    <m/>
    <n v="0"/>
    <n v="0"/>
    <n v="0"/>
    <n v="0"/>
    <n v="0"/>
    <n v="0"/>
    <n v="0"/>
    <n v="0"/>
  </r>
  <r>
    <x v="1"/>
    <x v="5"/>
    <d v="2026-02-21T00:00:00"/>
    <s v="No Portfolio"/>
    <s v="USD"/>
    <x v="2"/>
    <s v="Tray"/>
    <s v="Amazon"/>
    <s v="United States"/>
    <s v="asin=&quot;B0F4KJN2VC&quot;"/>
    <s v="-"/>
    <x v="24"/>
    <n v="48"/>
    <n v="1"/>
    <n v="2.0833333333333329E-2"/>
    <n v="0.53"/>
    <n v="0.53"/>
    <n v="0"/>
    <m/>
    <n v="0"/>
    <n v="0"/>
    <n v="0"/>
    <n v="0"/>
    <n v="0"/>
    <n v="0"/>
    <n v="0"/>
    <n v="0"/>
  </r>
  <r>
    <x v="1"/>
    <x v="5"/>
    <d v="2026-02-20T00:00:00"/>
    <s v="No Portfolio"/>
    <s v="USD"/>
    <x v="4"/>
    <s v="stroller tray"/>
    <s v="Amazon"/>
    <s v="United States"/>
    <s v="substitutes"/>
    <s v="-"/>
    <x v="341"/>
    <n v="12"/>
    <n v="1"/>
    <n v="8.3333333333333315E-2"/>
    <n v="0.49"/>
    <n v="0.49"/>
    <n v="0"/>
    <m/>
    <n v="0"/>
    <n v="0"/>
    <n v="0"/>
    <n v="0"/>
    <n v="0"/>
    <n v="0"/>
    <n v="0"/>
    <n v="0"/>
  </r>
  <r>
    <x v="1"/>
    <x v="5"/>
    <d v="2026-02-18T00:00:00"/>
    <s v="No Portfolio"/>
    <s v="USD"/>
    <x v="4"/>
    <s v="stroller tray"/>
    <s v="Amazon"/>
    <s v="United States"/>
    <s v="substitutes"/>
    <s v="-"/>
    <x v="342"/>
    <n v="1"/>
    <n v="1"/>
    <n v="1"/>
    <n v="0.49"/>
    <n v="0.49"/>
    <n v="0"/>
    <m/>
    <n v="0"/>
    <n v="0"/>
    <n v="0"/>
    <n v="0"/>
    <n v="0"/>
    <n v="0"/>
    <n v="0"/>
    <n v="0"/>
  </r>
  <r>
    <x v="1"/>
    <x v="5"/>
    <d v="2026-02-18T00:00:00"/>
    <s v="No Portfolio"/>
    <s v="USD"/>
    <x v="4"/>
    <s v="stroller tray"/>
    <s v="Amazon"/>
    <s v="United States"/>
    <s v="substitutes"/>
    <s v="-"/>
    <x v="258"/>
    <n v="4"/>
    <n v="1"/>
    <n v="0.25"/>
    <n v="0.49"/>
    <n v="0.49"/>
    <n v="0"/>
    <m/>
    <n v="0"/>
    <n v="0"/>
    <n v="0"/>
    <n v="0"/>
    <n v="0"/>
    <n v="0"/>
    <n v="0"/>
    <n v="0"/>
  </r>
  <r>
    <x v="1"/>
    <x v="5"/>
    <d v="2026-02-15T00:00:00"/>
    <s v="No Portfolio"/>
    <s v="USD"/>
    <x v="4"/>
    <s v="stroller tray"/>
    <s v="Amazon"/>
    <s v="United States"/>
    <s v="substitutes"/>
    <s v="-"/>
    <x v="343"/>
    <n v="1"/>
    <n v="1"/>
    <n v="1"/>
    <n v="0.41"/>
    <n v="0.41"/>
    <n v="0"/>
    <m/>
    <n v="0"/>
    <n v="0"/>
    <n v="0"/>
    <n v="0"/>
    <n v="0"/>
    <n v="0"/>
    <n v="0"/>
    <n v="0"/>
  </r>
  <r>
    <x v="1"/>
    <x v="5"/>
    <d v="2026-02-16T00:00:00"/>
    <s v="No Portfolio"/>
    <s v="USD"/>
    <x v="3"/>
    <s v="ENC Grey"/>
    <s v="Amazon"/>
    <s v="United States"/>
    <s v="substitutes"/>
    <s v="-"/>
    <x v="344"/>
    <n v="2"/>
    <n v="1"/>
    <n v="0.5"/>
    <n v="0.3"/>
    <n v="0.3"/>
    <n v="0"/>
    <m/>
    <n v="0"/>
    <n v="0"/>
    <n v="0"/>
    <n v="0"/>
    <n v="0"/>
    <n v="0"/>
    <n v="0"/>
    <n v="0"/>
  </r>
  <r>
    <x v="1"/>
    <x v="7"/>
    <d v="2026-02-04T00:00:00"/>
    <s v="No Portfolio"/>
    <s v="USD"/>
    <x v="6"/>
    <s v="ENC"/>
    <s v="Amazon"/>
    <s v="United States"/>
    <s v="substitutes"/>
    <s v="-"/>
    <x v="345"/>
    <n v="1"/>
    <n v="1"/>
    <n v="1"/>
    <n v="1.28"/>
    <n v="1.28"/>
    <n v="0"/>
    <m/>
    <n v="0"/>
    <n v="0"/>
    <n v="0"/>
    <n v="0"/>
    <n v="0"/>
    <n v="0"/>
    <n v="0"/>
    <n v="0"/>
  </r>
  <r>
    <x v="1"/>
    <x v="6"/>
    <d v="2026-02-09T00:00:00"/>
    <s v="No Portfolio"/>
    <s v="USD"/>
    <x v="5"/>
    <s v="ENC Yellow"/>
    <s v="Amazon"/>
    <s v="United States"/>
    <s v="loose-match"/>
    <s v="-"/>
    <x v="346"/>
    <n v="1"/>
    <n v="1"/>
    <n v="1"/>
    <n v="1"/>
    <n v="1"/>
    <n v="0"/>
    <m/>
    <n v="0"/>
    <n v="0"/>
    <n v="0"/>
    <n v="0"/>
    <n v="0"/>
    <n v="0"/>
    <n v="0"/>
    <n v="0"/>
  </r>
  <r>
    <x v="1"/>
    <x v="7"/>
    <d v="2026-02-07T00:00:00"/>
    <s v="No Portfolio"/>
    <s v="USD"/>
    <x v="6"/>
    <s v="ENC"/>
    <s v="Amazon"/>
    <s v="United States"/>
    <s v="loose-match"/>
    <s v="-"/>
    <x v="347"/>
    <n v="1"/>
    <n v="1"/>
    <n v="1"/>
    <n v="1.2"/>
    <n v="1.2"/>
    <n v="0"/>
    <m/>
    <n v="0"/>
    <n v="0"/>
    <n v="0"/>
    <n v="0"/>
    <n v="0"/>
    <n v="0"/>
    <n v="0"/>
    <n v="0"/>
  </r>
  <r>
    <x v="1"/>
    <x v="5"/>
    <d v="2026-02-15T00:00:00"/>
    <s v="No Portfolio"/>
    <s v="USD"/>
    <x v="5"/>
    <s v="ENC Yellow"/>
    <s v="Amazon"/>
    <s v="United States"/>
    <s v="close-match"/>
    <s v="-"/>
    <x v="348"/>
    <n v="1"/>
    <n v="1"/>
    <n v="1"/>
    <n v="0.99"/>
    <n v="0.99"/>
    <n v="0"/>
    <m/>
    <n v="0"/>
    <n v="0"/>
    <n v="0"/>
    <n v="0"/>
    <n v="0"/>
    <n v="0"/>
    <n v="0"/>
    <n v="0"/>
  </r>
  <r>
    <x v="1"/>
    <x v="6"/>
    <d v="2026-02-12T00:00:00"/>
    <s v="No Portfolio"/>
    <s v="USD"/>
    <x v="5"/>
    <s v="ENC Yellow"/>
    <s v="Amazon"/>
    <s v="United States"/>
    <s v="close-match"/>
    <s v="-"/>
    <x v="349"/>
    <n v="1"/>
    <n v="1"/>
    <n v="1"/>
    <n v="0.93"/>
    <n v="0.93"/>
    <n v="0"/>
    <m/>
    <n v="0"/>
    <n v="0"/>
    <n v="0"/>
    <n v="0"/>
    <n v="0"/>
    <n v="0"/>
    <n v="0"/>
    <n v="0"/>
  </r>
  <r>
    <x v="1"/>
    <x v="7"/>
    <d v="2026-02-02T00:00:00"/>
    <s v="No Portfolio"/>
    <s v="USD"/>
    <x v="6"/>
    <s v="ENC"/>
    <s v="Amazon"/>
    <s v="United States"/>
    <s v="loose-match"/>
    <s v="-"/>
    <x v="350"/>
    <n v="1"/>
    <n v="1"/>
    <n v="1"/>
    <n v="1.23"/>
    <n v="1.23"/>
    <n v="0"/>
    <m/>
    <n v="0"/>
    <n v="0"/>
    <n v="0"/>
    <n v="0"/>
    <n v="0"/>
    <n v="0"/>
    <n v="0"/>
    <n v="0"/>
  </r>
  <r>
    <x v="1"/>
    <x v="6"/>
    <d v="2026-02-09T00:00:00"/>
    <s v="No Portfolio"/>
    <s v="USD"/>
    <x v="0"/>
    <s v="broad组"/>
    <s v="Amazon"/>
    <s v="United States"/>
    <s v="stroller tray"/>
    <s v="BROAD"/>
    <x v="351"/>
    <n v="1"/>
    <n v="1"/>
    <n v="1"/>
    <n v="0.21"/>
    <n v="0.21"/>
    <n v="0"/>
    <m/>
    <n v="0"/>
    <n v="0"/>
    <n v="0"/>
    <n v="0"/>
    <n v="0"/>
    <n v="0"/>
    <n v="0"/>
    <n v="0"/>
  </r>
  <r>
    <x v="1"/>
    <x v="5"/>
    <d v="2026-02-21T00:00:00"/>
    <s v="No Portfolio"/>
    <s v="USD"/>
    <x v="4"/>
    <s v="stroller tray"/>
    <s v="Amazon"/>
    <s v="United States"/>
    <s v="loose-match"/>
    <s v="-"/>
    <x v="352"/>
    <n v="1"/>
    <n v="1"/>
    <n v="1"/>
    <n v="0.52"/>
    <n v="0.52"/>
    <n v="0"/>
    <m/>
    <n v="0"/>
    <n v="0"/>
    <n v="0"/>
    <n v="0"/>
    <n v="0"/>
    <n v="0"/>
    <n v="0"/>
    <n v="0"/>
  </r>
  <r>
    <x v="1"/>
    <x v="6"/>
    <d v="2026-02-08T00:00:00"/>
    <s v="No Portfolio"/>
    <s v="USD"/>
    <x v="0"/>
    <s v="broad组"/>
    <s v="Amazon"/>
    <s v="United States"/>
    <s v="stroller accessories"/>
    <s v="BROAD"/>
    <x v="353"/>
    <n v="1"/>
    <n v="1"/>
    <n v="1"/>
    <n v="0.15"/>
    <n v="0.15"/>
    <n v="0"/>
    <m/>
    <n v="0"/>
    <n v="0"/>
    <n v="0"/>
    <n v="0"/>
    <n v="0"/>
    <n v="0"/>
    <n v="0"/>
    <n v="0"/>
  </r>
  <r>
    <x v="1"/>
    <x v="7"/>
    <d v="2026-02-02T00:00:00"/>
    <s v="No Portfolio"/>
    <s v="USD"/>
    <x v="2"/>
    <s v="Tray"/>
    <s v="Amazon"/>
    <s v="United States"/>
    <s v="asin=&quot;B0DSBVB1WW&quot;"/>
    <s v="-"/>
    <x v="354"/>
    <n v="1"/>
    <n v="1"/>
    <n v="1"/>
    <n v="0.72"/>
    <n v="0.72"/>
    <n v="0"/>
    <m/>
    <n v="0"/>
    <n v="0"/>
    <n v="0"/>
    <n v="0"/>
    <n v="0"/>
    <n v="0"/>
    <n v="0"/>
    <n v="0"/>
  </r>
  <r>
    <x v="1"/>
    <x v="5"/>
    <d v="2026-02-17T00:00:00"/>
    <s v="No Portfolio"/>
    <s v="USD"/>
    <x v="5"/>
    <s v="ENC Yellow"/>
    <s v="Amazon"/>
    <s v="United States"/>
    <s v="loose-match"/>
    <s v="-"/>
    <x v="355"/>
    <n v="1"/>
    <n v="1"/>
    <n v="1"/>
    <n v="0.44"/>
    <n v="0.44"/>
    <n v="0"/>
    <m/>
    <n v="0"/>
    <n v="0"/>
    <n v="0"/>
    <n v="0"/>
    <n v="0"/>
    <n v="0"/>
    <n v="0"/>
    <n v="0"/>
  </r>
  <r>
    <x v="1"/>
    <x v="6"/>
    <d v="2026-02-12T00:00:00"/>
    <s v="No Portfolio"/>
    <s v="USD"/>
    <x v="9"/>
    <s v="BNF"/>
    <s v="Amazon"/>
    <s v="United States"/>
    <s v="keyword-group=&quot;Keywords related to your product category&quot;"/>
    <s v="-"/>
    <x v="356"/>
    <n v="1"/>
    <n v="1"/>
    <n v="1"/>
    <n v="0.39"/>
    <n v="0.39"/>
    <n v="0"/>
    <m/>
    <n v="0"/>
    <n v="0"/>
    <n v="0"/>
    <n v="0"/>
    <n v="0"/>
    <n v="0"/>
    <n v="0"/>
    <n v="0"/>
  </r>
  <r>
    <x v="1"/>
    <x v="7"/>
    <d v="2026-02-03T00:00:00"/>
    <s v="No Portfolio"/>
    <s v="USD"/>
    <x v="5"/>
    <s v="ENC Yellow"/>
    <s v="Amazon"/>
    <s v="United States"/>
    <s v="close-match"/>
    <s v="-"/>
    <x v="47"/>
    <n v="9"/>
    <n v="1"/>
    <n v="0.1111111111111111"/>
    <n v="0.6"/>
    <n v="0.6"/>
    <n v="0"/>
    <m/>
    <n v="0"/>
    <n v="0"/>
    <n v="0"/>
    <n v="0"/>
    <n v="0"/>
    <n v="0"/>
    <n v="0"/>
    <n v="0"/>
  </r>
  <r>
    <x v="1"/>
    <x v="6"/>
    <d v="2026-02-13T00:00:00"/>
    <s v="No Portfolio"/>
    <s v="USD"/>
    <x v="5"/>
    <s v="ENC Yellow"/>
    <s v="Amazon"/>
    <s v="United States"/>
    <s v="close-match"/>
    <s v="-"/>
    <x v="47"/>
    <n v="16"/>
    <n v="1"/>
    <n v="6.25E-2"/>
    <n v="0.6"/>
    <n v="0.6"/>
    <n v="0"/>
    <m/>
    <n v="0"/>
    <n v="0"/>
    <n v="0"/>
    <n v="0"/>
    <n v="0"/>
    <n v="0"/>
    <n v="0"/>
    <n v="0"/>
  </r>
  <r>
    <x v="1"/>
    <x v="6"/>
    <d v="2026-02-14T00:00:00"/>
    <s v="No Portfolio"/>
    <s v="USD"/>
    <x v="5"/>
    <s v="ENC Yellow"/>
    <s v="Amazon"/>
    <s v="United States"/>
    <s v="close-match"/>
    <s v="-"/>
    <x v="47"/>
    <n v="11"/>
    <n v="1"/>
    <n v="9.0909090909090925E-2"/>
    <n v="0.6"/>
    <n v="0.6"/>
    <n v="0"/>
    <m/>
    <n v="0"/>
    <n v="0"/>
    <n v="0"/>
    <n v="0"/>
    <n v="0"/>
    <n v="0"/>
    <n v="0"/>
    <n v="0"/>
  </r>
  <r>
    <x v="1"/>
    <x v="7"/>
    <d v="2026-02-07T00:00:00"/>
    <s v="No Portfolio"/>
    <s v="USD"/>
    <x v="5"/>
    <s v="ENC Yellow"/>
    <s v="Amazon"/>
    <s v="United States"/>
    <s v="close-match"/>
    <s v="-"/>
    <x v="48"/>
    <n v="4"/>
    <n v="1"/>
    <n v="0.25"/>
    <n v="0.6"/>
    <n v="0.6"/>
    <n v="0"/>
    <m/>
    <n v="0"/>
    <n v="0"/>
    <n v="0"/>
    <n v="0"/>
    <n v="0"/>
    <n v="0"/>
    <n v="0"/>
    <n v="0"/>
  </r>
  <r>
    <x v="1"/>
    <x v="6"/>
    <d v="2026-02-11T00:00:00"/>
    <s v="No Portfolio"/>
    <s v="USD"/>
    <x v="6"/>
    <s v="ENC"/>
    <s v="Amazon"/>
    <s v="United States"/>
    <s v="close-match"/>
    <s v="-"/>
    <x v="357"/>
    <n v="3"/>
    <n v="1"/>
    <n v="0.33333333333333331"/>
    <n v="1.18"/>
    <n v="1.18"/>
    <n v="0"/>
    <m/>
    <n v="0"/>
    <n v="0"/>
    <n v="0"/>
    <n v="0"/>
    <n v="0"/>
    <n v="0"/>
    <n v="0"/>
    <n v="0"/>
  </r>
  <r>
    <x v="1"/>
    <x v="6"/>
    <d v="2026-02-12T00:00:00"/>
    <s v="No Portfolio"/>
    <s v="USD"/>
    <x v="5"/>
    <s v="ENC Yellow"/>
    <s v="Amazon"/>
    <s v="United States"/>
    <s v="close-match"/>
    <s v="-"/>
    <x v="357"/>
    <n v="11"/>
    <n v="1"/>
    <n v="9.0909090909090925E-2"/>
    <n v="1.0900000000000001"/>
    <n v="1.0900000000000001"/>
    <n v="0"/>
    <m/>
    <n v="0"/>
    <n v="0"/>
    <n v="0"/>
    <n v="0"/>
    <n v="0"/>
    <n v="0"/>
    <n v="0"/>
    <n v="0"/>
  </r>
  <r>
    <x v="1"/>
    <x v="5"/>
    <d v="2026-02-15T00:00:00"/>
    <s v="No Portfolio"/>
    <s v="USD"/>
    <x v="6"/>
    <s v="ENC"/>
    <s v="Amazon"/>
    <s v="United States"/>
    <s v="close-match"/>
    <s v="-"/>
    <x v="49"/>
    <n v="8"/>
    <n v="1"/>
    <n v="0.125"/>
    <n v="1.1299999999999999"/>
    <n v="1.1299999999999999"/>
    <n v="0"/>
    <m/>
    <n v="0"/>
    <n v="0"/>
    <n v="0"/>
    <n v="0"/>
    <n v="0"/>
    <n v="0"/>
    <n v="0"/>
    <n v="0"/>
  </r>
  <r>
    <x v="1"/>
    <x v="6"/>
    <d v="2026-02-10T00:00:00"/>
    <s v="No Portfolio"/>
    <s v="USD"/>
    <x v="5"/>
    <s v="ENC Yellow"/>
    <s v="Amazon"/>
    <s v="United States"/>
    <s v="close-match"/>
    <s v="-"/>
    <x v="49"/>
    <n v="10"/>
    <n v="1"/>
    <n v="0.1"/>
    <n v="0.6"/>
    <n v="0.6"/>
    <n v="0"/>
    <m/>
    <n v="0"/>
    <n v="0"/>
    <n v="0"/>
    <n v="0"/>
    <n v="0"/>
    <n v="0"/>
    <n v="0"/>
    <n v="0"/>
  </r>
  <r>
    <x v="1"/>
    <x v="5"/>
    <d v="2026-02-17T00:00:00"/>
    <s v="No Portfolio"/>
    <s v="USD"/>
    <x v="5"/>
    <s v="ENC Yellow"/>
    <s v="Amazon"/>
    <s v="United States"/>
    <s v="close-match"/>
    <s v="-"/>
    <x v="49"/>
    <n v="2"/>
    <n v="1"/>
    <n v="0.5"/>
    <n v="1.37"/>
    <n v="1.37"/>
    <n v="0"/>
    <m/>
    <n v="0"/>
    <n v="0"/>
    <n v="0"/>
    <n v="0"/>
    <n v="0"/>
    <n v="0"/>
    <n v="0"/>
    <n v="0"/>
  </r>
  <r>
    <x v="1"/>
    <x v="5"/>
    <d v="2026-02-20T00:00:00"/>
    <s v="No Portfolio"/>
    <s v="USD"/>
    <x v="5"/>
    <s v="ENC Yellow"/>
    <s v="Amazon"/>
    <s v="United States"/>
    <s v="close-match"/>
    <s v="-"/>
    <x v="49"/>
    <n v="25"/>
    <n v="1"/>
    <n v="0.04"/>
    <n v="0.6"/>
    <n v="0.6"/>
    <n v="0"/>
    <m/>
    <n v="0"/>
    <n v="0"/>
    <n v="0"/>
    <n v="0"/>
    <n v="0"/>
    <n v="0"/>
    <n v="0"/>
    <n v="0"/>
  </r>
  <r>
    <x v="1"/>
    <x v="6"/>
    <d v="2026-02-14T00:00:00"/>
    <s v="No Portfolio"/>
    <s v="USD"/>
    <x v="9"/>
    <s v="BNF"/>
    <s v="Amazon"/>
    <s v="United States"/>
    <s v="baby nail trimmer electric"/>
    <s v="BROAD"/>
    <x v="49"/>
    <n v="1"/>
    <n v="1"/>
    <n v="1"/>
    <n v="0.45"/>
    <n v="0.45"/>
    <n v="0"/>
    <m/>
    <n v="0"/>
    <n v="0"/>
    <n v="0"/>
    <n v="0"/>
    <n v="0"/>
    <n v="0"/>
    <n v="0"/>
    <n v="0"/>
  </r>
  <r>
    <x v="1"/>
    <x v="6"/>
    <d v="2026-02-13T00:00:00"/>
    <s v="No Portfolio"/>
    <s v="USD"/>
    <x v="5"/>
    <s v="ENC Yellow"/>
    <s v="Amazon"/>
    <s v="United States"/>
    <s v="loose-match"/>
    <s v="-"/>
    <x v="358"/>
    <n v="1"/>
    <n v="1"/>
    <n v="1"/>
    <n v="0.45"/>
    <n v="0.45"/>
    <n v="8.93"/>
    <n v="5.0391937290033599E-2"/>
    <n v="19.844444444444445"/>
    <n v="1"/>
    <n v="1"/>
    <n v="1"/>
    <n v="1"/>
    <n v="0"/>
    <n v="8.93"/>
    <n v="0"/>
  </r>
  <r>
    <x v="1"/>
    <x v="5"/>
    <d v="2026-02-19T00:00:00"/>
    <s v="No Portfolio"/>
    <s v="USD"/>
    <x v="5"/>
    <s v="ENC Yellow"/>
    <s v="Amazon"/>
    <s v="United States"/>
    <s v="loose-match"/>
    <s v="-"/>
    <x v="359"/>
    <n v="2"/>
    <n v="1"/>
    <n v="0.5"/>
    <n v="1"/>
    <n v="1"/>
    <n v="0"/>
    <m/>
    <n v="0"/>
    <n v="0"/>
    <n v="0"/>
    <n v="0"/>
    <n v="0"/>
    <n v="0"/>
    <n v="0"/>
    <n v="0"/>
  </r>
  <r>
    <x v="1"/>
    <x v="5"/>
    <d v="2026-02-20T00:00:00"/>
    <s v="No Portfolio"/>
    <s v="USD"/>
    <x v="6"/>
    <s v="ENC"/>
    <s v="Amazon"/>
    <s v="United States"/>
    <s v="loose-match"/>
    <s v="-"/>
    <x v="360"/>
    <n v="2"/>
    <n v="1"/>
    <n v="0.5"/>
    <n v="1.19"/>
    <n v="1.19"/>
    <n v="0"/>
    <m/>
    <n v="0"/>
    <n v="0"/>
    <n v="0"/>
    <n v="0"/>
    <n v="0"/>
    <n v="0"/>
    <n v="0"/>
    <n v="0"/>
  </r>
  <r>
    <x v="1"/>
    <x v="5"/>
    <d v="2026-02-21T00:00:00"/>
    <s v="No Portfolio"/>
    <s v="USD"/>
    <x v="5"/>
    <s v="ENC Yellow"/>
    <s v="Amazon"/>
    <s v="United States"/>
    <s v="close-match"/>
    <s v="-"/>
    <x v="361"/>
    <n v="9"/>
    <n v="1"/>
    <n v="0.1111111111111111"/>
    <n v="1.37"/>
    <n v="1.37"/>
    <n v="0"/>
    <m/>
    <n v="0"/>
    <n v="0"/>
    <n v="0"/>
    <n v="0"/>
    <n v="0"/>
    <n v="0"/>
    <n v="0"/>
    <n v="0"/>
  </r>
  <r>
    <x v="1"/>
    <x v="6"/>
    <d v="2026-02-12T00:00:00"/>
    <s v="No Portfolio"/>
    <s v="USD"/>
    <x v="0"/>
    <s v="phrase&amp;exact"/>
    <s v="Amazon"/>
    <s v="United States"/>
    <s v="baby stroller parent cup holders"/>
    <s v="EXACT"/>
    <x v="362"/>
    <n v="3"/>
    <n v="1"/>
    <n v="0.33333333333333331"/>
    <n v="0.4"/>
    <n v="0.4"/>
    <n v="0"/>
    <m/>
    <n v="0"/>
    <n v="0"/>
    <n v="0"/>
    <n v="0"/>
    <n v="0"/>
    <n v="0"/>
    <n v="0"/>
    <n v="0"/>
  </r>
  <r>
    <x v="1"/>
    <x v="7"/>
    <d v="2026-02-07T00:00:00"/>
    <s v="No Portfolio"/>
    <s v="USD"/>
    <x v="0"/>
    <s v="broad组"/>
    <s v="Amazon"/>
    <s v="United States"/>
    <s v="snack tray for stroller"/>
    <s v="BROAD"/>
    <x v="363"/>
    <n v="2"/>
    <n v="1"/>
    <n v="0.5"/>
    <n v="0.21"/>
    <n v="0.21"/>
    <n v="0"/>
    <m/>
    <n v="0"/>
    <n v="0"/>
    <n v="0"/>
    <n v="0"/>
    <n v="0"/>
    <n v="0"/>
    <n v="0"/>
    <n v="0"/>
  </r>
  <r>
    <x v="1"/>
    <x v="5"/>
    <d v="2026-02-16T00:00:00"/>
    <s v="No Portfolio"/>
    <s v="USD"/>
    <x v="4"/>
    <s v="stroller tray"/>
    <s v="Amazon"/>
    <s v="United States"/>
    <s v="loose-match"/>
    <s v="-"/>
    <x v="364"/>
    <n v="1"/>
    <n v="1"/>
    <n v="1"/>
    <n v="0.52"/>
    <n v="0.52"/>
    <n v="0"/>
    <m/>
    <n v="0"/>
    <n v="0"/>
    <n v="0"/>
    <n v="0"/>
    <n v="0"/>
    <n v="0"/>
    <n v="0"/>
    <n v="0"/>
  </r>
  <r>
    <x v="1"/>
    <x v="5"/>
    <d v="2026-02-18T00:00:00"/>
    <s v="No Portfolio"/>
    <s v="USD"/>
    <x v="0"/>
    <s v="broad组"/>
    <s v="Amazon"/>
    <s v="United States"/>
    <s v="stroller tray"/>
    <s v="BROAD"/>
    <x v="365"/>
    <n v="1"/>
    <n v="1"/>
    <n v="1"/>
    <n v="0.21"/>
    <n v="0.21"/>
    <n v="0"/>
    <m/>
    <n v="0"/>
    <n v="0"/>
    <n v="0"/>
    <n v="0"/>
    <n v="0"/>
    <n v="0"/>
    <n v="0"/>
    <n v="0"/>
  </r>
  <r>
    <x v="1"/>
    <x v="6"/>
    <d v="2026-02-14T00:00:00"/>
    <s v="No Portfolio"/>
    <s v="USD"/>
    <x v="6"/>
    <s v="ENC"/>
    <s v="Amazon"/>
    <s v="United States"/>
    <s v="loose-match"/>
    <s v="-"/>
    <x v="366"/>
    <n v="1"/>
    <n v="1"/>
    <n v="1"/>
    <n v="1.02"/>
    <n v="1.02"/>
    <n v="0"/>
    <m/>
    <n v="0"/>
    <n v="0"/>
    <n v="0"/>
    <n v="0"/>
    <n v="0"/>
    <n v="0"/>
    <n v="0"/>
    <n v="0"/>
  </r>
  <r>
    <x v="1"/>
    <x v="6"/>
    <d v="2026-02-14T00:00:00"/>
    <s v="No Portfolio"/>
    <s v="USD"/>
    <x v="6"/>
    <s v="ENC"/>
    <s v="Amazon"/>
    <s v="United States"/>
    <s v="loose-match"/>
    <s v="-"/>
    <x v="367"/>
    <n v="3"/>
    <n v="1"/>
    <n v="0.33333333333333331"/>
    <n v="1.02"/>
    <n v="1.02"/>
    <n v="0"/>
    <m/>
    <n v="0"/>
    <n v="0"/>
    <n v="0"/>
    <n v="0"/>
    <n v="0"/>
    <n v="0"/>
    <n v="0"/>
    <n v="0"/>
  </r>
  <r>
    <x v="1"/>
    <x v="6"/>
    <d v="2026-02-13T00:00:00"/>
    <s v="No Portfolio"/>
    <s v="USD"/>
    <x v="6"/>
    <s v="ENC"/>
    <s v="Amazon"/>
    <s v="United States"/>
    <s v="loose-match"/>
    <s v="-"/>
    <x v="368"/>
    <n v="1"/>
    <n v="1"/>
    <n v="1"/>
    <n v="0.97"/>
    <n v="0.97"/>
    <n v="0"/>
    <m/>
    <n v="0"/>
    <n v="0"/>
    <n v="0"/>
    <n v="0"/>
    <n v="0"/>
    <n v="0"/>
    <n v="0"/>
    <n v="0"/>
  </r>
  <r>
    <x v="1"/>
    <x v="5"/>
    <d v="2026-02-20T00:00:00"/>
    <s v="No Portfolio"/>
    <s v="USD"/>
    <x v="0"/>
    <s v="broad组"/>
    <s v="Amazon"/>
    <s v="United States"/>
    <s v="snack tray for stroller"/>
    <s v="BROAD"/>
    <x v="369"/>
    <n v="1"/>
    <n v="1"/>
    <n v="1"/>
    <n v="0.21"/>
    <n v="0.21"/>
    <n v="0"/>
    <m/>
    <n v="0"/>
    <n v="0"/>
    <n v="0"/>
    <n v="0"/>
    <n v="0"/>
    <n v="0"/>
    <n v="0"/>
    <n v="0"/>
  </r>
  <r>
    <x v="1"/>
    <x v="6"/>
    <d v="2026-02-09T00:00:00"/>
    <s v="No Portfolio"/>
    <s v="USD"/>
    <x v="0"/>
    <s v="phrase&amp;exact"/>
    <s v="Amazon"/>
    <s v="United States"/>
    <s v="stroller snack tray"/>
    <s v="PHRASE"/>
    <x v="370"/>
    <n v="3"/>
    <n v="1"/>
    <n v="0.33333333333333331"/>
    <n v="0.21"/>
    <n v="0.21"/>
    <n v="0"/>
    <m/>
    <n v="0"/>
    <n v="0"/>
    <n v="0"/>
    <n v="0"/>
    <n v="0"/>
    <n v="0"/>
    <n v="0"/>
    <n v="0"/>
  </r>
  <r>
    <x v="1"/>
    <x v="5"/>
    <d v="2026-02-18T00:00:00"/>
    <s v="No Portfolio"/>
    <s v="USD"/>
    <x v="1"/>
    <s v="broad组"/>
    <s v="Amazon"/>
    <s v="United States"/>
    <s v="snack tray for stroller"/>
    <s v="BROAD"/>
    <x v="371"/>
    <n v="1"/>
    <n v="1"/>
    <n v="1"/>
    <n v="0.75"/>
    <n v="0.75"/>
    <n v="0"/>
    <m/>
    <n v="0"/>
    <n v="0"/>
    <n v="0"/>
    <n v="0"/>
    <n v="0"/>
    <n v="0"/>
    <n v="0"/>
    <n v="0"/>
  </r>
  <r>
    <x v="1"/>
    <x v="7"/>
    <d v="2026-02-05T00:00:00"/>
    <s v="No Portfolio"/>
    <s v="USD"/>
    <x v="0"/>
    <s v="broad组"/>
    <s v="Amazon"/>
    <s v="United States"/>
    <s v="stroller snack tray"/>
    <s v="BROAD"/>
    <x v="372"/>
    <n v="1"/>
    <n v="1"/>
    <n v="1"/>
    <n v="0.21"/>
    <n v="0.21"/>
    <n v="0"/>
    <m/>
    <n v="0"/>
    <n v="0"/>
    <n v="0"/>
    <n v="0"/>
    <n v="0"/>
    <n v="0"/>
    <n v="0"/>
    <n v="0"/>
  </r>
  <r>
    <x v="1"/>
    <x v="7"/>
    <d v="2026-02-05T00:00:00"/>
    <s v="No Portfolio"/>
    <s v="USD"/>
    <x v="1"/>
    <s v="Phrase&amp;Exact组"/>
    <s v="Amazon"/>
    <s v="United States"/>
    <s v="universal snack tray"/>
    <s v="PHRASE"/>
    <x v="373"/>
    <n v="1"/>
    <n v="1"/>
    <n v="1"/>
    <n v="1.74"/>
    <n v="1.74"/>
    <n v="0"/>
    <m/>
    <n v="0"/>
    <n v="0"/>
    <n v="0"/>
    <n v="0"/>
    <n v="0"/>
    <n v="0"/>
    <n v="0"/>
    <n v="0"/>
  </r>
  <r>
    <x v="1"/>
    <x v="7"/>
    <d v="2026-02-04T00:00:00"/>
    <s v="No Portfolio"/>
    <s v="USD"/>
    <x v="2"/>
    <s v="Tray"/>
    <s v="Amazon"/>
    <s v="United States"/>
    <s v="asin=&quot;B0DSBVB1WW&quot;"/>
    <s v="-"/>
    <x v="374"/>
    <n v="2"/>
    <n v="1"/>
    <n v="0.5"/>
    <n v="0.72"/>
    <n v="0.72"/>
    <n v="0"/>
    <m/>
    <n v="0"/>
    <n v="0"/>
    <n v="0"/>
    <n v="0"/>
    <n v="0"/>
    <n v="0"/>
    <n v="0"/>
    <n v="0"/>
  </r>
  <r>
    <x v="1"/>
    <x v="5"/>
    <d v="2026-02-18T00:00:00"/>
    <s v="No Portfolio"/>
    <s v="USD"/>
    <x v="0"/>
    <s v="broad组"/>
    <s v="Amazon"/>
    <s v="United States"/>
    <s v="stroller cup holder"/>
    <s v="BROAD"/>
    <x v="375"/>
    <n v="1"/>
    <n v="1"/>
    <n v="1"/>
    <n v="0.08"/>
    <n v="0.08"/>
    <n v="0"/>
    <m/>
    <n v="0"/>
    <n v="0"/>
    <n v="0"/>
    <n v="0"/>
    <n v="0"/>
    <n v="0"/>
    <n v="0"/>
    <n v="0"/>
  </r>
  <r>
    <x v="1"/>
    <x v="7"/>
    <d v="2026-02-05T00:00:00"/>
    <s v="No Portfolio"/>
    <s v="USD"/>
    <x v="1"/>
    <s v="broad组"/>
    <s v="Amazon"/>
    <s v="United States"/>
    <s v="wagon cup holder"/>
    <s v="BROAD"/>
    <x v="376"/>
    <n v="1"/>
    <n v="1"/>
    <n v="1"/>
    <n v="0.93"/>
    <n v="0.93"/>
    <n v="0"/>
    <m/>
    <n v="0"/>
    <n v="0"/>
    <n v="0"/>
    <n v="0"/>
    <n v="0"/>
    <n v="0"/>
    <n v="0"/>
    <n v="0"/>
  </r>
  <r>
    <x v="1"/>
    <x v="7"/>
    <d v="2026-02-01T00:00:00"/>
    <s v="No Portfolio"/>
    <s v="USD"/>
    <x v="4"/>
    <s v="stroller tray"/>
    <s v="Amazon"/>
    <s v="United States"/>
    <s v="loose-match"/>
    <s v="-"/>
    <x v="377"/>
    <n v="6"/>
    <n v="1"/>
    <n v="0.16666666666666663"/>
    <n v="0.32"/>
    <n v="0.32"/>
    <n v="0"/>
    <m/>
    <n v="0"/>
    <n v="0"/>
    <n v="0"/>
    <n v="0"/>
    <n v="0"/>
    <n v="0"/>
    <n v="0"/>
    <n v="0"/>
  </r>
  <r>
    <x v="1"/>
    <x v="7"/>
    <d v="2026-02-01T00:00:00"/>
    <s v="No Portfolio"/>
    <s v="USD"/>
    <x v="4"/>
    <s v="stroller tray"/>
    <s v="Amazon"/>
    <s v="United States"/>
    <s v="loose-match"/>
    <s v="-"/>
    <x v="378"/>
    <n v="4"/>
    <n v="1"/>
    <n v="0.25"/>
    <n v="0.32"/>
    <n v="0.32"/>
    <n v="0"/>
    <m/>
    <n v="0"/>
    <n v="0"/>
    <n v="0"/>
    <n v="0"/>
    <n v="0"/>
    <n v="0"/>
    <n v="0"/>
    <n v="0"/>
  </r>
  <r>
    <x v="1"/>
    <x v="6"/>
    <d v="2026-02-08T00:00:00"/>
    <s v="No Portfolio"/>
    <s v="USD"/>
    <x v="4"/>
    <s v="stroller tray"/>
    <s v="Amazon"/>
    <s v="United States"/>
    <s v="loose-match"/>
    <s v="-"/>
    <x v="378"/>
    <n v="2"/>
    <n v="1"/>
    <n v="0.5"/>
    <n v="0.4"/>
    <n v="0.4"/>
    <n v="0"/>
    <m/>
    <n v="0"/>
    <n v="0"/>
    <n v="0"/>
    <n v="0"/>
    <n v="0"/>
    <n v="0"/>
    <n v="0"/>
    <n v="0"/>
  </r>
  <r>
    <x v="1"/>
    <x v="5"/>
    <d v="2026-02-16T00:00:00"/>
    <s v="No Portfolio"/>
    <s v="USD"/>
    <x v="4"/>
    <s v="stroller tray"/>
    <s v="Amazon"/>
    <s v="United States"/>
    <s v="loose-match"/>
    <s v="-"/>
    <x v="379"/>
    <n v="3"/>
    <n v="1"/>
    <n v="0.33333333333333331"/>
    <n v="0.52"/>
    <n v="0.52"/>
    <n v="0"/>
    <m/>
    <n v="0"/>
    <n v="0"/>
    <n v="0"/>
    <n v="0"/>
    <n v="0"/>
    <n v="0"/>
    <n v="0"/>
    <n v="0"/>
  </r>
  <r>
    <x v="1"/>
    <x v="5"/>
    <d v="2026-02-15T00:00:00"/>
    <s v="No Portfolio"/>
    <s v="USD"/>
    <x v="4"/>
    <s v="stroller tray"/>
    <s v="Amazon"/>
    <s v="United States"/>
    <s v="loose-match"/>
    <s v="-"/>
    <x v="380"/>
    <n v="2"/>
    <n v="1"/>
    <n v="0.5"/>
    <n v="0.34"/>
    <n v="0.34"/>
    <n v="0"/>
    <m/>
    <n v="0"/>
    <n v="0"/>
    <n v="0"/>
    <n v="0"/>
    <n v="0"/>
    <n v="0"/>
    <n v="0"/>
    <n v="0"/>
  </r>
  <r>
    <x v="1"/>
    <x v="6"/>
    <d v="2026-02-14T00:00:00"/>
    <s v="No Portfolio"/>
    <s v="USD"/>
    <x v="1"/>
    <s v="broad组"/>
    <s v="Amazon"/>
    <s v="United States"/>
    <s v="stroller tray"/>
    <s v="BROAD"/>
    <x v="381"/>
    <n v="2"/>
    <n v="1"/>
    <n v="0.5"/>
    <n v="0.8"/>
    <n v="0.8"/>
    <n v="0"/>
    <m/>
    <n v="0"/>
    <n v="0"/>
    <n v="0"/>
    <n v="0"/>
    <n v="0"/>
    <n v="0"/>
    <n v="0"/>
    <n v="0"/>
  </r>
  <r>
    <x v="1"/>
    <x v="5"/>
    <d v="2026-02-17T00:00:00"/>
    <s v="No Portfolio"/>
    <s v="USD"/>
    <x v="2"/>
    <s v="Tray"/>
    <s v="Amazon"/>
    <s v="United States"/>
    <s v="asin=&quot;B0DH98H2G4&quot;"/>
    <s v="-"/>
    <x v="78"/>
    <n v="3"/>
    <n v="1"/>
    <n v="0.33333333333333331"/>
    <n v="0.64"/>
    <n v="0.64"/>
    <n v="0"/>
    <m/>
    <n v="0"/>
    <n v="0"/>
    <n v="0"/>
    <n v="0"/>
    <n v="0"/>
    <n v="0"/>
    <n v="0"/>
    <n v="0"/>
  </r>
  <r>
    <x v="1"/>
    <x v="5"/>
    <d v="2026-02-16T00:00:00"/>
    <s v="No Portfolio"/>
    <s v="USD"/>
    <x v="1"/>
    <s v="broad组"/>
    <s v="Amazon"/>
    <s v="United States"/>
    <s v="clip on snack tray"/>
    <s v="BROAD"/>
    <x v="78"/>
    <n v="7"/>
    <n v="1"/>
    <n v="0.14285714285714285"/>
    <n v="1.34"/>
    <n v="1.34"/>
    <n v="0"/>
    <m/>
    <n v="0"/>
    <n v="0"/>
    <n v="0"/>
    <n v="0"/>
    <n v="0"/>
    <n v="0"/>
    <n v="0"/>
    <n v="0"/>
  </r>
  <r>
    <x v="1"/>
    <x v="6"/>
    <d v="2026-02-10T00:00:00"/>
    <s v="No Portfolio"/>
    <s v="USD"/>
    <x v="0"/>
    <s v="broad组"/>
    <s v="Amazon"/>
    <s v="United States"/>
    <s v="clip on snack tray"/>
    <s v="BROAD"/>
    <x v="78"/>
    <n v="1"/>
    <n v="1"/>
    <n v="1"/>
    <n v="0"/>
    <n v="0"/>
    <n v="0"/>
    <m/>
    <m/>
    <n v="0"/>
    <n v="0"/>
    <n v="0"/>
    <n v="0"/>
    <n v="0"/>
    <n v="0"/>
    <n v="0"/>
  </r>
  <r>
    <x v="1"/>
    <x v="5"/>
    <d v="2026-02-19T00:00:00"/>
    <s v="No Portfolio"/>
    <s v="USD"/>
    <x v="2"/>
    <s v="Tray"/>
    <s v="Amazon"/>
    <s v="United States"/>
    <s v="asin=&quot;B0DH98H2G4&quot;"/>
    <s v="-"/>
    <x v="382"/>
    <n v="1"/>
    <n v="1"/>
    <n v="1"/>
    <n v="0.52"/>
    <n v="0.52"/>
    <n v="0"/>
    <m/>
    <n v="0"/>
    <n v="0"/>
    <n v="0"/>
    <n v="0"/>
    <n v="0"/>
    <n v="0"/>
    <n v="0"/>
    <n v="0"/>
  </r>
  <r>
    <x v="1"/>
    <x v="5"/>
    <d v="2026-02-21T00:00:00"/>
    <s v="No Portfolio"/>
    <s v="USD"/>
    <x v="4"/>
    <s v="stroller tray"/>
    <s v="Amazon"/>
    <s v="United States"/>
    <s v="loose-match"/>
    <s v="-"/>
    <x v="383"/>
    <n v="1"/>
    <n v="1"/>
    <n v="1"/>
    <n v="0.52"/>
    <n v="0.52"/>
    <n v="0"/>
    <m/>
    <n v="0"/>
    <n v="0"/>
    <n v="0"/>
    <n v="0"/>
    <n v="0"/>
    <n v="0"/>
    <n v="0"/>
    <n v="0"/>
  </r>
  <r>
    <x v="1"/>
    <x v="6"/>
    <d v="2026-02-11T00:00:00"/>
    <s v="No Portfolio"/>
    <s v="USD"/>
    <x v="4"/>
    <s v="stroller tray"/>
    <s v="Amazon"/>
    <s v="United States"/>
    <s v="loose-match"/>
    <s v="-"/>
    <x v="384"/>
    <n v="2"/>
    <n v="1"/>
    <n v="0.5"/>
    <n v="0.38"/>
    <n v="0.38"/>
    <n v="0"/>
    <m/>
    <n v="0"/>
    <n v="0"/>
    <n v="0"/>
    <n v="0"/>
    <n v="0"/>
    <n v="0"/>
    <n v="0"/>
    <n v="0"/>
  </r>
  <r>
    <x v="1"/>
    <x v="5"/>
    <d v="2026-02-15T00:00:00"/>
    <s v="No Portfolio"/>
    <s v="USD"/>
    <x v="1"/>
    <s v="broad组"/>
    <s v="Amazon"/>
    <s v="United States"/>
    <s v="wagon cup holder"/>
    <s v="BROAD"/>
    <x v="385"/>
    <n v="1"/>
    <n v="1"/>
    <n v="1"/>
    <n v="0.75"/>
    <n v="0.75"/>
    <n v="0"/>
    <m/>
    <n v="0"/>
    <n v="0"/>
    <n v="0"/>
    <n v="0"/>
    <n v="0"/>
    <n v="0"/>
    <n v="0"/>
    <n v="0"/>
  </r>
  <r>
    <x v="1"/>
    <x v="5"/>
    <d v="2026-02-15T00:00:00"/>
    <s v="No Portfolio"/>
    <s v="USD"/>
    <x v="4"/>
    <s v="stroller tray"/>
    <s v="Amazon"/>
    <s v="United States"/>
    <s v="close-match"/>
    <s v="-"/>
    <x v="386"/>
    <n v="9"/>
    <n v="1"/>
    <n v="0.1111111111111111"/>
    <n v="0.47"/>
    <n v="0.47"/>
    <n v="0"/>
    <m/>
    <n v="0"/>
    <n v="0"/>
    <n v="0"/>
    <n v="0"/>
    <n v="0"/>
    <n v="0"/>
    <n v="0"/>
    <n v="0"/>
  </r>
  <r>
    <x v="1"/>
    <x v="6"/>
    <d v="2026-02-12T00:00:00"/>
    <s v="No Portfolio"/>
    <s v="USD"/>
    <x v="4"/>
    <s v="stroller tray"/>
    <s v="Amazon"/>
    <s v="United States"/>
    <s v="loose-match"/>
    <s v="-"/>
    <x v="387"/>
    <n v="6"/>
    <n v="1"/>
    <n v="0.16666666666666663"/>
    <n v="0.42"/>
    <n v="0.42"/>
    <n v="0"/>
    <m/>
    <n v="0"/>
    <n v="0"/>
    <n v="0"/>
    <n v="0"/>
    <n v="0"/>
    <n v="0"/>
    <n v="0"/>
    <n v="0"/>
  </r>
  <r>
    <x v="1"/>
    <x v="5"/>
    <d v="2026-02-17T00:00:00"/>
    <s v="No Portfolio"/>
    <s v="USD"/>
    <x v="2"/>
    <s v="Tray"/>
    <s v="Amazon"/>
    <s v="United States"/>
    <s v="asin=&quot;B0BZDB9YRP&quot;"/>
    <s v="-"/>
    <x v="388"/>
    <n v="1"/>
    <n v="1"/>
    <n v="1"/>
    <n v="0.65"/>
    <n v="0.65"/>
    <n v="0"/>
    <m/>
    <n v="0"/>
    <n v="0"/>
    <n v="0"/>
    <n v="0"/>
    <n v="0"/>
    <n v="0"/>
    <n v="0"/>
    <n v="0"/>
  </r>
  <r>
    <x v="1"/>
    <x v="7"/>
    <d v="2026-02-02T00:00:00"/>
    <s v="No Portfolio"/>
    <s v="USD"/>
    <x v="4"/>
    <s v="stroller tray"/>
    <s v="Amazon"/>
    <s v="United States"/>
    <s v="loose-match"/>
    <s v="-"/>
    <x v="389"/>
    <n v="1"/>
    <n v="1"/>
    <n v="1"/>
    <n v="0.47"/>
    <n v="0.47"/>
    <n v="0"/>
    <m/>
    <n v="0"/>
    <n v="0"/>
    <n v="0"/>
    <n v="0"/>
    <n v="0"/>
    <n v="0"/>
    <n v="0"/>
    <n v="0"/>
  </r>
  <r>
    <x v="1"/>
    <x v="5"/>
    <d v="2026-02-17T00:00:00"/>
    <s v="No Portfolio"/>
    <s v="USD"/>
    <x v="0"/>
    <s v="broad组"/>
    <s v="Amazon"/>
    <s v="United States"/>
    <s v="stroller accessories"/>
    <s v="BROAD"/>
    <x v="390"/>
    <n v="1"/>
    <n v="1"/>
    <n v="1"/>
    <n v="0.16"/>
    <n v="0.16"/>
    <n v="0"/>
    <m/>
    <n v="0"/>
    <n v="0"/>
    <n v="0"/>
    <n v="0"/>
    <n v="0"/>
    <n v="0"/>
    <n v="0"/>
    <n v="0"/>
  </r>
  <r>
    <x v="1"/>
    <x v="5"/>
    <d v="2026-02-17T00:00:00"/>
    <s v="No Portfolio"/>
    <s v="USD"/>
    <x v="4"/>
    <s v="stroller tray"/>
    <s v="Amazon"/>
    <s v="United States"/>
    <s v="loose-match"/>
    <s v="-"/>
    <x v="391"/>
    <n v="2"/>
    <n v="1"/>
    <n v="0.5"/>
    <n v="0.52"/>
    <n v="0.52"/>
    <n v="0"/>
    <m/>
    <n v="0"/>
    <n v="0"/>
    <n v="0"/>
    <n v="0"/>
    <n v="0"/>
    <n v="0"/>
    <n v="0"/>
    <n v="0"/>
  </r>
  <r>
    <x v="1"/>
    <x v="7"/>
    <d v="2026-02-04T00:00:00"/>
    <s v="No Portfolio"/>
    <s v="USD"/>
    <x v="4"/>
    <s v="stroller tray"/>
    <s v="Amazon"/>
    <s v="United States"/>
    <s v="loose-match"/>
    <s v="-"/>
    <x v="392"/>
    <n v="1"/>
    <n v="1"/>
    <n v="1"/>
    <n v="0.62"/>
    <n v="0.62"/>
    <n v="0"/>
    <m/>
    <n v="0"/>
    <n v="0"/>
    <n v="0"/>
    <n v="0"/>
    <n v="0"/>
    <n v="0"/>
    <n v="0"/>
    <n v="0"/>
  </r>
  <r>
    <x v="1"/>
    <x v="5"/>
    <d v="2026-02-21T00:00:00"/>
    <s v="No Portfolio"/>
    <s v="USD"/>
    <x v="4"/>
    <s v="stroller tray"/>
    <s v="Amazon"/>
    <s v="United States"/>
    <s v="loose-match"/>
    <s v="-"/>
    <x v="393"/>
    <n v="1"/>
    <n v="1"/>
    <n v="1"/>
    <n v="0.52"/>
    <n v="0.52"/>
    <n v="0"/>
    <m/>
    <n v="0"/>
    <n v="0"/>
    <n v="0"/>
    <n v="0"/>
    <n v="0"/>
    <n v="0"/>
    <n v="0"/>
    <n v="0"/>
  </r>
  <r>
    <x v="1"/>
    <x v="5"/>
    <d v="2026-02-16T00:00:00"/>
    <s v="No Portfolio"/>
    <s v="USD"/>
    <x v="0"/>
    <s v="phrase&amp;exact"/>
    <s v="Amazon"/>
    <s v="United States"/>
    <s v="stroller snack tray"/>
    <s v="PHRASE"/>
    <x v="394"/>
    <n v="1"/>
    <n v="1"/>
    <n v="1"/>
    <n v="0.16"/>
    <n v="0.16"/>
    <n v="0"/>
    <m/>
    <n v="0"/>
    <n v="0"/>
    <n v="0"/>
    <n v="0"/>
    <n v="0"/>
    <n v="0"/>
    <n v="0"/>
    <n v="0"/>
  </r>
  <r>
    <x v="1"/>
    <x v="5"/>
    <d v="2026-02-15T00:00:00"/>
    <s v="No Portfolio"/>
    <s v="USD"/>
    <x v="0"/>
    <s v="broad组"/>
    <s v="Amazon"/>
    <s v="United States"/>
    <s v="stroller cup holder"/>
    <s v="BROAD"/>
    <x v="395"/>
    <n v="1"/>
    <n v="1"/>
    <n v="1"/>
    <n v="0.2"/>
    <n v="0.2"/>
    <n v="0"/>
    <m/>
    <n v="0"/>
    <n v="0"/>
    <n v="0"/>
    <n v="0"/>
    <n v="0"/>
    <n v="0"/>
    <n v="0"/>
    <n v="0"/>
  </r>
  <r>
    <x v="1"/>
    <x v="5"/>
    <d v="2026-02-16T00:00:00"/>
    <s v="No Portfolio"/>
    <s v="USD"/>
    <x v="0"/>
    <s v="broad组"/>
    <s v="Amazon"/>
    <s v="United States"/>
    <s v="stroller cup holder"/>
    <s v="BROAD"/>
    <x v="396"/>
    <n v="1"/>
    <n v="1"/>
    <n v="1"/>
    <n v="0.21"/>
    <n v="0.21"/>
    <n v="0"/>
    <m/>
    <n v="0"/>
    <n v="0"/>
    <n v="0"/>
    <n v="0"/>
    <n v="0"/>
    <n v="0"/>
    <n v="0"/>
    <n v="0"/>
  </r>
  <r>
    <x v="1"/>
    <x v="7"/>
    <d v="2026-02-03T00:00:00"/>
    <s v="No Portfolio"/>
    <s v="USD"/>
    <x v="2"/>
    <s v="Tray"/>
    <s v="Amazon"/>
    <s v="United States"/>
    <s v="asin=&quot;B0DSBVB1WW&quot;"/>
    <s v="-"/>
    <x v="397"/>
    <n v="2"/>
    <n v="1"/>
    <n v="0.5"/>
    <n v="0.79"/>
    <n v="0.79"/>
    <n v="17.09"/>
    <n v="4.6225863077823288E-2"/>
    <n v="21.632911392405063"/>
    <n v="1"/>
    <n v="1"/>
    <n v="1"/>
    <n v="1"/>
    <n v="0"/>
    <n v="17.09"/>
    <n v="0"/>
  </r>
  <r>
    <x v="1"/>
    <x v="5"/>
    <d v="2026-02-20T00:00:00"/>
    <s v="No Portfolio"/>
    <s v="USD"/>
    <x v="0"/>
    <s v="broad组"/>
    <s v="Amazon"/>
    <s v="United States"/>
    <s v="snack tray for stroller"/>
    <s v="BROAD"/>
    <x v="398"/>
    <n v="1"/>
    <n v="1"/>
    <n v="1"/>
    <n v="0.21"/>
    <n v="0.21"/>
    <n v="0"/>
    <m/>
    <n v="0"/>
    <n v="0"/>
    <n v="0"/>
    <n v="0"/>
    <n v="0"/>
    <n v="0"/>
    <n v="0"/>
    <n v="0"/>
  </r>
  <r>
    <x v="1"/>
    <x v="5"/>
    <d v="2026-02-20T00:00:00"/>
    <s v="No Portfolio"/>
    <s v="USD"/>
    <x v="1"/>
    <s v="broad组"/>
    <s v="Amazon"/>
    <s v="United States"/>
    <s v="snack tray for stroller"/>
    <s v="BROAD"/>
    <x v="399"/>
    <n v="2"/>
    <n v="1"/>
    <n v="0.5"/>
    <n v="0.75"/>
    <n v="0.75"/>
    <n v="0"/>
    <m/>
    <n v="0"/>
    <n v="0"/>
    <n v="0"/>
    <n v="0"/>
    <n v="0"/>
    <n v="0"/>
    <n v="0"/>
    <n v="0"/>
  </r>
  <r>
    <x v="1"/>
    <x v="6"/>
    <d v="2026-02-12T00:00:00"/>
    <s v="No Portfolio"/>
    <s v="USD"/>
    <x v="4"/>
    <s v="stroller tray"/>
    <s v="Amazon"/>
    <s v="United States"/>
    <s v="close-match"/>
    <s v="-"/>
    <x v="400"/>
    <n v="3"/>
    <n v="1"/>
    <n v="0.33333333333333331"/>
    <n v="0.5"/>
    <n v="0.5"/>
    <n v="0"/>
    <m/>
    <n v="0"/>
    <n v="0"/>
    <n v="0"/>
    <n v="0"/>
    <n v="0"/>
    <n v="0"/>
    <n v="0"/>
    <n v="0"/>
  </r>
  <r>
    <x v="1"/>
    <x v="7"/>
    <d v="2026-02-03T00:00:00"/>
    <s v="No Portfolio"/>
    <s v="USD"/>
    <x v="4"/>
    <s v="stroller tray"/>
    <s v="Amazon"/>
    <s v="United States"/>
    <s v="substitutes"/>
    <s v="-"/>
    <x v="401"/>
    <n v="2"/>
    <n v="1"/>
    <n v="0.5"/>
    <n v="0.48"/>
    <n v="0.48"/>
    <n v="0"/>
    <m/>
    <n v="0"/>
    <n v="0"/>
    <n v="0"/>
    <n v="0"/>
    <n v="0"/>
    <n v="0"/>
    <n v="0"/>
    <n v="0"/>
  </r>
  <r>
    <x v="1"/>
    <x v="5"/>
    <d v="2026-02-16T00:00:00"/>
    <s v="No Portfolio"/>
    <s v="USD"/>
    <x v="5"/>
    <s v="ENC Yellow"/>
    <s v="Amazon"/>
    <s v="United States"/>
    <s v="close-match"/>
    <s v="-"/>
    <x v="402"/>
    <n v="2"/>
    <n v="1"/>
    <n v="0.5"/>
    <n v="1.37"/>
    <n v="1.37"/>
    <n v="0"/>
    <m/>
    <n v="0"/>
    <n v="0"/>
    <n v="0"/>
    <n v="0"/>
    <n v="0"/>
    <n v="0"/>
    <n v="0"/>
    <n v="0"/>
  </r>
  <r>
    <x v="1"/>
    <x v="5"/>
    <d v="2026-02-19T00:00:00"/>
    <s v="No Portfolio"/>
    <s v="USD"/>
    <x v="5"/>
    <s v="ENC Yellow"/>
    <s v="Amazon"/>
    <s v="United States"/>
    <s v="close-match"/>
    <s v="-"/>
    <x v="104"/>
    <n v="8"/>
    <n v="1"/>
    <n v="0.125"/>
    <n v="1.08"/>
    <n v="1.08"/>
    <n v="0"/>
    <m/>
    <n v="0"/>
    <n v="0"/>
    <n v="0"/>
    <n v="0"/>
    <n v="0"/>
    <n v="0"/>
    <n v="0"/>
    <n v="0"/>
  </r>
  <r>
    <x v="1"/>
    <x v="6"/>
    <d v="2026-02-12T00:00:00"/>
    <s v="No Portfolio"/>
    <s v="USD"/>
    <x v="5"/>
    <s v="ENC Yellow"/>
    <s v="Amazon"/>
    <s v="United States"/>
    <s v="close-match"/>
    <s v="-"/>
    <x v="403"/>
    <n v="3"/>
    <n v="1"/>
    <n v="0.33333333333333331"/>
    <n v="0.99"/>
    <n v="0.99"/>
    <n v="0"/>
    <m/>
    <n v="0"/>
    <n v="0"/>
    <n v="0"/>
    <n v="0"/>
    <n v="0"/>
    <n v="0"/>
    <n v="0"/>
    <n v="0"/>
  </r>
  <r>
    <x v="1"/>
    <x v="7"/>
    <d v="2026-02-06T00:00:00"/>
    <s v="No Portfolio"/>
    <s v="USD"/>
    <x v="6"/>
    <s v="ENC"/>
    <s v="Amazon"/>
    <s v="United States"/>
    <s v="close-match"/>
    <s v="-"/>
    <x v="107"/>
    <n v="2"/>
    <n v="1"/>
    <n v="0.5"/>
    <n v="1.45"/>
    <n v="1.45"/>
    <n v="0"/>
    <m/>
    <n v="0"/>
    <n v="0"/>
    <n v="0"/>
    <n v="0"/>
    <n v="0"/>
    <n v="0"/>
    <n v="0"/>
    <n v="0"/>
  </r>
  <r>
    <x v="1"/>
    <x v="5"/>
    <d v="2026-02-17T00:00:00"/>
    <s v="No Portfolio"/>
    <s v="USD"/>
    <x v="5"/>
    <s v="ENC Yellow"/>
    <s v="Amazon"/>
    <s v="United States"/>
    <s v="close-match"/>
    <s v="-"/>
    <x v="107"/>
    <n v="4"/>
    <n v="1"/>
    <n v="0.25"/>
    <n v="0.91"/>
    <n v="0.91"/>
    <n v="0"/>
    <m/>
    <n v="0"/>
    <n v="0"/>
    <n v="0"/>
    <n v="0"/>
    <n v="0"/>
    <n v="0"/>
    <n v="0"/>
    <n v="0"/>
  </r>
  <r>
    <x v="1"/>
    <x v="5"/>
    <d v="2026-02-19T00:00:00"/>
    <s v="No Portfolio"/>
    <s v="USD"/>
    <x v="9"/>
    <s v="ENC"/>
    <s v="Amazon"/>
    <s v="United States"/>
    <s v="electric nail clipper"/>
    <s v="BROAD"/>
    <x v="107"/>
    <n v="9"/>
    <n v="1"/>
    <n v="0.1111111111111111"/>
    <n v="0.68"/>
    <n v="0.68"/>
    <n v="0"/>
    <m/>
    <n v="0"/>
    <n v="0"/>
    <n v="0"/>
    <n v="0"/>
    <n v="0"/>
    <n v="0"/>
    <n v="0"/>
    <n v="0"/>
  </r>
  <r>
    <x v="1"/>
    <x v="5"/>
    <d v="2026-02-20T00:00:00"/>
    <s v="No Portfolio"/>
    <s v="USD"/>
    <x v="5"/>
    <s v="ENC Yellow"/>
    <s v="Amazon"/>
    <s v="United States"/>
    <s v="close-match"/>
    <s v="-"/>
    <x v="404"/>
    <n v="3"/>
    <n v="1"/>
    <n v="0.33333333333333331"/>
    <n v="1.36"/>
    <n v="1.36"/>
    <n v="0"/>
    <m/>
    <n v="0"/>
    <n v="0"/>
    <n v="0"/>
    <n v="0"/>
    <n v="0"/>
    <n v="0"/>
    <n v="0"/>
    <n v="0"/>
  </r>
  <r>
    <x v="1"/>
    <x v="6"/>
    <d v="2026-02-10T00:00:00"/>
    <s v="No Portfolio"/>
    <s v="USD"/>
    <x v="6"/>
    <s v="ENC"/>
    <s v="Amazon"/>
    <s v="United States"/>
    <s v="close-match"/>
    <s v="-"/>
    <x v="112"/>
    <n v="12"/>
    <n v="1"/>
    <n v="8.3333333333333315E-2"/>
    <n v="1.21"/>
    <n v="1.21"/>
    <n v="0"/>
    <m/>
    <n v="0"/>
    <n v="0"/>
    <n v="0"/>
    <n v="0"/>
    <n v="0"/>
    <n v="0"/>
    <n v="0"/>
    <n v="0"/>
  </r>
  <r>
    <x v="1"/>
    <x v="5"/>
    <d v="2026-02-16T00:00:00"/>
    <s v="No Portfolio"/>
    <s v="USD"/>
    <x v="6"/>
    <s v="ENC"/>
    <s v="Amazon"/>
    <s v="United States"/>
    <s v="close-match"/>
    <s v="-"/>
    <x v="112"/>
    <n v="10"/>
    <n v="1"/>
    <n v="0.1"/>
    <n v="1.26"/>
    <n v="1.26"/>
    <n v="0"/>
    <m/>
    <n v="0"/>
    <n v="0"/>
    <n v="0"/>
    <n v="0"/>
    <n v="0"/>
    <n v="0"/>
    <n v="0"/>
    <n v="0"/>
  </r>
  <r>
    <x v="1"/>
    <x v="5"/>
    <d v="2026-02-20T00:00:00"/>
    <s v="No Portfolio"/>
    <s v="USD"/>
    <x v="6"/>
    <s v="ENC"/>
    <s v="Amazon"/>
    <s v="United States"/>
    <s v="close-match"/>
    <s v="-"/>
    <x v="113"/>
    <n v="149"/>
    <n v="1"/>
    <n v="6.7114093959731551E-3"/>
    <n v="1.26"/>
    <n v="1.26"/>
    <n v="0"/>
    <m/>
    <n v="0"/>
    <n v="0"/>
    <n v="0"/>
    <n v="0"/>
    <n v="0"/>
    <n v="0"/>
    <n v="0"/>
    <n v="0"/>
  </r>
  <r>
    <x v="1"/>
    <x v="5"/>
    <d v="2026-02-21T00:00:00"/>
    <s v="No Portfolio"/>
    <s v="USD"/>
    <x v="6"/>
    <s v="ENC"/>
    <s v="Amazon"/>
    <s v="United States"/>
    <s v="close-match"/>
    <s v="-"/>
    <x v="113"/>
    <n v="152"/>
    <n v="1"/>
    <n v="6.5789473684210523E-3"/>
    <n v="1.26"/>
    <n v="1.26"/>
    <n v="0"/>
    <m/>
    <n v="0"/>
    <n v="0"/>
    <n v="0"/>
    <n v="0"/>
    <n v="0"/>
    <n v="0"/>
    <n v="0"/>
    <n v="0"/>
  </r>
  <r>
    <x v="1"/>
    <x v="6"/>
    <d v="2026-02-14T00:00:00"/>
    <s v="No Portfolio"/>
    <s v="USD"/>
    <x v="9"/>
    <s v="ENC"/>
    <s v="Amazon"/>
    <s v="United States"/>
    <s v="electric nail clipper"/>
    <s v="BROAD"/>
    <x v="113"/>
    <n v="7"/>
    <n v="1"/>
    <n v="0.14285714285714285"/>
    <n v="0.11"/>
    <n v="0.11"/>
    <n v="0"/>
    <m/>
    <n v="0"/>
    <n v="0"/>
    <n v="0"/>
    <n v="0"/>
    <n v="0"/>
    <n v="0"/>
    <n v="0"/>
    <n v="0"/>
  </r>
  <r>
    <x v="1"/>
    <x v="5"/>
    <d v="2026-02-15T00:00:00"/>
    <s v="No Portfolio"/>
    <s v="USD"/>
    <x v="5"/>
    <s v="ENC Yellow"/>
    <s v="Amazon"/>
    <s v="United States"/>
    <s v="close-match"/>
    <s v="-"/>
    <x v="405"/>
    <n v="3"/>
    <n v="1"/>
    <n v="0.33333333333333331"/>
    <n v="1.37"/>
    <n v="1.37"/>
    <n v="0"/>
    <m/>
    <n v="0"/>
    <n v="0"/>
    <n v="0"/>
    <n v="0"/>
    <n v="0"/>
    <n v="0"/>
    <n v="0"/>
    <n v="0"/>
  </r>
  <r>
    <x v="1"/>
    <x v="7"/>
    <d v="2026-02-03T00:00:00"/>
    <s v="No Portfolio"/>
    <s v="USD"/>
    <x v="6"/>
    <s v="ENC"/>
    <s v="Amazon"/>
    <s v="United States"/>
    <s v="close-match"/>
    <s v="-"/>
    <x v="116"/>
    <n v="1"/>
    <n v="1"/>
    <n v="1"/>
    <n v="1.17"/>
    <n v="1.17"/>
    <n v="0"/>
    <m/>
    <n v="0"/>
    <n v="0"/>
    <n v="0"/>
    <n v="0"/>
    <n v="0"/>
    <n v="0"/>
    <n v="0"/>
    <n v="0"/>
  </r>
  <r>
    <x v="1"/>
    <x v="5"/>
    <d v="2026-02-18T00:00:00"/>
    <s v="No Portfolio"/>
    <s v="USD"/>
    <x v="6"/>
    <s v="ENC"/>
    <s v="Amazon"/>
    <s v="United States"/>
    <s v="close-match"/>
    <s v="-"/>
    <x v="124"/>
    <n v="13"/>
    <n v="1"/>
    <n v="7.6923076923076927E-2"/>
    <n v="1.26"/>
    <n v="1.26"/>
    <n v="0"/>
    <m/>
    <n v="0"/>
    <n v="0"/>
    <n v="0"/>
    <n v="0"/>
    <n v="0"/>
    <n v="0"/>
    <n v="0"/>
    <n v="0"/>
  </r>
  <r>
    <x v="1"/>
    <x v="5"/>
    <d v="2026-02-19T00:00:00"/>
    <s v="No Portfolio"/>
    <s v="USD"/>
    <x v="6"/>
    <s v="ENC"/>
    <s v="Amazon"/>
    <s v="United States"/>
    <s v="close-match"/>
    <s v="-"/>
    <x v="124"/>
    <n v="47"/>
    <n v="3"/>
    <n v="6.3829787234042548E-2"/>
    <n v="1.26"/>
    <n v="3.78"/>
    <n v="0"/>
    <m/>
    <n v="0"/>
    <n v="0"/>
    <n v="0"/>
    <n v="0"/>
    <n v="0"/>
    <n v="0"/>
    <n v="0"/>
    <n v="0"/>
  </r>
  <r>
    <x v="1"/>
    <x v="5"/>
    <d v="2026-02-15T00:00:00"/>
    <s v="No Portfolio"/>
    <s v="USD"/>
    <x v="6"/>
    <s v="ENC"/>
    <s v="Amazon"/>
    <s v="United States"/>
    <s v="loose-match"/>
    <s v="-"/>
    <x v="124"/>
    <n v="40"/>
    <n v="1"/>
    <n v="2.5000000000000001E-2"/>
    <n v="0.97"/>
    <n v="0.97"/>
    <n v="31.34"/>
    <n v="3.0950861518825781E-2"/>
    <n v="32.309278350515463"/>
    <n v="1"/>
    <n v="1"/>
    <n v="1"/>
    <n v="1"/>
    <n v="0"/>
    <n v="31.34"/>
    <n v="0"/>
  </r>
  <r>
    <x v="1"/>
    <x v="5"/>
    <d v="2026-02-17T00:00:00"/>
    <s v="No Portfolio"/>
    <s v="USD"/>
    <x v="0"/>
    <s v="broad组"/>
    <s v="Amazon"/>
    <s v="United States"/>
    <s v="stroller tray"/>
    <s v="BROAD"/>
    <x v="406"/>
    <n v="1"/>
    <n v="1"/>
    <n v="1"/>
    <n v="0.08"/>
    <n v="0.08"/>
    <n v="0"/>
    <m/>
    <n v="0"/>
    <n v="0"/>
    <n v="0"/>
    <n v="0"/>
    <n v="0"/>
    <n v="0"/>
    <n v="0"/>
    <n v="0"/>
  </r>
  <r>
    <x v="1"/>
    <x v="5"/>
    <d v="2026-02-15T00:00:00"/>
    <s v="No Portfolio"/>
    <s v="USD"/>
    <x v="2"/>
    <s v="Tray"/>
    <s v="Amazon"/>
    <s v="United States"/>
    <s v="asin=&quot;B0DSBVB1WW&quot;"/>
    <s v="-"/>
    <x v="407"/>
    <n v="2"/>
    <n v="1"/>
    <n v="0.5"/>
    <n v="0.69"/>
    <n v="0.69"/>
    <n v="0"/>
    <m/>
    <n v="0"/>
    <n v="0"/>
    <n v="0"/>
    <n v="0"/>
    <n v="0"/>
    <n v="0"/>
    <n v="0"/>
    <n v="0"/>
  </r>
  <r>
    <x v="1"/>
    <x v="5"/>
    <d v="2026-02-20T00:00:00"/>
    <s v="No Portfolio"/>
    <s v="USD"/>
    <x v="4"/>
    <s v="stroller tray"/>
    <s v="Amazon"/>
    <s v="United States"/>
    <s v="loose-match"/>
    <s v="-"/>
    <x v="408"/>
    <n v="2"/>
    <n v="1"/>
    <n v="0.5"/>
    <n v="0.52"/>
    <n v="0.52"/>
    <n v="0"/>
    <m/>
    <n v="0"/>
    <n v="0"/>
    <n v="0"/>
    <n v="0"/>
    <n v="0"/>
    <n v="0"/>
    <n v="0"/>
    <n v="0"/>
  </r>
  <r>
    <x v="1"/>
    <x v="5"/>
    <d v="2026-02-18T00:00:00"/>
    <s v="No Portfolio"/>
    <s v="USD"/>
    <x v="6"/>
    <s v="ENC"/>
    <s v="Amazon"/>
    <s v="United States"/>
    <s v="substitutes"/>
    <s v="-"/>
    <x v="409"/>
    <n v="1"/>
    <n v="1"/>
    <n v="1"/>
    <n v="1.19"/>
    <n v="1.19"/>
    <n v="0"/>
    <m/>
    <n v="0"/>
    <n v="0"/>
    <n v="0"/>
    <n v="0"/>
    <n v="0"/>
    <n v="0"/>
    <n v="0"/>
    <n v="0"/>
  </r>
  <r>
    <x v="1"/>
    <x v="5"/>
    <d v="2026-02-19T00:00:00"/>
    <s v="No Portfolio"/>
    <s v="USD"/>
    <x v="0"/>
    <s v="broad组"/>
    <s v="Amazon"/>
    <s v="United States"/>
    <s v="stroller attachment"/>
    <s v="BROAD"/>
    <x v="410"/>
    <n v="1"/>
    <n v="1"/>
    <n v="1"/>
    <n v="0.21"/>
    <n v="0.21"/>
    <n v="0"/>
    <m/>
    <n v="0"/>
    <n v="0"/>
    <n v="0"/>
    <n v="0"/>
    <n v="0"/>
    <n v="0"/>
    <n v="0"/>
    <n v="0"/>
  </r>
  <r>
    <x v="1"/>
    <x v="5"/>
    <d v="2026-02-17T00:00:00"/>
    <s v="No Portfolio"/>
    <s v="USD"/>
    <x v="0"/>
    <s v="broad组"/>
    <s v="Amazon"/>
    <s v="United States"/>
    <s v="stroller tray"/>
    <s v="BROAD"/>
    <x v="411"/>
    <n v="1"/>
    <n v="1"/>
    <n v="1"/>
    <n v="0.21"/>
    <n v="0.21"/>
    <n v="0"/>
    <m/>
    <n v="0"/>
    <n v="0"/>
    <n v="0"/>
    <n v="0"/>
    <n v="0"/>
    <n v="0"/>
    <n v="0"/>
    <n v="0"/>
  </r>
  <r>
    <x v="1"/>
    <x v="5"/>
    <d v="2026-02-17T00:00:00"/>
    <s v="No Portfolio"/>
    <s v="USD"/>
    <x v="2"/>
    <s v="Tray"/>
    <s v="Amazon"/>
    <s v="United States"/>
    <s v="asin=&quot;B0F4KJN2VC&quot;"/>
    <s v="-"/>
    <x v="411"/>
    <n v="1"/>
    <n v="1"/>
    <n v="1"/>
    <n v="0.59"/>
    <n v="0.59"/>
    <n v="0"/>
    <m/>
    <n v="0"/>
    <n v="0"/>
    <n v="0"/>
    <n v="0"/>
    <n v="0"/>
    <n v="0"/>
    <n v="0"/>
    <n v="0"/>
  </r>
  <r>
    <x v="1"/>
    <x v="7"/>
    <d v="2026-02-07T00:00:00"/>
    <s v="No Portfolio"/>
    <s v="USD"/>
    <x v="4"/>
    <s v="stroller tray"/>
    <s v="Amazon"/>
    <s v="United States"/>
    <s v="loose-match"/>
    <s v="-"/>
    <x v="412"/>
    <n v="2"/>
    <n v="1"/>
    <n v="0.5"/>
    <n v="0.48"/>
    <n v="0.48"/>
    <n v="0"/>
    <m/>
    <n v="0"/>
    <n v="0"/>
    <n v="0"/>
    <n v="0"/>
    <n v="0"/>
    <n v="0"/>
    <n v="0"/>
    <n v="0"/>
  </r>
  <r>
    <x v="1"/>
    <x v="5"/>
    <d v="2026-02-17T00:00:00"/>
    <s v="No Portfolio"/>
    <s v="USD"/>
    <x v="2"/>
    <s v="Tray"/>
    <s v="Amazon"/>
    <s v="United States"/>
    <s v="asin=&quot;B0DH98H2G4&quot;"/>
    <s v="-"/>
    <x v="413"/>
    <n v="1"/>
    <n v="1"/>
    <n v="1"/>
    <n v="0.64"/>
    <n v="0.64"/>
    <n v="0"/>
    <m/>
    <n v="0"/>
    <n v="0"/>
    <n v="0"/>
    <n v="0"/>
    <n v="0"/>
    <n v="0"/>
    <n v="0"/>
    <n v="0"/>
  </r>
  <r>
    <x v="1"/>
    <x v="7"/>
    <d v="2026-02-05T00:00:00"/>
    <s v="No Portfolio"/>
    <s v="USD"/>
    <x v="2"/>
    <s v="Tray"/>
    <s v="Amazon"/>
    <s v="United States"/>
    <s v="asin=&quot;B0D9Q9X59P&quot;"/>
    <s v="-"/>
    <x v="414"/>
    <n v="1"/>
    <n v="1"/>
    <n v="1"/>
    <n v="0.48"/>
    <n v="0.48"/>
    <n v="0"/>
    <m/>
    <n v="0"/>
    <n v="0"/>
    <n v="0"/>
    <n v="0"/>
    <n v="0"/>
    <n v="0"/>
    <n v="0"/>
    <n v="0"/>
  </r>
  <r>
    <x v="1"/>
    <x v="7"/>
    <d v="2026-02-07T00:00:00"/>
    <s v="No Portfolio"/>
    <s v="USD"/>
    <x v="0"/>
    <s v="broad组"/>
    <s v="Amazon"/>
    <s v="United States"/>
    <s v="stroller tray"/>
    <s v="BROAD"/>
    <x v="415"/>
    <n v="3"/>
    <n v="1"/>
    <n v="0.33333333333333331"/>
    <n v="0.21"/>
    <n v="0.21"/>
    <n v="0"/>
    <m/>
    <n v="0"/>
    <n v="0"/>
    <n v="0"/>
    <n v="0"/>
    <n v="0"/>
    <n v="0"/>
    <n v="0"/>
    <n v="0"/>
  </r>
  <r>
    <x v="1"/>
    <x v="6"/>
    <d v="2026-02-08T00:00:00"/>
    <s v="No Portfolio"/>
    <s v="USD"/>
    <x v="6"/>
    <s v="ENC"/>
    <s v="Amazon"/>
    <s v="United States"/>
    <s v="close-match"/>
    <s v="-"/>
    <x v="416"/>
    <n v="1"/>
    <n v="1"/>
    <n v="1"/>
    <n v="1.26"/>
    <n v="1.26"/>
    <n v="0"/>
    <m/>
    <n v="0"/>
    <n v="0"/>
    <n v="0"/>
    <n v="0"/>
    <n v="0"/>
    <n v="0"/>
    <n v="0"/>
    <n v="0"/>
  </r>
  <r>
    <x v="1"/>
    <x v="5"/>
    <d v="2026-02-19T00:00:00"/>
    <s v="No Portfolio"/>
    <s v="USD"/>
    <x v="0"/>
    <s v="broad组"/>
    <s v="Amazon"/>
    <s v="United States"/>
    <s v="stroller tray"/>
    <s v="BROAD"/>
    <x v="417"/>
    <n v="1"/>
    <n v="1"/>
    <n v="1"/>
    <n v="0.21"/>
    <n v="0.21"/>
    <n v="0"/>
    <m/>
    <n v="0"/>
    <n v="0"/>
    <n v="0"/>
    <n v="0"/>
    <n v="0"/>
    <n v="0"/>
    <n v="0"/>
    <n v="0"/>
  </r>
  <r>
    <x v="1"/>
    <x v="5"/>
    <d v="2026-02-16T00:00:00"/>
    <s v="No Portfolio"/>
    <s v="USD"/>
    <x v="4"/>
    <s v="stroller tray"/>
    <s v="Amazon"/>
    <s v="United States"/>
    <s v="loose-match"/>
    <s v="-"/>
    <x v="283"/>
    <n v="1"/>
    <n v="1"/>
    <n v="1"/>
    <n v="0.52"/>
    <n v="0.52"/>
    <n v="17.09"/>
    <n v="3.0427150380339382E-2"/>
    <n v="32.865384615384613"/>
    <n v="1"/>
    <n v="1"/>
    <n v="1"/>
    <n v="1"/>
    <n v="0"/>
    <n v="17.09"/>
    <n v="0"/>
  </r>
  <r>
    <x v="1"/>
    <x v="7"/>
    <d v="2026-02-04T00:00:00"/>
    <s v="No Portfolio"/>
    <s v="USD"/>
    <x v="1"/>
    <s v="broad组"/>
    <s v="Amazon"/>
    <s v="United States"/>
    <s v="jeep double stroller snack tray"/>
    <s v="BROAD"/>
    <x v="418"/>
    <n v="3"/>
    <n v="1"/>
    <n v="0.33333333333333331"/>
    <n v="1.56"/>
    <n v="1.56"/>
    <n v="17.989999999999998"/>
    <n v="8.6714841578654819E-2"/>
    <n v="11.532051282051281"/>
    <n v="1"/>
    <n v="1"/>
    <n v="1"/>
    <n v="1"/>
    <n v="0"/>
    <n v="17.989999999999998"/>
    <n v="0"/>
  </r>
  <r>
    <x v="1"/>
    <x v="5"/>
    <d v="2026-02-21T00:00:00"/>
    <s v="No Portfolio"/>
    <s v="USD"/>
    <x v="2"/>
    <s v="Tray"/>
    <s v="Amazon"/>
    <s v="United States"/>
    <s v="asin=&quot;B0DSBVB1WW&quot;"/>
    <s v="-"/>
    <x v="419"/>
    <n v="2"/>
    <n v="1"/>
    <n v="0.5"/>
    <n v="0.73"/>
    <n v="0.73"/>
    <n v="0"/>
    <m/>
    <n v="0"/>
    <n v="0"/>
    <n v="0"/>
    <n v="0"/>
    <n v="0"/>
    <n v="0"/>
    <n v="0"/>
    <n v="0"/>
  </r>
  <r>
    <x v="1"/>
    <x v="5"/>
    <d v="2026-02-19T00:00:00"/>
    <s v="No Portfolio"/>
    <s v="USD"/>
    <x v="0"/>
    <s v="broad组"/>
    <s v="Amazon"/>
    <s v="United States"/>
    <s v="stroller tray"/>
    <s v="BROAD"/>
    <x v="420"/>
    <n v="1"/>
    <n v="1"/>
    <n v="1"/>
    <n v="0.4"/>
    <n v="0.4"/>
    <n v="17.09"/>
    <n v="2.3405500292568757E-2"/>
    <n v="42.724999999999994"/>
    <n v="1"/>
    <n v="1"/>
    <n v="1"/>
    <n v="1"/>
    <n v="0"/>
    <n v="17.09"/>
    <n v="0"/>
  </r>
  <r>
    <x v="1"/>
    <x v="5"/>
    <d v="2026-02-16T00:00:00"/>
    <s v="No Portfolio"/>
    <s v="USD"/>
    <x v="0"/>
    <s v="broad组"/>
    <s v="Amazon"/>
    <s v="United States"/>
    <s v="stroller attachment"/>
    <s v="BROAD"/>
    <x v="421"/>
    <n v="3"/>
    <n v="1"/>
    <n v="0.33333333333333331"/>
    <n v="0.21"/>
    <n v="0.21"/>
    <n v="0"/>
    <m/>
    <n v="0"/>
    <n v="0"/>
    <n v="0"/>
    <n v="0"/>
    <n v="0"/>
    <n v="0"/>
    <n v="0"/>
    <n v="0"/>
  </r>
  <r>
    <x v="1"/>
    <x v="6"/>
    <d v="2026-02-11T00:00:00"/>
    <s v="No Portfolio"/>
    <s v="USD"/>
    <x v="4"/>
    <s v="stroller tray"/>
    <s v="Amazon"/>
    <s v="United States"/>
    <s v="loose-match"/>
    <s v="-"/>
    <x v="422"/>
    <n v="1"/>
    <n v="1"/>
    <n v="1"/>
    <n v="0.46"/>
    <n v="0.46"/>
    <n v="0"/>
    <m/>
    <n v="0"/>
    <n v="0"/>
    <n v="0"/>
    <n v="0"/>
    <n v="0"/>
    <n v="0"/>
    <n v="0"/>
    <n v="0"/>
  </r>
  <r>
    <x v="1"/>
    <x v="6"/>
    <d v="2026-02-08T00:00:00"/>
    <s v="No Portfolio"/>
    <s v="USD"/>
    <x v="0"/>
    <s v="broad组"/>
    <s v="Amazon"/>
    <s v="United States"/>
    <s v="stroller attachment"/>
    <s v="BROAD"/>
    <x v="423"/>
    <n v="2"/>
    <n v="1"/>
    <n v="0.5"/>
    <n v="0.21"/>
    <n v="0.21"/>
    <n v="0"/>
    <m/>
    <n v="0"/>
    <n v="0"/>
    <n v="0"/>
    <n v="0"/>
    <n v="0"/>
    <n v="0"/>
    <n v="0"/>
    <n v="0"/>
  </r>
  <r>
    <x v="1"/>
    <x v="7"/>
    <d v="2026-02-01T00:00:00"/>
    <s v="No Portfolio"/>
    <s v="USD"/>
    <x v="4"/>
    <s v="stroller tray"/>
    <s v="Amazon"/>
    <s v="United States"/>
    <s v="loose-match"/>
    <s v="-"/>
    <x v="424"/>
    <n v="2"/>
    <n v="1"/>
    <n v="0.5"/>
    <n v="0.32"/>
    <n v="0.32"/>
    <n v="0"/>
    <m/>
    <n v="0"/>
    <n v="0"/>
    <n v="0"/>
    <n v="0"/>
    <n v="0"/>
    <n v="0"/>
    <n v="0"/>
    <n v="0"/>
  </r>
  <r>
    <x v="1"/>
    <x v="6"/>
    <d v="2026-02-12T00:00:00"/>
    <s v="No Portfolio"/>
    <s v="USD"/>
    <x v="1"/>
    <s v="Phrase&amp;Exact组"/>
    <s v="Amazon"/>
    <s v="United States"/>
    <s v="wagon cup holder"/>
    <s v="PHRASE"/>
    <x v="145"/>
    <n v="1"/>
    <n v="1"/>
    <n v="1"/>
    <n v="0.92"/>
    <n v="0.92"/>
    <n v="0"/>
    <m/>
    <n v="0"/>
    <n v="0"/>
    <n v="0"/>
    <n v="0"/>
    <n v="0"/>
    <n v="0"/>
    <n v="0"/>
    <n v="0"/>
  </r>
  <r>
    <x v="1"/>
    <x v="7"/>
    <d v="2026-02-01T00:00:00"/>
    <s v="No Portfolio"/>
    <s v="USD"/>
    <x v="0"/>
    <s v="broad组"/>
    <s v="Amazon"/>
    <s v="United States"/>
    <s v="stroller snack tray"/>
    <s v="BROAD"/>
    <x v="425"/>
    <n v="4"/>
    <n v="1"/>
    <n v="0.25"/>
    <n v="0.21"/>
    <n v="0.21"/>
    <n v="0"/>
    <m/>
    <n v="0"/>
    <n v="0"/>
    <n v="0"/>
    <n v="0"/>
    <n v="0"/>
    <n v="0"/>
    <n v="0"/>
    <n v="0"/>
  </r>
  <r>
    <x v="1"/>
    <x v="5"/>
    <d v="2026-02-18T00:00:00"/>
    <s v="No Portfolio"/>
    <s v="USD"/>
    <x v="2"/>
    <s v="Tray"/>
    <s v="Amazon"/>
    <s v="United States"/>
    <s v="asin=&quot;B0DH98H2G4&quot;"/>
    <s v="-"/>
    <x v="426"/>
    <n v="2"/>
    <n v="1"/>
    <n v="0.5"/>
    <n v="0.5"/>
    <n v="0.5"/>
    <n v="0"/>
    <m/>
    <n v="0"/>
    <n v="0"/>
    <n v="0"/>
    <n v="0"/>
    <n v="0"/>
    <n v="0"/>
    <n v="0"/>
    <n v="0"/>
  </r>
  <r>
    <x v="1"/>
    <x v="5"/>
    <d v="2026-02-15T00:00:00"/>
    <s v="No Portfolio"/>
    <s v="USD"/>
    <x v="0"/>
    <s v="phrase&amp;exact"/>
    <s v="Amazon"/>
    <s v="United States"/>
    <s v="stroller cup holder"/>
    <s v="PHRASE"/>
    <x v="427"/>
    <n v="2"/>
    <n v="1"/>
    <n v="0.5"/>
    <n v="0.21"/>
    <n v="0.21"/>
    <n v="0"/>
    <m/>
    <n v="0"/>
    <n v="0"/>
    <n v="0"/>
    <n v="0"/>
    <n v="0"/>
    <n v="0"/>
    <n v="0"/>
    <n v="0"/>
  </r>
  <r>
    <x v="1"/>
    <x v="6"/>
    <d v="2026-02-10T00:00:00"/>
    <s v="No Portfolio"/>
    <s v="USD"/>
    <x v="5"/>
    <s v="ENC Yellow"/>
    <s v="Amazon"/>
    <s v="United States"/>
    <s v="close-match"/>
    <s v="-"/>
    <x v="428"/>
    <n v="1"/>
    <n v="1"/>
    <n v="1"/>
    <n v="1.3"/>
    <n v="1.3"/>
    <n v="0"/>
    <m/>
    <n v="0"/>
    <n v="0"/>
    <n v="0"/>
    <n v="0"/>
    <n v="0"/>
    <n v="0"/>
    <n v="0"/>
    <n v="0"/>
  </r>
  <r>
    <x v="1"/>
    <x v="7"/>
    <d v="2026-02-02T00:00:00"/>
    <s v="No Portfolio"/>
    <s v="USD"/>
    <x v="6"/>
    <s v="ENC"/>
    <s v="Amazon"/>
    <s v="United States"/>
    <s v="loose-match"/>
    <s v="-"/>
    <x v="429"/>
    <n v="1"/>
    <n v="1"/>
    <n v="1"/>
    <n v="1.23"/>
    <n v="1.23"/>
    <n v="0"/>
    <m/>
    <n v="0"/>
    <n v="0"/>
    <n v="0"/>
    <n v="0"/>
    <n v="0"/>
    <n v="0"/>
    <n v="0"/>
    <n v="0"/>
  </r>
  <r>
    <x v="1"/>
    <x v="6"/>
    <d v="2026-02-11T00:00:00"/>
    <s v="No Portfolio"/>
    <s v="USD"/>
    <x v="0"/>
    <s v="broad组"/>
    <s v="Amazon"/>
    <s v="United States"/>
    <s v="stroller accessories"/>
    <s v="BROAD"/>
    <x v="430"/>
    <n v="2"/>
    <n v="1"/>
    <n v="0.5"/>
    <n v="0.3"/>
    <n v="0.3"/>
    <n v="17.09"/>
    <n v="1.7554125219426564E-2"/>
    <n v="56.966666666666669"/>
    <n v="1"/>
    <n v="1"/>
    <n v="1"/>
    <n v="1"/>
    <n v="0"/>
    <n v="17.09"/>
    <n v="0"/>
  </r>
  <r>
    <x v="1"/>
    <x v="5"/>
    <d v="2026-02-21T00:00:00"/>
    <s v="No Portfolio"/>
    <s v="USD"/>
    <x v="0"/>
    <s v="phrase&amp;exact"/>
    <s v="Amazon"/>
    <s v="United States"/>
    <s v="stroller cup holder"/>
    <s v="PHRASE"/>
    <x v="431"/>
    <n v="1"/>
    <n v="1"/>
    <n v="1"/>
    <n v="0.21"/>
    <n v="0.21"/>
    <n v="0"/>
    <m/>
    <n v="0"/>
    <n v="0"/>
    <n v="0"/>
    <n v="0"/>
    <n v="0"/>
    <n v="0"/>
    <n v="0"/>
    <n v="0"/>
  </r>
  <r>
    <x v="1"/>
    <x v="6"/>
    <d v="2026-02-14T00:00:00"/>
    <s v="No Portfolio"/>
    <s v="USD"/>
    <x v="5"/>
    <s v="ENC Yellow"/>
    <s v="Amazon"/>
    <s v="United States"/>
    <s v="close-match"/>
    <s v="-"/>
    <x v="432"/>
    <n v="6"/>
    <n v="1"/>
    <n v="0.16666666666666663"/>
    <n v="1.35"/>
    <n v="1.35"/>
    <n v="0"/>
    <m/>
    <n v="0"/>
    <n v="0"/>
    <n v="0"/>
    <n v="0"/>
    <n v="0"/>
    <n v="0"/>
    <n v="0"/>
    <n v="0"/>
  </r>
  <r>
    <x v="1"/>
    <x v="6"/>
    <d v="2026-02-09T00:00:00"/>
    <s v="No Portfolio"/>
    <s v="USD"/>
    <x v="5"/>
    <s v="ENC Yellow"/>
    <s v="Amazon"/>
    <s v="United States"/>
    <s v="close-match"/>
    <s v="-"/>
    <x v="433"/>
    <n v="1"/>
    <n v="1"/>
    <n v="1"/>
    <n v="0.99"/>
    <n v="0.99"/>
    <n v="0"/>
    <m/>
    <n v="0"/>
    <n v="0"/>
    <n v="0"/>
    <n v="0"/>
    <n v="0"/>
    <n v="0"/>
    <n v="0"/>
    <n v="0"/>
  </r>
  <r>
    <x v="1"/>
    <x v="7"/>
    <d v="2026-02-05T00:00:00"/>
    <s v="No Portfolio"/>
    <s v="USD"/>
    <x v="6"/>
    <s v="ENC"/>
    <s v="Amazon"/>
    <s v="United States"/>
    <s v="close-match"/>
    <s v="-"/>
    <x v="284"/>
    <n v="8"/>
    <n v="1"/>
    <n v="0.125"/>
    <n v="1.45"/>
    <n v="1.45"/>
    <n v="0"/>
    <m/>
    <n v="0"/>
    <n v="0"/>
    <n v="0"/>
    <n v="0"/>
    <n v="0"/>
    <n v="0"/>
    <n v="0"/>
    <n v="0"/>
  </r>
  <r>
    <x v="1"/>
    <x v="6"/>
    <d v="2026-02-09T00:00:00"/>
    <s v="No Portfolio"/>
    <s v="USD"/>
    <x v="6"/>
    <s v="ENC"/>
    <s v="Amazon"/>
    <s v="United States"/>
    <s v="close-match"/>
    <s v="-"/>
    <x v="284"/>
    <n v="4"/>
    <n v="1"/>
    <n v="0.25"/>
    <n v="1.2"/>
    <n v="1.2"/>
    <n v="0"/>
    <m/>
    <n v="0"/>
    <n v="0"/>
    <n v="0"/>
    <n v="0"/>
    <n v="0"/>
    <n v="0"/>
    <n v="0"/>
    <n v="0"/>
  </r>
  <r>
    <x v="1"/>
    <x v="6"/>
    <d v="2026-02-11T00:00:00"/>
    <s v="No Portfolio"/>
    <s v="USD"/>
    <x v="6"/>
    <s v="ENC"/>
    <s v="Amazon"/>
    <s v="United States"/>
    <s v="close-match"/>
    <s v="-"/>
    <x v="284"/>
    <n v="23"/>
    <n v="1"/>
    <n v="4.3478260869565216E-2"/>
    <n v="1.18"/>
    <n v="1.18"/>
    <n v="0"/>
    <m/>
    <n v="0"/>
    <n v="0"/>
    <n v="0"/>
    <n v="0"/>
    <n v="0"/>
    <n v="0"/>
    <n v="0"/>
    <n v="0"/>
  </r>
  <r>
    <x v="1"/>
    <x v="7"/>
    <d v="2026-02-07T00:00:00"/>
    <s v="No Portfolio"/>
    <s v="USD"/>
    <x v="6"/>
    <s v="ENC"/>
    <s v="Amazon"/>
    <s v="United States"/>
    <s v="close-match"/>
    <s v="-"/>
    <x v="159"/>
    <n v="16"/>
    <n v="1"/>
    <n v="6.25E-2"/>
    <n v="1.24"/>
    <n v="1.24"/>
    <n v="0"/>
    <m/>
    <n v="0"/>
    <n v="0"/>
    <n v="0"/>
    <n v="0"/>
    <n v="0"/>
    <n v="0"/>
    <n v="0"/>
    <n v="0"/>
  </r>
  <r>
    <x v="1"/>
    <x v="6"/>
    <d v="2026-02-12T00:00:00"/>
    <s v="No Portfolio"/>
    <s v="USD"/>
    <x v="9"/>
    <s v="BNF"/>
    <s v="Amazon"/>
    <s v="United States"/>
    <s v="baby nail trimmer electric"/>
    <s v="BROAD"/>
    <x v="434"/>
    <n v="1"/>
    <n v="1"/>
    <n v="1"/>
    <n v="0.45"/>
    <n v="0.45"/>
    <n v="0"/>
    <m/>
    <n v="0"/>
    <n v="0"/>
    <n v="0"/>
    <n v="0"/>
    <n v="0"/>
    <n v="0"/>
    <n v="0"/>
    <n v="0"/>
  </r>
  <r>
    <x v="1"/>
    <x v="5"/>
    <d v="2026-02-15T00:00:00"/>
    <s v="No Portfolio"/>
    <s v="USD"/>
    <x v="5"/>
    <s v="ENC Yellow"/>
    <s v="Amazon"/>
    <s v="United States"/>
    <s v="close-match"/>
    <s v="-"/>
    <x v="435"/>
    <n v="1"/>
    <n v="1"/>
    <n v="1"/>
    <n v="1.37"/>
    <n v="1.37"/>
    <n v="0"/>
    <m/>
    <n v="0"/>
    <n v="0"/>
    <n v="0"/>
    <n v="0"/>
    <n v="0"/>
    <n v="0"/>
    <n v="0"/>
    <n v="0"/>
  </r>
  <r>
    <x v="1"/>
    <x v="5"/>
    <d v="2026-02-20T00:00:00"/>
    <s v="No Portfolio"/>
    <s v="USD"/>
    <x v="9"/>
    <s v="ENC"/>
    <s v="Amazon"/>
    <s v="United States"/>
    <s v="electric nail clipper"/>
    <s v="BROAD"/>
    <x v="436"/>
    <n v="1"/>
    <n v="1"/>
    <n v="1"/>
    <n v="0.68"/>
    <n v="0.68"/>
    <n v="0"/>
    <m/>
    <n v="0"/>
    <n v="0"/>
    <n v="0"/>
    <n v="0"/>
    <n v="0"/>
    <n v="0"/>
    <n v="0"/>
    <n v="0"/>
  </r>
  <r>
    <x v="1"/>
    <x v="7"/>
    <d v="2026-02-01T00:00:00"/>
    <s v="No Portfolio"/>
    <s v="USD"/>
    <x v="6"/>
    <s v="ENC"/>
    <s v="Amazon"/>
    <s v="United States"/>
    <s v="loose-match"/>
    <s v="-"/>
    <x v="437"/>
    <n v="6"/>
    <n v="1"/>
    <n v="0.16666666666666663"/>
    <n v="1.1499999999999999"/>
    <n v="1.1499999999999999"/>
    <n v="0"/>
    <m/>
    <n v="0"/>
    <n v="0"/>
    <n v="0"/>
    <n v="0"/>
    <n v="0"/>
    <n v="0"/>
    <n v="0"/>
    <n v="0"/>
  </r>
  <r>
    <x v="1"/>
    <x v="7"/>
    <d v="2026-02-06T00:00:00"/>
    <s v="No Portfolio"/>
    <s v="USD"/>
    <x v="6"/>
    <s v="ENC"/>
    <s v="Amazon"/>
    <s v="United States"/>
    <s v="loose-match"/>
    <s v="-"/>
    <x v="163"/>
    <n v="5"/>
    <n v="1"/>
    <n v="0.2"/>
    <n v="1.31"/>
    <n v="1.31"/>
    <n v="0"/>
    <m/>
    <n v="0"/>
    <n v="0"/>
    <n v="0"/>
    <n v="0"/>
    <n v="0"/>
    <n v="0"/>
    <n v="0"/>
    <n v="0"/>
  </r>
  <r>
    <x v="1"/>
    <x v="5"/>
    <d v="2026-02-17T00:00:00"/>
    <s v="No Portfolio"/>
    <s v="USD"/>
    <x v="6"/>
    <s v="ENC"/>
    <s v="Amazon"/>
    <s v="United States"/>
    <s v="loose-match"/>
    <s v="-"/>
    <x v="163"/>
    <n v="17"/>
    <n v="1"/>
    <n v="5.8823529411764698E-2"/>
    <n v="1.19"/>
    <n v="1.19"/>
    <n v="0"/>
    <m/>
    <n v="0"/>
    <n v="0"/>
    <n v="0"/>
    <n v="0"/>
    <n v="0"/>
    <n v="0"/>
    <n v="0"/>
    <n v="0"/>
  </r>
  <r>
    <x v="1"/>
    <x v="7"/>
    <d v="2026-02-04T00:00:00"/>
    <s v="No Portfolio"/>
    <s v="USD"/>
    <x v="6"/>
    <s v="ENC"/>
    <s v="Amazon"/>
    <s v="United States"/>
    <s v="substitutes"/>
    <s v="-"/>
    <x v="163"/>
    <n v="20"/>
    <n v="1"/>
    <n v="0.05"/>
    <n v="1.28"/>
    <n v="1.28"/>
    <n v="0"/>
    <m/>
    <n v="0"/>
    <n v="0"/>
    <n v="0"/>
    <n v="0"/>
    <n v="0"/>
    <n v="0"/>
    <n v="0"/>
    <n v="0"/>
  </r>
  <r>
    <x v="1"/>
    <x v="6"/>
    <d v="2026-02-08T00:00:00"/>
    <s v="No Portfolio"/>
    <s v="USD"/>
    <x v="6"/>
    <s v="ENC"/>
    <s v="Amazon"/>
    <s v="United States"/>
    <s v="substitutes"/>
    <s v="-"/>
    <x v="163"/>
    <n v="4"/>
    <n v="1"/>
    <n v="0.25"/>
    <n v="1.0900000000000001"/>
    <n v="1.0900000000000001"/>
    <n v="0"/>
    <m/>
    <n v="0"/>
    <n v="0"/>
    <n v="0"/>
    <n v="0"/>
    <n v="0"/>
    <n v="0"/>
    <n v="0"/>
    <n v="0"/>
  </r>
  <r>
    <x v="1"/>
    <x v="5"/>
    <d v="2026-02-21T00:00:00"/>
    <s v="No Portfolio"/>
    <s v="USD"/>
    <x v="5"/>
    <s v="ENC Yellow"/>
    <s v="Amazon"/>
    <s v="United States"/>
    <s v="close-match"/>
    <s v="-"/>
    <x v="438"/>
    <n v="14"/>
    <n v="1"/>
    <n v="7.1428571428571425E-2"/>
    <n v="1.26"/>
    <n v="1.26"/>
    <n v="0"/>
    <m/>
    <n v="0"/>
    <n v="0"/>
    <n v="0"/>
    <n v="0"/>
    <n v="0"/>
    <n v="0"/>
    <n v="0"/>
    <n v="0"/>
  </r>
  <r>
    <x v="1"/>
    <x v="6"/>
    <d v="2026-02-14T00:00:00"/>
    <s v="No Portfolio"/>
    <s v="USD"/>
    <x v="5"/>
    <s v="ENC Yellow"/>
    <s v="Amazon"/>
    <s v="United States"/>
    <s v="close-match"/>
    <s v="-"/>
    <x v="439"/>
    <n v="1"/>
    <n v="1"/>
    <n v="1"/>
    <n v="1.35"/>
    <n v="1.35"/>
    <n v="0"/>
    <m/>
    <n v="0"/>
    <n v="0"/>
    <n v="0"/>
    <n v="0"/>
    <n v="0"/>
    <n v="0"/>
    <n v="0"/>
    <n v="0"/>
  </r>
  <r>
    <x v="1"/>
    <x v="6"/>
    <d v="2026-02-09T00:00:00"/>
    <s v="No Portfolio"/>
    <s v="USD"/>
    <x v="0"/>
    <s v="broad组"/>
    <s v="Amazon"/>
    <s v="United States"/>
    <s v="nuna snack tray for stroller"/>
    <s v="BROAD"/>
    <x v="440"/>
    <n v="6"/>
    <n v="1"/>
    <n v="0.16666666666666663"/>
    <n v="0.06"/>
    <n v="0.06"/>
    <n v="0"/>
    <m/>
    <n v="0"/>
    <n v="0"/>
    <n v="0"/>
    <n v="0"/>
    <n v="0"/>
    <n v="0"/>
    <n v="0"/>
    <n v="0"/>
  </r>
  <r>
    <x v="1"/>
    <x v="6"/>
    <d v="2026-02-12T00:00:00"/>
    <s v="No Portfolio"/>
    <s v="USD"/>
    <x v="5"/>
    <s v="ENC Yellow"/>
    <s v="Amazon"/>
    <s v="United States"/>
    <s v="loose-match"/>
    <s v="-"/>
    <x v="441"/>
    <n v="1"/>
    <n v="1"/>
    <n v="1"/>
    <n v="0.44"/>
    <n v="0.44"/>
    <n v="0"/>
    <m/>
    <n v="0"/>
    <n v="0"/>
    <n v="0"/>
    <n v="0"/>
    <n v="0"/>
    <n v="0"/>
    <n v="0"/>
    <n v="0"/>
  </r>
  <r>
    <x v="1"/>
    <x v="6"/>
    <d v="2026-02-08T00:00:00"/>
    <s v="No Portfolio"/>
    <s v="USD"/>
    <x v="4"/>
    <s v="stroller tray"/>
    <s v="Amazon"/>
    <s v="United States"/>
    <s v="loose-match"/>
    <s v="-"/>
    <x v="442"/>
    <n v="2"/>
    <n v="1"/>
    <n v="0.5"/>
    <n v="0.1"/>
    <n v="0.1"/>
    <n v="0"/>
    <m/>
    <n v="0"/>
    <n v="0"/>
    <n v="0"/>
    <n v="0"/>
    <n v="0"/>
    <n v="0"/>
    <n v="0"/>
    <n v="0"/>
  </r>
  <r>
    <x v="1"/>
    <x v="6"/>
    <d v="2026-02-14T00:00:00"/>
    <s v="No Portfolio"/>
    <s v="USD"/>
    <x v="0"/>
    <s v="broad组"/>
    <s v="Amazon"/>
    <s v="United States"/>
    <s v="clip on snack tray"/>
    <s v="BROAD"/>
    <x v="443"/>
    <n v="1"/>
    <n v="1"/>
    <n v="1"/>
    <n v="0.08"/>
    <n v="0.08"/>
    <n v="0"/>
    <m/>
    <n v="0"/>
    <n v="0"/>
    <n v="0"/>
    <n v="0"/>
    <n v="0"/>
    <n v="0"/>
    <n v="0"/>
    <n v="0"/>
  </r>
  <r>
    <x v="1"/>
    <x v="5"/>
    <d v="2026-02-21T00:00:00"/>
    <s v="No Portfolio"/>
    <s v="USD"/>
    <x v="6"/>
    <s v="ENC"/>
    <s v="Amazon"/>
    <s v="United States"/>
    <s v="loose-match"/>
    <s v="-"/>
    <x v="444"/>
    <n v="1"/>
    <n v="1"/>
    <n v="1"/>
    <n v="1.1499999999999999"/>
    <n v="1.1499999999999999"/>
    <n v="0"/>
    <m/>
    <n v="0"/>
    <n v="0"/>
    <n v="0"/>
    <n v="0"/>
    <n v="0"/>
    <n v="0"/>
    <n v="0"/>
    <n v="0"/>
  </r>
  <r>
    <x v="1"/>
    <x v="5"/>
    <d v="2026-02-17T00:00:00"/>
    <s v="No Portfolio"/>
    <s v="USD"/>
    <x v="5"/>
    <s v="ENC Yellow"/>
    <s v="Amazon"/>
    <s v="United States"/>
    <s v="loose-match"/>
    <s v="-"/>
    <x v="444"/>
    <n v="1"/>
    <n v="1"/>
    <n v="1"/>
    <n v="0.44"/>
    <n v="0.44"/>
    <n v="8.93"/>
    <n v="4.9272116461366193E-2"/>
    <n v="20.295454545454543"/>
    <n v="1"/>
    <n v="1"/>
    <n v="1"/>
    <n v="1"/>
    <n v="0"/>
    <n v="8.93"/>
    <n v="0"/>
  </r>
  <r>
    <x v="1"/>
    <x v="6"/>
    <d v="2026-02-13T00:00:00"/>
    <s v="No Portfolio"/>
    <s v="USD"/>
    <x v="0"/>
    <s v="broad组"/>
    <s v="Amazon"/>
    <s v="United States"/>
    <s v="stroller attachment"/>
    <s v="BROAD"/>
    <x v="445"/>
    <n v="1"/>
    <n v="1"/>
    <n v="1"/>
    <n v="0.21"/>
    <n v="0.21"/>
    <n v="0"/>
    <m/>
    <n v="0"/>
    <n v="0"/>
    <n v="0"/>
    <n v="0"/>
    <n v="0"/>
    <n v="0"/>
    <n v="0"/>
    <n v="0"/>
  </r>
  <r>
    <x v="1"/>
    <x v="5"/>
    <d v="2026-02-17T00:00:00"/>
    <s v="No Portfolio"/>
    <s v="USD"/>
    <x v="2"/>
    <s v="Tray"/>
    <s v="Amazon"/>
    <s v="United States"/>
    <s v="asin=&quot;B0BZDB9YRP&quot;"/>
    <s v="-"/>
    <x v="446"/>
    <n v="2"/>
    <n v="1"/>
    <n v="0.5"/>
    <n v="0.65"/>
    <n v="0.65"/>
    <n v="0"/>
    <m/>
    <n v="0"/>
    <n v="0"/>
    <n v="0"/>
    <n v="0"/>
    <n v="0"/>
    <n v="0"/>
    <n v="0"/>
    <n v="0"/>
  </r>
  <r>
    <x v="1"/>
    <x v="5"/>
    <d v="2026-02-20T00:00:00"/>
    <s v="No Portfolio"/>
    <s v="USD"/>
    <x v="4"/>
    <s v="stroller tray"/>
    <s v="Amazon"/>
    <s v="United States"/>
    <s v="loose-match"/>
    <s v="-"/>
    <x v="447"/>
    <n v="1"/>
    <n v="1"/>
    <n v="1"/>
    <n v="0.5"/>
    <n v="0.5"/>
    <n v="0"/>
    <m/>
    <n v="0"/>
    <n v="0"/>
    <n v="0"/>
    <n v="0"/>
    <n v="0"/>
    <n v="0"/>
    <n v="0"/>
    <n v="0"/>
  </r>
  <r>
    <x v="1"/>
    <x v="7"/>
    <d v="2026-02-02T00:00:00"/>
    <s v="No Portfolio"/>
    <s v="USD"/>
    <x v="4"/>
    <s v="stroller tray"/>
    <s v="Amazon"/>
    <s v="United States"/>
    <s v="substitutes"/>
    <s v="-"/>
    <x v="448"/>
    <n v="4"/>
    <n v="1"/>
    <n v="0.25"/>
    <n v="0.48"/>
    <n v="0.48"/>
    <n v="0"/>
    <m/>
    <n v="0"/>
    <n v="0"/>
    <n v="0"/>
    <n v="0"/>
    <n v="0"/>
    <n v="0"/>
    <n v="0"/>
    <n v="0"/>
  </r>
  <r>
    <x v="1"/>
    <x v="7"/>
    <d v="2026-02-06T00:00:00"/>
    <s v="No Portfolio"/>
    <s v="USD"/>
    <x v="4"/>
    <s v="stroller tray"/>
    <s v="Amazon"/>
    <s v="United States"/>
    <s v="loose-match"/>
    <s v="-"/>
    <x v="449"/>
    <n v="1"/>
    <n v="1"/>
    <n v="1"/>
    <n v="0.68"/>
    <n v="0.68"/>
    <n v="0"/>
    <m/>
    <n v="0"/>
    <n v="0"/>
    <n v="0"/>
    <n v="0"/>
    <n v="0"/>
    <n v="0"/>
    <n v="0"/>
    <n v="0"/>
  </r>
  <r>
    <x v="1"/>
    <x v="6"/>
    <d v="2026-02-13T00:00:00"/>
    <s v="No Portfolio"/>
    <s v="USD"/>
    <x v="0"/>
    <s v="broad组"/>
    <s v="Amazon"/>
    <s v="United States"/>
    <s v="stroller attachment"/>
    <s v="BROAD"/>
    <x v="450"/>
    <n v="6"/>
    <n v="1"/>
    <n v="0.16666666666666663"/>
    <n v="0.2"/>
    <n v="0.2"/>
    <n v="0"/>
    <m/>
    <n v="0"/>
    <n v="0"/>
    <n v="0"/>
    <n v="0"/>
    <n v="0"/>
    <n v="0"/>
    <n v="0"/>
    <n v="0"/>
  </r>
  <r>
    <x v="1"/>
    <x v="6"/>
    <d v="2026-02-09T00:00:00"/>
    <s v="No Portfolio"/>
    <s v="USD"/>
    <x v="4"/>
    <s v="stroller tray"/>
    <s v="Amazon"/>
    <s v="United States"/>
    <s v="loose-match"/>
    <s v="-"/>
    <x v="451"/>
    <n v="2"/>
    <n v="1"/>
    <n v="0.5"/>
    <n v="0.42"/>
    <n v="0.42"/>
    <n v="0"/>
    <m/>
    <n v="0"/>
    <n v="0"/>
    <n v="0"/>
    <n v="0"/>
    <n v="0"/>
    <n v="0"/>
    <n v="0"/>
    <n v="0"/>
  </r>
  <r>
    <x v="1"/>
    <x v="6"/>
    <d v="2026-02-14T00:00:00"/>
    <s v="No Portfolio"/>
    <s v="USD"/>
    <x v="4"/>
    <s v="stroller tray"/>
    <s v="Amazon"/>
    <s v="United States"/>
    <s v="loose-match"/>
    <s v="-"/>
    <x v="452"/>
    <n v="1"/>
    <n v="1"/>
    <n v="1"/>
    <n v="0.33"/>
    <n v="0.33"/>
    <n v="0"/>
    <m/>
    <n v="0"/>
    <n v="0"/>
    <n v="0"/>
    <n v="0"/>
    <n v="0"/>
    <n v="0"/>
    <n v="0"/>
    <n v="0"/>
  </r>
  <r>
    <x v="1"/>
    <x v="6"/>
    <d v="2026-02-10T00:00:00"/>
    <s v="No Portfolio"/>
    <s v="USD"/>
    <x v="4"/>
    <s v="stroller tray"/>
    <s v="Amazon"/>
    <s v="United States"/>
    <s v="close-match"/>
    <s v="-"/>
    <x v="453"/>
    <n v="3"/>
    <n v="1"/>
    <n v="0.33333333333333331"/>
    <n v="0.6"/>
    <n v="0.6"/>
    <n v="0"/>
    <m/>
    <n v="0"/>
    <n v="0"/>
    <n v="0"/>
    <n v="0"/>
    <n v="0"/>
    <n v="0"/>
    <n v="0"/>
    <n v="0"/>
  </r>
  <r>
    <x v="1"/>
    <x v="7"/>
    <d v="2026-02-01T00:00:00"/>
    <s v="No Portfolio"/>
    <s v="USD"/>
    <x v="4"/>
    <s v="stroller tray"/>
    <s v="Amazon"/>
    <s v="United States"/>
    <s v="close-match"/>
    <s v="-"/>
    <x v="454"/>
    <n v="6"/>
    <n v="1"/>
    <n v="0.16666666666666663"/>
    <n v="0.51"/>
    <n v="0.51"/>
    <n v="0"/>
    <m/>
    <n v="0"/>
    <n v="0"/>
    <n v="0"/>
    <n v="0"/>
    <n v="0"/>
    <n v="0"/>
    <n v="0"/>
    <n v="0"/>
  </r>
  <r>
    <x v="1"/>
    <x v="7"/>
    <d v="2026-02-03T00:00:00"/>
    <s v="No Portfolio"/>
    <s v="USD"/>
    <x v="4"/>
    <s v="stroller tray"/>
    <s v="Amazon"/>
    <s v="United States"/>
    <s v="close-match"/>
    <s v="-"/>
    <x v="455"/>
    <n v="2"/>
    <n v="1"/>
    <n v="0.5"/>
    <n v="0.64"/>
    <n v="0.64"/>
    <n v="0"/>
    <m/>
    <n v="0"/>
    <n v="0"/>
    <n v="0"/>
    <n v="0"/>
    <n v="0"/>
    <n v="0"/>
    <n v="0"/>
    <n v="0"/>
  </r>
  <r>
    <x v="1"/>
    <x v="6"/>
    <d v="2026-02-09T00:00:00"/>
    <s v="No Portfolio"/>
    <s v="USD"/>
    <x v="0"/>
    <s v="broad组"/>
    <s v="Amazon"/>
    <s v="United States"/>
    <s v="clip on snack tray"/>
    <s v="BROAD"/>
    <x v="456"/>
    <n v="1"/>
    <n v="1"/>
    <n v="1"/>
    <n v="0.21"/>
    <n v="0.21"/>
    <n v="0"/>
    <m/>
    <n v="0"/>
    <n v="0"/>
    <n v="0"/>
    <n v="0"/>
    <n v="0"/>
    <n v="0"/>
    <n v="0"/>
    <n v="0"/>
  </r>
  <r>
    <x v="1"/>
    <x v="6"/>
    <d v="2026-02-11T00:00:00"/>
    <s v="No Portfolio"/>
    <s v="USD"/>
    <x v="0"/>
    <s v="broad组"/>
    <s v="Amazon"/>
    <s v="United States"/>
    <s v="snack tray for stroller"/>
    <s v="BROAD"/>
    <x v="457"/>
    <n v="3"/>
    <n v="1"/>
    <n v="0.33333333333333331"/>
    <n v="0.21"/>
    <n v="0.21"/>
    <n v="0"/>
    <m/>
    <n v="0"/>
    <n v="0"/>
    <n v="0"/>
    <n v="0"/>
    <n v="0"/>
    <n v="0"/>
    <n v="0"/>
    <n v="0"/>
  </r>
  <r>
    <x v="1"/>
    <x v="5"/>
    <d v="2026-02-19T00:00:00"/>
    <s v="No Portfolio"/>
    <s v="USD"/>
    <x v="1"/>
    <s v="broad组"/>
    <s v="Amazon"/>
    <s v="United States"/>
    <s v="snack tray for stroller"/>
    <s v="BROAD"/>
    <x v="458"/>
    <n v="2"/>
    <n v="1"/>
    <n v="0.5"/>
    <n v="1.19"/>
    <n v="1.19"/>
    <n v="0"/>
    <m/>
    <n v="0"/>
    <n v="0"/>
    <n v="0"/>
    <n v="0"/>
    <n v="0"/>
    <n v="0"/>
    <n v="0"/>
    <n v="0"/>
  </r>
  <r>
    <x v="1"/>
    <x v="7"/>
    <d v="2026-02-07T00:00:00"/>
    <s v="No Portfolio"/>
    <s v="USD"/>
    <x v="4"/>
    <s v="stroller tray"/>
    <s v="Amazon"/>
    <s v="United States"/>
    <s v="close-match"/>
    <s v="-"/>
    <x v="187"/>
    <n v="9"/>
    <n v="1"/>
    <n v="0.1111111111111111"/>
    <n v="0.63"/>
    <n v="0.63"/>
    <n v="0"/>
    <m/>
    <n v="0"/>
    <n v="0"/>
    <n v="0"/>
    <n v="0"/>
    <n v="0"/>
    <n v="0"/>
    <n v="0"/>
    <n v="0"/>
  </r>
  <r>
    <x v="1"/>
    <x v="6"/>
    <d v="2026-02-12T00:00:00"/>
    <s v="No Portfolio"/>
    <s v="USD"/>
    <x v="4"/>
    <s v="stroller tray"/>
    <s v="Amazon"/>
    <s v="United States"/>
    <s v="close-match"/>
    <s v="-"/>
    <x v="187"/>
    <n v="34"/>
    <n v="2"/>
    <n v="5.8823529411764698E-2"/>
    <n v="0.47499999999999998"/>
    <n v="0.95"/>
    <n v="0"/>
    <m/>
    <n v="0"/>
    <n v="0"/>
    <n v="0"/>
    <n v="0"/>
    <n v="0"/>
    <n v="0"/>
    <n v="0"/>
    <n v="0"/>
  </r>
  <r>
    <x v="1"/>
    <x v="6"/>
    <d v="2026-02-13T00:00:00"/>
    <s v="No Portfolio"/>
    <s v="USD"/>
    <x v="4"/>
    <s v="stroller tray"/>
    <s v="Amazon"/>
    <s v="United States"/>
    <s v="close-match"/>
    <s v="-"/>
    <x v="187"/>
    <n v="20"/>
    <n v="2"/>
    <n v="0.1"/>
    <n v="0.46"/>
    <n v="0.92"/>
    <n v="0"/>
    <m/>
    <n v="0"/>
    <n v="0"/>
    <n v="0"/>
    <n v="0"/>
    <n v="0"/>
    <n v="0"/>
    <n v="0"/>
    <n v="0"/>
  </r>
  <r>
    <x v="1"/>
    <x v="6"/>
    <d v="2026-02-14T00:00:00"/>
    <s v="No Portfolio"/>
    <s v="USD"/>
    <x v="4"/>
    <s v="stroller tray"/>
    <s v="Amazon"/>
    <s v="United States"/>
    <s v="close-match"/>
    <s v="-"/>
    <x v="187"/>
    <n v="12"/>
    <n v="1"/>
    <n v="8.3333333333333315E-2"/>
    <n v="0.54"/>
    <n v="0.54"/>
    <n v="0"/>
    <m/>
    <n v="0"/>
    <n v="0"/>
    <n v="0"/>
    <n v="0"/>
    <n v="0"/>
    <n v="0"/>
    <n v="0"/>
    <n v="0"/>
  </r>
  <r>
    <x v="1"/>
    <x v="5"/>
    <d v="2026-02-19T00:00:00"/>
    <s v="No Portfolio"/>
    <s v="USD"/>
    <x v="4"/>
    <s v="stroller tray"/>
    <s v="Amazon"/>
    <s v="United States"/>
    <s v="close-match"/>
    <s v="-"/>
    <x v="187"/>
    <n v="23"/>
    <n v="1"/>
    <n v="4.3478260869565216E-2"/>
    <n v="0.69"/>
    <n v="0.69"/>
    <n v="0"/>
    <m/>
    <n v="0"/>
    <n v="0"/>
    <n v="0"/>
    <n v="0"/>
    <n v="0"/>
    <n v="0"/>
    <n v="0"/>
    <n v="0"/>
  </r>
  <r>
    <x v="1"/>
    <x v="7"/>
    <d v="2026-02-03T00:00:00"/>
    <s v="No Portfolio"/>
    <s v="USD"/>
    <x v="0"/>
    <s v="phrase&amp;exact"/>
    <s v="Amazon"/>
    <s v="United States"/>
    <s v="snack tray for stroller"/>
    <s v="PHRASE"/>
    <x v="187"/>
    <n v="14"/>
    <n v="1"/>
    <n v="7.1428571428571425E-2"/>
    <n v="0.2"/>
    <n v="0.2"/>
    <n v="0"/>
    <m/>
    <n v="0"/>
    <n v="0"/>
    <n v="0"/>
    <n v="0"/>
    <n v="0"/>
    <n v="0"/>
    <n v="0"/>
    <n v="0"/>
  </r>
  <r>
    <x v="1"/>
    <x v="6"/>
    <d v="2026-02-13T00:00:00"/>
    <s v="No Portfolio"/>
    <s v="USD"/>
    <x v="0"/>
    <s v="phrase&amp;exact"/>
    <s v="Amazon"/>
    <s v="United States"/>
    <s v="snack tray for stroller"/>
    <s v="PHRASE"/>
    <x v="187"/>
    <n v="4"/>
    <n v="1"/>
    <n v="0.25"/>
    <n v="0.2"/>
    <n v="0.2"/>
    <n v="34.18"/>
    <n v="5.8513750731421892E-3"/>
    <n v="170.89999999999998"/>
    <n v="1"/>
    <n v="2"/>
    <n v="1"/>
    <n v="2"/>
    <n v="0"/>
    <n v="34.18"/>
    <n v="0"/>
  </r>
  <r>
    <x v="1"/>
    <x v="6"/>
    <d v="2026-02-14T00:00:00"/>
    <s v="No Portfolio"/>
    <s v="USD"/>
    <x v="0"/>
    <s v="phrase&amp;exact"/>
    <s v="Amazon"/>
    <s v="United States"/>
    <s v="snack tray for stroller"/>
    <s v="PHRASE"/>
    <x v="187"/>
    <n v="6"/>
    <n v="1"/>
    <n v="0.16666666666666663"/>
    <n v="0.2"/>
    <n v="0.2"/>
    <n v="0"/>
    <m/>
    <n v="0"/>
    <n v="0"/>
    <n v="0"/>
    <n v="0"/>
    <n v="0"/>
    <n v="0"/>
    <n v="0"/>
    <n v="0"/>
  </r>
  <r>
    <x v="1"/>
    <x v="5"/>
    <d v="2026-02-15T00:00:00"/>
    <s v="No Portfolio"/>
    <s v="USD"/>
    <x v="0"/>
    <s v="broad组"/>
    <s v="Amazon"/>
    <s v="United States"/>
    <s v="snack tray for stroller"/>
    <s v="BROAD"/>
    <x v="187"/>
    <n v="12"/>
    <n v="1"/>
    <n v="8.3333333333333315E-2"/>
    <n v="0.2"/>
    <n v="0.2"/>
    <n v="0"/>
    <m/>
    <n v="0"/>
    <n v="0"/>
    <n v="0"/>
    <n v="0"/>
    <n v="0"/>
    <n v="0"/>
    <n v="0"/>
    <n v="0"/>
  </r>
  <r>
    <x v="1"/>
    <x v="6"/>
    <d v="2026-02-08T00:00:00"/>
    <s v="No Portfolio"/>
    <s v="USD"/>
    <x v="2"/>
    <s v="Tray"/>
    <s v="Amazon"/>
    <s v="United States"/>
    <s v="asin=&quot;B0DSBVB1WW&quot;"/>
    <s v="-"/>
    <x v="188"/>
    <n v="2"/>
    <n v="1"/>
    <n v="0.5"/>
    <n v="0.66"/>
    <n v="0.66"/>
    <n v="0"/>
    <m/>
    <n v="0"/>
    <n v="0"/>
    <n v="0"/>
    <n v="0"/>
    <n v="0"/>
    <n v="0"/>
    <n v="0"/>
    <n v="0"/>
  </r>
  <r>
    <x v="1"/>
    <x v="7"/>
    <d v="2026-02-02T00:00:00"/>
    <s v="No Portfolio"/>
    <s v="USD"/>
    <x v="1"/>
    <s v="broad组"/>
    <s v="Amazon"/>
    <s v="United States"/>
    <s v="snack tray for stroller"/>
    <s v="BROAD"/>
    <x v="459"/>
    <n v="4"/>
    <n v="1"/>
    <n v="0.25"/>
    <n v="0.92"/>
    <n v="0.92"/>
    <n v="0"/>
    <m/>
    <n v="0"/>
    <n v="0"/>
    <n v="0"/>
    <n v="0"/>
    <n v="0"/>
    <n v="0"/>
    <n v="0"/>
    <n v="0"/>
  </r>
  <r>
    <x v="1"/>
    <x v="7"/>
    <d v="2026-02-04T00:00:00"/>
    <s v="No Portfolio"/>
    <s v="USD"/>
    <x v="2"/>
    <s v="Tray"/>
    <s v="Amazon"/>
    <s v="United States"/>
    <s v="asin=&quot;B0DSBVB1WW&quot;"/>
    <s v="-"/>
    <x v="460"/>
    <n v="1"/>
    <n v="1"/>
    <n v="1"/>
    <n v="0.72"/>
    <n v="0.72"/>
    <n v="0"/>
    <m/>
    <n v="0"/>
    <n v="0"/>
    <n v="0"/>
    <n v="0"/>
    <n v="0"/>
    <n v="0"/>
    <n v="0"/>
    <n v="0"/>
  </r>
  <r>
    <x v="1"/>
    <x v="7"/>
    <d v="2026-02-01T00:00:00"/>
    <s v="No Portfolio"/>
    <s v="USD"/>
    <x v="1"/>
    <s v="broad组"/>
    <s v="Amazon"/>
    <s v="United States"/>
    <s v="universal snack tray"/>
    <s v="BROAD"/>
    <x v="461"/>
    <n v="3"/>
    <n v="1"/>
    <n v="0.33333333333333331"/>
    <n v="1.62"/>
    <n v="1.62"/>
    <n v="0"/>
    <m/>
    <n v="0"/>
    <n v="0"/>
    <n v="0"/>
    <n v="0"/>
    <n v="0"/>
    <n v="0"/>
    <n v="0"/>
    <n v="0"/>
  </r>
  <r>
    <x v="1"/>
    <x v="7"/>
    <d v="2026-02-05T00:00:00"/>
    <s v="No Portfolio"/>
    <s v="USD"/>
    <x v="0"/>
    <s v="broad组"/>
    <s v="Amazon"/>
    <s v="United States"/>
    <s v="stroller tray"/>
    <s v="BROAD"/>
    <x v="462"/>
    <n v="1"/>
    <n v="1"/>
    <n v="1"/>
    <n v="0.21"/>
    <n v="0.21"/>
    <n v="0"/>
    <m/>
    <n v="0"/>
    <n v="0"/>
    <n v="0"/>
    <n v="0"/>
    <n v="0"/>
    <n v="0"/>
    <n v="0"/>
    <n v="0"/>
  </r>
  <r>
    <x v="1"/>
    <x v="7"/>
    <d v="2026-02-07T00:00:00"/>
    <s v="No Portfolio"/>
    <s v="USD"/>
    <x v="4"/>
    <s v="stroller tray"/>
    <s v="Amazon"/>
    <s v="United States"/>
    <s v="loose-match"/>
    <s v="-"/>
    <x v="463"/>
    <n v="2"/>
    <n v="1"/>
    <n v="0.5"/>
    <n v="0.57999999999999996"/>
    <n v="0.57999999999999996"/>
    <n v="0"/>
    <m/>
    <n v="0"/>
    <n v="0"/>
    <n v="0"/>
    <n v="0"/>
    <n v="0"/>
    <n v="0"/>
    <n v="0"/>
    <n v="0"/>
  </r>
  <r>
    <x v="1"/>
    <x v="6"/>
    <d v="2026-02-09T00:00:00"/>
    <s v="No Portfolio"/>
    <s v="USD"/>
    <x v="0"/>
    <s v="broad组"/>
    <s v="Amazon"/>
    <s v="United States"/>
    <s v="stroller tray"/>
    <s v="BROAD"/>
    <x v="464"/>
    <n v="1"/>
    <n v="1"/>
    <n v="1"/>
    <n v="0.4"/>
    <n v="0.4"/>
    <n v="0"/>
    <m/>
    <n v="0"/>
    <n v="0"/>
    <n v="0"/>
    <n v="0"/>
    <n v="0"/>
    <n v="0"/>
    <n v="0"/>
    <n v="0"/>
  </r>
  <r>
    <x v="1"/>
    <x v="6"/>
    <d v="2026-02-10T00:00:00"/>
    <s v="No Portfolio"/>
    <s v="USD"/>
    <x v="0"/>
    <s v="phrase&amp;exact"/>
    <s v="Amazon"/>
    <s v="United States"/>
    <s v="stroller accessories"/>
    <s v="EXACT"/>
    <x v="192"/>
    <n v="9"/>
    <n v="1"/>
    <n v="0.1111111111111111"/>
    <n v="0.2"/>
    <n v="0.2"/>
    <n v="0"/>
    <m/>
    <n v="0"/>
    <n v="0"/>
    <n v="0"/>
    <n v="0"/>
    <n v="0"/>
    <n v="0"/>
    <n v="0"/>
    <n v="0"/>
  </r>
  <r>
    <x v="1"/>
    <x v="5"/>
    <d v="2026-02-18T00:00:00"/>
    <s v="No Portfolio"/>
    <s v="USD"/>
    <x v="0"/>
    <s v="phrase&amp;exact"/>
    <s v="Amazon"/>
    <s v="United States"/>
    <s v="stroller accessories"/>
    <s v="EXACT"/>
    <x v="192"/>
    <n v="6"/>
    <n v="1"/>
    <n v="0.16666666666666663"/>
    <n v="0.2"/>
    <n v="0.2"/>
    <n v="17.09"/>
    <n v="1.1702750146284377E-2"/>
    <n v="85.449999999999989"/>
    <n v="1"/>
    <n v="1"/>
    <n v="1"/>
    <n v="1"/>
    <n v="0"/>
    <n v="17.09"/>
    <n v="0"/>
  </r>
  <r>
    <x v="1"/>
    <x v="5"/>
    <d v="2026-02-19T00:00:00"/>
    <s v="No Portfolio"/>
    <s v="USD"/>
    <x v="0"/>
    <s v="phrase&amp;exact"/>
    <s v="Amazon"/>
    <s v="United States"/>
    <s v="stroller accessories"/>
    <s v="EXACT"/>
    <x v="192"/>
    <n v="17"/>
    <n v="2"/>
    <n v="0.1176470588235294"/>
    <n v="0.20499999999999999"/>
    <n v="0.41"/>
    <n v="0"/>
    <m/>
    <n v="0"/>
    <n v="0"/>
    <n v="0"/>
    <n v="0"/>
    <n v="0"/>
    <n v="0"/>
    <n v="0"/>
    <n v="0"/>
  </r>
  <r>
    <x v="1"/>
    <x v="5"/>
    <d v="2026-02-19T00:00:00"/>
    <s v="No Portfolio"/>
    <s v="USD"/>
    <x v="4"/>
    <s v="stroller tray"/>
    <s v="Amazon"/>
    <s v="United States"/>
    <s v="loose-match"/>
    <s v="-"/>
    <x v="465"/>
    <n v="1"/>
    <n v="1"/>
    <n v="1"/>
    <n v="0.52"/>
    <n v="0.52"/>
    <n v="0"/>
    <m/>
    <n v="0"/>
    <n v="0"/>
    <n v="0"/>
    <n v="0"/>
    <n v="0"/>
    <n v="0"/>
    <n v="0"/>
    <n v="0"/>
  </r>
  <r>
    <x v="1"/>
    <x v="6"/>
    <d v="2026-02-08T00:00:00"/>
    <s v="No Portfolio"/>
    <s v="USD"/>
    <x v="4"/>
    <s v="stroller tray"/>
    <s v="Amazon"/>
    <s v="United States"/>
    <s v="close-match"/>
    <s v="-"/>
    <x v="193"/>
    <n v="27"/>
    <n v="1"/>
    <n v="3.7037037037037035E-2"/>
    <n v="0.62"/>
    <n v="0.62"/>
    <n v="0"/>
    <m/>
    <n v="0"/>
    <n v="0"/>
    <n v="0"/>
    <n v="0"/>
    <n v="0"/>
    <n v="0"/>
    <n v="0"/>
    <n v="0"/>
  </r>
  <r>
    <x v="1"/>
    <x v="7"/>
    <d v="2026-02-05T00:00:00"/>
    <s v="No Portfolio"/>
    <s v="USD"/>
    <x v="0"/>
    <s v="broad组"/>
    <s v="Amazon"/>
    <s v="United States"/>
    <s v="stroller attachment"/>
    <s v="BROAD"/>
    <x v="193"/>
    <n v="3"/>
    <n v="1"/>
    <n v="0.33333333333333331"/>
    <n v="0.2"/>
    <n v="0.2"/>
    <n v="0"/>
    <m/>
    <n v="0"/>
    <n v="0"/>
    <n v="0"/>
    <n v="0"/>
    <n v="0"/>
    <n v="0"/>
    <n v="0"/>
    <n v="0"/>
  </r>
  <r>
    <x v="1"/>
    <x v="5"/>
    <d v="2026-02-20T00:00:00"/>
    <s v="No Portfolio"/>
    <s v="USD"/>
    <x v="0"/>
    <s v="broad组"/>
    <s v="Amazon"/>
    <s v="United States"/>
    <s v="stroller attachment"/>
    <s v="BROAD"/>
    <x v="193"/>
    <n v="2"/>
    <n v="1"/>
    <n v="0.5"/>
    <n v="0.2"/>
    <n v="0.2"/>
    <n v="17.09"/>
    <n v="1.1702750146284377E-2"/>
    <n v="85.449999999999989"/>
    <n v="1"/>
    <n v="1"/>
    <n v="1"/>
    <n v="1"/>
    <n v="0"/>
    <n v="17.09"/>
    <n v="0"/>
  </r>
  <r>
    <x v="1"/>
    <x v="7"/>
    <d v="2026-02-04T00:00:00"/>
    <s v="No Portfolio"/>
    <s v="USD"/>
    <x v="2"/>
    <s v="Tray"/>
    <s v="Amazon"/>
    <s v="United States"/>
    <s v="asin=&quot;B0DKNQ2BMP&quot;"/>
    <s v="-"/>
    <x v="466"/>
    <n v="2"/>
    <n v="1"/>
    <n v="0.5"/>
    <n v="0.64"/>
    <n v="0.64"/>
    <n v="0"/>
    <m/>
    <n v="0"/>
    <n v="0"/>
    <n v="0"/>
    <n v="0"/>
    <n v="0"/>
    <n v="0"/>
    <n v="0"/>
    <n v="0"/>
  </r>
  <r>
    <x v="1"/>
    <x v="6"/>
    <d v="2026-02-13T00:00:00"/>
    <s v="No Portfolio"/>
    <s v="USD"/>
    <x v="0"/>
    <s v="broad组"/>
    <s v="Amazon"/>
    <s v="United States"/>
    <s v="cup holder for stroller"/>
    <s v="BROAD"/>
    <x v="467"/>
    <n v="3"/>
    <n v="1"/>
    <n v="0.33333333333333331"/>
    <n v="0.21"/>
    <n v="0.21"/>
    <n v="0"/>
    <m/>
    <n v="0"/>
    <n v="0"/>
    <n v="0"/>
    <n v="0"/>
    <n v="0"/>
    <n v="0"/>
    <n v="0"/>
    <n v="0"/>
  </r>
  <r>
    <x v="1"/>
    <x v="7"/>
    <d v="2026-02-05T00:00:00"/>
    <s v="No Portfolio"/>
    <s v="USD"/>
    <x v="4"/>
    <s v="stroller tray"/>
    <s v="Amazon"/>
    <s v="United States"/>
    <s v="loose-match"/>
    <s v="-"/>
    <x v="468"/>
    <n v="1"/>
    <n v="1"/>
    <n v="1"/>
    <n v="0.69"/>
    <n v="0.69"/>
    <n v="0"/>
    <m/>
    <n v="0"/>
    <n v="0"/>
    <n v="0"/>
    <n v="0"/>
    <n v="0"/>
    <n v="0"/>
    <n v="0"/>
    <n v="0"/>
  </r>
  <r>
    <x v="1"/>
    <x v="7"/>
    <d v="2026-02-06T00:00:00"/>
    <s v="No Portfolio"/>
    <s v="USD"/>
    <x v="1"/>
    <s v="broad组"/>
    <s v="Amazon"/>
    <s v="United States"/>
    <s v="snack cup for stroller"/>
    <s v="BROAD"/>
    <x v="304"/>
    <n v="5"/>
    <n v="1"/>
    <n v="0.2"/>
    <n v="0.52"/>
    <n v="0.52"/>
    <n v="0"/>
    <m/>
    <n v="0"/>
    <n v="0"/>
    <n v="0"/>
    <n v="0"/>
    <n v="0"/>
    <n v="0"/>
    <n v="0"/>
    <n v="0"/>
  </r>
  <r>
    <x v="1"/>
    <x v="7"/>
    <d v="2026-02-01T00:00:00"/>
    <s v="No Portfolio"/>
    <s v="USD"/>
    <x v="1"/>
    <s v="Phrase&amp;Exact组"/>
    <s v="Amazon"/>
    <s v="United States"/>
    <s v="stroller cup holder"/>
    <s v="EXACT"/>
    <x v="198"/>
    <n v="9"/>
    <n v="1"/>
    <n v="0.1111111111111111"/>
    <n v="0.65"/>
    <n v="0.65"/>
    <n v="0"/>
    <m/>
    <n v="0"/>
    <n v="0"/>
    <n v="0"/>
    <n v="0"/>
    <n v="0"/>
    <n v="0"/>
    <n v="0"/>
    <n v="0"/>
  </r>
  <r>
    <x v="1"/>
    <x v="7"/>
    <d v="2026-02-04T00:00:00"/>
    <s v="No Portfolio"/>
    <s v="USD"/>
    <x v="1"/>
    <s v="Phrase&amp;Exact组"/>
    <s v="Amazon"/>
    <s v="United States"/>
    <s v="stroller cup holder"/>
    <s v="EXACT"/>
    <x v="198"/>
    <n v="31"/>
    <n v="1"/>
    <n v="3.2258064516129031E-2"/>
    <n v="0.9"/>
    <n v="0.9"/>
    <n v="17.09"/>
    <n v="5.2662375658279699E-2"/>
    <n v="18.988888888888887"/>
    <n v="1"/>
    <n v="1"/>
    <n v="1"/>
    <n v="1"/>
    <n v="0"/>
    <n v="17.09"/>
    <n v="0"/>
  </r>
  <r>
    <x v="1"/>
    <x v="7"/>
    <d v="2026-02-07T00:00:00"/>
    <s v="No Portfolio"/>
    <s v="USD"/>
    <x v="1"/>
    <s v="Phrase&amp;Exact组"/>
    <s v="Amazon"/>
    <s v="United States"/>
    <s v="stroller cup holder"/>
    <s v="EXACT"/>
    <x v="198"/>
    <n v="50"/>
    <n v="1"/>
    <n v="0.02"/>
    <n v="0.92"/>
    <n v="0.92"/>
    <n v="0"/>
    <m/>
    <n v="0"/>
    <n v="0"/>
    <n v="0"/>
    <n v="0"/>
    <n v="0"/>
    <n v="0"/>
    <n v="0"/>
    <n v="0"/>
  </r>
  <r>
    <x v="1"/>
    <x v="6"/>
    <d v="2026-02-14T00:00:00"/>
    <s v="No Portfolio"/>
    <s v="USD"/>
    <x v="1"/>
    <s v="Phrase&amp;Exact组"/>
    <s v="Amazon"/>
    <s v="United States"/>
    <s v="stroller cup holder"/>
    <s v="EXACT"/>
    <x v="198"/>
    <n v="77"/>
    <n v="1"/>
    <n v="1.2987012987012986E-2"/>
    <n v="0.78"/>
    <n v="0.78"/>
    <n v="0"/>
    <m/>
    <n v="0"/>
    <n v="0"/>
    <n v="0"/>
    <n v="0"/>
    <n v="0"/>
    <n v="0"/>
    <n v="0"/>
    <n v="0"/>
  </r>
  <r>
    <x v="1"/>
    <x v="5"/>
    <d v="2026-02-18T00:00:00"/>
    <s v="No Portfolio"/>
    <s v="USD"/>
    <x v="1"/>
    <s v="Phrase&amp;Exact组"/>
    <s v="Amazon"/>
    <s v="United States"/>
    <s v="stroller cup holder"/>
    <s v="EXACT"/>
    <x v="198"/>
    <n v="55"/>
    <n v="1"/>
    <n v="1.8181818181818181E-2"/>
    <n v="0.73"/>
    <n v="0.73"/>
    <n v="0"/>
    <m/>
    <n v="0"/>
    <n v="0"/>
    <n v="0"/>
    <n v="0"/>
    <n v="0"/>
    <n v="0"/>
    <n v="0"/>
    <n v="0"/>
  </r>
  <r>
    <x v="1"/>
    <x v="6"/>
    <d v="2026-02-08T00:00:00"/>
    <s v="No Portfolio"/>
    <s v="USD"/>
    <x v="0"/>
    <s v="phrase&amp;exact"/>
    <s v="Amazon"/>
    <s v="United States"/>
    <s v="stroller cup holder"/>
    <s v="PHRASE"/>
    <x v="198"/>
    <n v="9"/>
    <n v="1"/>
    <n v="0.1111111111111111"/>
    <n v="0.2"/>
    <n v="0.2"/>
    <n v="0"/>
    <m/>
    <n v="0"/>
    <n v="0"/>
    <n v="0"/>
    <n v="0"/>
    <n v="0"/>
    <n v="0"/>
    <n v="0"/>
    <n v="0"/>
  </r>
  <r>
    <x v="1"/>
    <x v="5"/>
    <d v="2026-02-21T00:00:00"/>
    <s v="No Portfolio"/>
    <s v="USD"/>
    <x v="0"/>
    <s v="phrase&amp;exact"/>
    <s v="Amazon"/>
    <s v="United States"/>
    <s v="stroller cup holder"/>
    <s v="PHRASE"/>
    <x v="198"/>
    <n v="22"/>
    <n v="1"/>
    <n v="4.5454545454545463E-2"/>
    <n v="0.2"/>
    <n v="0.2"/>
    <n v="0"/>
    <m/>
    <n v="0"/>
    <n v="0"/>
    <n v="0"/>
    <n v="0"/>
    <n v="0"/>
    <n v="0"/>
    <n v="0"/>
    <n v="0"/>
  </r>
  <r>
    <x v="1"/>
    <x v="6"/>
    <d v="2026-02-11T00:00:00"/>
    <s v="No Portfolio"/>
    <s v="USD"/>
    <x v="0"/>
    <s v="phrase&amp;exact"/>
    <s v="Amazon"/>
    <s v="United States"/>
    <s v="stroller cup holder"/>
    <s v="EXACT"/>
    <x v="198"/>
    <n v="5"/>
    <n v="1"/>
    <n v="0.2"/>
    <n v="0.2"/>
    <n v="0.2"/>
    <n v="0"/>
    <m/>
    <n v="0"/>
    <n v="0"/>
    <n v="0"/>
    <n v="0"/>
    <n v="0"/>
    <n v="0"/>
    <n v="0"/>
    <n v="0"/>
  </r>
  <r>
    <x v="1"/>
    <x v="7"/>
    <d v="2026-02-05T00:00:00"/>
    <s v="No Portfolio"/>
    <s v="USD"/>
    <x v="4"/>
    <s v="stroller tray"/>
    <s v="Amazon"/>
    <s v="United States"/>
    <s v="close-match"/>
    <s v="-"/>
    <x v="199"/>
    <n v="2"/>
    <n v="1"/>
    <n v="0.5"/>
    <n v="0.76"/>
    <n v="0.76"/>
    <n v="17.09"/>
    <n v="4.4470450555880628E-2"/>
    <n v="22.486842105263158"/>
    <n v="1"/>
    <n v="1"/>
    <n v="1"/>
    <n v="0"/>
    <n v="1"/>
    <n v="0"/>
    <n v="17.09"/>
  </r>
  <r>
    <x v="1"/>
    <x v="6"/>
    <d v="2026-02-08T00:00:00"/>
    <s v="No Portfolio"/>
    <s v="USD"/>
    <x v="4"/>
    <s v="stroller tray"/>
    <s v="Amazon"/>
    <s v="United States"/>
    <s v="close-match"/>
    <s v="-"/>
    <x v="199"/>
    <n v="14"/>
    <n v="1"/>
    <n v="7.1428571428571425E-2"/>
    <n v="0.62"/>
    <n v="0.62"/>
    <n v="0"/>
    <m/>
    <n v="0"/>
    <n v="0"/>
    <n v="0"/>
    <n v="0"/>
    <n v="0"/>
    <n v="0"/>
    <n v="0"/>
    <n v="0"/>
  </r>
  <r>
    <x v="1"/>
    <x v="5"/>
    <d v="2026-02-21T00:00:00"/>
    <s v="No Portfolio"/>
    <s v="USD"/>
    <x v="4"/>
    <s v="stroller tray"/>
    <s v="Amazon"/>
    <s v="United States"/>
    <s v="close-match"/>
    <s v="-"/>
    <x v="199"/>
    <n v="3"/>
    <n v="1"/>
    <n v="0.33333333333333331"/>
    <n v="0.69"/>
    <n v="0.69"/>
    <n v="0"/>
    <m/>
    <n v="0"/>
    <n v="0"/>
    <n v="0"/>
    <n v="0"/>
    <n v="0"/>
    <n v="0"/>
    <n v="0"/>
    <n v="0"/>
  </r>
  <r>
    <x v="1"/>
    <x v="5"/>
    <d v="2026-02-20T00:00:00"/>
    <s v="No Portfolio"/>
    <s v="USD"/>
    <x v="0"/>
    <s v="broad组"/>
    <s v="Amazon"/>
    <s v="United States"/>
    <s v="stroller cup holder attachment"/>
    <s v="BROAD"/>
    <x v="199"/>
    <n v="1"/>
    <n v="1"/>
    <n v="1"/>
    <n v="0.22"/>
    <n v="0.22"/>
    <n v="0"/>
    <m/>
    <n v="0"/>
    <n v="0"/>
    <n v="0"/>
    <n v="0"/>
    <n v="0"/>
    <n v="0"/>
    <n v="0"/>
    <n v="0"/>
  </r>
  <r>
    <x v="1"/>
    <x v="7"/>
    <d v="2026-02-07T00:00:00"/>
    <s v="No Portfolio"/>
    <s v="USD"/>
    <x v="1"/>
    <s v="Phrase&amp;Exact组"/>
    <s v="Amazon"/>
    <s v="United States"/>
    <s v="stroller cup holder attachment"/>
    <s v="EXACT"/>
    <x v="199"/>
    <n v="16"/>
    <n v="1"/>
    <n v="6.25E-2"/>
    <n v="0.53"/>
    <n v="0.53"/>
    <n v="0"/>
    <m/>
    <n v="0"/>
    <n v="0"/>
    <n v="0"/>
    <n v="0"/>
    <n v="0"/>
    <n v="0"/>
    <n v="0"/>
    <n v="0"/>
  </r>
  <r>
    <x v="1"/>
    <x v="5"/>
    <d v="2026-02-15T00:00:00"/>
    <s v="No Portfolio"/>
    <s v="USD"/>
    <x v="2"/>
    <s v="Tray"/>
    <s v="Amazon"/>
    <s v="United States"/>
    <s v="asin=&quot;B0DH98H2G4&quot;"/>
    <s v="-"/>
    <x v="469"/>
    <n v="1"/>
    <n v="1"/>
    <n v="1"/>
    <n v="0.56999999999999995"/>
    <n v="0.56999999999999995"/>
    <n v="0"/>
    <m/>
    <n v="0"/>
    <n v="0"/>
    <n v="0"/>
    <n v="0"/>
    <n v="0"/>
    <n v="0"/>
    <n v="0"/>
    <n v="0"/>
  </r>
  <r>
    <x v="1"/>
    <x v="5"/>
    <d v="2026-02-21T00:00:00"/>
    <s v="No Portfolio"/>
    <s v="USD"/>
    <x v="2"/>
    <s v="Tray"/>
    <s v="Amazon"/>
    <s v="United States"/>
    <s v="asin=&quot;B0DH98H2G4&quot;"/>
    <s v="-"/>
    <x v="470"/>
    <n v="1"/>
    <n v="1"/>
    <n v="1"/>
    <n v="0.56000000000000005"/>
    <n v="0.56000000000000005"/>
    <n v="0"/>
    <m/>
    <n v="0"/>
    <n v="0"/>
    <n v="0"/>
    <n v="0"/>
    <n v="0"/>
    <n v="0"/>
    <n v="0"/>
    <n v="0"/>
  </r>
  <r>
    <x v="1"/>
    <x v="6"/>
    <d v="2026-02-08T00:00:00"/>
    <s v="No Portfolio"/>
    <s v="USD"/>
    <x v="0"/>
    <s v="phrase&amp;exact"/>
    <s v="Amazon"/>
    <s v="United States"/>
    <s v="stroller cup holder"/>
    <s v="PHRASE"/>
    <x v="471"/>
    <n v="2"/>
    <n v="1"/>
    <n v="0.5"/>
    <n v="0.21"/>
    <n v="0.21"/>
    <n v="17.09"/>
    <n v="1.2287887653598594E-2"/>
    <n v="81.38095238095238"/>
    <n v="1"/>
    <n v="1"/>
    <n v="1"/>
    <n v="0"/>
    <n v="1"/>
    <n v="0"/>
    <n v="17.09"/>
  </r>
  <r>
    <x v="1"/>
    <x v="6"/>
    <d v="2026-02-11T00:00:00"/>
    <s v="No Portfolio"/>
    <s v="USD"/>
    <x v="4"/>
    <s v="stroller tray"/>
    <s v="Amazon"/>
    <s v="United States"/>
    <s v="loose-match"/>
    <s v="-"/>
    <x v="472"/>
    <n v="2"/>
    <n v="1"/>
    <n v="0.5"/>
    <n v="0.38"/>
    <n v="0.38"/>
    <n v="0"/>
    <m/>
    <n v="0"/>
    <n v="0"/>
    <n v="0"/>
    <n v="0"/>
    <n v="0"/>
    <n v="0"/>
    <n v="0"/>
    <n v="0"/>
  </r>
  <r>
    <x v="1"/>
    <x v="5"/>
    <d v="2026-02-19T00:00:00"/>
    <s v="No Portfolio"/>
    <s v="USD"/>
    <x v="4"/>
    <s v="stroller tray"/>
    <s v="Amazon"/>
    <s v="United States"/>
    <s v="loose-match"/>
    <s v="-"/>
    <x v="473"/>
    <n v="1"/>
    <n v="1"/>
    <n v="1"/>
    <n v="0.52"/>
    <n v="0.52"/>
    <n v="0"/>
    <m/>
    <n v="0"/>
    <n v="0"/>
    <n v="0"/>
    <n v="0"/>
    <n v="0"/>
    <n v="0"/>
    <n v="0"/>
    <n v="0"/>
  </r>
  <r>
    <x v="1"/>
    <x v="5"/>
    <d v="2026-02-17T00:00:00"/>
    <s v="No Portfolio"/>
    <s v="USD"/>
    <x v="4"/>
    <s v="stroller tray"/>
    <s v="Amazon"/>
    <s v="United States"/>
    <s v="close-match"/>
    <s v="-"/>
    <x v="474"/>
    <n v="73"/>
    <n v="1"/>
    <n v="1.3698630136986301E-2"/>
    <n v="0.7"/>
    <n v="0.7"/>
    <n v="0"/>
    <m/>
    <n v="0"/>
    <n v="0"/>
    <n v="0"/>
    <n v="0"/>
    <n v="0"/>
    <n v="0"/>
    <n v="0"/>
    <n v="0"/>
  </r>
  <r>
    <x v="1"/>
    <x v="7"/>
    <d v="2026-02-02T00:00:00"/>
    <s v="No Portfolio"/>
    <s v="USD"/>
    <x v="4"/>
    <s v="stroller tray"/>
    <s v="Amazon"/>
    <s v="United States"/>
    <s v="close-match"/>
    <s v="-"/>
    <x v="475"/>
    <n v="3"/>
    <n v="1"/>
    <n v="0.33333333333333331"/>
    <n v="0.78"/>
    <n v="0.78"/>
    <n v="0"/>
    <m/>
    <n v="0"/>
    <n v="0"/>
    <n v="0"/>
    <n v="0"/>
    <n v="0"/>
    <n v="0"/>
    <n v="0"/>
    <n v="0"/>
  </r>
  <r>
    <x v="1"/>
    <x v="7"/>
    <d v="2026-02-01T00:00:00"/>
    <s v="No Portfolio"/>
    <s v="USD"/>
    <x v="2"/>
    <s v="Tray"/>
    <s v="Amazon"/>
    <s v="United States"/>
    <s v="asin=&quot;B0DSBVB1WW&quot;"/>
    <s v="-"/>
    <x v="475"/>
    <n v="3"/>
    <n v="1"/>
    <n v="0.33333333333333331"/>
    <n v="0.49"/>
    <n v="0.49"/>
    <n v="0"/>
    <m/>
    <n v="0"/>
    <n v="0"/>
    <n v="0"/>
    <n v="0"/>
    <n v="0"/>
    <n v="0"/>
    <n v="0"/>
    <n v="0"/>
  </r>
  <r>
    <x v="1"/>
    <x v="7"/>
    <d v="2026-02-04T00:00:00"/>
    <s v="No Portfolio"/>
    <s v="USD"/>
    <x v="4"/>
    <s v="stroller tray"/>
    <s v="Amazon"/>
    <s v="United States"/>
    <s v="close-match"/>
    <s v="-"/>
    <x v="205"/>
    <n v="10"/>
    <n v="1"/>
    <n v="0.1"/>
    <n v="0.88"/>
    <n v="0.88"/>
    <n v="0"/>
    <m/>
    <n v="0"/>
    <n v="0"/>
    <n v="0"/>
    <n v="0"/>
    <n v="0"/>
    <n v="0"/>
    <n v="0"/>
    <n v="0"/>
  </r>
  <r>
    <x v="1"/>
    <x v="6"/>
    <d v="2026-02-11T00:00:00"/>
    <s v="No Portfolio"/>
    <s v="USD"/>
    <x v="4"/>
    <s v="stroller tray"/>
    <s v="Amazon"/>
    <s v="United States"/>
    <s v="close-match"/>
    <s v="-"/>
    <x v="205"/>
    <n v="79"/>
    <n v="1"/>
    <n v="1.2658227848101267E-2"/>
    <n v="0.48"/>
    <n v="0.48"/>
    <n v="0"/>
    <m/>
    <n v="0"/>
    <n v="0"/>
    <n v="0"/>
    <n v="0"/>
    <n v="0"/>
    <n v="0"/>
    <n v="0"/>
    <n v="0"/>
  </r>
  <r>
    <x v="1"/>
    <x v="5"/>
    <d v="2026-02-17T00:00:00"/>
    <s v="No Portfolio"/>
    <s v="USD"/>
    <x v="4"/>
    <s v="stroller tray"/>
    <s v="Amazon"/>
    <s v="United States"/>
    <s v="close-match"/>
    <s v="-"/>
    <x v="205"/>
    <n v="19"/>
    <n v="1"/>
    <n v="5.2631578947368418E-2"/>
    <n v="0.7"/>
    <n v="0.7"/>
    <n v="17.09"/>
    <n v="4.0959625511995314E-2"/>
    <n v="24.414285714285715"/>
    <n v="1"/>
    <n v="1"/>
    <n v="1"/>
    <n v="1"/>
    <n v="0"/>
    <n v="17.09"/>
    <n v="0"/>
  </r>
  <r>
    <x v="1"/>
    <x v="7"/>
    <d v="2026-02-06T00:00:00"/>
    <s v="No Portfolio"/>
    <s v="USD"/>
    <x v="1"/>
    <s v="Phrase&amp;Exact组"/>
    <s v="Amazon"/>
    <s v="United States"/>
    <s v="stroller snack tray"/>
    <s v="EXACT"/>
    <x v="205"/>
    <n v="4"/>
    <n v="1"/>
    <n v="0.25"/>
    <n v="1.23"/>
    <n v="1.23"/>
    <n v="0"/>
    <m/>
    <n v="0"/>
    <n v="0"/>
    <n v="0"/>
    <n v="0"/>
    <n v="0"/>
    <n v="0"/>
    <n v="0"/>
    <n v="0"/>
  </r>
  <r>
    <x v="1"/>
    <x v="5"/>
    <d v="2026-02-21T00:00:00"/>
    <s v="No Portfolio"/>
    <s v="USD"/>
    <x v="1"/>
    <s v="Phrase&amp;Exact组"/>
    <s v="Amazon"/>
    <s v="United States"/>
    <s v="stroller snack tray"/>
    <s v="EXACT"/>
    <x v="205"/>
    <n v="82"/>
    <n v="1"/>
    <n v="1.2195121951219513E-2"/>
    <n v="1.2"/>
    <n v="1.2"/>
    <n v="0"/>
    <m/>
    <n v="0"/>
    <n v="0"/>
    <n v="0"/>
    <n v="0"/>
    <n v="0"/>
    <n v="0"/>
    <n v="0"/>
    <n v="0"/>
  </r>
  <r>
    <x v="1"/>
    <x v="5"/>
    <d v="2026-02-21T00:00:00"/>
    <s v="No Portfolio"/>
    <s v="USD"/>
    <x v="2"/>
    <s v="Tray"/>
    <s v="Amazon"/>
    <s v="United States"/>
    <s v="asin=&quot;B0DH98H2G4&quot;"/>
    <s v="-"/>
    <x v="205"/>
    <n v="1"/>
    <n v="1"/>
    <n v="1"/>
    <n v="0.56000000000000005"/>
    <n v="0.56000000000000005"/>
    <n v="17.09"/>
    <n v="3.2767700409596263E-2"/>
    <n v="30.517857142857139"/>
    <n v="1"/>
    <n v="1"/>
    <n v="1"/>
    <n v="1"/>
    <n v="0"/>
    <n v="17.09"/>
    <n v="0"/>
  </r>
  <r>
    <x v="1"/>
    <x v="6"/>
    <d v="2026-02-09T00:00:00"/>
    <s v="No Portfolio"/>
    <s v="USD"/>
    <x v="2"/>
    <s v="Tray"/>
    <s v="Amazon"/>
    <s v="United States"/>
    <s v="asin=&quot;B0DSBVB1WW&quot;"/>
    <s v="-"/>
    <x v="205"/>
    <n v="27"/>
    <n v="2"/>
    <n v="7.407407407407407E-2"/>
    <n v="0.6"/>
    <n v="1.2"/>
    <n v="0"/>
    <m/>
    <n v="0"/>
    <n v="0"/>
    <n v="0"/>
    <n v="0"/>
    <n v="0"/>
    <n v="0"/>
    <n v="0"/>
    <n v="0"/>
  </r>
  <r>
    <x v="1"/>
    <x v="6"/>
    <d v="2026-02-11T00:00:00"/>
    <s v="No Portfolio"/>
    <s v="USD"/>
    <x v="0"/>
    <s v="broad组"/>
    <s v="Amazon"/>
    <s v="United States"/>
    <s v="universal stroller tray"/>
    <s v="BROAD"/>
    <x v="205"/>
    <n v="1"/>
    <n v="1"/>
    <n v="1"/>
    <n v="0.2"/>
    <n v="0.2"/>
    <n v="0"/>
    <m/>
    <n v="0"/>
    <n v="0"/>
    <n v="0"/>
    <n v="0"/>
    <n v="0"/>
    <n v="0"/>
    <n v="0"/>
    <n v="0"/>
  </r>
  <r>
    <x v="1"/>
    <x v="6"/>
    <d v="2026-02-13T00:00:00"/>
    <s v="No Portfolio"/>
    <s v="USD"/>
    <x v="4"/>
    <s v="stroller tray"/>
    <s v="Amazon"/>
    <s v="United States"/>
    <s v="close-match"/>
    <s v="-"/>
    <x v="206"/>
    <n v="11"/>
    <n v="1"/>
    <n v="9.0909090909090925E-2"/>
    <n v="0.46"/>
    <n v="0.46"/>
    <n v="17.09"/>
    <n v="2.6916325336454067E-2"/>
    <n v="37.152173913043477"/>
    <n v="1"/>
    <n v="1"/>
    <n v="1"/>
    <n v="0"/>
    <n v="1"/>
    <n v="0"/>
    <n v="17.09"/>
  </r>
  <r>
    <x v="1"/>
    <x v="5"/>
    <d v="2026-02-18T00:00:00"/>
    <s v="No Portfolio"/>
    <s v="USD"/>
    <x v="4"/>
    <s v="stroller tray"/>
    <s v="Amazon"/>
    <s v="United States"/>
    <s v="close-match"/>
    <s v="-"/>
    <x v="206"/>
    <n v="16"/>
    <n v="1"/>
    <n v="6.25E-2"/>
    <n v="0.85"/>
    <n v="0.85"/>
    <n v="0"/>
    <m/>
    <n v="0"/>
    <n v="0"/>
    <n v="0"/>
    <n v="0"/>
    <n v="0"/>
    <n v="0"/>
    <n v="0"/>
    <n v="0"/>
  </r>
  <r>
    <x v="1"/>
    <x v="5"/>
    <d v="2026-02-20T00:00:00"/>
    <s v="No Portfolio"/>
    <s v="USD"/>
    <x v="4"/>
    <s v="stroller tray"/>
    <s v="Amazon"/>
    <s v="United States"/>
    <s v="close-match"/>
    <s v="-"/>
    <x v="206"/>
    <n v="4"/>
    <n v="1"/>
    <n v="0.25"/>
    <n v="0.69"/>
    <n v="0.69"/>
    <n v="0"/>
    <m/>
    <n v="0"/>
    <n v="0"/>
    <n v="0"/>
    <n v="0"/>
    <n v="0"/>
    <n v="0"/>
    <n v="0"/>
    <n v="0"/>
  </r>
  <r>
    <x v="1"/>
    <x v="6"/>
    <d v="2026-02-12T00:00:00"/>
    <s v="No Portfolio"/>
    <s v="USD"/>
    <x v="0"/>
    <s v="broad组"/>
    <s v="Amazon"/>
    <s v="United States"/>
    <s v="stroller tray attachment"/>
    <s v="BROAD"/>
    <x v="206"/>
    <n v="4"/>
    <n v="1"/>
    <n v="0.25"/>
    <n v="0.23"/>
    <n v="0.23"/>
    <n v="0"/>
    <m/>
    <n v="0"/>
    <n v="0"/>
    <n v="0"/>
    <n v="0"/>
    <n v="0"/>
    <n v="0"/>
    <n v="0"/>
    <n v="0"/>
  </r>
  <r>
    <x v="1"/>
    <x v="6"/>
    <d v="2026-02-11T00:00:00"/>
    <s v="No Portfolio"/>
    <s v="USD"/>
    <x v="0"/>
    <s v="phrase&amp;exact"/>
    <s v="Amazon"/>
    <s v="United States"/>
    <s v="stroller snack tray"/>
    <s v="PHRASE"/>
    <x v="206"/>
    <n v="5"/>
    <n v="1"/>
    <n v="0.2"/>
    <n v="0.2"/>
    <n v="0.2"/>
    <n v="0"/>
    <m/>
    <n v="0"/>
    <n v="0"/>
    <n v="0"/>
    <n v="0"/>
    <n v="0"/>
    <n v="0"/>
    <n v="0"/>
    <n v="0"/>
  </r>
  <r>
    <x v="1"/>
    <x v="5"/>
    <d v="2026-02-16T00:00:00"/>
    <s v="No Portfolio"/>
    <s v="USD"/>
    <x v="0"/>
    <s v="phrase&amp;exact"/>
    <s v="Amazon"/>
    <s v="United States"/>
    <s v="stroller snack tray"/>
    <s v="PHRASE"/>
    <x v="206"/>
    <n v="6"/>
    <n v="1"/>
    <n v="0.16666666666666663"/>
    <n v="0.2"/>
    <n v="0.2"/>
    <n v="17.09"/>
    <n v="1.1702750146284377E-2"/>
    <n v="85.449999999999989"/>
    <n v="1"/>
    <n v="1"/>
    <n v="1"/>
    <n v="1"/>
    <n v="0"/>
    <n v="17.09"/>
    <n v="0"/>
  </r>
  <r>
    <x v="1"/>
    <x v="5"/>
    <d v="2026-02-18T00:00:00"/>
    <s v="No Portfolio"/>
    <s v="USD"/>
    <x v="0"/>
    <s v="phrase&amp;exact"/>
    <s v="Amazon"/>
    <s v="United States"/>
    <s v="stroller snack tray"/>
    <s v="PHRASE"/>
    <x v="206"/>
    <n v="9"/>
    <n v="1"/>
    <n v="0.1111111111111111"/>
    <n v="0.21"/>
    <n v="0.21"/>
    <n v="0"/>
    <m/>
    <n v="0"/>
    <n v="0"/>
    <n v="0"/>
    <n v="0"/>
    <n v="0"/>
    <n v="0"/>
    <n v="0"/>
    <n v="0"/>
  </r>
  <r>
    <x v="1"/>
    <x v="5"/>
    <d v="2026-02-21T00:00:00"/>
    <s v="No Portfolio"/>
    <s v="USD"/>
    <x v="0"/>
    <s v="phrase&amp;exact"/>
    <s v="Amazon"/>
    <s v="United States"/>
    <s v="stroller snack tray"/>
    <s v="PHRASE"/>
    <x v="206"/>
    <n v="16"/>
    <n v="1"/>
    <n v="6.25E-2"/>
    <n v="0.2"/>
    <n v="0.2"/>
    <n v="0"/>
    <m/>
    <n v="0"/>
    <n v="0"/>
    <n v="0"/>
    <n v="0"/>
    <n v="0"/>
    <n v="0"/>
    <n v="0"/>
    <n v="0"/>
  </r>
  <r>
    <x v="1"/>
    <x v="6"/>
    <d v="2026-02-12T00:00:00"/>
    <s v="No Portfolio"/>
    <s v="USD"/>
    <x v="1"/>
    <s v="broad组"/>
    <s v="Amazon"/>
    <s v="United States"/>
    <s v="stroller snack tray attachment"/>
    <s v="BROAD"/>
    <x v="206"/>
    <n v="6"/>
    <n v="1"/>
    <n v="0.16666666666666663"/>
    <n v="1.2"/>
    <n v="1.2"/>
    <n v="0"/>
    <m/>
    <n v="0"/>
    <n v="0"/>
    <n v="0"/>
    <n v="0"/>
    <n v="0"/>
    <n v="0"/>
    <n v="0"/>
    <n v="0"/>
  </r>
  <r>
    <x v="1"/>
    <x v="5"/>
    <d v="2026-02-18T00:00:00"/>
    <s v="No Portfolio"/>
    <s v="USD"/>
    <x v="1"/>
    <s v="broad组"/>
    <s v="Amazon"/>
    <s v="United States"/>
    <s v="stroller snack tray attachment"/>
    <s v="BROAD"/>
    <x v="206"/>
    <n v="115"/>
    <n v="1"/>
    <n v="8.6956521739130436E-3"/>
    <n v="1.36"/>
    <n v="1.36"/>
    <n v="0"/>
    <m/>
    <n v="0"/>
    <n v="0"/>
    <n v="0"/>
    <n v="0"/>
    <n v="0"/>
    <n v="0"/>
    <n v="0"/>
    <n v="0"/>
  </r>
  <r>
    <x v="1"/>
    <x v="7"/>
    <d v="2026-02-01T00:00:00"/>
    <s v="No Portfolio"/>
    <s v="USD"/>
    <x v="1"/>
    <s v="Phrase&amp;Exact组"/>
    <s v="Amazon"/>
    <s v="United States"/>
    <s v="stroller snack tray attachment"/>
    <s v="EXACT"/>
    <x v="206"/>
    <n v="71"/>
    <n v="1"/>
    <n v="1.4084507042253521E-2"/>
    <n v="0.65"/>
    <n v="0.65"/>
    <n v="0"/>
    <m/>
    <n v="0"/>
    <n v="0"/>
    <n v="0"/>
    <n v="0"/>
    <n v="0"/>
    <n v="0"/>
    <n v="0"/>
    <n v="0"/>
  </r>
  <r>
    <x v="1"/>
    <x v="7"/>
    <d v="2026-02-03T00:00:00"/>
    <s v="No Portfolio"/>
    <s v="USD"/>
    <x v="1"/>
    <s v="Phrase&amp;Exact组"/>
    <s v="Amazon"/>
    <s v="United States"/>
    <s v="stroller snack tray attachment"/>
    <s v="EXACT"/>
    <x v="206"/>
    <n v="149"/>
    <n v="2"/>
    <n v="1.342281879194631E-2"/>
    <n v="0.81"/>
    <n v="1.62"/>
    <n v="17.09"/>
    <n v="9.4792276184903476E-2"/>
    <n v="10.549382716049381"/>
    <n v="1"/>
    <n v="1"/>
    <n v="0.5"/>
    <n v="1"/>
    <n v="0"/>
    <n v="17.09"/>
    <n v="0"/>
  </r>
  <r>
    <x v="1"/>
    <x v="7"/>
    <d v="2026-02-06T00:00:00"/>
    <s v="No Portfolio"/>
    <s v="USD"/>
    <x v="1"/>
    <s v="Phrase&amp;Exact组"/>
    <s v="Amazon"/>
    <s v="United States"/>
    <s v="stroller snack tray attachment"/>
    <s v="EXACT"/>
    <x v="206"/>
    <n v="114"/>
    <n v="1"/>
    <n v="8.771929824561403E-3"/>
    <n v="0.89"/>
    <n v="0.89"/>
    <n v="0"/>
    <m/>
    <n v="0"/>
    <n v="0"/>
    <n v="0"/>
    <n v="0"/>
    <n v="0"/>
    <n v="0"/>
    <n v="0"/>
    <n v="0"/>
  </r>
  <r>
    <x v="1"/>
    <x v="7"/>
    <d v="2026-02-07T00:00:00"/>
    <s v="No Portfolio"/>
    <s v="USD"/>
    <x v="1"/>
    <s v="Phrase&amp;Exact组"/>
    <s v="Amazon"/>
    <s v="United States"/>
    <s v="stroller snack tray attachment"/>
    <s v="EXACT"/>
    <x v="206"/>
    <n v="99"/>
    <n v="1"/>
    <n v="1.0101010101010102E-2"/>
    <n v="0.91"/>
    <n v="0.91"/>
    <n v="0"/>
    <m/>
    <n v="0"/>
    <n v="0"/>
    <n v="0"/>
    <n v="0"/>
    <n v="0"/>
    <n v="0"/>
    <n v="0"/>
    <n v="0"/>
  </r>
  <r>
    <x v="1"/>
    <x v="5"/>
    <d v="2026-02-16T00:00:00"/>
    <s v="No Portfolio"/>
    <s v="USD"/>
    <x v="0"/>
    <s v="broad组"/>
    <s v="Amazon"/>
    <s v="United States"/>
    <s v="stroller tray attachment"/>
    <s v="BROAD"/>
    <x v="476"/>
    <n v="1"/>
    <n v="1"/>
    <n v="1"/>
    <n v="0.21"/>
    <n v="0.21"/>
    <n v="0"/>
    <m/>
    <n v="0"/>
    <n v="0"/>
    <n v="0"/>
    <n v="0"/>
    <n v="0"/>
    <n v="0"/>
    <n v="0"/>
    <n v="0"/>
  </r>
  <r>
    <x v="1"/>
    <x v="6"/>
    <d v="2026-02-11T00:00:00"/>
    <s v="No Portfolio"/>
    <s v="USD"/>
    <x v="0"/>
    <s v="phrase&amp;exact"/>
    <s v="Amazon"/>
    <s v="United States"/>
    <s v="stroller snack tray"/>
    <s v="PHRASE"/>
    <x v="477"/>
    <n v="1"/>
    <n v="1"/>
    <n v="1"/>
    <n v="0.16"/>
    <n v="0.16"/>
    <n v="0"/>
    <m/>
    <n v="0"/>
    <n v="0"/>
    <n v="0"/>
    <n v="0"/>
    <n v="0"/>
    <n v="0"/>
    <n v="0"/>
    <n v="0"/>
  </r>
  <r>
    <x v="1"/>
    <x v="5"/>
    <d v="2026-02-16T00:00:00"/>
    <s v="No Portfolio"/>
    <s v="USD"/>
    <x v="2"/>
    <s v="Tray"/>
    <s v="Amazon"/>
    <s v="United States"/>
    <s v="asin=&quot;B0DSBVB1WW&quot;"/>
    <s v="-"/>
    <x v="478"/>
    <n v="4"/>
    <n v="2"/>
    <n v="0.5"/>
    <n v="0.68"/>
    <n v="1.36"/>
    <n v="0"/>
    <m/>
    <n v="0"/>
    <n v="0"/>
    <n v="0"/>
    <n v="0"/>
    <n v="0"/>
    <n v="0"/>
    <n v="0"/>
    <n v="0"/>
  </r>
  <r>
    <x v="1"/>
    <x v="5"/>
    <d v="2026-02-16T00:00:00"/>
    <s v="No Portfolio"/>
    <s v="USD"/>
    <x v="1"/>
    <s v="Phrase&amp;Exact组"/>
    <s v="Amazon"/>
    <s v="United States"/>
    <s v="stroller snack tray"/>
    <s v="EXACT"/>
    <x v="479"/>
    <n v="3"/>
    <n v="1"/>
    <n v="0.33333333333333331"/>
    <n v="1"/>
    <n v="1"/>
    <n v="0"/>
    <m/>
    <n v="0"/>
    <n v="0"/>
    <n v="0"/>
    <n v="0"/>
    <n v="0"/>
    <n v="0"/>
    <n v="0"/>
    <n v="0"/>
  </r>
  <r>
    <x v="1"/>
    <x v="5"/>
    <d v="2026-02-18T00:00:00"/>
    <s v="No Portfolio"/>
    <s v="USD"/>
    <x v="4"/>
    <s v="stroller tray"/>
    <s v="Amazon"/>
    <s v="United States"/>
    <s v="loose-match"/>
    <s v="-"/>
    <x v="480"/>
    <n v="1"/>
    <n v="1"/>
    <n v="1"/>
    <n v="0.52"/>
    <n v="0.52"/>
    <n v="0"/>
    <m/>
    <n v="0"/>
    <n v="0"/>
    <n v="0"/>
    <n v="0"/>
    <n v="0"/>
    <n v="0"/>
    <n v="0"/>
    <n v="0"/>
  </r>
  <r>
    <x v="1"/>
    <x v="7"/>
    <d v="2026-02-05T00:00:00"/>
    <s v="No Portfolio"/>
    <s v="USD"/>
    <x v="4"/>
    <s v="stroller tray"/>
    <s v="Amazon"/>
    <s v="United States"/>
    <s v="loose-match"/>
    <s v="-"/>
    <x v="481"/>
    <n v="1"/>
    <n v="1"/>
    <n v="1"/>
    <n v="0.69"/>
    <n v="0.69"/>
    <n v="0"/>
    <m/>
    <n v="0"/>
    <n v="0"/>
    <n v="0"/>
    <n v="0"/>
    <n v="0"/>
    <n v="0"/>
    <n v="0"/>
    <n v="0"/>
  </r>
  <r>
    <x v="1"/>
    <x v="5"/>
    <d v="2026-02-17T00:00:00"/>
    <s v="No Portfolio"/>
    <s v="USD"/>
    <x v="4"/>
    <s v="stroller tray"/>
    <s v="Amazon"/>
    <s v="United States"/>
    <s v="loose-match"/>
    <s v="-"/>
    <x v="482"/>
    <n v="1"/>
    <n v="1"/>
    <n v="1"/>
    <n v="0.52"/>
    <n v="0.52"/>
    <n v="0"/>
    <m/>
    <n v="0"/>
    <n v="0"/>
    <n v="0"/>
    <n v="0"/>
    <n v="0"/>
    <n v="0"/>
    <n v="0"/>
    <n v="0"/>
  </r>
  <r>
    <x v="1"/>
    <x v="7"/>
    <d v="2026-02-01T00:00:00"/>
    <s v="No Portfolio"/>
    <s v="USD"/>
    <x v="4"/>
    <s v="stroller tray"/>
    <s v="Amazon"/>
    <s v="United States"/>
    <s v="close-match"/>
    <s v="-"/>
    <x v="208"/>
    <n v="5"/>
    <n v="1"/>
    <n v="0.2"/>
    <n v="0.53"/>
    <n v="0.53"/>
    <n v="0"/>
    <m/>
    <n v="0"/>
    <n v="0"/>
    <n v="0"/>
    <n v="0"/>
    <n v="0"/>
    <n v="0"/>
    <n v="0"/>
    <n v="0"/>
  </r>
  <r>
    <x v="1"/>
    <x v="7"/>
    <d v="2026-02-07T00:00:00"/>
    <s v="No Portfolio"/>
    <s v="USD"/>
    <x v="4"/>
    <s v="stroller tray"/>
    <s v="Amazon"/>
    <s v="United States"/>
    <s v="close-match"/>
    <s v="-"/>
    <x v="208"/>
    <n v="4"/>
    <n v="1"/>
    <n v="0.25"/>
    <n v="0.63"/>
    <n v="0.63"/>
    <n v="0"/>
    <m/>
    <n v="0"/>
    <n v="0"/>
    <n v="0"/>
    <n v="0"/>
    <n v="0"/>
    <n v="0"/>
    <n v="0"/>
    <n v="0"/>
  </r>
  <r>
    <x v="1"/>
    <x v="5"/>
    <d v="2026-02-21T00:00:00"/>
    <s v="No Portfolio"/>
    <s v="USD"/>
    <x v="1"/>
    <s v="broad组"/>
    <s v="Amazon"/>
    <s v="United States"/>
    <s v="stroller tray"/>
    <s v="BROAD"/>
    <x v="208"/>
    <n v="13"/>
    <n v="1"/>
    <n v="7.6923076923076927E-2"/>
    <n v="0.49"/>
    <n v="0.49"/>
    <n v="0"/>
    <m/>
    <n v="0"/>
    <n v="0"/>
    <n v="0"/>
    <n v="0"/>
    <n v="0"/>
    <n v="0"/>
    <n v="0"/>
    <n v="0"/>
  </r>
  <r>
    <x v="1"/>
    <x v="5"/>
    <d v="2026-02-15T00:00:00"/>
    <s v="No Portfolio"/>
    <s v="USD"/>
    <x v="0"/>
    <s v="broad组"/>
    <s v="Amazon"/>
    <s v="United States"/>
    <s v="stroller tray"/>
    <s v="BROAD"/>
    <x v="208"/>
    <n v="7"/>
    <n v="1"/>
    <n v="0.14285714285714285"/>
    <n v="0.21"/>
    <n v="0.21"/>
    <n v="0"/>
    <m/>
    <n v="0"/>
    <n v="0"/>
    <n v="0"/>
    <n v="0"/>
    <n v="0"/>
    <n v="0"/>
    <n v="0"/>
    <n v="0"/>
  </r>
  <r>
    <x v="1"/>
    <x v="6"/>
    <d v="2026-02-08T00:00:00"/>
    <s v="No Portfolio"/>
    <s v="USD"/>
    <x v="2"/>
    <s v="Tray"/>
    <s v="Amazon"/>
    <s v="United States"/>
    <s v="asin=&quot;B0DSBVB1WW&quot;"/>
    <s v="-"/>
    <x v="208"/>
    <n v="1"/>
    <n v="1"/>
    <n v="1"/>
    <n v="0.66"/>
    <n v="0.66"/>
    <n v="0"/>
    <m/>
    <n v="0"/>
    <n v="0"/>
    <n v="0"/>
    <n v="0"/>
    <n v="0"/>
    <n v="0"/>
    <n v="0"/>
    <n v="0"/>
  </r>
  <r>
    <x v="1"/>
    <x v="6"/>
    <d v="2026-02-12T00:00:00"/>
    <s v="No Portfolio"/>
    <s v="USD"/>
    <x v="0"/>
    <s v="broad组"/>
    <s v="Amazon"/>
    <s v="United States"/>
    <s v="universal stroller tray"/>
    <s v="BROAD"/>
    <x v="208"/>
    <n v="1"/>
    <n v="1"/>
    <n v="1"/>
    <n v="0.21"/>
    <n v="0.21"/>
    <n v="0"/>
    <m/>
    <n v="0"/>
    <n v="0"/>
    <n v="0"/>
    <n v="0"/>
    <n v="0"/>
    <n v="0"/>
    <n v="0"/>
    <n v="0"/>
  </r>
  <r>
    <x v="1"/>
    <x v="6"/>
    <d v="2026-02-08T00:00:00"/>
    <s v="No Portfolio"/>
    <s v="USD"/>
    <x v="0"/>
    <s v="phrase&amp;exact"/>
    <s v="Amazon"/>
    <s v="United States"/>
    <s v="stroller tray attachment"/>
    <s v="PHRASE"/>
    <x v="209"/>
    <n v="6"/>
    <n v="1"/>
    <n v="0.16666666666666663"/>
    <n v="0.2"/>
    <n v="0.2"/>
    <n v="0"/>
    <m/>
    <n v="0"/>
    <n v="0"/>
    <n v="0"/>
    <n v="0"/>
    <n v="0"/>
    <n v="0"/>
    <n v="0"/>
    <n v="0"/>
  </r>
  <r>
    <x v="1"/>
    <x v="7"/>
    <d v="2026-02-07T00:00:00"/>
    <s v="No Portfolio"/>
    <s v="USD"/>
    <x v="2"/>
    <s v="Tray"/>
    <s v="Amazon"/>
    <s v="United States"/>
    <s v="asin=&quot;B0F4KJN2VC&quot;"/>
    <s v="-"/>
    <x v="209"/>
    <n v="1"/>
    <n v="1"/>
    <n v="1"/>
    <n v="0.55000000000000004"/>
    <n v="0.55000000000000004"/>
    <n v="0"/>
    <m/>
    <n v="0"/>
    <n v="0"/>
    <n v="0"/>
    <n v="0"/>
    <n v="0"/>
    <n v="0"/>
    <n v="0"/>
    <n v="0"/>
  </r>
  <r>
    <x v="1"/>
    <x v="7"/>
    <d v="2026-02-06T00:00:00"/>
    <s v="No Portfolio"/>
    <s v="USD"/>
    <x v="4"/>
    <s v="stroller tray"/>
    <s v="Amazon"/>
    <s v="United States"/>
    <s v="close-match"/>
    <s v="-"/>
    <x v="210"/>
    <n v="2"/>
    <n v="1"/>
    <n v="0.5"/>
    <n v="0.8"/>
    <n v="0.8"/>
    <n v="0"/>
    <m/>
    <n v="0"/>
    <n v="0"/>
    <n v="0"/>
    <n v="0"/>
    <n v="0"/>
    <n v="0"/>
    <n v="0"/>
    <n v="0"/>
  </r>
  <r>
    <x v="1"/>
    <x v="5"/>
    <d v="2026-02-18T00:00:00"/>
    <s v="No Portfolio"/>
    <s v="USD"/>
    <x v="2"/>
    <s v="Tray"/>
    <s v="Amazon"/>
    <s v="United States"/>
    <s v="asin=&quot;B0DSBVB1WW&quot;"/>
    <s v="-"/>
    <x v="210"/>
    <n v="7"/>
    <n v="1"/>
    <n v="0.14285714285714285"/>
    <n v="0.68"/>
    <n v="0.68"/>
    <n v="0"/>
    <m/>
    <n v="0"/>
    <n v="0"/>
    <n v="0"/>
    <n v="0"/>
    <n v="0"/>
    <n v="0"/>
    <n v="0"/>
    <n v="0"/>
  </r>
  <r>
    <x v="1"/>
    <x v="6"/>
    <d v="2026-02-10T00:00:00"/>
    <s v="No Portfolio"/>
    <s v="USD"/>
    <x v="1"/>
    <s v="broad组"/>
    <s v="Amazon"/>
    <s v="United States"/>
    <s v="stroller tray"/>
    <s v="BROAD"/>
    <x v="483"/>
    <n v="2"/>
    <n v="1"/>
    <n v="0.5"/>
    <n v="0.99"/>
    <n v="0.99"/>
    <n v="0"/>
    <m/>
    <n v="0"/>
    <n v="0"/>
    <n v="0"/>
    <n v="0"/>
    <n v="0"/>
    <n v="0"/>
    <n v="0"/>
    <n v="0"/>
  </r>
  <r>
    <x v="1"/>
    <x v="5"/>
    <d v="2026-02-19T00:00:00"/>
    <s v="No Portfolio"/>
    <s v="USD"/>
    <x v="0"/>
    <s v="broad组"/>
    <s v="Amazon"/>
    <s v="United States"/>
    <s v="stroller tray"/>
    <s v="BROAD"/>
    <x v="484"/>
    <n v="1"/>
    <n v="1"/>
    <n v="1"/>
    <n v="0.21"/>
    <n v="0.21"/>
    <n v="0"/>
    <m/>
    <n v="0"/>
    <n v="0"/>
    <n v="0"/>
    <n v="0"/>
    <n v="0"/>
    <n v="0"/>
    <n v="0"/>
    <n v="0"/>
  </r>
  <r>
    <x v="1"/>
    <x v="5"/>
    <d v="2026-02-17T00:00:00"/>
    <s v="No Portfolio"/>
    <s v="USD"/>
    <x v="1"/>
    <s v="broad组"/>
    <s v="Amazon"/>
    <s v="United States"/>
    <s v="wagon cup holder"/>
    <s v="BROAD"/>
    <x v="485"/>
    <n v="2"/>
    <n v="1"/>
    <n v="0.5"/>
    <n v="0.75"/>
    <n v="0.75"/>
    <n v="0"/>
    <m/>
    <n v="0"/>
    <n v="0"/>
    <n v="0"/>
    <n v="0"/>
    <n v="0"/>
    <n v="0"/>
    <n v="0"/>
    <n v="0"/>
  </r>
  <r>
    <x v="1"/>
    <x v="7"/>
    <d v="2026-02-03T00:00:00"/>
    <s v="No Portfolio"/>
    <s v="USD"/>
    <x v="2"/>
    <s v="Tray"/>
    <s v="Amazon"/>
    <s v="United States"/>
    <s v="asin=&quot;B0DSBVB1WW&quot;"/>
    <s v="-"/>
    <x v="486"/>
    <n v="1"/>
    <n v="1"/>
    <n v="1"/>
    <n v="0.79"/>
    <n v="0.79"/>
    <n v="0"/>
    <m/>
    <n v="0"/>
    <n v="0"/>
    <n v="0"/>
    <n v="0"/>
    <n v="0"/>
    <n v="0"/>
    <n v="0"/>
    <n v="0"/>
  </r>
  <r>
    <x v="1"/>
    <x v="5"/>
    <d v="2026-02-18T00:00:00"/>
    <s v="No Portfolio"/>
    <s v="USD"/>
    <x v="0"/>
    <s v="broad组"/>
    <s v="Amazon"/>
    <s v="United States"/>
    <s v="universal stroller tray"/>
    <s v="BROAD"/>
    <x v="487"/>
    <n v="1"/>
    <n v="1"/>
    <n v="1"/>
    <n v="0.2"/>
    <n v="0.2"/>
    <n v="0"/>
    <m/>
    <n v="0"/>
    <n v="0"/>
    <n v="0"/>
    <n v="0"/>
    <n v="0"/>
    <n v="0"/>
    <n v="0"/>
    <n v="0"/>
  </r>
  <r>
    <x v="1"/>
    <x v="6"/>
    <d v="2026-02-13T00:00:00"/>
    <s v="No Portfolio"/>
    <s v="USD"/>
    <x v="4"/>
    <s v="stroller tray"/>
    <s v="Amazon"/>
    <s v="United States"/>
    <s v="loose-match"/>
    <s v="-"/>
    <x v="488"/>
    <n v="1"/>
    <n v="1"/>
    <n v="1"/>
    <n v="0.35"/>
    <n v="0.35"/>
    <n v="0"/>
    <m/>
    <n v="0"/>
    <n v="0"/>
    <n v="0"/>
    <n v="0"/>
    <n v="0"/>
    <n v="0"/>
    <n v="0"/>
    <n v="0"/>
  </r>
  <r>
    <x v="1"/>
    <x v="7"/>
    <d v="2026-02-05T00:00:00"/>
    <s v="No Portfolio"/>
    <s v="USD"/>
    <x v="0"/>
    <s v="broad组"/>
    <s v="Amazon"/>
    <s v="United States"/>
    <s v="stroller tray"/>
    <s v="BROAD"/>
    <x v="489"/>
    <n v="12"/>
    <n v="1"/>
    <n v="8.3333333333333315E-2"/>
    <n v="0.2"/>
    <n v="0.2"/>
    <n v="0"/>
    <m/>
    <n v="0"/>
    <n v="0"/>
    <n v="0"/>
    <n v="0"/>
    <n v="0"/>
    <n v="0"/>
    <n v="0"/>
    <n v="0"/>
  </r>
  <r>
    <x v="1"/>
    <x v="7"/>
    <d v="2026-02-05T00:00:00"/>
    <s v="No Portfolio"/>
    <s v="USD"/>
    <x v="5"/>
    <s v="ENC Yellow"/>
    <s v="Amazon"/>
    <s v="United States"/>
    <s v="loose-match"/>
    <s v="-"/>
    <x v="490"/>
    <n v="1"/>
    <n v="1"/>
    <n v="1"/>
    <n v="0.44"/>
    <n v="0.44"/>
    <n v="0"/>
    <m/>
    <n v="0"/>
    <n v="0"/>
    <n v="0"/>
    <n v="0"/>
    <n v="0"/>
    <n v="0"/>
    <n v="0"/>
    <n v="0"/>
  </r>
  <r>
    <x v="1"/>
    <x v="6"/>
    <d v="2026-02-14T00:00:00"/>
    <s v="No Portfolio"/>
    <s v="USD"/>
    <x v="0"/>
    <s v="broad组"/>
    <s v="Amazon"/>
    <s v="United States"/>
    <s v="stroller accessories"/>
    <s v="BROAD"/>
    <x v="491"/>
    <n v="3"/>
    <n v="1"/>
    <n v="0.33333333333333331"/>
    <n v="0.16"/>
    <n v="0.16"/>
    <n v="0"/>
    <m/>
    <n v="0"/>
    <n v="0"/>
    <n v="0"/>
    <n v="0"/>
    <n v="0"/>
    <n v="0"/>
    <n v="0"/>
    <n v="0"/>
  </r>
  <r>
    <x v="1"/>
    <x v="7"/>
    <d v="2026-02-03T00:00:00"/>
    <s v="No Portfolio"/>
    <s v="USD"/>
    <x v="6"/>
    <s v="ENC"/>
    <s v="Amazon"/>
    <s v="United States"/>
    <s v="loose-match"/>
    <s v="-"/>
    <x v="492"/>
    <n v="46"/>
    <n v="1"/>
    <n v="2.1739130434782608E-2"/>
    <n v="1.03"/>
    <n v="1.03"/>
    <n v="0"/>
    <m/>
    <n v="0"/>
    <n v="0"/>
    <n v="0"/>
    <n v="0"/>
    <n v="0"/>
    <n v="0"/>
    <n v="0"/>
    <n v="0"/>
  </r>
  <r>
    <x v="1"/>
    <x v="7"/>
    <d v="2026-02-05T00:00:00"/>
    <s v="No Portfolio"/>
    <s v="USD"/>
    <x v="0"/>
    <s v="broad组"/>
    <s v="Amazon"/>
    <s v="United States"/>
    <s v="snack holder for stroller"/>
    <s v="BROAD"/>
    <x v="493"/>
    <n v="1"/>
    <n v="1"/>
    <n v="1"/>
    <n v="0.21"/>
    <n v="0.21"/>
    <n v="0"/>
    <m/>
    <n v="0"/>
    <n v="0"/>
    <n v="0"/>
    <n v="0"/>
    <n v="0"/>
    <n v="0"/>
    <n v="0"/>
    <n v="0"/>
  </r>
  <r>
    <x v="1"/>
    <x v="5"/>
    <d v="2026-02-16T00:00:00"/>
    <s v="No Portfolio"/>
    <s v="USD"/>
    <x v="5"/>
    <s v="ENC Yellow"/>
    <s v="Amazon"/>
    <s v="United States"/>
    <s v="close-match"/>
    <s v="-"/>
    <x v="494"/>
    <n v="1"/>
    <n v="1"/>
    <n v="1"/>
    <n v="0.99"/>
    <n v="0.99"/>
    <n v="0"/>
    <m/>
    <n v="0"/>
    <n v="0"/>
    <n v="0"/>
    <n v="0"/>
    <n v="0"/>
    <n v="0"/>
    <n v="0"/>
    <n v="0"/>
  </r>
  <r>
    <x v="1"/>
    <x v="6"/>
    <d v="2026-02-09T00:00:00"/>
    <s v="No Portfolio"/>
    <s v="USD"/>
    <x v="4"/>
    <s v="stroller tray"/>
    <s v="Amazon"/>
    <s v="United States"/>
    <s v="loose-match"/>
    <s v="-"/>
    <x v="495"/>
    <n v="1"/>
    <n v="1"/>
    <n v="1"/>
    <n v="0.42"/>
    <n v="0.42"/>
    <n v="0"/>
    <m/>
    <n v="0"/>
    <n v="0"/>
    <n v="0"/>
    <n v="0"/>
    <n v="0"/>
    <n v="0"/>
    <n v="0"/>
    <n v="0"/>
  </r>
  <r>
    <x v="1"/>
    <x v="6"/>
    <d v="2026-02-13T00:00:00"/>
    <s v="No Portfolio"/>
    <s v="USD"/>
    <x v="4"/>
    <s v="stroller tray"/>
    <s v="Amazon"/>
    <s v="United States"/>
    <s v="loose-match"/>
    <s v="-"/>
    <x v="496"/>
    <n v="2"/>
    <n v="1"/>
    <n v="0.5"/>
    <n v="0.35"/>
    <n v="0.35"/>
    <n v="0"/>
    <m/>
    <n v="0"/>
    <n v="0"/>
    <n v="0"/>
    <n v="0"/>
    <n v="0"/>
    <n v="0"/>
    <n v="0"/>
    <n v="0"/>
  </r>
  <r>
    <x v="1"/>
    <x v="6"/>
    <d v="2026-02-12T00:00:00"/>
    <s v="No Portfolio"/>
    <s v="USD"/>
    <x v="0"/>
    <s v="broad组"/>
    <s v="Amazon"/>
    <s v="United States"/>
    <s v="stroller attachment"/>
    <s v="BROAD"/>
    <x v="497"/>
    <n v="2"/>
    <n v="1"/>
    <n v="0.5"/>
    <n v="0.21"/>
    <n v="0.21"/>
    <n v="0"/>
    <m/>
    <n v="0"/>
    <n v="0"/>
    <n v="0"/>
    <n v="0"/>
    <n v="0"/>
    <n v="0"/>
    <n v="0"/>
    <n v="0"/>
  </r>
  <r>
    <x v="1"/>
    <x v="6"/>
    <d v="2026-02-12T00:00:00"/>
    <s v="No Portfolio"/>
    <s v="USD"/>
    <x v="6"/>
    <s v="ENC"/>
    <s v="Amazon"/>
    <s v="United States"/>
    <s v="loose-match"/>
    <s v="-"/>
    <x v="498"/>
    <n v="4"/>
    <n v="1"/>
    <n v="0.25"/>
    <n v="1.05"/>
    <n v="1.05"/>
    <n v="0"/>
    <m/>
    <n v="0"/>
    <n v="0"/>
    <n v="0"/>
    <n v="0"/>
    <n v="0"/>
    <n v="0"/>
    <n v="0"/>
    <n v="0"/>
  </r>
  <r>
    <x v="1"/>
    <x v="6"/>
    <d v="2026-02-12T00:00:00"/>
    <s v="No Portfolio"/>
    <s v="USD"/>
    <x v="6"/>
    <s v="ENC"/>
    <s v="Amazon"/>
    <s v="United States"/>
    <s v="loose-match"/>
    <s v="-"/>
    <x v="499"/>
    <n v="1"/>
    <n v="1"/>
    <n v="1"/>
    <n v="1.05"/>
    <n v="1.05"/>
    <n v="0"/>
    <m/>
    <n v="0"/>
    <n v="0"/>
    <n v="0"/>
    <n v="0"/>
    <n v="0"/>
    <n v="0"/>
    <n v="0"/>
    <n v="0"/>
  </r>
  <r>
    <x v="1"/>
    <x v="6"/>
    <d v="2026-02-09T00:00:00"/>
    <s v="No Portfolio"/>
    <s v="USD"/>
    <x v="6"/>
    <s v="ENC"/>
    <s v="Amazon"/>
    <s v="United States"/>
    <s v="loose-match"/>
    <s v="-"/>
    <x v="315"/>
    <n v="2"/>
    <n v="1"/>
    <n v="0.5"/>
    <n v="1"/>
    <n v="1"/>
    <n v="0"/>
    <m/>
    <n v="0"/>
    <n v="0"/>
    <n v="0"/>
    <n v="0"/>
    <n v="0"/>
    <n v="0"/>
    <n v="0"/>
    <n v="0"/>
  </r>
  <r>
    <x v="1"/>
    <x v="7"/>
    <d v="2026-02-06T00:00:00"/>
    <s v="No Portfolio"/>
    <s v="USD"/>
    <x v="4"/>
    <s v="stroller tray"/>
    <s v="Amazon"/>
    <s v="United States"/>
    <s v="loose-match"/>
    <s v="-"/>
    <x v="500"/>
    <n v="1"/>
    <n v="1"/>
    <n v="1"/>
    <n v="0.61"/>
    <n v="0.61"/>
    <n v="0"/>
    <m/>
    <n v="0"/>
    <n v="0"/>
    <n v="0"/>
    <n v="0"/>
    <n v="0"/>
    <n v="0"/>
    <n v="0"/>
    <n v="0"/>
  </r>
  <r>
    <x v="1"/>
    <x v="7"/>
    <d v="2026-02-01T00:00:00"/>
    <s v="No Portfolio"/>
    <s v="USD"/>
    <x v="6"/>
    <s v="ENC"/>
    <s v="Amazon"/>
    <s v="United States"/>
    <s v="loose-match"/>
    <s v="-"/>
    <x v="501"/>
    <n v="17"/>
    <n v="1"/>
    <n v="5.8823529411764698E-2"/>
    <n v="1.1499999999999999"/>
    <n v="1.1499999999999999"/>
    <n v="0"/>
    <m/>
    <n v="0"/>
    <n v="0"/>
    <n v="0"/>
    <n v="0"/>
    <n v="0"/>
    <n v="0"/>
    <n v="0"/>
    <n v="0"/>
  </r>
  <r>
    <x v="1"/>
    <x v="6"/>
    <d v="2026-02-10T00:00:00"/>
    <s v="No Portfolio"/>
    <s v="USD"/>
    <x v="4"/>
    <s v="stroller tray"/>
    <s v="Amazon"/>
    <s v="United States"/>
    <s v="close-match"/>
    <s v="-"/>
    <x v="222"/>
    <n v="19"/>
    <n v="1"/>
    <n v="5.2631578947368418E-2"/>
    <n v="0.45"/>
    <n v="0.45"/>
    <n v="0"/>
    <m/>
    <n v="0"/>
    <n v="0"/>
    <n v="0"/>
    <n v="0"/>
    <n v="0"/>
    <n v="0"/>
    <n v="0"/>
    <n v="0"/>
  </r>
  <r>
    <x v="1"/>
    <x v="5"/>
    <d v="2026-02-16T00:00:00"/>
    <s v="No Portfolio"/>
    <s v="USD"/>
    <x v="0"/>
    <s v="broad组"/>
    <s v="Amazon"/>
    <s v="United States"/>
    <s v="stroller tray"/>
    <s v="BROAD"/>
    <x v="222"/>
    <n v="1"/>
    <n v="1"/>
    <n v="1"/>
    <n v="0.21"/>
    <n v="0.21"/>
    <n v="0"/>
    <m/>
    <n v="0"/>
    <n v="0"/>
    <n v="0"/>
    <n v="0"/>
    <n v="0"/>
    <n v="0"/>
    <n v="0"/>
    <n v="0"/>
  </r>
  <r>
    <x v="1"/>
    <x v="6"/>
    <d v="2026-02-10T00:00:00"/>
    <s v="No Portfolio"/>
    <s v="USD"/>
    <x v="2"/>
    <s v="Tray"/>
    <s v="Amazon"/>
    <s v="United States"/>
    <s v="asin=&quot;B0F4KJN2VC&quot;"/>
    <s v="-"/>
    <x v="222"/>
    <n v="1"/>
    <n v="1"/>
    <n v="1"/>
    <n v="0.56999999999999995"/>
    <n v="0.56999999999999995"/>
    <n v="0"/>
    <m/>
    <n v="0"/>
    <n v="0"/>
    <n v="0"/>
    <n v="0"/>
    <n v="0"/>
    <n v="0"/>
    <n v="0"/>
    <n v="0"/>
  </r>
  <r>
    <x v="1"/>
    <x v="6"/>
    <d v="2026-02-11T00:00:00"/>
    <s v="No Portfolio"/>
    <s v="USD"/>
    <x v="1"/>
    <s v="broad组"/>
    <s v="Amazon"/>
    <s v="United States"/>
    <s v="stroller tray"/>
    <s v="BROAD"/>
    <x v="502"/>
    <n v="4"/>
    <n v="1"/>
    <n v="0.25"/>
    <n v="0.77"/>
    <n v="0.77"/>
    <n v="0"/>
    <m/>
    <n v="0"/>
    <n v="0"/>
    <n v="0"/>
    <n v="0"/>
    <n v="0"/>
    <n v="0"/>
    <n v="0"/>
    <n v="0"/>
  </r>
  <r>
    <x v="1"/>
    <x v="5"/>
    <d v="2026-02-18T00:00:00"/>
    <s v="No Portfolio"/>
    <s v="USD"/>
    <x v="0"/>
    <s v="broad组"/>
    <s v="Amazon"/>
    <s v="United States"/>
    <s v="stroller accessories"/>
    <s v="BROAD"/>
    <x v="503"/>
    <n v="1"/>
    <n v="1"/>
    <n v="1"/>
    <n v="0.16"/>
    <n v="0.16"/>
    <n v="0"/>
    <m/>
    <n v="0"/>
    <n v="0"/>
    <n v="0"/>
    <n v="0"/>
    <n v="0"/>
    <n v="0"/>
    <n v="0"/>
    <n v="0"/>
  </r>
  <r>
    <x v="1"/>
    <x v="6"/>
    <d v="2026-02-09T00:00:00"/>
    <s v="No Portfolio"/>
    <s v="USD"/>
    <x v="0"/>
    <s v="broad组"/>
    <s v="Amazon"/>
    <s v="United States"/>
    <s v="stroller attachment"/>
    <s v="BROAD"/>
    <x v="228"/>
    <n v="2"/>
    <n v="1"/>
    <n v="0.5"/>
    <n v="0.21"/>
    <n v="0.21"/>
    <n v="0"/>
    <m/>
    <n v="0"/>
    <n v="0"/>
    <n v="0"/>
    <n v="0"/>
    <n v="0"/>
    <n v="0"/>
    <n v="0"/>
    <n v="0"/>
  </r>
  <r>
    <x v="1"/>
    <x v="5"/>
    <d v="2026-02-15T00:00:00"/>
    <s v="No Portfolio"/>
    <s v="USD"/>
    <x v="0"/>
    <s v="broad组"/>
    <s v="Amazon"/>
    <s v="United States"/>
    <s v="stroller attachment"/>
    <s v="BROAD"/>
    <x v="317"/>
    <n v="4"/>
    <n v="1"/>
    <n v="0.25"/>
    <n v="0.21"/>
    <n v="0.21"/>
    <n v="0"/>
    <m/>
    <n v="0"/>
    <n v="0"/>
    <n v="0"/>
    <n v="0"/>
    <n v="0"/>
    <n v="0"/>
    <n v="0"/>
    <n v="0"/>
  </r>
  <r>
    <x v="1"/>
    <x v="6"/>
    <d v="2026-02-14T00:00:00"/>
    <s v="No Portfolio"/>
    <s v="USD"/>
    <x v="0"/>
    <s v="broad组"/>
    <s v="Amazon"/>
    <s v="United States"/>
    <s v="stroller tray"/>
    <s v="BROAD"/>
    <x v="231"/>
    <n v="3"/>
    <n v="1"/>
    <n v="0.33333333333333331"/>
    <n v="0.21"/>
    <n v="0.21"/>
    <n v="0"/>
    <m/>
    <n v="0"/>
    <n v="0"/>
    <n v="0"/>
    <n v="0"/>
    <n v="0"/>
    <n v="0"/>
    <n v="0"/>
    <n v="0"/>
  </r>
  <r>
    <x v="1"/>
    <x v="7"/>
    <d v="2026-02-03T00:00:00"/>
    <s v="No Portfolio"/>
    <s v="USD"/>
    <x v="4"/>
    <s v="stroller tray"/>
    <s v="Amazon"/>
    <s v="United States"/>
    <s v="substitutes"/>
    <s v="-"/>
    <x v="504"/>
    <n v="2"/>
    <n v="1"/>
    <n v="0.5"/>
    <n v="0.16"/>
    <n v="0.16"/>
    <n v="0"/>
    <m/>
    <n v="0"/>
    <n v="0"/>
    <n v="0"/>
    <n v="0"/>
    <n v="0"/>
    <n v="0"/>
    <n v="0"/>
    <n v="0"/>
  </r>
  <r>
    <x v="1"/>
    <x v="5"/>
    <d v="2026-02-15T00:00:00"/>
    <s v="No Portfolio"/>
    <s v="USD"/>
    <x v="1"/>
    <s v="Phrase&amp;Exact组"/>
    <s v="Amazon"/>
    <s v="United States"/>
    <s v="stroller tray attachment"/>
    <s v="PHRASE"/>
    <x v="505"/>
    <n v="2"/>
    <n v="1"/>
    <n v="0.5"/>
    <n v="0.68"/>
    <n v="0.68"/>
    <n v="0"/>
    <m/>
    <n v="0"/>
    <n v="0"/>
    <n v="0"/>
    <n v="0"/>
    <n v="0"/>
    <n v="0"/>
    <n v="0"/>
    <n v="0"/>
  </r>
  <r>
    <x v="1"/>
    <x v="5"/>
    <d v="2026-02-17T00:00:00"/>
    <s v="No Portfolio"/>
    <s v="USD"/>
    <x v="0"/>
    <s v="broad组"/>
    <s v="Amazon"/>
    <s v="United States"/>
    <s v="universal stroller tray"/>
    <s v="BROAD"/>
    <x v="506"/>
    <n v="1"/>
    <n v="1"/>
    <n v="1"/>
    <n v="0.21"/>
    <n v="0.21"/>
    <n v="17.09"/>
    <n v="1.2287887653598594E-2"/>
    <n v="81.38095238095238"/>
    <n v="1"/>
    <n v="1"/>
    <n v="1"/>
    <n v="1"/>
    <n v="0"/>
    <n v="17.09"/>
    <n v="0"/>
  </r>
  <r>
    <x v="1"/>
    <x v="6"/>
    <d v="2026-02-09T00:00:00"/>
    <s v="No Portfolio"/>
    <s v="USD"/>
    <x v="1"/>
    <s v="broad组"/>
    <s v="Amazon"/>
    <s v="United States"/>
    <s v="universal snack tray"/>
    <s v="BROAD"/>
    <x v="233"/>
    <n v="7"/>
    <n v="1"/>
    <n v="0.14285714285714285"/>
    <n v="1.37"/>
    <n v="1.37"/>
    <n v="0"/>
    <m/>
    <n v="0"/>
    <n v="0"/>
    <n v="0"/>
    <n v="0"/>
    <n v="0"/>
    <n v="0"/>
    <n v="0"/>
    <n v="0"/>
  </r>
  <r>
    <x v="1"/>
    <x v="6"/>
    <d v="2026-02-09T00:00:00"/>
    <s v="No Portfolio"/>
    <s v="USD"/>
    <x v="4"/>
    <s v="stroller tray"/>
    <s v="Amazon"/>
    <s v="United States"/>
    <s v="close-match"/>
    <s v="-"/>
    <x v="235"/>
    <n v="9"/>
    <n v="1"/>
    <n v="0.1111111111111111"/>
    <n v="0.6"/>
    <n v="0.6"/>
    <n v="0"/>
    <m/>
    <n v="0"/>
    <n v="0"/>
    <n v="0"/>
    <n v="0"/>
    <n v="0"/>
    <n v="0"/>
    <n v="0"/>
    <n v="0"/>
  </r>
  <r>
    <x v="1"/>
    <x v="7"/>
    <d v="2026-02-07T00:00:00"/>
    <s v="No Portfolio"/>
    <s v="USD"/>
    <x v="0"/>
    <s v="phrase&amp;exact"/>
    <s v="Amazon"/>
    <s v="United States"/>
    <s v="snack tray for stroller"/>
    <s v="PHRASE"/>
    <x v="235"/>
    <n v="14"/>
    <n v="2"/>
    <n v="0.14285714285714285"/>
    <n v="0.2"/>
    <n v="0.4"/>
    <n v="0"/>
    <m/>
    <n v="0"/>
    <n v="0"/>
    <n v="0"/>
    <n v="0"/>
    <n v="0"/>
    <n v="0"/>
    <n v="0"/>
    <n v="0"/>
  </r>
  <r>
    <x v="1"/>
    <x v="5"/>
    <d v="2026-02-16T00:00:00"/>
    <s v="No Portfolio"/>
    <s v="USD"/>
    <x v="0"/>
    <s v="phrase&amp;exact"/>
    <s v="Amazon"/>
    <s v="United States"/>
    <s v="snack tray for stroller"/>
    <s v="PHRASE"/>
    <x v="235"/>
    <n v="25"/>
    <n v="1"/>
    <n v="0.04"/>
    <n v="0.2"/>
    <n v="0.2"/>
    <n v="0"/>
    <m/>
    <n v="0"/>
    <n v="0"/>
    <n v="0"/>
    <n v="0"/>
    <n v="0"/>
    <n v="0"/>
    <n v="0"/>
    <n v="0"/>
  </r>
  <r>
    <x v="1"/>
    <x v="7"/>
    <d v="2026-02-05T00:00:00"/>
    <s v="No Portfolio"/>
    <s v="USD"/>
    <x v="2"/>
    <s v="Tray"/>
    <s v="Amazon"/>
    <s v="United States"/>
    <s v="asin=&quot;B0F4KJN2VC&quot;"/>
    <s v="-"/>
    <x v="235"/>
    <n v="4"/>
    <n v="1"/>
    <n v="0.25"/>
    <n v="0.62"/>
    <n v="0.62"/>
    <n v="0"/>
    <m/>
    <n v="0"/>
    <n v="0"/>
    <n v="0"/>
    <n v="0"/>
    <n v="0"/>
    <n v="0"/>
    <n v="0"/>
    <n v="0"/>
  </r>
  <r>
    <x v="1"/>
    <x v="6"/>
    <d v="2026-02-09T00:00:00"/>
    <s v="No Portfolio"/>
    <s v="USD"/>
    <x v="2"/>
    <s v="Tray"/>
    <s v="Amazon"/>
    <s v="United States"/>
    <s v="asin=&quot;B0DKNQ2BMP&quot;"/>
    <s v="-"/>
    <x v="235"/>
    <n v="9"/>
    <n v="1"/>
    <n v="0.1111111111111111"/>
    <n v="0.56000000000000005"/>
    <n v="0.56000000000000005"/>
    <n v="17.09"/>
    <n v="3.2767700409596263E-2"/>
    <n v="30.517857142857139"/>
    <n v="1"/>
    <n v="1"/>
    <n v="1"/>
    <n v="0"/>
    <n v="1"/>
    <n v="0"/>
    <n v="17.09"/>
  </r>
  <r>
    <x v="1"/>
    <x v="7"/>
    <d v="2026-02-06T00:00:00"/>
    <s v="No Portfolio"/>
    <s v="USD"/>
    <x v="2"/>
    <s v="Tray"/>
    <s v="Amazon"/>
    <s v="United States"/>
    <s v="asin=&quot;B0DSBVB1WW&quot;"/>
    <s v="-"/>
    <x v="235"/>
    <n v="1"/>
    <n v="1"/>
    <n v="1"/>
    <n v="0.72"/>
    <n v="0.72"/>
    <n v="0"/>
    <m/>
    <n v="0"/>
    <n v="0"/>
    <n v="0"/>
    <n v="0"/>
    <n v="0"/>
    <n v="0"/>
    <n v="0"/>
    <n v="0"/>
  </r>
  <r>
    <x v="1"/>
    <x v="5"/>
    <d v="2026-02-19T00:00:00"/>
    <s v="No Portfolio"/>
    <s v="USD"/>
    <x v="2"/>
    <s v="Tray"/>
    <s v="Amazon"/>
    <s v="United States"/>
    <s v="asin=&quot;B0DSBVB1WW&quot;"/>
    <s v="-"/>
    <x v="235"/>
    <n v="9"/>
    <n v="2"/>
    <n v="0.22222222222222221"/>
    <n v="0.68"/>
    <n v="1.36"/>
    <n v="0"/>
    <m/>
    <n v="0"/>
    <n v="0"/>
    <n v="0"/>
    <n v="0"/>
    <n v="0"/>
    <n v="0"/>
    <n v="0"/>
    <n v="0"/>
  </r>
  <r>
    <x v="1"/>
    <x v="6"/>
    <d v="2026-02-11T00:00:00"/>
    <s v="No Portfolio"/>
    <s v="USD"/>
    <x v="1"/>
    <s v="broad组"/>
    <s v="Amazon"/>
    <s v="United States"/>
    <s v="universal snack tray"/>
    <s v="BROAD"/>
    <x v="235"/>
    <n v="2"/>
    <n v="1"/>
    <n v="0.5"/>
    <n v="1.27"/>
    <n v="1.27"/>
    <n v="17.09"/>
    <n v="7.4312463428905795E-2"/>
    <n v="13.456692913385826"/>
    <n v="1"/>
    <n v="1"/>
    <n v="1"/>
    <n v="1"/>
    <n v="0"/>
    <n v="17.09"/>
    <n v="0"/>
  </r>
  <r>
    <x v="1"/>
    <x v="5"/>
    <d v="2026-02-19T00:00:00"/>
    <s v="No Portfolio"/>
    <s v="USD"/>
    <x v="1"/>
    <s v="Phrase&amp;Exact组"/>
    <s v="Amazon"/>
    <s v="United States"/>
    <s v="universal snack tray"/>
    <s v="PHRASE"/>
    <x v="235"/>
    <n v="26"/>
    <n v="1"/>
    <n v="3.8461538461538464E-2"/>
    <n v="1.52"/>
    <n v="1.52"/>
    <n v="0"/>
    <m/>
    <n v="0"/>
    <n v="0"/>
    <n v="0"/>
    <n v="0"/>
    <n v="0"/>
    <n v="0"/>
    <n v="0"/>
    <n v="0"/>
  </r>
  <r>
    <x v="1"/>
    <x v="5"/>
    <d v="2026-02-21T00:00:00"/>
    <s v="No Portfolio"/>
    <s v="USD"/>
    <x v="1"/>
    <s v="Phrase&amp;Exact组"/>
    <s v="Amazon"/>
    <s v="United States"/>
    <s v="universal snack tray"/>
    <s v="PHRASE"/>
    <x v="235"/>
    <n v="82"/>
    <n v="1"/>
    <n v="1.2195121951219513E-2"/>
    <n v="1"/>
    <n v="1"/>
    <n v="0"/>
    <m/>
    <n v="0"/>
    <n v="0"/>
    <n v="0"/>
    <n v="0"/>
    <n v="0"/>
    <n v="0"/>
    <n v="0"/>
    <n v="0"/>
  </r>
  <r>
    <x v="1"/>
    <x v="7"/>
    <d v="2026-02-04T00:00:00"/>
    <s v="No Portfolio"/>
    <s v="USD"/>
    <x v="4"/>
    <s v="stroller tray"/>
    <s v="Amazon"/>
    <s v="United States"/>
    <s v="substitutes"/>
    <s v="-"/>
    <x v="507"/>
    <n v="1"/>
    <n v="1"/>
    <n v="1"/>
    <n v="0.57999999999999996"/>
    <n v="0.57999999999999996"/>
    <n v="0"/>
    <m/>
    <n v="0"/>
    <n v="0"/>
    <n v="0"/>
    <n v="0"/>
    <n v="0"/>
    <n v="0"/>
    <n v="0"/>
    <n v="0"/>
  </r>
  <r>
    <x v="1"/>
    <x v="6"/>
    <d v="2026-02-11T00:00:00"/>
    <s v="No Portfolio"/>
    <s v="USD"/>
    <x v="4"/>
    <s v="stroller tray"/>
    <s v="Amazon"/>
    <s v="United States"/>
    <s v="loose-match"/>
    <s v="-"/>
    <x v="508"/>
    <n v="1"/>
    <n v="1"/>
    <n v="1"/>
    <n v="0.38"/>
    <n v="0.38"/>
    <n v="0"/>
    <m/>
    <n v="0"/>
    <n v="0"/>
    <n v="0"/>
    <n v="0"/>
    <n v="0"/>
    <n v="0"/>
    <n v="0"/>
    <n v="0"/>
  </r>
  <r>
    <x v="1"/>
    <x v="5"/>
    <d v="2026-02-15T00:00:00"/>
    <s v="No Portfolio"/>
    <s v="USD"/>
    <x v="4"/>
    <s v="stroller tray"/>
    <s v="Amazon"/>
    <s v="United States"/>
    <s v="close-match"/>
    <s v="-"/>
    <x v="509"/>
    <n v="2"/>
    <n v="1"/>
    <n v="0.5"/>
    <n v="0.47"/>
    <n v="0.47"/>
    <n v="0"/>
    <m/>
    <n v="0"/>
    <n v="0"/>
    <n v="0"/>
    <n v="0"/>
    <n v="0"/>
    <n v="0"/>
    <n v="0"/>
    <n v="0"/>
  </r>
  <r>
    <x v="1"/>
    <x v="5"/>
    <d v="2026-02-17T00:00:00"/>
    <s v="No Portfolio"/>
    <s v="USD"/>
    <x v="0"/>
    <s v="phrase&amp;exact"/>
    <s v="Amazon"/>
    <s v="United States"/>
    <s v="stroller cup holder"/>
    <s v="PHRASE"/>
    <x v="510"/>
    <n v="1"/>
    <n v="1"/>
    <n v="1"/>
    <n v="0.2"/>
    <n v="0.2"/>
    <n v="0"/>
    <m/>
    <n v="0"/>
    <n v="0"/>
    <n v="0"/>
    <n v="0"/>
    <n v="0"/>
    <n v="0"/>
    <n v="0"/>
    <n v="0"/>
  </r>
  <r>
    <x v="1"/>
    <x v="6"/>
    <d v="2026-02-08T00:00:00"/>
    <s v="No Portfolio"/>
    <s v="USD"/>
    <x v="4"/>
    <s v="stroller tray"/>
    <s v="Amazon"/>
    <s v="United States"/>
    <s v="close-match"/>
    <s v="-"/>
    <x v="238"/>
    <n v="8"/>
    <n v="1"/>
    <n v="0.125"/>
    <n v="0.63"/>
    <n v="0.63"/>
    <n v="0"/>
    <m/>
    <n v="0"/>
    <n v="0"/>
    <n v="0"/>
    <n v="0"/>
    <n v="0"/>
    <n v="0"/>
    <n v="0"/>
    <n v="0"/>
  </r>
  <r>
    <x v="1"/>
    <x v="6"/>
    <d v="2026-02-09T00:00:00"/>
    <s v="No Portfolio"/>
    <s v="USD"/>
    <x v="4"/>
    <s v="stroller tray"/>
    <s v="Amazon"/>
    <s v="United States"/>
    <s v="close-match"/>
    <s v="-"/>
    <x v="238"/>
    <n v="2"/>
    <n v="1"/>
    <n v="0.5"/>
    <n v="0.6"/>
    <n v="0.6"/>
    <n v="17.09"/>
    <n v="3.5108250438853128E-2"/>
    <n v="28.483333333333334"/>
    <n v="1"/>
    <n v="1"/>
    <n v="1"/>
    <n v="1"/>
    <n v="0"/>
    <n v="17.09"/>
    <n v="0"/>
  </r>
  <r>
    <x v="1"/>
    <x v="5"/>
    <d v="2026-02-19T00:00:00"/>
    <s v="No Portfolio"/>
    <s v="USD"/>
    <x v="4"/>
    <s v="stroller tray"/>
    <s v="Amazon"/>
    <s v="United States"/>
    <s v="close-match"/>
    <s v="-"/>
    <x v="238"/>
    <n v="20"/>
    <n v="1"/>
    <n v="0.05"/>
    <n v="0.69"/>
    <n v="0.69"/>
    <n v="0"/>
    <m/>
    <n v="0"/>
    <n v="0"/>
    <n v="0"/>
    <n v="0"/>
    <n v="0"/>
    <n v="0"/>
    <n v="0"/>
    <n v="0"/>
  </r>
  <r>
    <x v="1"/>
    <x v="6"/>
    <d v="2026-02-11T00:00:00"/>
    <s v="No Portfolio"/>
    <s v="USD"/>
    <x v="1"/>
    <s v="Phrase&amp;Exact组"/>
    <s v="Amazon"/>
    <s v="United States"/>
    <s v="universal stroller snack tray"/>
    <s v="PHRASE"/>
    <x v="238"/>
    <n v="2"/>
    <n v="1"/>
    <n v="0.5"/>
    <n v="0"/>
    <n v="0"/>
    <n v="0"/>
    <m/>
    <m/>
    <n v="0"/>
    <n v="0"/>
    <n v="0"/>
    <n v="0"/>
    <n v="0"/>
    <n v="0"/>
    <n v="0"/>
  </r>
  <r>
    <x v="1"/>
    <x v="6"/>
    <d v="2026-02-08T00:00:00"/>
    <s v="No Portfolio"/>
    <s v="USD"/>
    <x v="1"/>
    <s v="Phrase&amp;Exact组"/>
    <s v="Amazon"/>
    <s v="United States"/>
    <s v="universal stroller snack tray"/>
    <s v="EXACT"/>
    <x v="238"/>
    <n v="15"/>
    <n v="1"/>
    <n v="6.6666666666666666E-2"/>
    <n v="1.1000000000000001"/>
    <n v="1.1000000000000001"/>
    <n v="0"/>
    <m/>
    <n v="0"/>
    <n v="0"/>
    <n v="0"/>
    <n v="0"/>
    <n v="0"/>
    <n v="0"/>
    <n v="0"/>
    <n v="0"/>
  </r>
  <r>
    <x v="1"/>
    <x v="6"/>
    <d v="2026-02-13T00:00:00"/>
    <s v="No Portfolio"/>
    <s v="USD"/>
    <x v="1"/>
    <s v="Phrase&amp;Exact组"/>
    <s v="Amazon"/>
    <s v="United States"/>
    <s v="universal stroller snack tray"/>
    <s v="EXACT"/>
    <x v="238"/>
    <n v="45"/>
    <n v="2"/>
    <n v="4.4444444444444453E-2"/>
    <n v="1.06"/>
    <n v="2.12"/>
    <n v="0"/>
    <m/>
    <n v="0"/>
    <n v="0"/>
    <n v="0"/>
    <n v="0"/>
    <n v="0"/>
    <n v="0"/>
    <n v="0"/>
    <n v="0"/>
  </r>
  <r>
    <x v="1"/>
    <x v="6"/>
    <d v="2026-02-10T00:00:00"/>
    <s v="No Portfolio"/>
    <s v="USD"/>
    <x v="0"/>
    <s v="phrase&amp;exact"/>
    <s v="Amazon"/>
    <s v="United States"/>
    <s v="universal stroller snack tray"/>
    <s v="PHRASE"/>
    <x v="238"/>
    <n v="21"/>
    <n v="3"/>
    <n v="0.14285714285714285"/>
    <n v="0.19999999999999998"/>
    <n v="0.6"/>
    <n v="16.989999999999998"/>
    <n v="3.5314891112419075E-2"/>
    <n v="28.316666666666666"/>
    <n v="1"/>
    <n v="1"/>
    <n v="0.33333333333333331"/>
    <n v="1"/>
    <n v="0"/>
    <n v="16.989999999999998"/>
    <n v="0"/>
  </r>
  <r>
    <x v="1"/>
    <x v="5"/>
    <d v="2026-02-15T00:00:00"/>
    <s v="No Portfolio"/>
    <s v="USD"/>
    <x v="0"/>
    <s v="phrase&amp;exact"/>
    <s v="Amazon"/>
    <s v="United States"/>
    <s v="universal stroller snack tray"/>
    <s v="PHRASE"/>
    <x v="238"/>
    <n v="35"/>
    <n v="2"/>
    <n v="5.7142857142857141E-2"/>
    <n v="0.2"/>
    <n v="0.4"/>
    <n v="0"/>
    <m/>
    <n v="0"/>
    <n v="0"/>
    <n v="0"/>
    <n v="0"/>
    <n v="0"/>
    <n v="0"/>
    <n v="0"/>
    <n v="0"/>
  </r>
  <r>
    <x v="1"/>
    <x v="5"/>
    <d v="2026-02-15T00:00:00"/>
    <s v="No Portfolio"/>
    <s v="USD"/>
    <x v="2"/>
    <s v="Tray"/>
    <s v="Amazon"/>
    <s v="United States"/>
    <s v="asin=&quot;B0DH98H2G4&quot;"/>
    <s v="-"/>
    <x v="238"/>
    <n v="3"/>
    <n v="1"/>
    <n v="0.33333333333333331"/>
    <n v="0.56999999999999995"/>
    <n v="0.56999999999999995"/>
    <n v="0"/>
    <m/>
    <n v="0"/>
    <n v="0"/>
    <n v="0"/>
    <n v="0"/>
    <n v="0"/>
    <n v="0"/>
    <n v="0"/>
    <n v="0"/>
  </r>
  <r>
    <x v="1"/>
    <x v="5"/>
    <d v="2026-02-17T00:00:00"/>
    <s v="No Portfolio"/>
    <s v="USD"/>
    <x v="2"/>
    <s v="Tray"/>
    <s v="Amazon"/>
    <s v="United States"/>
    <s v="asin=&quot;B0F4KJN2VC&quot;"/>
    <s v="-"/>
    <x v="238"/>
    <n v="28"/>
    <n v="1"/>
    <n v="3.5714285714285712E-2"/>
    <n v="0.59"/>
    <n v="0.59"/>
    <n v="0"/>
    <m/>
    <n v="0"/>
    <n v="0"/>
    <n v="0"/>
    <n v="0"/>
    <n v="0"/>
    <n v="0"/>
    <n v="0"/>
    <n v="0"/>
  </r>
  <r>
    <x v="1"/>
    <x v="5"/>
    <d v="2026-02-18T00:00:00"/>
    <s v="No Portfolio"/>
    <s v="USD"/>
    <x v="2"/>
    <s v="Tray"/>
    <s v="Amazon"/>
    <s v="United States"/>
    <s v="asin=&quot;B0F4KJN2VC&quot;"/>
    <s v="-"/>
    <x v="238"/>
    <n v="2"/>
    <n v="1"/>
    <n v="0.5"/>
    <n v="0.59"/>
    <n v="0.59"/>
    <n v="0"/>
    <m/>
    <n v="0"/>
    <n v="0"/>
    <n v="0"/>
    <n v="0"/>
    <n v="0"/>
    <n v="0"/>
    <n v="0"/>
    <n v="0"/>
  </r>
  <r>
    <x v="1"/>
    <x v="6"/>
    <d v="2026-02-14T00:00:00"/>
    <s v="No Portfolio"/>
    <s v="USD"/>
    <x v="0"/>
    <s v="broad组"/>
    <s v="Amazon"/>
    <s v="United States"/>
    <s v="universal stroller tray"/>
    <s v="BROAD"/>
    <x v="238"/>
    <n v="12"/>
    <n v="1"/>
    <n v="8.3333333333333315E-2"/>
    <n v="0.21"/>
    <n v="0.21"/>
    <n v="0"/>
    <m/>
    <n v="0"/>
    <n v="0"/>
    <n v="0"/>
    <n v="0"/>
    <n v="0"/>
    <n v="0"/>
    <n v="0"/>
    <n v="0"/>
  </r>
  <r>
    <x v="1"/>
    <x v="7"/>
    <d v="2026-02-03T00:00:00"/>
    <s v="No Portfolio"/>
    <s v="USD"/>
    <x v="1"/>
    <s v="broad组"/>
    <s v="Amazon"/>
    <s v="United States"/>
    <s v="universal snack tray"/>
    <s v="BROAD"/>
    <x v="238"/>
    <n v="5"/>
    <n v="1"/>
    <n v="0.2"/>
    <n v="1.33"/>
    <n v="1.33"/>
    <n v="0"/>
    <m/>
    <n v="0"/>
    <n v="0"/>
    <n v="0"/>
    <n v="0"/>
    <n v="0"/>
    <n v="0"/>
    <n v="0"/>
    <n v="0"/>
  </r>
  <r>
    <x v="1"/>
    <x v="6"/>
    <d v="2026-02-09T00:00:00"/>
    <s v="No Portfolio"/>
    <s v="USD"/>
    <x v="1"/>
    <s v="broad组"/>
    <s v="Amazon"/>
    <s v="United States"/>
    <s v="jeep double stroller snack tray"/>
    <s v="BROAD"/>
    <x v="238"/>
    <n v="49"/>
    <n v="1"/>
    <n v="2.0408163265306124E-2"/>
    <n v="1.45"/>
    <n v="1.45"/>
    <n v="0"/>
    <m/>
    <n v="0"/>
    <n v="0"/>
    <n v="0"/>
    <n v="0"/>
    <n v="0"/>
    <n v="0"/>
    <n v="0"/>
    <n v="0"/>
  </r>
  <r>
    <x v="1"/>
    <x v="6"/>
    <d v="2026-02-10T00:00:00"/>
    <s v="No Portfolio"/>
    <s v="USD"/>
    <x v="1"/>
    <s v="broad组"/>
    <s v="Amazon"/>
    <s v="United States"/>
    <s v="jeep double stroller snack tray"/>
    <s v="BROAD"/>
    <x v="238"/>
    <n v="92"/>
    <n v="1"/>
    <n v="1.0869565217391304E-2"/>
    <n v="1.4"/>
    <n v="1.4"/>
    <n v="0"/>
    <m/>
    <n v="0"/>
    <n v="0"/>
    <n v="0"/>
    <n v="0"/>
    <n v="0"/>
    <n v="0"/>
    <n v="0"/>
    <n v="0"/>
  </r>
  <r>
    <x v="1"/>
    <x v="5"/>
    <d v="2026-02-15T00:00:00"/>
    <s v="No Portfolio"/>
    <s v="USD"/>
    <x v="1"/>
    <s v="Phrase&amp;Exact组"/>
    <s v="Amazon"/>
    <s v="United States"/>
    <s v="universal stroller snack tray"/>
    <s v="PHRASE"/>
    <x v="511"/>
    <n v="2"/>
    <n v="1"/>
    <n v="0.5"/>
    <n v="1.37"/>
    <n v="1.37"/>
    <n v="0"/>
    <m/>
    <n v="0"/>
    <n v="0"/>
    <n v="0"/>
    <n v="0"/>
    <n v="0"/>
    <n v="0"/>
    <n v="0"/>
    <n v="0"/>
  </r>
  <r>
    <x v="1"/>
    <x v="5"/>
    <d v="2026-02-17T00:00:00"/>
    <s v="No Portfolio"/>
    <s v="USD"/>
    <x v="1"/>
    <s v="Phrase&amp;Exact组"/>
    <s v="Amazon"/>
    <s v="United States"/>
    <s v="universal stroller snack tray"/>
    <s v="PHRASE"/>
    <x v="511"/>
    <n v="3"/>
    <n v="1"/>
    <n v="0.33333333333333331"/>
    <n v="1.42"/>
    <n v="1.42"/>
    <n v="0"/>
    <m/>
    <n v="0"/>
    <n v="0"/>
    <n v="0"/>
    <n v="0"/>
    <n v="0"/>
    <n v="0"/>
    <n v="0"/>
    <n v="0"/>
  </r>
  <r>
    <x v="1"/>
    <x v="5"/>
    <d v="2026-02-20T00:00:00"/>
    <s v="No Portfolio"/>
    <s v="USD"/>
    <x v="1"/>
    <s v="Phrase&amp;Exact组"/>
    <s v="Amazon"/>
    <s v="United States"/>
    <s v="universal stroller snack tray"/>
    <s v="PHRASE"/>
    <x v="512"/>
    <n v="2"/>
    <n v="1"/>
    <n v="0.5"/>
    <n v="1.33"/>
    <n v="1.33"/>
    <n v="0"/>
    <m/>
    <n v="0"/>
    <n v="0"/>
    <n v="0"/>
    <n v="0"/>
    <n v="0"/>
    <n v="0"/>
    <n v="0"/>
    <n v="0"/>
  </r>
  <r>
    <x v="1"/>
    <x v="6"/>
    <d v="2026-02-12T00:00:00"/>
    <s v="No Portfolio"/>
    <s v="USD"/>
    <x v="0"/>
    <s v="phrase&amp;exact"/>
    <s v="Amazon"/>
    <s v="United States"/>
    <s v="universal stroller tray"/>
    <s v="PHRASE"/>
    <x v="241"/>
    <n v="2"/>
    <n v="1"/>
    <n v="0.5"/>
    <n v="0.2"/>
    <n v="0.2"/>
    <n v="0"/>
    <m/>
    <n v="0"/>
    <n v="0"/>
    <n v="0"/>
    <n v="0"/>
    <n v="0"/>
    <n v="0"/>
    <n v="0"/>
    <n v="0"/>
  </r>
  <r>
    <x v="1"/>
    <x v="6"/>
    <d v="2026-02-12T00:00:00"/>
    <s v="No Portfolio"/>
    <s v="USD"/>
    <x v="1"/>
    <s v="Phrase&amp;Exact组"/>
    <s v="Amazon"/>
    <s v="United States"/>
    <s v="stroller tray attachment"/>
    <s v="PHRASE"/>
    <x v="513"/>
    <n v="1"/>
    <n v="1"/>
    <n v="1"/>
    <n v="0.96"/>
    <n v="0.96"/>
    <n v="0"/>
    <m/>
    <n v="0"/>
    <n v="0"/>
    <n v="0"/>
    <n v="0"/>
    <n v="0"/>
    <n v="0"/>
    <n v="0"/>
    <n v="0"/>
  </r>
  <r>
    <x v="1"/>
    <x v="7"/>
    <d v="2026-02-01T00:00:00"/>
    <s v="No Portfolio"/>
    <s v="USD"/>
    <x v="2"/>
    <s v="Tray"/>
    <s v="Amazon"/>
    <s v="United States"/>
    <s v="asin=&quot;B0DSBVB1WW&quot;"/>
    <s v="-"/>
    <x v="513"/>
    <n v="2"/>
    <n v="1"/>
    <n v="0.5"/>
    <n v="0.5"/>
    <n v="0.5"/>
    <n v="0"/>
    <m/>
    <n v="0"/>
    <n v="0"/>
    <n v="0"/>
    <n v="0"/>
    <n v="0"/>
    <n v="0"/>
    <n v="0"/>
    <n v="0"/>
  </r>
  <r>
    <x v="1"/>
    <x v="5"/>
    <d v="2026-02-17T00:00:00"/>
    <s v="No Portfolio"/>
    <s v="USD"/>
    <x v="0"/>
    <s v="phrase&amp;exact"/>
    <s v="Amazon"/>
    <s v="United States"/>
    <s v="universal stroller tray"/>
    <s v="PHRASE"/>
    <x v="514"/>
    <n v="2"/>
    <n v="1"/>
    <n v="0.5"/>
    <n v="0.21"/>
    <n v="0.21"/>
    <n v="17.09"/>
    <n v="1.2287887653598594E-2"/>
    <n v="81.38095238095238"/>
    <n v="1"/>
    <n v="1"/>
    <n v="1"/>
    <n v="1"/>
    <n v="0"/>
    <n v="17.09"/>
    <n v="0"/>
  </r>
  <r>
    <x v="1"/>
    <x v="6"/>
    <d v="2026-02-10T00:00:00"/>
    <s v="No Portfolio"/>
    <s v="USD"/>
    <x v="2"/>
    <s v="Tray"/>
    <s v="Amazon"/>
    <s v="United States"/>
    <s v="asin=&quot;B0DSBVB1WW&quot;"/>
    <s v="-"/>
    <x v="515"/>
    <n v="2"/>
    <n v="2"/>
    <n v="1"/>
    <n v="0.6"/>
    <n v="1.2"/>
    <n v="0"/>
    <m/>
    <n v="0"/>
    <n v="0"/>
    <n v="0"/>
    <n v="0"/>
    <n v="0"/>
    <n v="0"/>
    <n v="0"/>
    <n v="0"/>
  </r>
  <r>
    <x v="1"/>
    <x v="7"/>
    <d v="2026-02-07T00:00:00"/>
    <s v="No Portfolio"/>
    <s v="USD"/>
    <x v="0"/>
    <s v="broad组"/>
    <s v="Amazon"/>
    <s v="United States"/>
    <s v="universal stroller tray"/>
    <s v="BROAD"/>
    <x v="516"/>
    <n v="2"/>
    <n v="1"/>
    <n v="0.5"/>
    <n v="0.21"/>
    <n v="0.21"/>
    <n v="0"/>
    <m/>
    <n v="0"/>
    <n v="0"/>
    <n v="0"/>
    <n v="0"/>
    <n v="0"/>
    <n v="0"/>
    <n v="0"/>
    <n v="0"/>
  </r>
  <r>
    <x v="1"/>
    <x v="7"/>
    <d v="2026-02-03T00:00:00"/>
    <s v="No Portfolio"/>
    <s v="USD"/>
    <x v="4"/>
    <s v="stroller tray"/>
    <s v="Amazon"/>
    <s v="United States"/>
    <s v="loose-match"/>
    <s v="-"/>
    <x v="517"/>
    <n v="1"/>
    <n v="1"/>
    <n v="1"/>
    <n v="0.47"/>
    <n v="0.47"/>
    <n v="0"/>
    <m/>
    <n v="0"/>
    <n v="0"/>
    <n v="0"/>
    <n v="0"/>
    <n v="0"/>
    <n v="0"/>
    <n v="0"/>
    <n v="0"/>
  </r>
  <r>
    <x v="1"/>
    <x v="6"/>
    <d v="2026-02-13T00:00:00"/>
    <s v="No Portfolio"/>
    <s v="USD"/>
    <x v="0"/>
    <s v="broad组"/>
    <s v="Amazon"/>
    <s v="United States"/>
    <s v="snack tray for stroller"/>
    <s v="BROAD"/>
    <x v="518"/>
    <n v="1"/>
    <n v="1"/>
    <n v="1"/>
    <n v="0.21"/>
    <n v="0.21"/>
    <n v="0"/>
    <m/>
    <n v="0"/>
    <n v="0"/>
    <n v="0"/>
    <n v="0"/>
    <n v="0"/>
    <n v="0"/>
    <n v="0"/>
    <n v="0"/>
  </r>
  <r>
    <x v="1"/>
    <x v="6"/>
    <d v="2026-02-14T00:00:00"/>
    <s v="No Portfolio"/>
    <s v="USD"/>
    <x v="1"/>
    <s v="broad组"/>
    <s v="Amazon"/>
    <s v="United States"/>
    <s v="wagon cup holder"/>
    <s v="BROAD"/>
    <x v="324"/>
    <n v="5"/>
    <n v="1"/>
    <n v="0.2"/>
    <n v="0.9"/>
    <n v="0.9"/>
    <n v="0"/>
    <m/>
    <n v="0"/>
    <n v="0"/>
    <n v="0"/>
    <n v="0"/>
    <n v="0"/>
    <n v="0"/>
    <n v="0"/>
    <n v="0"/>
  </r>
  <r>
    <x v="1"/>
    <x v="7"/>
    <d v="2026-02-03T00:00:00"/>
    <s v="No Portfolio"/>
    <s v="USD"/>
    <x v="2"/>
    <s v="Tray"/>
    <s v="Amazon"/>
    <s v="United States"/>
    <s v="asin=&quot;B0BZDB9YRP&quot;"/>
    <s v="-"/>
    <x v="519"/>
    <n v="2"/>
    <n v="1"/>
    <n v="0.5"/>
    <n v="0.69"/>
    <n v="0.69"/>
    <n v="0"/>
    <m/>
    <n v="0"/>
    <n v="0"/>
    <n v="0"/>
    <n v="0"/>
    <n v="0"/>
    <n v="0"/>
    <n v="0"/>
    <n v="0"/>
  </r>
  <r>
    <x v="1"/>
    <x v="6"/>
    <d v="2026-02-10T00:00:00"/>
    <s v="No Portfolio"/>
    <s v="USD"/>
    <x v="2"/>
    <s v="Tray"/>
    <s v="Amazon"/>
    <s v="United States"/>
    <s v="asin=&quot;B0BZDB9YRP&quot;"/>
    <s v="-"/>
    <x v="520"/>
    <n v="2"/>
    <n v="1"/>
    <n v="0.5"/>
    <n v="0.43"/>
    <n v="0.43"/>
    <n v="0"/>
    <m/>
    <n v="0"/>
    <n v="0"/>
    <n v="0"/>
    <n v="0"/>
    <n v="0"/>
    <n v="0"/>
    <n v="0"/>
    <n v="0"/>
  </r>
  <r>
    <x v="1"/>
    <x v="6"/>
    <d v="2026-02-12T00:00:00"/>
    <s v="No Portfolio"/>
    <s v="USD"/>
    <x v="4"/>
    <s v="stroller tray"/>
    <s v="Amazon"/>
    <s v="United States"/>
    <s v="loose-match"/>
    <s v="-"/>
    <x v="521"/>
    <n v="1"/>
    <n v="1"/>
    <n v="1"/>
    <n v="0.35"/>
    <n v="0.35"/>
    <n v="0"/>
    <m/>
    <n v="0"/>
    <n v="0"/>
    <n v="0"/>
    <n v="0"/>
    <n v="0"/>
    <n v="0"/>
    <n v="0"/>
    <n v="0"/>
  </r>
  <r>
    <x v="1"/>
    <x v="5"/>
    <d v="2026-02-18T00:00:00"/>
    <s v="No Portfolio"/>
    <s v="USD"/>
    <x v="0"/>
    <s v="phrase&amp;exact"/>
    <s v="Amazon"/>
    <s v="United States"/>
    <s v="wagon cup holder"/>
    <s v="PHRASE"/>
    <x v="522"/>
    <n v="1"/>
    <n v="1"/>
    <n v="1"/>
    <n v="0.2"/>
    <n v="0.2"/>
    <n v="0"/>
    <m/>
    <n v="0"/>
    <n v="0"/>
    <n v="0"/>
    <n v="0"/>
    <n v="0"/>
    <n v="0"/>
    <n v="0"/>
    <n v="0"/>
  </r>
  <r>
    <x v="1"/>
    <x v="7"/>
    <d v="2026-02-05T00:00:00"/>
    <s v="No Portfolio"/>
    <s v="USD"/>
    <x v="0"/>
    <s v="broad组"/>
    <s v="Amazon"/>
    <s v="United States"/>
    <s v="stroller snack tray"/>
    <s v="BROAD"/>
    <x v="523"/>
    <n v="1"/>
    <n v="1"/>
    <n v="1"/>
    <n v="0.21"/>
    <n v="0.21"/>
    <n v="0"/>
    <m/>
    <n v="0"/>
    <n v="0"/>
    <n v="0"/>
    <n v="0"/>
    <n v="0"/>
    <n v="0"/>
    <n v="0"/>
    <n v="0"/>
  </r>
  <r>
    <x v="1"/>
    <x v="7"/>
    <d v="2026-02-02T00:00:00"/>
    <s v="No Portfolio"/>
    <s v="USD"/>
    <x v="4"/>
    <s v="stroller tray"/>
    <s v="Amazon"/>
    <s v="United States"/>
    <s v="loose-match"/>
    <s v="-"/>
    <x v="524"/>
    <n v="1"/>
    <n v="1"/>
    <n v="1"/>
    <n v="0.47"/>
    <n v="0.47"/>
    <n v="0"/>
    <m/>
    <n v="0"/>
    <n v="0"/>
    <n v="0"/>
    <n v="0"/>
    <n v="0"/>
    <n v="0"/>
    <n v="0"/>
    <n v="0"/>
  </r>
  <r>
    <x v="1"/>
    <x v="6"/>
    <d v="2026-02-08T00:00:00"/>
    <s v="No Portfolio"/>
    <s v="USD"/>
    <x v="1"/>
    <s v="broad组"/>
    <s v="Amazon"/>
    <s v="United States"/>
    <s v="universal snack tray"/>
    <s v="BROAD"/>
    <x v="525"/>
    <n v="3"/>
    <n v="1"/>
    <n v="0.33333333333333331"/>
    <n v="1.2"/>
    <n v="1.2"/>
    <n v="0"/>
    <m/>
    <n v="0"/>
    <n v="0"/>
    <n v="0"/>
    <n v="0"/>
    <n v="0"/>
    <n v="0"/>
    <n v="0"/>
    <n v="0"/>
  </r>
  <r>
    <x v="1"/>
    <x v="8"/>
    <d v="2026-02-24T00:00:00"/>
    <s v="No Portfolio"/>
    <s v="USD"/>
    <x v="4"/>
    <s v="stroller tray"/>
    <s v="Amazon"/>
    <s v="United States"/>
    <s v="loose-match"/>
    <s v="-"/>
    <x v="526"/>
    <n v="1"/>
    <n v="1"/>
    <n v="1"/>
    <n v="0.32"/>
    <n v="0.32"/>
    <n v="0"/>
    <m/>
    <n v="0"/>
    <n v="0"/>
    <n v="0"/>
    <n v="0"/>
    <n v="0"/>
    <n v="0"/>
    <n v="0"/>
    <n v="0"/>
  </r>
  <r>
    <x v="1"/>
    <x v="8"/>
    <d v="2026-02-22T00:00:00"/>
    <s v="No Portfolio"/>
    <s v="USD"/>
    <x v="6"/>
    <s v="ENC"/>
    <s v="Amazon"/>
    <s v="United States"/>
    <s v="close-match"/>
    <s v="-"/>
    <x v="527"/>
    <n v="2"/>
    <n v="1"/>
    <n v="0.5"/>
    <n v="1.23"/>
    <n v="1.23"/>
    <n v="0"/>
    <m/>
    <n v="0"/>
    <n v="0"/>
    <n v="0"/>
    <n v="0"/>
    <n v="0"/>
    <n v="0"/>
    <n v="0"/>
    <n v="0"/>
  </r>
  <r>
    <x v="1"/>
    <x v="8"/>
    <d v="2026-02-23T00:00:00"/>
    <s v="No Portfolio"/>
    <s v="USD"/>
    <x v="9"/>
    <s v="ENC"/>
    <s v="Amazon"/>
    <s v="United States"/>
    <s v="electric nail clipper"/>
    <s v="BROAD"/>
    <x v="528"/>
    <n v="2"/>
    <n v="1"/>
    <n v="0.5"/>
    <n v="0.68"/>
    <n v="0.68"/>
    <n v="0"/>
    <m/>
    <n v="0"/>
    <n v="0"/>
    <n v="0"/>
    <n v="0"/>
    <n v="0"/>
    <n v="0"/>
    <n v="0"/>
    <n v="0"/>
  </r>
  <r>
    <x v="1"/>
    <x v="8"/>
    <d v="2026-02-24T00:00:00"/>
    <s v="No Portfolio"/>
    <s v="USD"/>
    <x v="4"/>
    <s v="stroller tray"/>
    <s v="Amazon"/>
    <s v="United States"/>
    <s v="loose-match"/>
    <s v="-"/>
    <x v="529"/>
    <n v="1"/>
    <n v="1"/>
    <n v="1"/>
    <n v="0.32"/>
    <n v="0.32"/>
    <n v="0"/>
    <m/>
    <n v="0"/>
    <n v="0"/>
    <n v="0"/>
    <n v="0"/>
    <n v="0"/>
    <n v="0"/>
    <n v="0"/>
    <n v="0"/>
  </r>
  <r>
    <x v="1"/>
    <x v="8"/>
    <d v="2026-02-25T00:00:00"/>
    <s v="No Portfolio"/>
    <s v="USD"/>
    <x v="2"/>
    <s v="Tray"/>
    <s v="Amazon"/>
    <s v="United States"/>
    <s v="asin=&quot;B0DH98H2G4&quot;"/>
    <s v="-"/>
    <x v="530"/>
    <n v="1"/>
    <n v="1"/>
    <n v="1"/>
    <n v="0.57999999999999996"/>
    <n v="0.57999999999999996"/>
    <n v="0"/>
    <m/>
    <n v="0"/>
    <n v="0"/>
    <n v="0"/>
    <n v="0"/>
    <n v="0"/>
    <n v="0"/>
    <n v="0"/>
    <n v="0"/>
  </r>
  <r>
    <x v="1"/>
    <x v="8"/>
    <d v="2026-02-26T00:00:00"/>
    <s v="No Portfolio"/>
    <s v="USD"/>
    <x v="3"/>
    <s v="ENC Grey"/>
    <s v="Amazon"/>
    <s v="United States"/>
    <s v="loose-match"/>
    <s v="-"/>
    <x v="531"/>
    <n v="1"/>
    <n v="1"/>
    <n v="1"/>
    <n v="0.36"/>
    <n v="0.36"/>
    <n v="0"/>
    <m/>
    <n v="0"/>
    <n v="0"/>
    <n v="0"/>
    <n v="0"/>
    <n v="0"/>
    <n v="0"/>
    <n v="0"/>
    <n v="0"/>
  </r>
  <r>
    <x v="1"/>
    <x v="8"/>
    <d v="2026-02-27T00:00:00"/>
    <s v="No Portfolio"/>
    <s v="USD"/>
    <x v="4"/>
    <s v="stroller tray"/>
    <s v="Amazon"/>
    <s v="United States"/>
    <s v="substitutes"/>
    <s v="-"/>
    <x v="532"/>
    <n v="1"/>
    <n v="1"/>
    <n v="1"/>
    <n v="0.53"/>
    <n v="0.53"/>
    <n v="0"/>
    <m/>
    <n v="0"/>
    <n v="0"/>
    <n v="0"/>
    <n v="0"/>
    <n v="0"/>
    <n v="0"/>
    <n v="0"/>
    <n v="0"/>
  </r>
  <r>
    <x v="1"/>
    <x v="8"/>
    <d v="2026-02-24T00:00:00"/>
    <s v="No Portfolio"/>
    <s v="USD"/>
    <x v="6"/>
    <s v="ENC"/>
    <s v="Amazon"/>
    <s v="United States"/>
    <s v="substitutes"/>
    <s v="-"/>
    <x v="335"/>
    <n v="21"/>
    <n v="1"/>
    <n v="4.7619047619047623E-2"/>
    <n v="1.06"/>
    <n v="1.06"/>
    <n v="0"/>
    <m/>
    <n v="0"/>
    <n v="0"/>
    <n v="0"/>
    <n v="0"/>
    <n v="0"/>
    <n v="0"/>
    <n v="0"/>
    <n v="0"/>
  </r>
  <r>
    <x v="1"/>
    <x v="8"/>
    <d v="2026-02-28T00:00:00"/>
    <s v="No Portfolio"/>
    <s v="USD"/>
    <x v="4"/>
    <s v="stroller tray"/>
    <s v="Amazon"/>
    <s v="United States"/>
    <s v="substitutes"/>
    <s v="-"/>
    <x v="16"/>
    <n v="12"/>
    <n v="1"/>
    <n v="8.3333333333333315E-2"/>
    <n v="0.6"/>
    <n v="0.6"/>
    <n v="0"/>
    <m/>
    <n v="0"/>
    <n v="0"/>
    <n v="0"/>
    <n v="0"/>
    <n v="0"/>
    <n v="0"/>
    <n v="0"/>
    <n v="0"/>
  </r>
  <r>
    <x v="1"/>
    <x v="8"/>
    <d v="2026-02-22T00:00:00"/>
    <s v="No Portfolio"/>
    <s v="USD"/>
    <x v="4"/>
    <s v="stroller tray"/>
    <s v="Amazon"/>
    <s v="United States"/>
    <s v="substitutes"/>
    <s v="-"/>
    <x v="533"/>
    <n v="1"/>
    <n v="1"/>
    <n v="1"/>
    <n v="0.46"/>
    <n v="0.46"/>
    <n v="0"/>
    <m/>
    <n v="0"/>
    <n v="0"/>
    <n v="0"/>
    <n v="0"/>
    <n v="0"/>
    <n v="0"/>
    <n v="0"/>
    <n v="0"/>
  </r>
  <r>
    <x v="1"/>
    <x v="8"/>
    <d v="2026-02-22T00:00:00"/>
    <s v="No Portfolio"/>
    <s v="USD"/>
    <x v="2"/>
    <s v="Tray"/>
    <s v="Amazon"/>
    <s v="United States"/>
    <s v="asin=&quot;B0DH98H2G4&quot;"/>
    <s v="-"/>
    <x v="18"/>
    <n v="173"/>
    <n v="3"/>
    <n v="1.7341040462427744E-2"/>
    <n v="0.52333333333333332"/>
    <n v="1.57"/>
    <n v="0"/>
    <m/>
    <n v="0"/>
    <n v="0"/>
    <n v="0"/>
    <n v="0"/>
    <n v="0"/>
    <n v="0"/>
    <n v="0"/>
    <n v="0"/>
  </r>
  <r>
    <x v="1"/>
    <x v="8"/>
    <d v="2026-02-24T00:00:00"/>
    <s v="No Portfolio"/>
    <s v="USD"/>
    <x v="2"/>
    <s v="Tray"/>
    <s v="Amazon"/>
    <s v="United States"/>
    <s v="asin=&quot;B0DH98H2G4&quot;"/>
    <s v="-"/>
    <x v="18"/>
    <n v="406"/>
    <n v="3"/>
    <n v="7.3891625615763552E-3"/>
    <n v="0.54"/>
    <n v="1.62"/>
    <n v="0"/>
    <m/>
    <n v="0"/>
    <n v="0"/>
    <n v="0"/>
    <n v="0"/>
    <n v="0"/>
    <n v="0"/>
    <n v="0"/>
    <n v="0"/>
  </r>
  <r>
    <x v="1"/>
    <x v="8"/>
    <d v="2026-02-25T00:00:00"/>
    <s v="No Portfolio"/>
    <s v="USD"/>
    <x v="2"/>
    <s v="Tray"/>
    <s v="Amazon"/>
    <s v="United States"/>
    <s v="asin=&quot;B0DH98H2G4&quot;"/>
    <s v="-"/>
    <x v="18"/>
    <n v="37"/>
    <n v="1"/>
    <n v="2.7027027027027025E-2"/>
    <n v="0.56000000000000005"/>
    <n v="0.56000000000000005"/>
    <n v="0"/>
    <m/>
    <n v="0"/>
    <n v="0"/>
    <n v="0"/>
    <n v="0"/>
    <n v="0"/>
    <n v="0"/>
    <n v="0"/>
    <n v="0"/>
  </r>
  <r>
    <x v="1"/>
    <x v="8"/>
    <d v="2026-02-28T00:00:00"/>
    <s v="No Portfolio"/>
    <s v="USD"/>
    <x v="2"/>
    <s v="Tray"/>
    <s v="Amazon"/>
    <s v="United States"/>
    <s v="asin=&quot;B0DH98H2G4&quot;"/>
    <s v="-"/>
    <x v="18"/>
    <n v="323"/>
    <n v="4"/>
    <n v="1.238390092879257E-2"/>
    <n v="0.58750000000000002"/>
    <n v="2.35"/>
    <n v="0"/>
    <m/>
    <n v="0"/>
    <n v="0"/>
    <n v="0"/>
    <n v="0"/>
    <n v="0"/>
    <n v="0"/>
    <n v="0"/>
    <n v="0"/>
  </r>
  <r>
    <x v="1"/>
    <x v="8"/>
    <d v="2026-02-27T00:00:00"/>
    <s v="No Portfolio"/>
    <s v="USD"/>
    <x v="2"/>
    <s v="Tray"/>
    <s v="Amazon"/>
    <s v="United States"/>
    <s v="asin=&quot;B0DSBVB1WW&quot;"/>
    <s v="-"/>
    <x v="21"/>
    <n v="99"/>
    <n v="2"/>
    <n v="2.0202020202020204E-2"/>
    <n v="0.70499999999999996"/>
    <n v="1.41"/>
    <n v="0"/>
    <m/>
    <n v="0"/>
    <n v="0"/>
    <n v="0"/>
    <n v="0"/>
    <n v="0"/>
    <n v="0"/>
    <n v="0"/>
    <n v="0"/>
  </r>
  <r>
    <x v="1"/>
    <x v="8"/>
    <d v="2026-02-25T00:00:00"/>
    <s v="No Portfolio"/>
    <s v="USD"/>
    <x v="4"/>
    <s v="stroller tray"/>
    <s v="Amazon"/>
    <s v="United States"/>
    <s v="substitutes"/>
    <s v="-"/>
    <x v="534"/>
    <n v="1"/>
    <n v="1"/>
    <n v="1"/>
    <n v="0.1"/>
    <n v="0.1"/>
    <n v="0"/>
    <m/>
    <n v="0"/>
    <n v="0"/>
    <n v="0"/>
    <n v="0"/>
    <n v="0"/>
    <n v="0"/>
    <n v="0"/>
    <n v="0"/>
  </r>
  <r>
    <x v="1"/>
    <x v="8"/>
    <d v="2026-02-26T00:00:00"/>
    <s v="No Portfolio"/>
    <s v="USD"/>
    <x v="2"/>
    <s v="Tray"/>
    <s v="Amazon"/>
    <s v="United States"/>
    <s v="asin=&quot;B0F4KJN2VC&quot;"/>
    <s v="-"/>
    <x v="24"/>
    <n v="261"/>
    <n v="5"/>
    <n v="1.9157088122605363E-2"/>
    <n v="0.45"/>
    <n v="2.25"/>
    <n v="0"/>
    <m/>
    <n v="0"/>
    <n v="0"/>
    <n v="0"/>
    <n v="0"/>
    <n v="0"/>
    <n v="0"/>
    <n v="0"/>
    <n v="0"/>
  </r>
  <r>
    <x v="1"/>
    <x v="8"/>
    <d v="2026-02-27T00:00:00"/>
    <s v="No Portfolio"/>
    <s v="USD"/>
    <x v="4"/>
    <s v="stroller tray"/>
    <s v="Amazon"/>
    <s v="United States"/>
    <s v="substitutes"/>
    <s v="-"/>
    <x v="535"/>
    <n v="1"/>
    <n v="1"/>
    <n v="1"/>
    <n v="0.53"/>
    <n v="0.53"/>
    <n v="0"/>
    <m/>
    <n v="0"/>
    <n v="0"/>
    <n v="0"/>
    <n v="0"/>
    <n v="0"/>
    <n v="0"/>
    <n v="0"/>
    <n v="0"/>
  </r>
  <r>
    <x v="1"/>
    <x v="8"/>
    <d v="2026-02-27T00:00:00"/>
    <s v="No Portfolio"/>
    <s v="USD"/>
    <x v="5"/>
    <s v="ENC Yellow"/>
    <s v="Amazon"/>
    <s v="United States"/>
    <s v="close-match"/>
    <s v="-"/>
    <x v="37"/>
    <n v="7"/>
    <n v="1"/>
    <n v="0.14285714285714285"/>
    <n v="0.93"/>
    <n v="0.93"/>
    <n v="0"/>
    <m/>
    <n v="0"/>
    <n v="0"/>
    <n v="0"/>
    <n v="0"/>
    <n v="0"/>
    <n v="0"/>
    <n v="0"/>
    <n v="0"/>
  </r>
  <r>
    <x v="1"/>
    <x v="8"/>
    <d v="2026-02-22T00:00:00"/>
    <s v="No Portfolio"/>
    <s v="USD"/>
    <x v="5"/>
    <s v="ENC Yellow"/>
    <s v="Amazon"/>
    <s v="United States"/>
    <s v="close-match"/>
    <s v="-"/>
    <x v="536"/>
    <n v="2"/>
    <n v="1"/>
    <n v="0.5"/>
    <n v="0.97"/>
    <n v="0.97"/>
    <n v="0"/>
    <m/>
    <n v="0"/>
    <n v="0"/>
    <n v="0"/>
    <n v="0"/>
    <n v="0"/>
    <n v="0"/>
    <n v="0"/>
    <n v="0"/>
  </r>
  <r>
    <x v="1"/>
    <x v="8"/>
    <d v="2026-02-25T00:00:00"/>
    <s v="No Portfolio"/>
    <s v="USD"/>
    <x v="5"/>
    <s v="ENC Yellow"/>
    <s v="Amazon"/>
    <s v="United States"/>
    <s v="loose-match"/>
    <s v="-"/>
    <x v="537"/>
    <n v="1"/>
    <n v="1"/>
    <n v="1"/>
    <n v="0.44"/>
    <n v="0.44"/>
    <n v="0"/>
    <m/>
    <n v="0"/>
    <n v="0"/>
    <n v="0"/>
    <n v="0"/>
    <n v="0"/>
    <n v="0"/>
    <n v="0"/>
    <n v="0"/>
  </r>
  <r>
    <x v="1"/>
    <x v="8"/>
    <d v="2026-02-27T00:00:00"/>
    <s v="No Portfolio"/>
    <s v="USD"/>
    <x v="5"/>
    <s v="ENC Yellow"/>
    <s v="Amazon"/>
    <s v="United States"/>
    <s v="close-match"/>
    <s v="-"/>
    <x v="538"/>
    <n v="1"/>
    <n v="1"/>
    <n v="1"/>
    <n v="0.99"/>
    <n v="0.99"/>
    <n v="0"/>
    <m/>
    <n v="0"/>
    <n v="0"/>
    <n v="0"/>
    <n v="0"/>
    <n v="0"/>
    <n v="0"/>
    <n v="0"/>
    <n v="0"/>
  </r>
  <r>
    <x v="1"/>
    <x v="8"/>
    <d v="2026-02-25T00:00:00"/>
    <s v="No Portfolio"/>
    <s v="USD"/>
    <x v="5"/>
    <s v="ENC Yellow"/>
    <s v="Amazon"/>
    <s v="United States"/>
    <s v="close-match"/>
    <s v="-"/>
    <x v="357"/>
    <n v="16"/>
    <n v="1"/>
    <n v="6.25E-2"/>
    <n v="1.36"/>
    <n v="1.36"/>
    <n v="8.93"/>
    <n v="0.15229563269876822"/>
    <n v="6.5661764705882346"/>
    <n v="1"/>
    <n v="1"/>
    <n v="1"/>
    <n v="1"/>
    <n v="0"/>
    <n v="8.93"/>
    <n v="0"/>
  </r>
  <r>
    <x v="1"/>
    <x v="8"/>
    <d v="2026-02-22T00:00:00"/>
    <s v="No Portfolio"/>
    <s v="USD"/>
    <x v="5"/>
    <s v="ENC Yellow"/>
    <s v="Amazon"/>
    <s v="United States"/>
    <s v="close-match"/>
    <s v="-"/>
    <x v="49"/>
    <n v="26"/>
    <n v="1"/>
    <n v="3.8461538461538464E-2"/>
    <n v="0.6"/>
    <n v="0.6"/>
    <n v="0"/>
    <m/>
    <n v="0"/>
    <n v="0"/>
    <n v="0"/>
    <n v="0"/>
    <n v="0"/>
    <n v="0"/>
    <n v="0"/>
    <n v="0"/>
  </r>
  <r>
    <x v="1"/>
    <x v="8"/>
    <d v="2026-02-24T00:00:00"/>
    <s v="No Portfolio"/>
    <s v="USD"/>
    <x v="5"/>
    <s v="ENC Yellow"/>
    <s v="Amazon"/>
    <s v="United States"/>
    <s v="close-match"/>
    <s v="-"/>
    <x v="49"/>
    <n v="6"/>
    <n v="1"/>
    <n v="0.16666666666666663"/>
    <n v="0.99"/>
    <n v="0.99"/>
    <n v="0"/>
    <m/>
    <n v="0"/>
    <n v="0"/>
    <n v="0"/>
    <n v="0"/>
    <n v="0"/>
    <n v="0"/>
    <n v="0"/>
    <n v="0"/>
  </r>
  <r>
    <x v="1"/>
    <x v="8"/>
    <d v="2026-02-24T00:00:00"/>
    <s v="No Portfolio"/>
    <s v="USD"/>
    <x v="5"/>
    <s v="ENC Yellow"/>
    <s v="Amazon"/>
    <s v="United States"/>
    <s v="close-match"/>
    <s v="-"/>
    <x v="539"/>
    <n v="32"/>
    <n v="1"/>
    <n v="3.125E-2"/>
    <n v="0.6"/>
    <n v="0.6"/>
    <n v="0"/>
    <m/>
    <n v="0"/>
    <n v="0"/>
    <n v="0"/>
    <n v="0"/>
    <n v="0"/>
    <n v="0"/>
    <n v="0"/>
    <n v="0"/>
  </r>
  <r>
    <x v="1"/>
    <x v="8"/>
    <d v="2026-02-24T00:00:00"/>
    <s v="No Portfolio"/>
    <s v="USD"/>
    <x v="1"/>
    <s v="broad组"/>
    <s v="Amazon"/>
    <s v="United States"/>
    <s v="stroller tray"/>
    <s v="BROAD"/>
    <x v="540"/>
    <n v="1"/>
    <n v="1"/>
    <n v="1"/>
    <n v="0.8"/>
    <n v="0.8"/>
    <n v="17.09"/>
    <n v="4.6811000585137513E-2"/>
    <n v="21.362499999999997"/>
    <n v="1"/>
    <n v="1"/>
    <n v="1"/>
    <n v="0"/>
    <n v="1"/>
    <n v="0"/>
    <n v="17.09"/>
  </r>
  <r>
    <x v="1"/>
    <x v="8"/>
    <d v="2026-02-23T00:00:00"/>
    <s v="No Portfolio"/>
    <s v="USD"/>
    <x v="4"/>
    <s v="stroller tray"/>
    <s v="Amazon"/>
    <s v="United States"/>
    <s v="loose-match"/>
    <s v="-"/>
    <x v="541"/>
    <n v="1"/>
    <n v="1"/>
    <n v="1"/>
    <n v="0.35"/>
    <n v="0.35"/>
    <n v="0"/>
    <m/>
    <n v="0"/>
    <n v="0"/>
    <n v="0"/>
    <n v="0"/>
    <n v="0"/>
    <n v="0"/>
    <n v="0"/>
    <n v="0"/>
  </r>
  <r>
    <x v="1"/>
    <x v="8"/>
    <d v="2026-02-24T00:00:00"/>
    <s v="No Portfolio"/>
    <s v="USD"/>
    <x v="5"/>
    <s v="ENC Yellow"/>
    <s v="Amazon"/>
    <s v="United States"/>
    <s v="loose-match"/>
    <s v="-"/>
    <x v="542"/>
    <n v="3"/>
    <n v="1"/>
    <n v="0.33333333333333331"/>
    <n v="0.44"/>
    <n v="0.44"/>
    <n v="0"/>
    <m/>
    <n v="0"/>
    <n v="0"/>
    <n v="0"/>
    <n v="0"/>
    <n v="0"/>
    <n v="0"/>
    <n v="0"/>
    <n v="0"/>
  </r>
  <r>
    <x v="1"/>
    <x v="8"/>
    <d v="2026-02-25T00:00:00"/>
    <s v="No Portfolio"/>
    <s v="USD"/>
    <x v="4"/>
    <s v="stroller tray"/>
    <s v="Amazon"/>
    <s v="United States"/>
    <s v="loose-match"/>
    <s v="-"/>
    <x v="543"/>
    <n v="1"/>
    <n v="1"/>
    <n v="1"/>
    <n v="0.46"/>
    <n v="0.46"/>
    <n v="0"/>
    <m/>
    <n v="0"/>
    <n v="0"/>
    <n v="0"/>
    <n v="0"/>
    <n v="0"/>
    <n v="0"/>
    <n v="0"/>
    <n v="0"/>
  </r>
  <r>
    <x v="1"/>
    <x v="8"/>
    <d v="2026-02-22T00:00:00"/>
    <s v="No Portfolio"/>
    <s v="USD"/>
    <x v="0"/>
    <s v="broad组"/>
    <s v="Amazon"/>
    <s v="United States"/>
    <s v="stroller snack tray"/>
    <s v="BROAD"/>
    <x v="544"/>
    <n v="1"/>
    <n v="1"/>
    <n v="1"/>
    <n v="0.21"/>
    <n v="0.21"/>
    <n v="0"/>
    <m/>
    <n v="0"/>
    <n v="0"/>
    <n v="0"/>
    <n v="0"/>
    <n v="0"/>
    <n v="0"/>
    <n v="0"/>
    <n v="0"/>
  </r>
  <r>
    <x v="1"/>
    <x v="8"/>
    <d v="2026-02-23T00:00:00"/>
    <s v="No Portfolio"/>
    <s v="USD"/>
    <x v="1"/>
    <s v="broad组"/>
    <s v="Amazon"/>
    <s v="United States"/>
    <s v="universal snack tray"/>
    <s v="BROAD"/>
    <x v="545"/>
    <n v="6"/>
    <n v="1"/>
    <n v="0.16666666666666663"/>
    <n v="1.65"/>
    <n v="1.65"/>
    <n v="0"/>
    <m/>
    <n v="0"/>
    <n v="0"/>
    <n v="0"/>
    <n v="0"/>
    <n v="0"/>
    <n v="0"/>
    <n v="0"/>
    <n v="0"/>
  </r>
  <r>
    <x v="1"/>
    <x v="8"/>
    <d v="2026-02-28T00:00:00"/>
    <s v="No Portfolio"/>
    <s v="USD"/>
    <x v="0"/>
    <s v="broad组"/>
    <s v="Amazon"/>
    <s v="United States"/>
    <s v="stroller tray"/>
    <s v="BROAD"/>
    <x v="546"/>
    <n v="15"/>
    <n v="1"/>
    <n v="6.6666666666666666E-2"/>
    <n v="0.2"/>
    <n v="0.2"/>
    <n v="0"/>
    <m/>
    <n v="0"/>
    <n v="0"/>
    <n v="0"/>
    <n v="0"/>
    <n v="0"/>
    <n v="0"/>
    <n v="0"/>
    <n v="0"/>
  </r>
  <r>
    <x v="1"/>
    <x v="8"/>
    <d v="2026-02-23T00:00:00"/>
    <s v="No Portfolio"/>
    <s v="USD"/>
    <x v="4"/>
    <s v="stroller tray"/>
    <s v="Amazon"/>
    <s v="United States"/>
    <s v="loose-match"/>
    <s v="-"/>
    <x v="267"/>
    <n v="1"/>
    <n v="1"/>
    <n v="1"/>
    <n v="0.42"/>
    <n v="0.42"/>
    <n v="0"/>
    <m/>
    <n v="0"/>
    <n v="0"/>
    <n v="0"/>
    <n v="0"/>
    <n v="0"/>
    <n v="0"/>
    <n v="0"/>
    <n v="0"/>
  </r>
  <r>
    <x v="1"/>
    <x v="8"/>
    <d v="2026-02-23T00:00:00"/>
    <s v="No Portfolio"/>
    <s v="USD"/>
    <x v="0"/>
    <s v="broad组"/>
    <s v="Amazon"/>
    <s v="United States"/>
    <s v="cup holder for stroller"/>
    <s v="BROAD"/>
    <x v="547"/>
    <n v="1"/>
    <n v="1"/>
    <n v="1"/>
    <n v="0.4"/>
    <n v="0.4"/>
    <n v="0"/>
    <m/>
    <n v="0"/>
    <n v="0"/>
    <n v="0"/>
    <n v="0"/>
    <n v="0"/>
    <n v="0"/>
    <n v="0"/>
    <n v="0"/>
  </r>
  <r>
    <x v="1"/>
    <x v="8"/>
    <d v="2026-02-28T00:00:00"/>
    <s v="No Portfolio"/>
    <s v="USD"/>
    <x v="0"/>
    <s v="broad组"/>
    <s v="Amazon"/>
    <s v="United States"/>
    <s v="stroller attachment"/>
    <s v="BROAD"/>
    <x v="548"/>
    <n v="2"/>
    <n v="1"/>
    <n v="0.5"/>
    <n v="0.2"/>
    <n v="0.2"/>
    <n v="0"/>
    <m/>
    <n v="0"/>
    <n v="0"/>
    <n v="0"/>
    <n v="0"/>
    <n v="0"/>
    <n v="0"/>
    <n v="0"/>
    <n v="0"/>
  </r>
  <r>
    <x v="1"/>
    <x v="8"/>
    <d v="2026-02-24T00:00:00"/>
    <s v="No Portfolio"/>
    <s v="USD"/>
    <x v="5"/>
    <s v="ENC Yellow"/>
    <s v="Amazon"/>
    <s v="United States"/>
    <s v="loose-match"/>
    <s v="-"/>
    <x v="549"/>
    <n v="1"/>
    <n v="1"/>
    <n v="1"/>
    <n v="0.71"/>
    <n v="0.71"/>
    <n v="0"/>
    <m/>
    <n v="0"/>
    <n v="0"/>
    <n v="0"/>
    <n v="0"/>
    <n v="0"/>
    <n v="0"/>
    <n v="0"/>
    <n v="0"/>
  </r>
  <r>
    <x v="1"/>
    <x v="8"/>
    <d v="2026-02-26T00:00:00"/>
    <s v="No Portfolio"/>
    <s v="USD"/>
    <x v="4"/>
    <s v="stroller tray"/>
    <s v="Amazon"/>
    <s v="United States"/>
    <s v="loose-match"/>
    <s v="-"/>
    <x v="550"/>
    <n v="1"/>
    <n v="1"/>
    <n v="1"/>
    <n v="0.43"/>
    <n v="0.43"/>
    <n v="0"/>
    <m/>
    <n v="0"/>
    <n v="0"/>
    <n v="0"/>
    <n v="0"/>
    <n v="0"/>
    <n v="0"/>
    <n v="0"/>
    <n v="0"/>
  </r>
  <r>
    <x v="1"/>
    <x v="8"/>
    <d v="2026-02-28T00:00:00"/>
    <s v="No Portfolio"/>
    <s v="USD"/>
    <x v="0"/>
    <s v="broad组"/>
    <s v="Amazon"/>
    <s v="United States"/>
    <s v="stroller tray"/>
    <s v="BROAD"/>
    <x v="551"/>
    <n v="2"/>
    <n v="1"/>
    <n v="0.5"/>
    <n v="0.21"/>
    <n v="0.21"/>
    <n v="0"/>
    <m/>
    <n v="0"/>
    <n v="0"/>
    <n v="0"/>
    <n v="0"/>
    <n v="0"/>
    <n v="0"/>
    <n v="0"/>
    <n v="0"/>
  </r>
  <r>
    <x v="1"/>
    <x v="8"/>
    <d v="2026-02-25T00:00:00"/>
    <s v="No Portfolio"/>
    <s v="USD"/>
    <x v="2"/>
    <s v="Tray"/>
    <s v="Amazon"/>
    <s v="United States"/>
    <s v="asin=&quot;B0DH98H2G4&quot;"/>
    <s v="-"/>
    <x v="552"/>
    <n v="1"/>
    <n v="1"/>
    <n v="1"/>
    <n v="0.6"/>
    <n v="0.6"/>
    <n v="0"/>
    <m/>
    <n v="0"/>
    <n v="0"/>
    <n v="0"/>
    <n v="0"/>
    <n v="0"/>
    <n v="0"/>
    <n v="0"/>
    <n v="0"/>
  </r>
  <r>
    <x v="1"/>
    <x v="8"/>
    <d v="2026-02-28T00:00:00"/>
    <s v="No Portfolio"/>
    <s v="USD"/>
    <x v="6"/>
    <s v="ENC"/>
    <s v="Amazon"/>
    <s v="United States"/>
    <s v="close-match"/>
    <s v="-"/>
    <x v="107"/>
    <n v="363"/>
    <n v="1"/>
    <n v="2.7548209366391185E-3"/>
    <n v="1.17"/>
    <n v="1.17"/>
    <n v="0"/>
    <m/>
    <n v="0"/>
    <n v="0"/>
    <n v="0"/>
    <n v="0"/>
    <n v="0"/>
    <n v="0"/>
    <n v="0"/>
    <n v="0"/>
  </r>
  <r>
    <x v="1"/>
    <x v="8"/>
    <d v="2026-02-27T00:00:00"/>
    <s v="No Portfolio"/>
    <s v="USD"/>
    <x v="5"/>
    <s v="ENC Yellow"/>
    <s v="Amazon"/>
    <s v="United States"/>
    <s v="close-match"/>
    <s v="-"/>
    <x v="107"/>
    <n v="3"/>
    <n v="1"/>
    <n v="0.33333333333333331"/>
    <n v="0.93"/>
    <n v="0.93"/>
    <n v="0"/>
    <m/>
    <n v="0"/>
    <n v="0"/>
    <n v="0"/>
    <n v="0"/>
    <n v="0"/>
    <n v="0"/>
    <n v="0"/>
    <n v="0"/>
  </r>
  <r>
    <x v="1"/>
    <x v="8"/>
    <d v="2026-02-22T00:00:00"/>
    <s v="No Portfolio"/>
    <s v="USD"/>
    <x v="5"/>
    <s v="ENC Yellow"/>
    <s v="Amazon"/>
    <s v="United States"/>
    <s v="close-match"/>
    <s v="-"/>
    <x v="404"/>
    <n v="1"/>
    <n v="1"/>
    <n v="1"/>
    <n v="1.36"/>
    <n v="1.36"/>
    <n v="0"/>
    <m/>
    <n v="0"/>
    <n v="0"/>
    <n v="0"/>
    <n v="0"/>
    <n v="0"/>
    <n v="0"/>
    <n v="0"/>
    <n v="0"/>
  </r>
  <r>
    <x v="1"/>
    <x v="8"/>
    <d v="2026-02-28T00:00:00"/>
    <s v="No Portfolio"/>
    <s v="USD"/>
    <x v="6"/>
    <s v="ENC"/>
    <s v="Amazon"/>
    <s v="United States"/>
    <s v="close-match"/>
    <s v="-"/>
    <x v="113"/>
    <n v="604"/>
    <n v="1"/>
    <n v="1.6556291390728479E-3"/>
    <n v="1.17"/>
    <n v="1.17"/>
    <n v="0"/>
    <m/>
    <n v="0"/>
    <n v="0"/>
    <n v="0"/>
    <n v="0"/>
    <n v="0"/>
    <n v="0"/>
    <n v="0"/>
    <n v="0"/>
  </r>
  <r>
    <x v="1"/>
    <x v="8"/>
    <d v="2026-02-22T00:00:00"/>
    <s v="No Portfolio"/>
    <s v="USD"/>
    <x v="9"/>
    <s v="ENC"/>
    <s v="Amazon"/>
    <s v="United States"/>
    <s v="electric nail clipper"/>
    <s v="BROAD"/>
    <x v="113"/>
    <n v="268"/>
    <n v="1"/>
    <n v="3.731343283582089E-3"/>
    <n v="0.68"/>
    <n v="0.68"/>
    <n v="0"/>
    <m/>
    <n v="0"/>
    <n v="0"/>
    <n v="0"/>
    <n v="0"/>
    <n v="0"/>
    <n v="0"/>
    <n v="0"/>
    <n v="0"/>
  </r>
  <r>
    <x v="1"/>
    <x v="8"/>
    <d v="2026-02-23T00:00:00"/>
    <s v="No Portfolio"/>
    <s v="USD"/>
    <x v="9"/>
    <s v="ENC"/>
    <s v="Amazon"/>
    <s v="United States"/>
    <s v="electric nail clipper"/>
    <s v="BROAD"/>
    <x v="113"/>
    <n v="60"/>
    <n v="2"/>
    <n v="3.3333333333333333E-2"/>
    <n v="0.34"/>
    <n v="0.68"/>
    <n v="0"/>
    <m/>
    <n v="0"/>
    <n v="0"/>
    <n v="0"/>
    <n v="0"/>
    <n v="0"/>
    <n v="0"/>
    <n v="0"/>
    <n v="0"/>
  </r>
  <r>
    <x v="1"/>
    <x v="8"/>
    <d v="2026-02-23T00:00:00"/>
    <s v="No Portfolio"/>
    <s v="USD"/>
    <x v="9"/>
    <s v="ENC"/>
    <s v="Amazon"/>
    <s v="United States"/>
    <s v="electric nail clipper"/>
    <s v="BROAD"/>
    <x v="553"/>
    <n v="4"/>
    <n v="1"/>
    <n v="0.25"/>
    <n v="0.68"/>
    <n v="0.68"/>
    <n v="0"/>
    <m/>
    <n v="0"/>
    <n v="0"/>
    <n v="0"/>
    <n v="0"/>
    <n v="0"/>
    <n v="0"/>
    <n v="0"/>
    <n v="0"/>
  </r>
  <r>
    <x v="1"/>
    <x v="8"/>
    <d v="2026-02-22T00:00:00"/>
    <s v="No Portfolio"/>
    <s v="USD"/>
    <x v="6"/>
    <s v="ENC"/>
    <s v="Amazon"/>
    <s v="United States"/>
    <s v="loose-match"/>
    <s v="-"/>
    <x v="554"/>
    <n v="3"/>
    <n v="1"/>
    <n v="0.33333333333333331"/>
    <n v="1.07"/>
    <n v="1.07"/>
    <n v="0"/>
    <m/>
    <n v="0"/>
    <n v="0"/>
    <n v="0"/>
    <n v="0"/>
    <n v="0"/>
    <n v="0"/>
    <n v="0"/>
    <n v="0"/>
  </r>
  <r>
    <x v="1"/>
    <x v="8"/>
    <d v="2026-02-23T00:00:00"/>
    <s v="No Portfolio"/>
    <s v="USD"/>
    <x v="5"/>
    <s v="ENC Yellow"/>
    <s v="Amazon"/>
    <s v="United States"/>
    <s v="close-match"/>
    <s v="-"/>
    <x v="555"/>
    <n v="1"/>
    <n v="1"/>
    <n v="1"/>
    <n v="0.99"/>
    <n v="0.99"/>
    <n v="0"/>
    <m/>
    <n v="0"/>
    <n v="0"/>
    <n v="0"/>
    <n v="0"/>
    <n v="0"/>
    <n v="0"/>
    <n v="0"/>
    <n v="0"/>
  </r>
  <r>
    <x v="1"/>
    <x v="8"/>
    <d v="2026-02-23T00:00:00"/>
    <s v="No Portfolio"/>
    <s v="USD"/>
    <x v="6"/>
    <s v="ENC"/>
    <s v="Amazon"/>
    <s v="United States"/>
    <s v="substitutes"/>
    <s v="-"/>
    <x v="556"/>
    <n v="1"/>
    <n v="1"/>
    <n v="1"/>
    <n v="1.1499999999999999"/>
    <n v="1.1499999999999999"/>
    <n v="0"/>
    <m/>
    <n v="0"/>
    <n v="0"/>
    <n v="0"/>
    <n v="0"/>
    <n v="0"/>
    <n v="0"/>
    <n v="0"/>
    <n v="0"/>
  </r>
  <r>
    <x v="1"/>
    <x v="8"/>
    <d v="2026-02-25T00:00:00"/>
    <s v="No Portfolio"/>
    <s v="USD"/>
    <x v="6"/>
    <s v="ENC"/>
    <s v="Amazon"/>
    <s v="United States"/>
    <s v="close-match"/>
    <s v="-"/>
    <x v="123"/>
    <n v="12"/>
    <n v="1"/>
    <n v="8.3333333333333315E-2"/>
    <n v="1.1599999999999999"/>
    <n v="1.1599999999999999"/>
    <n v="0"/>
    <m/>
    <n v="0"/>
    <n v="0"/>
    <n v="0"/>
    <n v="0"/>
    <n v="0"/>
    <n v="0"/>
    <n v="0"/>
    <n v="0"/>
  </r>
  <r>
    <x v="1"/>
    <x v="8"/>
    <d v="2026-02-23T00:00:00"/>
    <s v="No Portfolio"/>
    <s v="USD"/>
    <x v="9"/>
    <s v="ENC"/>
    <s v="Amazon"/>
    <s v="United States"/>
    <s v="electric nail clipper"/>
    <s v="BROAD"/>
    <x v="123"/>
    <n v="11"/>
    <n v="1"/>
    <n v="9.0909090909090925E-2"/>
    <n v="0.68"/>
    <n v="0.68"/>
    <n v="0"/>
    <m/>
    <n v="0"/>
    <n v="0"/>
    <n v="0"/>
    <n v="0"/>
    <n v="0"/>
    <n v="0"/>
    <n v="0"/>
    <n v="0"/>
  </r>
  <r>
    <x v="1"/>
    <x v="8"/>
    <d v="2026-02-28T00:00:00"/>
    <s v="No Portfolio"/>
    <s v="USD"/>
    <x v="9"/>
    <s v="ENC"/>
    <s v="Amazon"/>
    <s v="United States"/>
    <s v="electric nail clipper"/>
    <s v="BROAD"/>
    <x v="123"/>
    <n v="20"/>
    <n v="1"/>
    <n v="0.05"/>
    <n v="0.68"/>
    <n v="0.68"/>
    <n v="0"/>
    <m/>
    <n v="0"/>
    <n v="0"/>
    <n v="0"/>
    <n v="0"/>
    <n v="0"/>
    <n v="0"/>
    <n v="0"/>
    <n v="0"/>
  </r>
  <r>
    <x v="1"/>
    <x v="8"/>
    <d v="2026-02-24T00:00:00"/>
    <s v="No Portfolio"/>
    <s v="USD"/>
    <x v="6"/>
    <s v="ENC"/>
    <s v="Amazon"/>
    <s v="United States"/>
    <s v="loose-match"/>
    <s v="-"/>
    <x v="124"/>
    <n v="23"/>
    <n v="1"/>
    <n v="4.3478260869565216E-2"/>
    <n v="1.05"/>
    <n v="1.05"/>
    <n v="0"/>
    <m/>
    <n v="0"/>
    <n v="0"/>
    <n v="0"/>
    <n v="0"/>
    <n v="0"/>
    <n v="0"/>
    <n v="0"/>
    <n v="0"/>
  </r>
  <r>
    <x v="1"/>
    <x v="8"/>
    <d v="2026-02-23T00:00:00"/>
    <s v="No Portfolio"/>
    <s v="USD"/>
    <x v="0"/>
    <s v="broad组"/>
    <s v="Amazon"/>
    <s v="United States"/>
    <s v="stroller accessories"/>
    <s v="BROAD"/>
    <x v="557"/>
    <n v="1"/>
    <n v="1"/>
    <n v="1"/>
    <n v="0.17"/>
    <n v="0.17"/>
    <n v="0"/>
    <m/>
    <n v="0"/>
    <n v="0"/>
    <n v="0"/>
    <n v="0"/>
    <n v="0"/>
    <n v="0"/>
    <n v="0"/>
    <n v="0"/>
  </r>
  <r>
    <x v="1"/>
    <x v="8"/>
    <d v="2026-02-22T00:00:00"/>
    <s v="No Portfolio"/>
    <s v="USD"/>
    <x v="4"/>
    <s v="stroller tray"/>
    <s v="Amazon"/>
    <s v="United States"/>
    <s v="loose-match"/>
    <s v="-"/>
    <x v="558"/>
    <n v="2"/>
    <n v="1"/>
    <n v="0.5"/>
    <n v="0.54"/>
    <n v="0.54"/>
    <n v="0"/>
    <m/>
    <n v="0"/>
    <n v="0"/>
    <n v="0"/>
    <n v="0"/>
    <n v="0"/>
    <n v="0"/>
    <n v="0"/>
    <n v="0"/>
  </r>
  <r>
    <x v="1"/>
    <x v="8"/>
    <d v="2026-02-27T00:00:00"/>
    <s v="No Portfolio"/>
    <s v="USD"/>
    <x v="0"/>
    <s v="broad组"/>
    <s v="Amazon"/>
    <s v="United States"/>
    <s v="stroller accessories"/>
    <s v="BROAD"/>
    <x v="559"/>
    <n v="2"/>
    <n v="1"/>
    <n v="0.5"/>
    <n v="0.3"/>
    <n v="0.3"/>
    <n v="0"/>
    <m/>
    <n v="0"/>
    <n v="0"/>
    <n v="0"/>
    <n v="0"/>
    <n v="0"/>
    <n v="0"/>
    <n v="0"/>
    <n v="0"/>
  </r>
  <r>
    <x v="1"/>
    <x v="8"/>
    <d v="2026-02-23T00:00:00"/>
    <s v="No Portfolio"/>
    <s v="USD"/>
    <x v="0"/>
    <s v="broad组"/>
    <s v="Amazon"/>
    <s v="United States"/>
    <s v="stroller tray"/>
    <s v="BROAD"/>
    <x v="135"/>
    <n v="4"/>
    <n v="1"/>
    <n v="0.25"/>
    <n v="0.21"/>
    <n v="0.21"/>
    <n v="0"/>
    <m/>
    <n v="0"/>
    <n v="0"/>
    <n v="0"/>
    <n v="0"/>
    <n v="0"/>
    <n v="0"/>
    <n v="0"/>
    <n v="0"/>
  </r>
  <r>
    <x v="1"/>
    <x v="8"/>
    <d v="2026-02-24T00:00:00"/>
    <s v="No Portfolio"/>
    <s v="USD"/>
    <x v="0"/>
    <s v="broad组"/>
    <s v="Amazon"/>
    <s v="United States"/>
    <s v="stroller tray"/>
    <s v="BROAD"/>
    <x v="135"/>
    <n v="4"/>
    <n v="1"/>
    <n v="0.25"/>
    <n v="0.21"/>
    <n v="0.21"/>
    <n v="0"/>
    <m/>
    <n v="0"/>
    <n v="0"/>
    <n v="0"/>
    <n v="0"/>
    <n v="0"/>
    <n v="0"/>
    <n v="0"/>
    <n v="0"/>
  </r>
  <r>
    <x v="1"/>
    <x v="8"/>
    <d v="2026-02-26T00:00:00"/>
    <s v="No Portfolio"/>
    <s v="USD"/>
    <x v="0"/>
    <s v="broad组"/>
    <s v="Amazon"/>
    <s v="United States"/>
    <s v="stroller accessories"/>
    <s v="BROAD"/>
    <x v="140"/>
    <n v="1"/>
    <n v="1"/>
    <n v="1"/>
    <n v="0.17"/>
    <n v="0.17"/>
    <n v="17.09"/>
    <n v="9.9473376243417212E-3"/>
    <n v="100.52941176470587"/>
    <n v="1"/>
    <n v="1"/>
    <n v="1"/>
    <n v="1"/>
    <n v="0"/>
    <n v="17.09"/>
    <n v="0"/>
  </r>
  <r>
    <x v="1"/>
    <x v="8"/>
    <d v="2026-02-26T00:00:00"/>
    <s v="No Portfolio"/>
    <s v="USD"/>
    <x v="4"/>
    <s v="stroller tray"/>
    <s v="Amazon"/>
    <s v="United States"/>
    <s v="loose-match"/>
    <s v="-"/>
    <x v="560"/>
    <n v="1"/>
    <n v="1"/>
    <n v="1"/>
    <n v="0.43"/>
    <n v="0.43"/>
    <n v="0"/>
    <m/>
    <n v="0"/>
    <n v="0"/>
    <n v="0"/>
    <n v="0"/>
    <n v="0"/>
    <n v="0"/>
    <n v="0"/>
    <n v="0"/>
  </r>
  <r>
    <x v="1"/>
    <x v="8"/>
    <d v="2026-02-22T00:00:00"/>
    <s v="No Portfolio"/>
    <s v="USD"/>
    <x v="0"/>
    <s v="broad组"/>
    <s v="Amazon"/>
    <s v="United States"/>
    <s v="stroller tray"/>
    <s v="BROAD"/>
    <x v="561"/>
    <n v="1"/>
    <n v="1"/>
    <n v="1"/>
    <n v="0.4"/>
    <n v="0.4"/>
    <n v="0"/>
    <m/>
    <n v="0"/>
    <n v="0"/>
    <n v="0"/>
    <n v="0"/>
    <n v="0"/>
    <n v="0"/>
    <n v="0"/>
    <n v="0"/>
  </r>
  <r>
    <x v="1"/>
    <x v="8"/>
    <d v="2026-02-22T00:00:00"/>
    <s v="No Portfolio"/>
    <s v="USD"/>
    <x v="2"/>
    <s v="Tray"/>
    <s v="Amazon"/>
    <s v="United States"/>
    <s v="asin=&quot;B0DH98H2G4&quot;"/>
    <s v="-"/>
    <x v="427"/>
    <n v="3"/>
    <n v="1"/>
    <n v="0.33333333333333331"/>
    <n v="0.56000000000000005"/>
    <n v="0.56000000000000005"/>
    <n v="0"/>
    <m/>
    <n v="0"/>
    <n v="0"/>
    <n v="0"/>
    <n v="0"/>
    <n v="0"/>
    <n v="0"/>
    <n v="0"/>
    <n v="0"/>
  </r>
  <r>
    <x v="1"/>
    <x v="8"/>
    <d v="2026-02-27T00:00:00"/>
    <s v="No Portfolio"/>
    <s v="USD"/>
    <x v="2"/>
    <s v="Tray"/>
    <s v="Amazon"/>
    <s v="United States"/>
    <s v="asin=&quot;B0DH98H2G4&quot;"/>
    <s v="-"/>
    <x v="562"/>
    <n v="2"/>
    <n v="1"/>
    <n v="0.5"/>
    <n v="0.57999999999999996"/>
    <n v="0.57999999999999996"/>
    <n v="0"/>
    <m/>
    <n v="0"/>
    <n v="0"/>
    <n v="0"/>
    <n v="0"/>
    <n v="0"/>
    <n v="0"/>
    <n v="0"/>
    <n v="0"/>
  </r>
  <r>
    <x v="1"/>
    <x v="8"/>
    <d v="2026-02-26T00:00:00"/>
    <s v="No Portfolio"/>
    <s v="USD"/>
    <x v="0"/>
    <s v="phrase&amp;exact"/>
    <s v="Amazon"/>
    <s v="United States"/>
    <s v="stroller snack tray"/>
    <s v="PHRASE"/>
    <x v="147"/>
    <n v="6"/>
    <n v="1"/>
    <n v="0.16666666666666663"/>
    <n v="0.2"/>
    <n v="0.2"/>
    <n v="0"/>
    <m/>
    <n v="0"/>
    <n v="0"/>
    <n v="0"/>
    <n v="0"/>
    <n v="0"/>
    <n v="0"/>
    <n v="0"/>
    <n v="0"/>
  </r>
  <r>
    <x v="1"/>
    <x v="8"/>
    <d v="2026-02-27T00:00:00"/>
    <s v="No Portfolio"/>
    <s v="USD"/>
    <x v="0"/>
    <s v="broad组"/>
    <s v="Amazon"/>
    <s v="United States"/>
    <s v="universal snack tray"/>
    <s v="BROAD"/>
    <x v="563"/>
    <n v="2"/>
    <n v="1"/>
    <n v="0.5"/>
    <n v="0.08"/>
    <n v="0.08"/>
    <n v="0"/>
    <m/>
    <n v="0"/>
    <n v="0"/>
    <n v="0"/>
    <n v="0"/>
    <n v="0"/>
    <n v="0"/>
    <n v="0"/>
    <n v="0"/>
  </r>
  <r>
    <x v="1"/>
    <x v="8"/>
    <d v="2026-02-25T00:00:00"/>
    <s v="No Portfolio"/>
    <s v="USD"/>
    <x v="5"/>
    <s v="ENC Yellow"/>
    <s v="Amazon"/>
    <s v="United States"/>
    <s v="close-match"/>
    <s v="-"/>
    <x v="564"/>
    <n v="1"/>
    <n v="1"/>
    <n v="1"/>
    <n v="0.99"/>
    <n v="0.99"/>
    <n v="0"/>
    <m/>
    <n v="0"/>
    <n v="0"/>
    <n v="0"/>
    <n v="0"/>
    <n v="0"/>
    <n v="0"/>
    <n v="0"/>
    <n v="0"/>
  </r>
  <r>
    <x v="1"/>
    <x v="8"/>
    <d v="2026-02-28T00:00:00"/>
    <s v="No Portfolio"/>
    <s v="USD"/>
    <x v="5"/>
    <s v="ENC Yellow"/>
    <s v="Amazon"/>
    <s v="United States"/>
    <s v="close-match"/>
    <s v="-"/>
    <x v="564"/>
    <n v="3"/>
    <n v="1"/>
    <n v="0.33333333333333331"/>
    <n v="0.99"/>
    <n v="0.99"/>
    <n v="0"/>
    <m/>
    <n v="0"/>
    <n v="0"/>
    <n v="0"/>
    <n v="0"/>
    <n v="0"/>
    <n v="0"/>
    <n v="0"/>
    <n v="0"/>
  </r>
  <r>
    <x v="1"/>
    <x v="8"/>
    <d v="2026-02-22T00:00:00"/>
    <s v="No Portfolio"/>
    <s v="USD"/>
    <x v="5"/>
    <s v="ENC Yellow"/>
    <s v="Amazon"/>
    <s v="United States"/>
    <s v="close-match"/>
    <s v="-"/>
    <x v="565"/>
    <n v="1"/>
    <n v="1"/>
    <n v="1"/>
    <n v="0.61"/>
    <n v="0.61"/>
    <n v="0"/>
    <m/>
    <n v="0"/>
    <n v="0"/>
    <n v="0"/>
    <n v="0"/>
    <n v="0"/>
    <n v="0"/>
    <n v="0"/>
    <n v="0"/>
  </r>
  <r>
    <x v="1"/>
    <x v="8"/>
    <d v="2026-02-27T00:00:00"/>
    <s v="No Portfolio"/>
    <s v="USD"/>
    <x v="6"/>
    <s v="ENC"/>
    <s v="Amazon"/>
    <s v="United States"/>
    <s v="close-match"/>
    <s v="-"/>
    <x v="284"/>
    <n v="18"/>
    <n v="1"/>
    <n v="5.5555555555555552E-2"/>
    <n v="1.03"/>
    <n v="1.03"/>
    <n v="0"/>
    <m/>
    <n v="0"/>
    <n v="0"/>
    <n v="0"/>
    <n v="0"/>
    <n v="0"/>
    <n v="0"/>
    <n v="0"/>
    <n v="0"/>
  </r>
  <r>
    <x v="1"/>
    <x v="8"/>
    <d v="2026-02-27T00:00:00"/>
    <s v="No Portfolio"/>
    <s v="USD"/>
    <x v="6"/>
    <s v="ENC"/>
    <s v="Amazon"/>
    <s v="United States"/>
    <s v="close-match"/>
    <s v="-"/>
    <x v="566"/>
    <n v="89"/>
    <n v="1"/>
    <n v="1.1235955056179777E-2"/>
    <n v="1.1499999999999999"/>
    <n v="1.1499999999999999"/>
    <n v="0"/>
    <m/>
    <n v="0"/>
    <n v="0"/>
    <n v="0"/>
    <n v="0"/>
    <n v="0"/>
    <n v="0"/>
    <n v="0"/>
    <n v="0"/>
  </r>
  <r>
    <x v="1"/>
    <x v="8"/>
    <d v="2026-02-26T00:00:00"/>
    <s v="No Portfolio"/>
    <s v="USD"/>
    <x v="6"/>
    <s v="ENC"/>
    <s v="Amazon"/>
    <s v="United States"/>
    <s v="close-match"/>
    <s v="-"/>
    <x v="159"/>
    <n v="13"/>
    <n v="1"/>
    <n v="7.6923076923076927E-2"/>
    <n v="1.22"/>
    <n v="1.22"/>
    <n v="0"/>
    <m/>
    <n v="0"/>
    <n v="0"/>
    <n v="0"/>
    <n v="0"/>
    <n v="0"/>
    <n v="0"/>
    <n v="0"/>
    <n v="0"/>
  </r>
  <r>
    <x v="1"/>
    <x v="8"/>
    <d v="2026-02-23T00:00:00"/>
    <s v="No Portfolio"/>
    <s v="USD"/>
    <x v="5"/>
    <s v="ENC Yellow"/>
    <s v="Amazon"/>
    <s v="United States"/>
    <s v="close-match"/>
    <s v="-"/>
    <x v="567"/>
    <n v="2"/>
    <n v="1"/>
    <n v="0.5"/>
    <n v="0.99"/>
    <n v="0.99"/>
    <n v="0"/>
    <m/>
    <n v="0"/>
    <n v="0"/>
    <n v="0"/>
    <n v="0"/>
    <n v="0"/>
    <n v="0"/>
    <n v="0"/>
    <n v="0"/>
  </r>
  <r>
    <x v="1"/>
    <x v="8"/>
    <d v="2026-02-24T00:00:00"/>
    <s v="No Portfolio"/>
    <s v="USD"/>
    <x v="6"/>
    <s v="ENC"/>
    <s v="Amazon"/>
    <s v="United States"/>
    <s v="close-match"/>
    <s v="-"/>
    <x v="568"/>
    <n v="23"/>
    <n v="1"/>
    <n v="4.3478260869565216E-2"/>
    <n v="0.93"/>
    <n v="0.93"/>
    <n v="0"/>
    <m/>
    <n v="0"/>
    <n v="0"/>
    <n v="0"/>
    <n v="0"/>
    <n v="0"/>
    <n v="0"/>
    <n v="0"/>
    <n v="0"/>
  </r>
  <r>
    <x v="1"/>
    <x v="8"/>
    <d v="2026-02-26T00:00:00"/>
    <s v="No Portfolio"/>
    <s v="USD"/>
    <x v="6"/>
    <s v="ENC"/>
    <s v="Amazon"/>
    <s v="United States"/>
    <s v="close-match"/>
    <s v="-"/>
    <x v="568"/>
    <n v="20"/>
    <n v="1"/>
    <n v="0.05"/>
    <n v="1.22"/>
    <n v="1.22"/>
    <n v="0"/>
    <m/>
    <n v="0"/>
    <n v="0"/>
    <n v="0"/>
    <n v="0"/>
    <n v="0"/>
    <n v="0"/>
    <n v="0"/>
    <n v="0"/>
  </r>
  <r>
    <x v="1"/>
    <x v="8"/>
    <d v="2026-02-28T00:00:00"/>
    <s v="No Portfolio"/>
    <s v="USD"/>
    <x v="5"/>
    <s v="ENC Yellow"/>
    <s v="Amazon"/>
    <s v="United States"/>
    <s v="loose-match"/>
    <s v="-"/>
    <x v="569"/>
    <n v="1"/>
    <n v="1"/>
    <n v="1"/>
    <n v="0.72"/>
    <n v="0.72"/>
    <n v="0"/>
    <m/>
    <n v="0"/>
    <n v="0"/>
    <n v="0"/>
    <n v="0"/>
    <n v="0"/>
    <n v="0"/>
    <n v="0"/>
    <n v="0"/>
  </r>
  <r>
    <x v="1"/>
    <x v="8"/>
    <d v="2026-02-24T00:00:00"/>
    <s v="No Portfolio"/>
    <s v="USD"/>
    <x v="1"/>
    <s v="broad组"/>
    <s v="Amazon"/>
    <s v="United States"/>
    <s v="stroller tray"/>
    <s v="BROAD"/>
    <x v="570"/>
    <n v="3"/>
    <n v="1"/>
    <n v="0.33333333333333331"/>
    <n v="0.8"/>
    <n v="0.8"/>
    <n v="17.09"/>
    <n v="4.6811000585137513E-2"/>
    <n v="21.362499999999997"/>
    <n v="1"/>
    <n v="1"/>
    <n v="1"/>
    <n v="1"/>
    <n v="0"/>
    <n v="17.09"/>
    <n v="0"/>
  </r>
  <r>
    <x v="1"/>
    <x v="8"/>
    <d v="2026-02-26T00:00:00"/>
    <s v="No Portfolio"/>
    <s v="USD"/>
    <x v="4"/>
    <s v="stroller tray"/>
    <s v="Amazon"/>
    <s v="United States"/>
    <s v="loose-match"/>
    <s v="-"/>
    <x v="571"/>
    <n v="1"/>
    <n v="1"/>
    <n v="1"/>
    <n v="0.52"/>
    <n v="0.52"/>
    <n v="0"/>
    <m/>
    <n v="0"/>
    <n v="0"/>
    <n v="0"/>
    <n v="0"/>
    <n v="0"/>
    <n v="0"/>
    <n v="0"/>
    <n v="0"/>
  </r>
  <r>
    <x v="1"/>
    <x v="8"/>
    <d v="2026-02-26T00:00:00"/>
    <s v="No Portfolio"/>
    <s v="USD"/>
    <x v="4"/>
    <s v="stroller tray"/>
    <s v="Amazon"/>
    <s v="United States"/>
    <s v="close-match"/>
    <s v="-"/>
    <x v="572"/>
    <n v="12"/>
    <n v="1"/>
    <n v="8.3333333333333315E-2"/>
    <n v="0.7"/>
    <n v="0.7"/>
    <n v="0"/>
    <m/>
    <n v="0"/>
    <n v="0"/>
    <n v="0"/>
    <n v="0"/>
    <n v="0"/>
    <n v="0"/>
    <n v="0"/>
    <n v="0"/>
  </r>
  <r>
    <x v="1"/>
    <x v="8"/>
    <d v="2026-02-26T00:00:00"/>
    <s v="No Portfolio"/>
    <s v="USD"/>
    <x v="0"/>
    <s v="phrase&amp;exact"/>
    <s v="Amazon"/>
    <s v="United States"/>
    <s v="snack tray for stroller"/>
    <s v="PHRASE"/>
    <x v="187"/>
    <n v="6"/>
    <n v="1"/>
    <n v="0.16666666666666663"/>
    <n v="0.2"/>
    <n v="0.2"/>
    <n v="0"/>
    <m/>
    <n v="0"/>
    <n v="0"/>
    <n v="0"/>
    <n v="0"/>
    <n v="0"/>
    <n v="0"/>
    <n v="0"/>
    <n v="0"/>
  </r>
  <r>
    <x v="1"/>
    <x v="8"/>
    <d v="2026-02-27T00:00:00"/>
    <s v="No Portfolio"/>
    <s v="USD"/>
    <x v="0"/>
    <s v="broad组"/>
    <s v="Amazon"/>
    <s v="United States"/>
    <s v="stroller snack tray"/>
    <s v="BROAD"/>
    <x v="573"/>
    <n v="1"/>
    <n v="1"/>
    <n v="1"/>
    <n v="0.21"/>
    <n v="0.21"/>
    <n v="34.18"/>
    <n v="6.1439438267992972E-3"/>
    <n v="162.76190476190476"/>
    <n v="1"/>
    <n v="2"/>
    <n v="1"/>
    <n v="2"/>
    <n v="0"/>
    <n v="34.18"/>
    <n v="0"/>
  </r>
  <r>
    <x v="1"/>
    <x v="8"/>
    <d v="2026-02-25T00:00:00"/>
    <s v="No Portfolio"/>
    <s v="USD"/>
    <x v="2"/>
    <s v="Tray"/>
    <s v="Amazon"/>
    <s v="United States"/>
    <s v="asin=&quot;B0DH98H2G4&quot;"/>
    <s v="-"/>
    <x v="188"/>
    <n v="5"/>
    <n v="1"/>
    <n v="0.2"/>
    <n v="0.57999999999999996"/>
    <n v="0.57999999999999996"/>
    <n v="17.09"/>
    <n v="3.3937975424224692E-2"/>
    <n v="29.465517241379313"/>
    <n v="1"/>
    <n v="1"/>
    <n v="1"/>
    <n v="1"/>
    <n v="0"/>
    <n v="17.09"/>
    <n v="0"/>
  </r>
  <r>
    <x v="1"/>
    <x v="8"/>
    <d v="2026-02-25T00:00:00"/>
    <s v="No Portfolio"/>
    <s v="USD"/>
    <x v="1"/>
    <s v="broad组"/>
    <s v="Amazon"/>
    <s v="United States"/>
    <s v="universal snack tray"/>
    <s v="BROAD"/>
    <x v="188"/>
    <n v="5"/>
    <n v="1"/>
    <n v="0.2"/>
    <n v="1.1100000000000001"/>
    <n v="1.1100000000000001"/>
    <n v="0"/>
    <m/>
    <n v="0"/>
    <n v="0"/>
    <n v="0"/>
    <n v="0"/>
    <n v="0"/>
    <n v="0"/>
    <n v="0"/>
    <n v="0"/>
  </r>
  <r>
    <x v="1"/>
    <x v="8"/>
    <d v="2026-02-22T00:00:00"/>
    <s v="No Portfolio"/>
    <s v="USD"/>
    <x v="0"/>
    <s v="broad组"/>
    <s v="Amazon"/>
    <s v="United States"/>
    <s v="universal snack tray"/>
    <s v="BROAD"/>
    <x v="188"/>
    <n v="4"/>
    <n v="1"/>
    <n v="0.25"/>
    <n v="0.2"/>
    <n v="0.2"/>
    <n v="0"/>
    <m/>
    <n v="0"/>
    <n v="0"/>
    <n v="0"/>
    <n v="0"/>
    <n v="0"/>
    <n v="0"/>
    <n v="0"/>
    <n v="0"/>
  </r>
  <r>
    <x v="1"/>
    <x v="8"/>
    <d v="2026-02-24T00:00:00"/>
    <s v="No Portfolio"/>
    <s v="USD"/>
    <x v="0"/>
    <s v="broad组"/>
    <s v="Amazon"/>
    <s v="United States"/>
    <s v="universal snack tray"/>
    <s v="BROAD"/>
    <x v="188"/>
    <n v="16"/>
    <n v="2"/>
    <n v="0.125"/>
    <n v="0.2"/>
    <n v="0.4"/>
    <n v="0"/>
    <m/>
    <n v="0"/>
    <n v="0"/>
    <n v="0"/>
    <n v="0"/>
    <n v="0"/>
    <n v="0"/>
    <n v="0"/>
    <n v="0"/>
  </r>
  <r>
    <x v="1"/>
    <x v="8"/>
    <d v="2026-02-26T00:00:00"/>
    <s v="No Portfolio"/>
    <s v="USD"/>
    <x v="0"/>
    <s v="broad组"/>
    <s v="Amazon"/>
    <s v="United States"/>
    <s v="universal snack tray"/>
    <s v="BROAD"/>
    <x v="188"/>
    <n v="13"/>
    <n v="1"/>
    <n v="7.6923076923076927E-2"/>
    <n v="0.2"/>
    <n v="0.2"/>
    <n v="0"/>
    <m/>
    <n v="0"/>
    <n v="0"/>
    <n v="0"/>
    <n v="0"/>
    <n v="0"/>
    <n v="0"/>
    <n v="0"/>
    <n v="0"/>
  </r>
  <r>
    <x v="1"/>
    <x v="8"/>
    <d v="2026-02-28T00:00:00"/>
    <s v="No Portfolio"/>
    <s v="USD"/>
    <x v="4"/>
    <s v="stroller tray"/>
    <s v="Amazon"/>
    <s v="United States"/>
    <s v="loose-match"/>
    <s v="-"/>
    <x v="574"/>
    <n v="1"/>
    <n v="1"/>
    <n v="1"/>
    <n v="0.1"/>
    <n v="0.1"/>
    <n v="0"/>
    <m/>
    <n v="0"/>
    <n v="0"/>
    <n v="0"/>
    <n v="0"/>
    <n v="0"/>
    <n v="0"/>
    <n v="0"/>
    <n v="0"/>
  </r>
  <r>
    <x v="1"/>
    <x v="8"/>
    <d v="2026-02-27T00:00:00"/>
    <s v="No Portfolio"/>
    <s v="USD"/>
    <x v="4"/>
    <s v="stroller tray"/>
    <s v="Amazon"/>
    <s v="United States"/>
    <s v="loose-match"/>
    <s v="-"/>
    <x v="575"/>
    <n v="1"/>
    <n v="1"/>
    <n v="1"/>
    <n v="0.51"/>
    <n v="0.51"/>
    <n v="0"/>
    <m/>
    <n v="0"/>
    <n v="0"/>
    <n v="0"/>
    <n v="0"/>
    <n v="0"/>
    <n v="0"/>
    <n v="0"/>
    <n v="0"/>
  </r>
  <r>
    <x v="1"/>
    <x v="8"/>
    <d v="2026-02-24T00:00:00"/>
    <s v="No Portfolio"/>
    <s v="USD"/>
    <x v="4"/>
    <s v="stroller tray"/>
    <s v="Amazon"/>
    <s v="United States"/>
    <s v="loose-match"/>
    <s v="-"/>
    <x v="576"/>
    <n v="1"/>
    <n v="1"/>
    <n v="1"/>
    <n v="0.32"/>
    <n v="0.32"/>
    <n v="0"/>
    <m/>
    <n v="0"/>
    <n v="0"/>
    <n v="0"/>
    <n v="0"/>
    <n v="0"/>
    <n v="0"/>
    <n v="0"/>
    <n v="0"/>
  </r>
  <r>
    <x v="1"/>
    <x v="8"/>
    <d v="2026-02-25T00:00:00"/>
    <s v="No Portfolio"/>
    <s v="USD"/>
    <x v="0"/>
    <s v="broad组"/>
    <s v="Amazon"/>
    <s v="United States"/>
    <s v="stroller accessories"/>
    <s v="BROAD"/>
    <x v="577"/>
    <n v="1"/>
    <n v="1"/>
    <n v="1"/>
    <n v="0.16"/>
    <n v="0.16"/>
    <n v="0"/>
    <m/>
    <n v="0"/>
    <n v="0"/>
    <n v="0"/>
    <n v="0"/>
    <n v="0"/>
    <n v="0"/>
    <n v="0"/>
    <n v="0"/>
  </r>
  <r>
    <x v="1"/>
    <x v="8"/>
    <d v="2026-02-22T00:00:00"/>
    <s v="No Portfolio"/>
    <s v="USD"/>
    <x v="4"/>
    <s v="stroller tray"/>
    <s v="Amazon"/>
    <s v="United States"/>
    <s v="loose-match"/>
    <s v="-"/>
    <x v="578"/>
    <n v="1"/>
    <n v="1"/>
    <n v="1"/>
    <n v="0.45"/>
    <n v="0.45"/>
    <n v="0"/>
    <m/>
    <n v="0"/>
    <n v="0"/>
    <n v="0"/>
    <n v="0"/>
    <n v="0"/>
    <n v="0"/>
    <n v="0"/>
    <n v="0"/>
  </r>
  <r>
    <x v="1"/>
    <x v="8"/>
    <d v="2026-02-23T00:00:00"/>
    <s v="No Portfolio"/>
    <s v="USD"/>
    <x v="4"/>
    <s v="stroller tray"/>
    <s v="Amazon"/>
    <s v="United States"/>
    <s v="close-match"/>
    <s v="-"/>
    <x v="198"/>
    <n v="14"/>
    <n v="1"/>
    <n v="7.1428571428571425E-2"/>
    <n v="0.52"/>
    <n v="0.52"/>
    <n v="0"/>
    <m/>
    <n v="0"/>
    <n v="0"/>
    <n v="0"/>
    <n v="0"/>
    <n v="0"/>
    <n v="0"/>
    <n v="0"/>
    <n v="0"/>
  </r>
  <r>
    <x v="1"/>
    <x v="8"/>
    <d v="2026-02-28T00:00:00"/>
    <s v="No Portfolio"/>
    <s v="USD"/>
    <x v="1"/>
    <s v="Phrase&amp;Exact组"/>
    <s v="Amazon"/>
    <s v="United States"/>
    <s v="stroller cup holder"/>
    <s v="EXACT"/>
    <x v="198"/>
    <n v="2"/>
    <n v="1"/>
    <n v="0.5"/>
    <n v="0.79"/>
    <n v="0.79"/>
    <n v="0"/>
    <m/>
    <n v="0"/>
    <n v="0"/>
    <n v="0"/>
    <n v="0"/>
    <n v="0"/>
    <n v="0"/>
    <n v="0"/>
    <n v="0"/>
  </r>
  <r>
    <x v="1"/>
    <x v="8"/>
    <d v="2026-02-24T00:00:00"/>
    <s v="No Portfolio"/>
    <s v="USD"/>
    <x v="0"/>
    <s v="phrase&amp;exact"/>
    <s v="Amazon"/>
    <s v="United States"/>
    <s v="stroller cup holder"/>
    <s v="PHRASE"/>
    <x v="198"/>
    <n v="13"/>
    <n v="1"/>
    <n v="7.6923076923076927E-2"/>
    <n v="0.2"/>
    <n v="0.2"/>
    <n v="0"/>
    <m/>
    <n v="0"/>
    <n v="0"/>
    <n v="0"/>
    <n v="0"/>
    <n v="0"/>
    <n v="0"/>
    <n v="0"/>
    <n v="0"/>
  </r>
  <r>
    <x v="1"/>
    <x v="8"/>
    <d v="2026-02-25T00:00:00"/>
    <s v="No Portfolio"/>
    <s v="USD"/>
    <x v="0"/>
    <s v="phrase&amp;exact"/>
    <s v="Amazon"/>
    <s v="United States"/>
    <s v="stroller cup holder"/>
    <s v="PHRASE"/>
    <x v="198"/>
    <n v="17"/>
    <n v="2"/>
    <n v="0.1176470588235294"/>
    <n v="0.2"/>
    <n v="0.4"/>
    <n v="0"/>
    <m/>
    <n v="0"/>
    <n v="0"/>
    <n v="0"/>
    <n v="0"/>
    <n v="0"/>
    <n v="0"/>
    <n v="0"/>
    <n v="0"/>
  </r>
  <r>
    <x v="1"/>
    <x v="8"/>
    <d v="2026-02-25T00:00:00"/>
    <s v="No Portfolio"/>
    <s v="USD"/>
    <x v="0"/>
    <s v="phrase&amp;exact"/>
    <s v="Amazon"/>
    <s v="United States"/>
    <s v="stroller cup holder"/>
    <s v="EXACT"/>
    <x v="198"/>
    <n v="6"/>
    <n v="1"/>
    <n v="0.16666666666666663"/>
    <n v="0.2"/>
    <n v="0.2"/>
    <n v="0"/>
    <m/>
    <n v="0"/>
    <n v="0"/>
    <n v="0"/>
    <n v="0"/>
    <n v="0"/>
    <n v="0"/>
    <n v="0"/>
    <n v="0"/>
  </r>
  <r>
    <x v="1"/>
    <x v="8"/>
    <d v="2026-02-24T00:00:00"/>
    <s v="No Portfolio"/>
    <s v="USD"/>
    <x v="4"/>
    <s v="stroller tray"/>
    <s v="Amazon"/>
    <s v="United States"/>
    <s v="close-match"/>
    <s v="-"/>
    <x v="199"/>
    <n v="8"/>
    <n v="2"/>
    <n v="0.25"/>
    <n v="0.45"/>
    <n v="0.9"/>
    <n v="17.09"/>
    <n v="5.2662375658279699E-2"/>
    <n v="18.988888888888887"/>
    <n v="1"/>
    <n v="1"/>
    <n v="0.5"/>
    <n v="0"/>
    <n v="1"/>
    <n v="0"/>
    <n v="17.09"/>
  </r>
  <r>
    <x v="1"/>
    <x v="8"/>
    <d v="2026-02-25T00:00:00"/>
    <s v="No Portfolio"/>
    <s v="USD"/>
    <x v="4"/>
    <s v="stroller tray"/>
    <s v="Amazon"/>
    <s v="United States"/>
    <s v="close-match"/>
    <s v="-"/>
    <x v="199"/>
    <n v="59"/>
    <n v="1"/>
    <n v="1.6949152542372881E-2"/>
    <n v="0.65"/>
    <n v="0.65"/>
    <n v="0"/>
    <m/>
    <n v="0"/>
    <n v="0"/>
    <n v="0"/>
    <n v="0"/>
    <n v="0"/>
    <n v="0"/>
    <n v="0"/>
    <n v="0"/>
  </r>
  <r>
    <x v="1"/>
    <x v="8"/>
    <d v="2026-02-25T00:00:00"/>
    <s v="No Portfolio"/>
    <s v="USD"/>
    <x v="0"/>
    <s v="phrase&amp;exact"/>
    <s v="Amazon"/>
    <s v="United States"/>
    <s v="stroller cup holder attachment"/>
    <s v="PHRASE"/>
    <x v="199"/>
    <n v="5"/>
    <n v="1"/>
    <n v="0.2"/>
    <n v="0.2"/>
    <n v="0.2"/>
    <n v="0"/>
    <m/>
    <n v="0"/>
    <n v="0"/>
    <n v="0"/>
    <n v="0"/>
    <n v="0"/>
    <n v="0"/>
    <n v="0"/>
    <n v="0"/>
  </r>
  <r>
    <x v="1"/>
    <x v="8"/>
    <d v="2026-02-28T00:00:00"/>
    <s v="No Portfolio"/>
    <s v="USD"/>
    <x v="0"/>
    <s v="phrase&amp;exact"/>
    <s v="Amazon"/>
    <s v="United States"/>
    <s v="stroller cup holder attachment"/>
    <s v="PHRASE"/>
    <x v="199"/>
    <n v="4"/>
    <n v="1"/>
    <n v="0.25"/>
    <n v="0.2"/>
    <n v="0.2"/>
    <n v="0"/>
    <m/>
    <n v="0"/>
    <n v="0"/>
    <n v="0"/>
    <n v="0"/>
    <n v="0"/>
    <n v="0"/>
    <n v="0"/>
    <n v="0"/>
  </r>
  <r>
    <x v="1"/>
    <x v="8"/>
    <d v="2026-02-23T00:00:00"/>
    <s v="No Portfolio"/>
    <s v="USD"/>
    <x v="0"/>
    <s v="broad组"/>
    <s v="Amazon"/>
    <s v="United States"/>
    <s v="snack holder for stroller"/>
    <s v="BROAD"/>
    <x v="579"/>
    <n v="1"/>
    <n v="1"/>
    <n v="1"/>
    <n v="0.4"/>
    <n v="0.4"/>
    <n v="0"/>
    <m/>
    <n v="0"/>
    <n v="0"/>
    <n v="0"/>
    <n v="0"/>
    <n v="0"/>
    <n v="0"/>
    <n v="0"/>
    <n v="0"/>
  </r>
  <r>
    <x v="1"/>
    <x v="8"/>
    <d v="2026-02-22T00:00:00"/>
    <s v="No Portfolio"/>
    <s v="USD"/>
    <x v="1"/>
    <s v="Phrase&amp;Exact组"/>
    <s v="Amazon"/>
    <s v="United States"/>
    <s v="stroller snack tray"/>
    <s v="EXACT"/>
    <x v="205"/>
    <n v="6"/>
    <n v="1"/>
    <n v="0.16666666666666663"/>
    <n v="1.01"/>
    <n v="1.01"/>
    <n v="0"/>
    <m/>
    <n v="0"/>
    <n v="0"/>
    <n v="0"/>
    <n v="0"/>
    <n v="0"/>
    <n v="0"/>
    <n v="0"/>
    <n v="0"/>
  </r>
  <r>
    <x v="1"/>
    <x v="8"/>
    <d v="2026-02-28T00:00:00"/>
    <s v="No Portfolio"/>
    <s v="USD"/>
    <x v="0"/>
    <s v="broad组"/>
    <s v="Amazon"/>
    <s v="United States"/>
    <s v="stroller tray"/>
    <s v="BROAD"/>
    <x v="205"/>
    <n v="15"/>
    <n v="1"/>
    <n v="6.6666666666666666E-2"/>
    <n v="0.2"/>
    <n v="0.2"/>
    <n v="0"/>
    <m/>
    <n v="0"/>
    <n v="0"/>
    <n v="0"/>
    <n v="0"/>
    <n v="0"/>
    <n v="0"/>
    <n v="0"/>
    <n v="0"/>
  </r>
  <r>
    <x v="1"/>
    <x v="8"/>
    <d v="2026-02-25T00:00:00"/>
    <s v="No Portfolio"/>
    <s v="USD"/>
    <x v="0"/>
    <s v="phrase&amp;exact"/>
    <s v="Amazon"/>
    <s v="United States"/>
    <s v="stroller snack tray"/>
    <s v="EXACT"/>
    <x v="205"/>
    <n v="4"/>
    <n v="1"/>
    <n v="0.25"/>
    <n v="0.2"/>
    <n v="0.2"/>
    <n v="0"/>
    <m/>
    <n v="0"/>
    <n v="0"/>
    <n v="0"/>
    <n v="0"/>
    <n v="0"/>
    <n v="0"/>
    <n v="0"/>
    <n v="0"/>
  </r>
  <r>
    <x v="1"/>
    <x v="8"/>
    <d v="2026-02-26T00:00:00"/>
    <s v="No Portfolio"/>
    <s v="USD"/>
    <x v="0"/>
    <s v="phrase&amp;exact"/>
    <s v="Amazon"/>
    <s v="United States"/>
    <s v="stroller snack tray"/>
    <s v="EXACT"/>
    <x v="205"/>
    <n v="38"/>
    <n v="1"/>
    <n v="2.6315789473684209E-2"/>
    <n v="0.2"/>
    <n v="0.2"/>
    <n v="0"/>
    <m/>
    <n v="0"/>
    <n v="0"/>
    <n v="0"/>
    <n v="0"/>
    <n v="0"/>
    <n v="0"/>
    <n v="0"/>
    <n v="0"/>
  </r>
  <r>
    <x v="1"/>
    <x v="8"/>
    <d v="2026-02-24T00:00:00"/>
    <s v="No Portfolio"/>
    <s v="USD"/>
    <x v="0"/>
    <s v="phrase&amp;exact"/>
    <s v="Amazon"/>
    <s v="United States"/>
    <s v="stroller snack tray"/>
    <s v="PHRASE"/>
    <x v="206"/>
    <n v="7"/>
    <n v="1"/>
    <n v="0.14285714285714285"/>
    <n v="0.2"/>
    <n v="0.2"/>
    <n v="0"/>
    <m/>
    <n v="0"/>
    <n v="0"/>
    <n v="0"/>
    <n v="0"/>
    <n v="0"/>
    <n v="0"/>
    <n v="0"/>
    <n v="0"/>
  </r>
  <r>
    <x v="1"/>
    <x v="8"/>
    <d v="2026-02-25T00:00:00"/>
    <s v="No Portfolio"/>
    <s v="USD"/>
    <x v="1"/>
    <s v="broad组"/>
    <s v="Amazon"/>
    <s v="United States"/>
    <s v="stroller snack tray attachment"/>
    <s v="BROAD"/>
    <x v="206"/>
    <n v="37"/>
    <n v="1"/>
    <n v="2.7027027027027025E-2"/>
    <n v="1.1499999999999999"/>
    <n v="1.1499999999999999"/>
    <n v="0"/>
    <m/>
    <n v="0"/>
    <n v="0"/>
    <n v="0"/>
    <n v="0"/>
    <n v="0"/>
    <n v="0"/>
    <n v="0"/>
    <n v="0"/>
  </r>
  <r>
    <x v="1"/>
    <x v="8"/>
    <d v="2026-02-27T00:00:00"/>
    <s v="No Portfolio"/>
    <s v="USD"/>
    <x v="1"/>
    <s v="broad组"/>
    <s v="Amazon"/>
    <s v="United States"/>
    <s v="stroller snack tray attachment"/>
    <s v="BROAD"/>
    <x v="206"/>
    <n v="25"/>
    <n v="1"/>
    <n v="0.04"/>
    <n v="1.25"/>
    <n v="1.25"/>
    <n v="17.09"/>
    <n v="7.3142188414277359E-2"/>
    <n v="13.672000000000001"/>
    <n v="1"/>
    <n v="1"/>
    <n v="1"/>
    <n v="1"/>
    <n v="0"/>
    <n v="17.09"/>
    <n v="0"/>
  </r>
  <r>
    <x v="1"/>
    <x v="8"/>
    <d v="2026-02-28T00:00:00"/>
    <s v="No Portfolio"/>
    <s v="USD"/>
    <x v="0"/>
    <s v="broad组"/>
    <s v="Amazon"/>
    <s v="United States"/>
    <s v="stroller snack tray attachment"/>
    <s v="BROAD"/>
    <x v="206"/>
    <n v="8"/>
    <n v="1"/>
    <n v="0.125"/>
    <n v="0.2"/>
    <n v="0.2"/>
    <n v="0"/>
    <m/>
    <n v="0"/>
    <n v="0"/>
    <n v="0"/>
    <n v="0"/>
    <n v="0"/>
    <n v="0"/>
    <n v="0"/>
    <n v="0"/>
  </r>
  <r>
    <x v="1"/>
    <x v="8"/>
    <d v="2026-02-27T00:00:00"/>
    <s v="No Portfolio"/>
    <s v="USD"/>
    <x v="0"/>
    <s v="phrase&amp;exact"/>
    <s v="Amazon"/>
    <s v="United States"/>
    <s v="stroller snack tray attachment"/>
    <s v="PHRASE"/>
    <x v="206"/>
    <n v="1"/>
    <n v="1"/>
    <n v="1"/>
    <n v="0.4"/>
    <n v="0.4"/>
    <n v="0"/>
    <m/>
    <n v="0"/>
    <n v="0"/>
    <n v="0"/>
    <n v="0"/>
    <n v="0"/>
    <n v="0"/>
    <n v="0"/>
    <n v="0"/>
  </r>
  <r>
    <x v="1"/>
    <x v="8"/>
    <d v="2026-02-23T00:00:00"/>
    <s v="No Portfolio"/>
    <s v="USD"/>
    <x v="1"/>
    <s v="Phrase&amp;Exact组"/>
    <s v="Amazon"/>
    <s v="United States"/>
    <s v="stroller snack tray attachment"/>
    <s v="EXACT"/>
    <x v="206"/>
    <n v="70"/>
    <n v="1"/>
    <n v="1.4285714285714285E-2"/>
    <n v="0.89"/>
    <n v="0.89"/>
    <n v="0"/>
    <m/>
    <n v="0"/>
    <n v="0"/>
    <n v="0"/>
    <n v="0"/>
    <n v="0"/>
    <n v="0"/>
    <n v="0"/>
    <n v="0"/>
  </r>
  <r>
    <x v="1"/>
    <x v="8"/>
    <d v="2026-02-28T00:00:00"/>
    <s v="No Portfolio"/>
    <s v="USD"/>
    <x v="4"/>
    <s v="stroller tray"/>
    <s v="Amazon"/>
    <s v="United States"/>
    <s v="close-match"/>
    <s v="-"/>
    <x v="580"/>
    <n v="2"/>
    <n v="1"/>
    <n v="0.5"/>
    <n v="0.78"/>
    <n v="0.78"/>
    <n v="0"/>
    <m/>
    <n v="0"/>
    <n v="0"/>
    <n v="0"/>
    <n v="0"/>
    <n v="0"/>
    <n v="0"/>
    <n v="0"/>
    <n v="0"/>
  </r>
  <r>
    <x v="1"/>
    <x v="8"/>
    <d v="2026-02-22T00:00:00"/>
    <s v="No Portfolio"/>
    <s v="USD"/>
    <x v="0"/>
    <s v="broad组"/>
    <s v="Amazon"/>
    <s v="United States"/>
    <s v="snack holder for stroller"/>
    <s v="BROAD"/>
    <x v="581"/>
    <n v="40"/>
    <n v="1"/>
    <n v="2.5000000000000001E-2"/>
    <n v="0.2"/>
    <n v="0.2"/>
    <n v="0"/>
    <m/>
    <n v="0"/>
    <n v="0"/>
    <n v="0"/>
    <n v="0"/>
    <n v="0"/>
    <n v="0"/>
    <n v="0"/>
    <n v="0"/>
  </r>
  <r>
    <x v="1"/>
    <x v="8"/>
    <d v="2026-02-23T00:00:00"/>
    <s v="No Portfolio"/>
    <s v="USD"/>
    <x v="0"/>
    <s v="broad组"/>
    <s v="Amazon"/>
    <s v="United States"/>
    <s v="snack holder for stroller"/>
    <s v="BROAD"/>
    <x v="581"/>
    <n v="23"/>
    <n v="1"/>
    <n v="4.3478260869565216E-2"/>
    <n v="0.2"/>
    <n v="0.2"/>
    <n v="0"/>
    <m/>
    <n v="0"/>
    <n v="0"/>
    <n v="0"/>
    <n v="0"/>
    <n v="0"/>
    <n v="0"/>
    <n v="0"/>
    <n v="0"/>
  </r>
  <r>
    <x v="1"/>
    <x v="8"/>
    <d v="2026-02-27T00:00:00"/>
    <s v="No Portfolio"/>
    <s v="USD"/>
    <x v="1"/>
    <s v="broad组"/>
    <s v="Amazon"/>
    <s v="United States"/>
    <s v="stroller tray"/>
    <s v="BROAD"/>
    <x v="208"/>
    <n v="3"/>
    <n v="1"/>
    <n v="0.33333333333333331"/>
    <n v="1.24"/>
    <n v="1.24"/>
    <n v="0"/>
    <m/>
    <n v="0"/>
    <n v="0"/>
    <n v="0"/>
    <n v="0"/>
    <n v="0"/>
    <n v="0"/>
    <n v="0"/>
    <n v="0"/>
  </r>
  <r>
    <x v="1"/>
    <x v="8"/>
    <d v="2026-02-27T00:00:00"/>
    <s v="No Portfolio"/>
    <s v="USD"/>
    <x v="0"/>
    <s v="broad组"/>
    <s v="Amazon"/>
    <s v="United States"/>
    <s v="snack tray for stroller"/>
    <s v="BROAD"/>
    <x v="582"/>
    <n v="1"/>
    <n v="1"/>
    <n v="1"/>
    <n v="0.21"/>
    <n v="0.21"/>
    <n v="0"/>
    <m/>
    <n v="0"/>
    <n v="0"/>
    <n v="0"/>
    <n v="0"/>
    <n v="0"/>
    <n v="0"/>
    <n v="0"/>
    <n v="0"/>
  </r>
  <r>
    <x v="1"/>
    <x v="8"/>
    <d v="2026-02-22T00:00:00"/>
    <s v="No Portfolio"/>
    <s v="USD"/>
    <x v="4"/>
    <s v="stroller tray"/>
    <s v="Amazon"/>
    <s v="United States"/>
    <s v="loose-match"/>
    <s v="-"/>
    <x v="583"/>
    <n v="1"/>
    <n v="1"/>
    <n v="1"/>
    <n v="0.45"/>
    <n v="0.45"/>
    <n v="0"/>
    <m/>
    <n v="0"/>
    <n v="0"/>
    <n v="0"/>
    <n v="0"/>
    <n v="0"/>
    <n v="0"/>
    <n v="0"/>
    <n v="0"/>
  </r>
  <r>
    <x v="1"/>
    <x v="8"/>
    <d v="2026-02-28T00:00:00"/>
    <s v="No Portfolio"/>
    <s v="USD"/>
    <x v="5"/>
    <s v="ENC Yellow"/>
    <s v="Amazon"/>
    <s v="United States"/>
    <s v="close-match"/>
    <s v="-"/>
    <x v="584"/>
    <n v="1"/>
    <n v="1"/>
    <n v="1"/>
    <n v="0.99"/>
    <n v="0.99"/>
    <n v="0"/>
    <m/>
    <n v="0"/>
    <n v="0"/>
    <n v="0"/>
    <n v="0"/>
    <n v="0"/>
    <n v="0"/>
    <n v="0"/>
    <n v="0"/>
  </r>
  <r>
    <x v="1"/>
    <x v="8"/>
    <d v="2026-02-24T00:00:00"/>
    <s v="No Portfolio"/>
    <s v="USD"/>
    <x v="6"/>
    <s v="ENC"/>
    <s v="Amazon"/>
    <s v="United States"/>
    <s v="loose-match"/>
    <s v="-"/>
    <x v="585"/>
    <n v="1"/>
    <n v="1"/>
    <n v="1"/>
    <n v="0"/>
    <n v="0"/>
    <n v="0"/>
    <m/>
    <m/>
    <n v="0"/>
    <n v="0"/>
    <n v="0"/>
    <n v="0"/>
    <n v="0"/>
    <n v="0"/>
    <n v="0"/>
  </r>
  <r>
    <x v="1"/>
    <x v="8"/>
    <d v="2026-02-25T00:00:00"/>
    <s v="No Portfolio"/>
    <s v="USD"/>
    <x v="6"/>
    <s v="ENC"/>
    <s v="Amazon"/>
    <s v="United States"/>
    <s v="loose-match"/>
    <s v="-"/>
    <x v="586"/>
    <n v="2"/>
    <n v="1"/>
    <n v="0.5"/>
    <n v="1.1000000000000001"/>
    <n v="1.1000000000000001"/>
    <n v="0"/>
    <m/>
    <n v="0"/>
    <n v="0"/>
    <n v="0"/>
    <n v="0"/>
    <n v="0"/>
    <n v="0"/>
    <n v="0"/>
    <n v="0"/>
  </r>
  <r>
    <x v="1"/>
    <x v="8"/>
    <d v="2026-02-27T00:00:00"/>
    <s v="No Portfolio"/>
    <s v="USD"/>
    <x v="4"/>
    <s v="stroller tray"/>
    <s v="Amazon"/>
    <s v="United States"/>
    <s v="loose-match"/>
    <s v="-"/>
    <x v="587"/>
    <n v="1"/>
    <n v="1"/>
    <n v="1"/>
    <n v="0.51"/>
    <n v="0.51"/>
    <n v="0"/>
    <m/>
    <n v="0"/>
    <n v="0"/>
    <n v="0"/>
    <n v="0"/>
    <n v="0"/>
    <n v="0"/>
    <n v="0"/>
    <n v="0"/>
  </r>
  <r>
    <x v="1"/>
    <x v="8"/>
    <d v="2026-02-23T00:00:00"/>
    <s v="No Portfolio"/>
    <s v="USD"/>
    <x v="4"/>
    <s v="stroller tray"/>
    <s v="Amazon"/>
    <s v="United States"/>
    <s v="loose-match"/>
    <s v="-"/>
    <x v="588"/>
    <n v="1"/>
    <n v="1"/>
    <n v="1"/>
    <n v="0.35"/>
    <n v="0.35"/>
    <n v="0"/>
    <m/>
    <n v="0"/>
    <n v="0"/>
    <n v="0"/>
    <n v="0"/>
    <n v="0"/>
    <n v="0"/>
    <n v="0"/>
    <n v="0"/>
  </r>
  <r>
    <x v="1"/>
    <x v="8"/>
    <d v="2026-02-26T00:00:00"/>
    <s v="No Portfolio"/>
    <s v="USD"/>
    <x v="1"/>
    <s v="broad组"/>
    <s v="Amazon"/>
    <s v="United States"/>
    <s v="stroller tray"/>
    <s v="BROAD"/>
    <x v="589"/>
    <n v="2"/>
    <n v="1"/>
    <n v="0.5"/>
    <n v="1.03"/>
    <n v="1.03"/>
    <n v="0"/>
    <m/>
    <n v="0"/>
    <n v="0"/>
    <n v="0"/>
    <n v="0"/>
    <n v="0"/>
    <n v="0"/>
    <n v="0"/>
    <n v="0"/>
  </r>
  <r>
    <x v="1"/>
    <x v="8"/>
    <d v="2026-02-22T00:00:00"/>
    <s v="No Portfolio"/>
    <s v="USD"/>
    <x v="1"/>
    <s v="broad组"/>
    <s v="Amazon"/>
    <s v="United States"/>
    <s v="stroller tray"/>
    <s v="BROAD"/>
    <x v="590"/>
    <n v="2"/>
    <n v="1"/>
    <n v="0.5"/>
    <n v="0.74"/>
    <n v="0.74"/>
    <n v="0"/>
    <m/>
    <n v="0"/>
    <n v="0"/>
    <n v="0"/>
    <n v="0"/>
    <n v="0"/>
    <n v="0"/>
    <n v="0"/>
    <n v="0"/>
  </r>
  <r>
    <x v="1"/>
    <x v="8"/>
    <d v="2026-02-26T00:00:00"/>
    <s v="No Portfolio"/>
    <s v="USD"/>
    <x v="1"/>
    <s v="broad组"/>
    <s v="Amazon"/>
    <s v="United States"/>
    <s v="universal snack tray"/>
    <s v="BROAD"/>
    <x v="591"/>
    <n v="5"/>
    <n v="1"/>
    <n v="0.2"/>
    <n v="1.33"/>
    <n v="1.33"/>
    <n v="0"/>
    <m/>
    <n v="0"/>
    <n v="0"/>
    <n v="0"/>
    <n v="0"/>
    <n v="0"/>
    <n v="0"/>
    <n v="0"/>
    <n v="0"/>
  </r>
  <r>
    <x v="1"/>
    <x v="8"/>
    <d v="2026-02-27T00:00:00"/>
    <s v="No Portfolio"/>
    <s v="USD"/>
    <x v="2"/>
    <s v="Tray"/>
    <s v="Amazon"/>
    <s v="United States"/>
    <s v="asin=&quot;B0DH98H2G4&quot;"/>
    <s v="-"/>
    <x v="592"/>
    <n v="1"/>
    <n v="1"/>
    <n v="1"/>
    <n v="0.63"/>
    <n v="0.63"/>
    <n v="0"/>
    <m/>
    <n v="0"/>
    <n v="0"/>
    <n v="0"/>
    <n v="0"/>
    <n v="0"/>
    <n v="0"/>
    <n v="0"/>
    <n v="0"/>
  </r>
  <r>
    <x v="1"/>
    <x v="8"/>
    <d v="2026-02-23T00:00:00"/>
    <s v="No Portfolio"/>
    <s v="USD"/>
    <x v="1"/>
    <s v="broad组"/>
    <s v="Amazon"/>
    <s v="United States"/>
    <s v="universal snack tray"/>
    <s v="BROAD"/>
    <x v="593"/>
    <n v="1"/>
    <n v="1"/>
    <n v="1"/>
    <n v="1.65"/>
    <n v="1.65"/>
    <n v="0"/>
    <m/>
    <n v="0"/>
    <n v="0"/>
    <n v="0"/>
    <n v="0"/>
    <n v="0"/>
    <n v="0"/>
    <n v="0"/>
    <n v="0"/>
  </r>
  <r>
    <x v="1"/>
    <x v="8"/>
    <d v="2026-02-28T00:00:00"/>
    <s v="No Portfolio"/>
    <s v="USD"/>
    <x v="4"/>
    <s v="stroller tray"/>
    <s v="Amazon"/>
    <s v="United States"/>
    <s v="close-match"/>
    <s v="-"/>
    <x v="235"/>
    <n v="12"/>
    <n v="1"/>
    <n v="8.3333333333333315E-2"/>
    <n v="0.78"/>
    <n v="0.78"/>
    <n v="0"/>
    <m/>
    <n v="0"/>
    <n v="0"/>
    <n v="0"/>
    <n v="0"/>
    <n v="0"/>
    <n v="0"/>
    <n v="0"/>
    <n v="0"/>
  </r>
  <r>
    <x v="1"/>
    <x v="8"/>
    <d v="2026-02-22T00:00:00"/>
    <s v="No Portfolio"/>
    <s v="USD"/>
    <x v="0"/>
    <s v="broad组"/>
    <s v="Amazon"/>
    <s v="United States"/>
    <s v="snack tray for stroller"/>
    <s v="BROAD"/>
    <x v="235"/>
    <n v="1"/>
    <n v="1"/>
    <n v="1"/>
    <n v="0.21"/>
    <n v="0.21"/>
    <n v="0"/>
    <m/>
    <n v="0"/>
    <n v="0"/>
    <n v="0"/>
    <n v="0"/>
    <n v="0"/>
    <n v="0"/>
    <n v="0"/>
    <n v="0"/>
  </r>
  <r>
    <x v="1"/>
    <x v="8"/>
    <d v="2026-02-25T00:00:00"/>
    <s v="No Portfolio"/>
    <s v="USD"/>
    <x v="0"/>
    <s v="broad组"/>
    <s v="Amazon"/>
    <s v="United States"/>
    <s v="snack tray for stroller"/>
    <s v="BROAD"/>
    <x v="235"/>
    <n v="1"/>
    <n v="1"/>
    <n v="1"/>
    <n v="0.2"/>
    <n v="0.2"/>
    <n v="0"/>
    <m/>
    <n v="0"/>
    <n v="0"/>
    <n v="0"/>
    <n v="0"/>
    <n v="0"/>
    <n v="0"/>
    <n v="0"/>
    <n v="0"/>
  </r>
  <r>
    <x v="1"/>
    <x v="8"/>
    <d v="2026-02-24T00:00:00"/>
    <s v="No Portfolio"/>
    <s v="USD"/>
    <x v="1"/>
    <s v="broad组"/>
    <s v="Amazon"/>
    <s v="United States"/>
    <s v="universal snack tray"/>
    <s v="BROAD"/>
    <x v="235"/>
    <n v="7"/>
    <n v="1"/>
    <n v="0.14285714285714285"/>
    <n v="0.73"/>
    <n v="0.73"/>
    <n v="0"/>
    <m/>
    <n v="0"/>
    <n v="0"/>
    <n v="0"/>
    <n v="0"/>
    <n v="0"/>
    <n v="0"/>
    <n v="0"/>
    <n v="0"/>
  </r>
  <r>
    <x v="1"/>
    <x v="8"/>
    <d v="2026-02-24T00:00:00"/>
    <s v="No Portfolio"/>
    <s v="USD"/>
    <x v="2"/>
    <s v="Tray"/>
    <s v="Amazon"/>
    <s v="United States"/>
    <s v="asin=&quot;B0DH98H2G4&quot;"/>
    <s v="-"/>
    <x v="594"/>
    <n v="3"/>
    <n v="1"/>
    <n v="0.33333333333333331"/>
    <n v="0.56000000000000005"/>
    <n v="0.56000000000000005"/>
    <n v="0"/>
    <m/>
    <n v="0"/>
    <n v="0"/>
    <n v="0"/>
    <n v="0"/>
    <n v="0"/>
    <n v="0"/>
    <n v="0"/>
    <n v="0"/>
  </r>
  <r>
    <x v="1"/>
    <x v="8"/>
    <d v="2026-02-22T00:00:00"/>
    <s v="No Portfolio"/>
    <s v="USD"/>
    <x v="0"/>
    <s v="phrase&amp;exact"/>
    <s v="Amazon"/>
    <s v="United States"/>
    <s v="universal stroller snack tray"/>
    <s v="PHRASE"/>
    <x v="238"/>
    <n v="57"/>
    <n v="1"/>
    <n v="1.7543859649122806E-2"/>
    <n v="0.2"/>
    <n v="0.2"/>
    <n v="0"/>
    <m/>
    <n v="0"/>
    <n v="0"/>
    <n v="0"/>
    <n v="0"/>
    <n v="0"/>
    <n v="0"/>
    <n v="0"/>
    <n v="0"/>
  </r>
  <r>
    <x v="1"/>
    <x v="8"/>
    <d v="2026-02-26T00:00:00"/>
    <s v="No Portfolio"/>
    <s v="USD"/>
    <x v="0"/>
    <s v="phrase&amp;exact"/>
    <s v="Amazon"/>
    <s v="United States"/>
    <s v="universal stroller snack tray"/>
    <s v="PHRASE"/>
    <x v="238"/>
    <n v="28"/>
    <n v="1"/>
    <n v="3.5714285714285712E-2"/>
    <n v="0.2"/>
    <n v="0.2"/>
    <n v="0"/>
    <m/>
    <n v="0"/>
    <n v="0"/>
    <n v="0"/>
    <n v="0"/>
    <n v="0"/>
    <n v="0"/>
    <n v="0"/>
    <n v="0"/>
  </r>
  <r>
    <x v="1"/>
    <x v="8"/>
    <d v="2026-02-22T00:00:00"/>
    <s v="No Portfolio"/>
    <s v="USD"/>
    <x v="1"/>
    <s v="Phrase&amp;Exact组"/>
    <s v="Amazon"/>
    <s v="United States"/>
    <s v="universal stroller tray"/>
    <s v="PHRASE"/>
    <x v="595"/>
    <n v="3"/>
    <n v="1"/>
    <n v="0.33333333333333331"/>
    <n v="1.06"/>
    <n v="1.06"/>
    <n v="0"/>
    <m/>
    <n v="0"/>
    <n v="0"/>
    <n v="0"/>
    <n v="0"/>
    <n v="0"/>
    <n v="0"/>
    <n v="0"/>
    <n v="0"/>
  </r>
  <r>
    <x v="1"/>
    <x v="8"/>
    <d v="2026-02-28T00:00:00"/>
    <s v="No Portfolio"/>
    <s v="USD"/>
    <x v="0"/>
    <s v="phrase&amp;exact"/>
    <s v="Amazon"/>
    <s v="United States"/>
    <s v="stroller cup holder"/>
    <s v="PHRASE"/>
    <x v="596"/>
    <n v="2"/>
    <n v="1"/>
    <n v="0.5"/>
    <n v="0.21"/>
    <n v="0.21"/>
    <n v="0"/>
    <m/>
    <n v="0"/>
    <n v="0"/>
    <n v="0"/>
    <n v="0"/>
    <n v="0"/>
    <n v="0"/>
    <n v="0"/>
    <n v="0"/>
  </r>
  <r>
    <x v="1"/>
    <x v="8"/>
    <d v="2026-02-26T00:00:00"/>
    <s v="No Portfolio"/>
    <s v="USD"/>
    <x v="0"/>
    <s v="broad组"/>
    <s v="Amazon"/>
    <s v="United States"/>
    <s v="stroller cup holder"/>
    <s v="BROAD"/>
    <x v="597"/>
    <n v="1"/>
    <n v="1"/>
    <n v="1"/>
    <n v="0.21"/>
    <n v="0.21"/>
    <n v="0"/>
    <m/>
    <n v="0"/>
    <n v="0"/>
    <n v="0"/>
    <n v="0"/>
    <n v="0"/>
    <n v="0"/>
    <n v="0"/>
    <n v="0"/>
  </r>
  <r>
    <x v="1"/>
    <x v="8"/>
    <d v="2026-02-22T00:00:00"/>
    <s v="No Portfolio"/>
    <s v="USD"/>
    <x v="4"/>
    <s v="stroller tray"/>
    <s v="Amazon"/>
    <s v="United States"/>
    <s v="loose-match"/>
    <s v="-"/>
    <x v="598"/>
    <n v="1"/>
    <n v="1"/>
    <n v="1"/>
    <n v="0.45"/>
    <n v="0.45"/>
    <n v="34.18"/>
    <n v="1.3165593914569925E-2"/>
    <n v="75.955555555555549"/>
    <n v="1"/>
    <n v="2"/>
    <n v="1"/>
    <n v="2"/>
    <n v="0"/>
    <n v="34.18"/>
    <n v="0"/>
  </r>
  <r>
    <x v="1"/>
    <x v="8"/>
    <d v="2026-02-28T00:00:00"/>
    <s v="No Portfolio"/>
    <s v="USD"/>
    <x v="1"/>
    <s v="broad组"/>
    <s v="Amazon"/>
    <s v="United States"/>
    <s v="wagon cup holder"/>
    <s v="BROAD"/>
    <x v="599"/>
    <n v="3"/>
    <n v="1"/>
    <n v="0.33333333333333331"/>
    <n v="0.88"/>
    <n v="0.88"/>
    <n v="0"/>
    <m/>
    <n v="0"/>
    <n v="0"/>
    <n v="0"/>
    <n v="0"/>
    <n v="0"/>
    <n v="0"/>
    <n v="0"/>
    <n v="0"/>
  </r>
  <r>
    <x v="1"/>
    <x v="8"/>
    <d v="2026-02-23T00:00:00"/>
    <s v="No Portfolio"/>
    <s v="USD"/>
    <x v="4"/>
    <s v="stroller tray"/>
    <s v="Amazon"/>
    <s v="United States"/>
    <s v="loose-match"/>
    <s v="-"/>
    <x v="600"/>
    <n v="1"/>
    <n v="1"/>
    <n v="1"/>
    <n v="0.45"/>
    <n v="0.45"/>
    <n v="0"/>
    <m/>
    <n v="0"/>
    <n v="0"/>
    <n v="0"/>
    <n v="0"/>
    <n v="0"/>
    <n v="0"/>
    <n v="0"/>
    <n v="0"/>
  </r>
  <r>
    <x v="1"/>
    <x v="8"/>
    <d v="2026-02-25T00:00:00"/>
    <s v="No Portfolio"/>
    <s v="USD"/>
    <x v="4"/>
    <s v="stroller tray"/>
    <s v="Amazon"/>
    <s v="United States"/>
    <s v="loose-match"/>
    <s v="-"/>
    <x v="601"/>
    <n v="1"/>
    <n v="1"/>
    <n v="1"/>
    <n v="0.46"/>
    <n v="0.46"/>
    <n v="0"/>
    <m/>
    <n v="0"/>
    <n v="0"/>
    <n v="0"/>
    <n v="0"/>
    <n v="0"/>
    <n v="0"/>
    <n v="0"/>
    <n v="0"/>
  </r>
  <r>
    <x v="1"/>
    <x v="8"/>
    <d v="2026-02-25T00:00:00"/>
    <s v="No Portfolio"/>
    <s v="USD"/>
    <x v="4"/>
    <s v="stroller tray"/>
    <s v="Amazon"/>
    <s v="United States"/>
    <s v="loose-match"/>
    <s v="-"/>
    <x v="602"/>
    <n v="1"/>
    <n v="1"/>
    <n v="1"/>
    <n v="0.46"/>
    <n v="0.46"/>
    <n v="0"/>
    <m/>
    <n v="0"/>
    <n v="0"/>
    <n v="0"/>
    <n v="0"/>
    <n v="0"/>
    <n v="0"/>
    <n v="0"/>
    <n v="0"/>
  </r>
  <r>
    <x v="1"/>
    <x v="8"/>
    <d v="2026-02-28T00:00:00"/>
    <s v="No Portfolio"/>
    <s v="USD"/>
    <x v="1"/>
    <s v="broad组"/>
    <s v="Amazon"/>
    <s v="United States"/>
    <s v="wagon cup holder"/>
    <s v="BROAD"/>
    <x v="603"/>
    <n v="3"/>
    <n v="1"/>
    <n v="0.33333333333333331"/>
    <n v="0.59"/>
    <n v="0.59"/>
    <n v="17.09"/>
    <n v="3.452311293153891E-2"/>
    <n v="28.966101694915256"/>
    <n v="1"/>
    <n v="1"/>
    <n v="1"/>
    <n v="1"/>
    <n v="0"/>
    <n v="17.09"/>
    <n v="0"/>
  </r>
  <r>
    <x v="1"/>
    <x v="8"/>
    <d v="2026-02-24T00:00:00"/>
    <s v="No Portfolio"/>
    <s v="USD"/>
    <x v="4"/>
    <s v="stroller tray"/>
    <s v="Amazon"/>
    <s v="United States"/>
    <s v="loose-match"/>
    <s v="-"/>
    <x v="604"/>
    <n v="3"/>
    <n v="1"/>
    <n v="0.33333333333333331"/>
    <n v="0.32"/>
    <n v="0.32"/>
    <n v="0"/>
    <m/>
    <n v="0"/>
    <n v="0"/>
    <n v="0"/>
    <n v="0"/>
    <n v="0"/>
    <n v="0"/>
    <n v="0"/>
    <n v="0"/>
  </r>
  <r>
    <x v="1"/>
    <x v="8"/>
    <d v="2026-02-23T00:00:00"/>
    <s v="No Portfolio"/>
    <s v="USD"/>
    <x v="6"/>
    <s v="ENC"/>
    <s v="Amazon"/>
    <s v="United States"/>
    <s v="substitutes"/>
    <s v="-"/>
    <x v="605"/>
    <n v="1"/>
    <n v="1"/>
    <n v="1"/>
    <n v="1.1499999999999999"/>
    <n v="1.1499999999999999"/>
    <n v="0"/>
    <m/>
    <n v="0"/>
    <n v="0"/>
    <n v="0"/>
    <n v="0"/>
    <n v="0"/>
    <n v="0"/>
    <n v="0"/>
    <n v="0"/>
  </r>
  <r>
    <x v="2"/>
    <x v="9"/>
    <d v="2026-03-10T00:00:00"/>
    <s v="No Portfolio"/>
    <s v="USD"/>
    <x v="0"/>
    <s v="broad组"/>
    <s v="Amazon"/>
    <s v="United States"/>
    <s v="stroller accessories"/>
    <s v="BROAD"/>
    <x v="606"/>
    <n v="2"/>
    <n v="1"/>
    <n v="0.5"/>
    <n v="0.16"/>
    <n v="0.16"/>
    <n v="0"/>
    <m/>
    <n v="0"/>
    <n v="0"/>
    <n v="0"/>
    <n v="0"/>
    <n v="0"/>
    <n v="0"/>
    <n v="0"/>
    <n v="0"/>
  </r>
  <r>
    <x v="2"/>
    <x v="9"/>
    <d v="2026-03-14T00:00:00"/>
    <s v="No Portfolio"/>
    <s v="USD"/>
    <x v="4"/>
    <s v="stroller tray"/>
    <s v="Amazon"/>
    <s v="United States"/>
    <s v="loose-match"/>
    <s v="-"/>
    <x v="607"/>
    <n v="1"/>
    <n v="1"/>
    <n v="1"/>
    <n v="0.6"/>
    <n v="0.6"/>
    <n v="0"/>
    <m/>
    <n v="0"/>
    <n v="0"/>
    <n v="0"/>
    <n v="0"/>
    <n v="0"/>
    <n v="0"/>
    <n v="0"/>
    <n v="0"/>
  </r>
  <r>
    <x v="2"/>
    <x v="9"/>
    <d v="2026-03-11T00:00:00"/>
    <s v="No Portfolio"/>
    <s v="USD"/>
    <x v="0"/>
    <s v="phrase&amp;exact"/>
    <s v="Amazon"/>
    <s v="United States"/>
    <s v="stroller cup holder"/>
    <s v="PHRASE"/>
    <x v="0"/>
    <n v="16"/>
    <n v="1"/>
    <n v="6.25E-2"/>
    <n v="0.2"/>
    <n v="0.2"/>
    <n v="17.09"/>
    <n v="1.1702750146284377E-2"/>
    <n v="85.449999999999989"/>
    <n v="1"/>
    <n v="1"/>
    <n v="1"/>
    <n v="0"/>
    <n v="1"/>
    <n v="0"/>
    <n v="17.09"/>
  </r>
  <r>
    <x v="2"/>
    <x v="9"/>
    <d v="2026-03-09T00:00:00"/>
    <s v="No Portfolio"/>
    <s v="USD"/>
    <x v="1"/>
    <s v="broad组"/>
    <s v="Amazon"/>
    <s v="United States"/>
    <s v="cup holder and tray for stroller"/>
    <s v="BROAD"/>
    <x v="608"/>
    <n v="1"/>
    <n v="1"/>
    <n v="1"/>
    <n v="1.25"/>
    <n v="1.25"/>
    <n v="0"/>
    <m/>
    <n v="0"/>
    <n v="0"/>
    <n v="0"/>
    <n v="0"/>
    <n v="0"/>
    <n v="0"/>
    <n v="0"/>
    <n v="0"/>
  </r>
  <r>
    <x v="2"/>
    <x v="10"/>
    <d v="2026-03-06T00:00:00"/>
    <s v="No Portfolio"/>
    <s v="USD"/>
    <x v="2"/>
    <s v="Tray"/>
    <s v="Amazon"/>
    <s v="United States"/>
    <s v="asin=&quot;B0DH98H2G4&quot;"/>
    <s v="-"/>
    <x v="609"/>
    <n v="1"/>
    <n v="1"/>
    <n v="1"/>
    <n v="0.73"/>
    <n v="0.73"/>
    <n v="0"/>
    <m/>
    <n v="0"/>
    <n v="0"/>
    <n v="0"/>
    <n v="0"/>
    <n v="0"/>
    <n v="0"/>
    <n v="0"/>
    <n v="0"/>
  </r>
  <r>
    <x v="2"/>
    <x v="9"/>
    <d v="2026-03-14T00:00:00"/>
    <s v="No Portfolio"/>
    <s v="USD"/>
    <x v="6"/>
    <s v="ENC"/>
    <s v="Amazon"/>
    <s v="United States"/>
    <s v="close-match"/>
    <s v="-"/>
    <x v="251"/>
    <n v="3"/>
    <n v="1"/>
    <n v="0.33333333333333331"/>
    <n v="1.28"/>
    <n v="1.28"/>
    <n v="0"/>
    <m/>
    <n v="0"/>
    <n v="0"/>
    <n v="0"/>
    <n v="0"/>
    <n v="0"/>
    <n v="0"/>
    <n v="0"/>
    <n v="0"/>
  </r>
  <r>
    <x v="2"/>
    <x v="11"/>
    <d v="2026-03-16T00:00:00"/>
    <s v="No Portfolio"/>
    <s v="USD"/>
    <x v="4"/>
    <s v="stroller tray"/>
    <s v="Amazon"/>
    <s v="United States"/>
    <s v="substitutes"/>
    <s v="-"/>
    <x v="610"/>
    <n v="2"/>
    <n v="1"/>
    <n v="0.5"/>
    <n v="0.68"/>
    <n v="0.68"/>
    <n v="0"/>
    <m/>
    <n v="0"/>
    <n v="0"/>
    <n v="0"/>
    <n v="0"/>
    <n v="0"/>
    <n v="0"/>
    <n v="0"/>
    <n v="0"/>
  </r>
  <r>
    <x v="2"/>
    <x v="10"/>
    <d v="2026-03-07T00:00:00"/>
    <s v="No Portfolio"/>
    <s v="USD"/>
    <x v="4"/>
    <s v="stroller tray"/>
    <s v="Amazon"/>
    <s v="United States"/>
    <s v="substitutes"/>
    <s v="-"/>
    <x v="611"/>
    <n v="2"/>
    <n v="1"/>
    <n v="0.5"/>
    <n v="0.96"/>
    <n v="0.96"/>
    <n v="0"/>
    <m/>
    <n v="0"/>
    <n v="0"/>
    <n v="0"/>
    <n v="0"/>
    <n v="0"/>
    <n v="0"/>
    <n v="0"/>
    <n v="0"/>
  </r>
  <r>
    <x v="2"/>
    <x v="10"/>
    <d v="2026-03-01T00:00:00"/>
    <s v="No Portfolio"/>
    <s v="USD"/>
    <x v="4"/>
    <s v="stroller tray"/>
    <s v="Amazon"/>
    <s v="United States"/>
    <s v="substitutes"/>
    <s v="-"/>
    <x v="5"/>
    <n v="2"/>
    <n v="1"/>
    <n v="0.5"/>
    <n v="0.6"/>
    <n v="0.6"/>
    <n v="0"/>
    <m/>
    <n v="0"/>
    <n v="0"/>
    <n v="0"/>
    <n v="0"/>
    <n v="0"/>
    <n v="0"/>
    <n v="0"/>
    <n v="0"/>
  </r>
  <r>
    <x v="2"/>
    <x v="10"/>
    <d v="2026-03-03T00:00:00"/>
    <s v="No Portfolio"/>
    <s v="USD"/>
    <x v="4"/>
    <s v="stroller tray"/>
    <s v="Amazon"/>
    <s v="United States"/>
    <s v="substitutes"/>
    <s v="-"/>
    <x v="612"/>
    <n v="4"/>
    <n v="1"/>
    <n v="0.25"/>
    <n v="0.65"/>
    <n v="0.65"/>
    <n v="0"/>
    <m/>
    <n v="0"/>
    <n v="0"/>
    <n v="0"/>
    <n v="0"/>
    <n v="0"/>
    <n v="0"/>
    <n v="0"/>
    <n v="0"/>
  </r>
  <r>
    <x v="2"/>
    <x v="10"/>
    <d v="2026-03-03T00:00:00"/>
    <s v="No Portfolio"/>
    <s v="USD"/>
    <x v="4"/>
    <s v="stroller tray"/>
    <s v="Amazon"/>
    <s v="United States"/>
    <s v="substitutes"/>
    <s v="-"/>
    <x v="613"/>
    <n v="61"/>
    <n v="1"/>
    <n v="1.6393442622950821E-2"/>
    <n v="0.1"/>
    <n v="0.1"/>
    <n v="0"/>
    <m/>
    <n v="0"/>
    <n v="0"/>
    <n v="0"/>
    <n v="0"/>
    <n v="0"/>
    <n v="0"/>
    <n v="0"/>
    <n v="0"/>
  </r>
  <r>
    <x v="2"/>
    <x v="9"/>
    <d v="2026-03-11T00:00:00"/>
    <s v="No Portfolio"/>
    <s v="USD"/>
    <x v="4"/>
    <s v="stroller tray"/>
    <s v="Amazon"/>
    <s v="United States"/>
    <s v="substitutes"/>
    <s v="-"/>
    <x v="614"/>
    <n v="6"/>
    <n v="1"/>
    <n v="0.16666666666666663"/>
    <n v="0.5"/>
    <n v="0.5"/>
    <n v="0"/>
    <m/>
    <n v="0"/>
    <n v="0"/>
    <n v="0"/>
    <n v="0"/>
    <n v="0"/>
    <n v="0"/>
    <n v="0"/>
    <n v="0"/>
  </r>
  <r>
    <x v="2"/>
    <x v="11"/>
    <d v="2026-03-17T00:00:00"/>
    <s v="No Portfolio"/>
    <s v="USD"/>
    <x v="4"/>
    <s v="stroller tray"/>
    <s v="Amazon"/>
    <s v="United States"/>
    <s v="substitutes"/>
    <s v="-"/>
    <x v="615"/>
    <n v="1"/>
    <n v="1"/>
    <n v="1"/>
    <n v="0.56000000000000005"/>
    <n v="0.56000000000000005"/>
    <n v="0"/>
    <m/>
    <n v="0"/>
    <n v="0"/>
    <n v="0"/>
    <n v="0"/>
    <n v="0"/>
    <n v="0"/>
    <n v="0"/>
    <n v="0"/>
  </r>
  <r>
    <x v="2"/>
    <x v="11"/>
    <d v="2026-03-15T00:00:00"/>
    <s v="No Portfolio"/>
    <s v="USD"/>
    <x v="4"/>
    <s v="stroller tray"/>
    <s v="Amazon"/>
    <s v="United States"/>
    <s v="substitutes"/>
    <s v="-"/>
    <x v="616"/>
    <n v="1"/>
    <n v="1"/>
    <n v="1"/>
    <n v="0.34"/>
    <n v="0.34"/>
    <n v="0"/>
    <m/>
    <n v="0"/>
    <n v="0"/>
    <n v="0"/>
    <n v="0"/>
    <n v="0"/>
    <n v="0"/>
    <n v="0"/>
    <n v="0"/>
  </r>
  <r>
    <x v="2"/>
    <x v="11"/>
    <d v="2026-03-19T00:00:00"/>
    <s v="No Portfolio"/>
    <s v="USD"/>
    <x v="4"/>
    <s v="stroller tray"/>
    <s v="Amazon"/>
    <s v="United States"/>
    <s v="substitutes"/>
    <s v="-"/>
    <x v="617"/>
    <n v="1"/>
    <n v="1"/>
    <n v="1"/>
    <n v="0.6"/>
    <n v="0.6"/>
    <n v="0"/>
    <m/>
    <n v="0"/>
    <n v="0"/>
    <n v="0"/>
    <n v="0"/>
    <n v="0"/>
    <n v="0"/>
    <n v="0"/>
    <n v="0"/>
  </r>
  <r>
    <x v="2"/>
    <x v="11"/>
    <d v="2026-03-19T00:00:00"/>
    <s v="No Portfolio"/>
    <s v="USD"/>
    <x v="4"/>
    <s v="stroller tray"/>
    <s v="Amazon"/>
    <s v="United States"/>
    <s v="substitutes"/>
    <s v="-"/>
    <x v="618"/>
    <n v="2"/>
    <n v="1"/>
    <n v="0.5"/>
    <n v="0.6"/>
    <n v="0.6"/>
    <n v="0"/>
    <m/>
    <n v="0"/>
    <n v="0"/>
    <n v="0"/>
    <n v="0"/>
    <n v="0"/>
    <n v="0"/>
    <n v="0"/>
    <n v="0"/>
  </r>
  <r>
    <x v="2"/>
    <x v="10"/>
    <d v="2026-03-05T00:00:00"/>
    <s v="No Portfolio"/>
    <s v="USD"/>
    <x v="4"/>
    <s v="stroller tray"/>
    <s v="Amazon"/>
    <s v="United States"/>
    <s v="substitutes"/>
    <s v="-"/>
    <x v="619"/>
    <n v="4"/>
    <n v="1"/>
    <n v="0.25"/>
    <n v="0.87"/>
    <n v="0.87"/>
    <n v="0"/>
    <m/>
    <n v="0"/>
    <n v="0"/>
    <n v="0"/>
    <n v="0"/>
    <n v="0"/>
    <n v="0"/>
    <n v="0"/>
    <n v="0"/>
  </r>
  <r>
    <x v="2"/>
    <x v="11"/>
    <d v="2026-03-18T00:00:00"/>
    <s v="No Portfolio"/>
    <s v="USD"/>
    <x v="4"/>
    <s v="stroller tray"/>
    <s v="Amazon"/>
    <s v="United States"/>
    <s v="substitutes"/>
    <s v="-"/>
    <x v="619"/>
    <n v="2"/>
    <n v="1"/>
    <n v="0.5"/>
    <n v="0.6"/>
    <n v="0.6"/>
    <n v="0"/>
    <m/>
    <n v="0"/>
    <n v="0"/>
    <n v="0"/>
    <n v="0"/>
    <n v="0"/>
    <n v="0"/>
    <n v="0"/>
    <n v="0"/>
  </r>
  <r>
    <x v="2"/>
    <x v="11"/>
    <d v="2026-03-20T00:00:00"/>
    <s v="No Portfolio"/>
    <s v="USD"/>
    <x v="4"/>
    <s v="stroller tray"/>
    <s v="Amazon"/>
    <s v="United States"/>
    <s v="substitutes"/>
    <s v="-"/>
    <x v="619"/>
    <n v="7"/>
    <n v="1"/>
    <n v="0.14285714285714285"/>
    <n v="0.57999999999999996"/>
    <n v="0.57999999999999996"/>
    <n v="0"/>
    <m/>
    <n v="0"/>
    <n v="0"/>
    <n v="0"/>
    <n v="0"/>
    <n v="0"/>
    <n v="0"/>
    <n v="0"/>
    <n v="0"/>
  </r>
  <r>
    <x v="2"/>
    <x v="11"/>
    <d v="2026-03-16T00:00:00"/>
    <s v="No Portfolio"/>
    <s v="USD"/>
    <x v="4"/>
    <s v="stroller tray"/>
    <s v="Amazon"/>
    <s v="United States"/>
    <s v="substitutes"/>
    <s v="-"/>
    <x v="254"/>
    <n v="6"/>
    <n v="1"/>
    <n v="0.16666666666666663"/>
    <n v="0.56000000000000005"/>
    <n v="0.56000000000000005"/>
    <n v="0"/>
    <m/>
    <n v="0"/>
    <n v="0"/>
    <n v="0"/>
    <n v="0"/>
    <n v="0"/>
    <n v="0"/>
    <n v="0"/>
    <n v="0"/>
  </r>
  <r>
    <x v="2"/>
    <x v="11"/>
    <d v="2026-03-20T00:00:00"/>
    <s v="No Portfolio"/>
    <s v="USD"/>
    <x v="4"/>
    <s v="stroller tray"/>
    <s v="Amazon"/>
    <s v="United States"/>
    <s v="substitutes"/>
    <s v="-"/>
    <x v="333"/>
    <n v="2"/>
    <n v="1"/>
    <n v="0.5"/>
    <n v="0.6"/>
    <n v="0.6"/>
    <n v="0"/>
    <m/>
    <n v="0"/>
    <n v="0"/>
    <n v="0"/>
    <n v="0"/>
    <n v="0"/>
    <n v="0"/>
    <n v="0"/>
    <n v="0"/>
  </r>
  <r>
    <x v="2"/>
    <x v="11"/>
    <d v="2026-03-17T00:00:00"/>
    <s v="No Portfolio"/>
    <s v="USD"/>
    <x v="4"/>
    <s v="stroller tray"/>
    <s v="Amazon"/>
    <s v="United States"/>
    <s v="substitutes"/>
    <s v="-"/>
    <x v="620"/>
    <n v="3"/>
    <n v="1"/>
    <n v="0.33333333333333331"/>
    <n v="0.54"/>
    <n v="0.54"/>
    <n v="0"/>
    <m/>
    <n v="0"/>
    <n v="0"/>
    <n v="0"/>
    <n v="0"/>
    <n v="0"/>
    <n v="0"/>
    <n v="0"/>
    <n v="0"/>
  </r>
  <r>
    <x v="2"/>
    <x v="9"/>
    <d v="2026-03-12T00:00:00"/>
    <s v="No Portfolio"/>
    <s v="USD"/>
    <x v="4"/>
    <s v="stroller tray"/>
    <s v="Amazon"/>
    <s v="United States"/>
    <s v="substitutes"/>
    <s v="-"/>
    <x v="621"/>
    <n v="2"/>
    <n v="1"/>
    <n v="0.5"/>
    <n v="0.54"/>
    <n v="0.54"/>
    <n v="37.979999999999997"/>
    <n v="1.4218009478672989E-2"/>
    <n v="70.333333333333329"/>
    <n v="1"/>
    <n v="2"/>
    <n v="1"/>
    <n v="2"/>
    <n v="0"/>
    <n v="37.979999999999997"/>
    <n v="0"/>
  </r>
  <r>
    <x v="2"/>
    <x v="10"/>
    <d v="2026-03-05T00:00:00"/>
    <s v="No Portfolio"/>
    <s v="USD"/>
    <x v="4"/>
    <s v="stroller tray"/>
    <s v="Amazon"/>
    <s v="United States"/>
    <s v="substitutes"/>
    <s v="-"/>
    <x v="622"/>
    <n v="3"/>
    <n v="1"/>
    <n v="0.33333333333333331"/>
    <n v="0.1"/>
    <n v="0.1"/>
    <n v="0"/>
    <m/>
    <n v="0"/>
    <n v="0"/>
    <n v="0"/>
    <n v="0"/>
    <n v="0"/>
    <n v="0"/>
    <n v="0"/>
    <n v="0"/>
  </r>
  <r>
    <x v="2"/>
    <x v="11"/>
    <d v="2026-03-21T00:00:00"/>
    <s v="No Portfolio"/>
    <s v="USD"/>
    <x v="4"/>
    <s v="stroller tray"/>
    <s v="Amazon"/>
    <s v="United States"/>
    <s v="substitutes"/>
    <s v="-"/>
    <x v="623"/>
    <n v="1"/>
    <n v="1"/>
    <n v="1"/>
    <n v="0.57999999999999996"/>
    <n v="0.57999999999999996"/>
    <n v="0"/>
    <m/>
    <n v="0"/>
    <n v="0"/>
    <n v="0"/>
    <n v="0"/>
    <n v="0"/>
    <n v="0"/>
    <n v="0"/>
    <n v="0"/>
  </r>
  <r>
    <x v="2"/>
    <x v="10"/>
    <d v="2026-03-07T00:00:00"/>
    <s v="No Portfolio"/>
    <s v="USD"/>
    <x v="4"/>
    <s v="stroller tray"/>
    <s v="Amazon"/>
    <s v="United States"/>
    <s v="substitutes"/>
    <s v="-"/>
    <x v="624"/>
    <n v="2"/>
    <n v="1"/>
    <n v="0.5"/>
    <n v="0.87"/>
    <n v="0.87"/>
    <n v="0"/>
    <m/>
    <n v="0"/>
    <n v="0"/>
    <n v="0"/>
    <n v="0"/>
    <n v="0"/>
    <n v="0"/>
    <n v="0"/>
    <n v="0"/>
  </r>
  <r>
    <x v="2"/>
    <x v="10"/>
    <d v="2026-03-07T00:00:00"/>
    <s v="No Portfolio"/>
    <s v="USD"/>
    <x v="4"/>
    <s v="stroller tray"/>
    <s v="Amazon"/>
    <s v="United States"/>
    <s v="substitutes"/>
    <s v="-"/>
    <x v="625"/>
    <n v="11"/>
    <n v="1"/>
    <n v="9.0909090909090925E-2"/>
    <n v="0.87"/>
    <n v="0.87"/>
    <n v="0"/>
    <m/>
    <n v="0"/>
    <n v="0"/>
    <n v="0"/>
    <n v="0"/>
    <n v="0"/>
    <n v="0"/>
    <n v="0"/>
    <n v="0"/>
  </r>
  <r>
    <x v="2"/>
    <x v="9"/>
    <d v="2026-03-11T00:00:00"/>
    <s v="No Portfolio"/>
    <s v="USD"/>
    <x v="4"/>
    <s v="stroller tray"/>
    <s v="Amazon"/>
    <s v="United States"/>
    <s v="substitutes"/>
    <s v="-"/>
    <x v="626"/>
    <n v="2"/>
    <n v="1"/>
    <n v="0.5"/>
    <n v="0.4"/>
    <n v="0.4"/>
    <n v="0"/>
    <m/>
    <n v="0"/>
    <n v="0"/>
    <n v="0"/>
    <n v="0"/>
    <n v="0"/>
    <n v="0"/>
    <n v="0"/>
    <n v="0"/>
  </r>
  <r>
    <x v="2"/>
    <x v="11"/>
    <d v="2026-03-16T00:00:00"/>
    <s v="No Portfolio"/>
    <s v="USD"/>
    <x v="2"/>
    <s v="Tray"/>
    <s v="Amazon"/>
    <s v="United States"/>
    <s v="asin=&quot;B0D9Q9X59P&quot;"/>
    <s v="-"/>
    <x v="16"/>
    <n v="233"/>
    <n v="3"/>
    <n v="1.2875536480686695E-2"/>
    <n v="0.3"/>
    <n v="0.9"/>
    <n v="0"/>
    <m/>
    <n v="0"/>
    <n v="0"/>
    <n v="0"/>
    <n v="0"/>
    <n v="0"/>
    <n v="0"/>
    <n v="0"/>
    <n v="0"/>
  </r>
  <r>
    <x v="2"/>
    <x v="11"/>
    <d v="2026-03-18T00:00:00"/>
    <s v="No Portfolio"/>
    <s v="USD"/>
    <x v="2"/>
    <s v="Tray"/>
    <s v="Amazon"/>
    <s v="United States"/>
    <s v="asin=&quot;B0D9Q9X59P&quot;"/>
    <s v="-"/>
    <x v="16"/>
    <n v="197"/>
    <n v="1"/>
    <n v="5.076142131979695E-3"/>
    <n v="0.46"/>
    <n v="0.46"/>
    <n v="0"/>
    <m/>
    <n v="0"/>
    <n v="0"/>
    <n v="0"/>
    <n v="0"/>
    <n v="0"/>
    <n v="0"/>
    <n v="0"/>
    <n v="0"/>
  </r>
  <r>
    <x v="2"/>
    <x v="10"/>
    <d v="2026-03-03T00:00:00"/>
    <s v="No Portfolio"/>
    <s v="USD"/>
    <x v="4"/>
    <s v="stroller tray"/>
    <s v="Amazon"/>
    <s v="United States"/>
    <s v="substitutes"/>
    <s v="-"/>
    <x v="255"/>
    <n v="3"/>
    <n v="1"/>
    <n v="0.33333333333333331"/>
    <n v="0.65"/>
    <n v="0.65"/>
    <n v="0"/>
    <m/>
    <n v="0"/>
    <n v="0"/>
    <n v="0"/>
    <n v="0"/>
    <n v="0"/>
    <n v="0"/>
    <n v="0"/>
    <n v="0"/>
  </r>
  <r>
    <x v="2"/>
    <x v="10"/>
    <d v="2026-03-01T00:00:00"/>
    <s v="No Portfolio"/>
    <s v="USD"/>
    <x v="4"/>
    <s v="stroller tray"/>
    <s v="Amazon"/>
    <s v="United States"/>
    <s v="substitutes"/>
    <s v="-"/>
    <x v="18"/>
    <n v="3"/>
    <n v="1"/>
    <n v="0.33333333333333331"/>
    <n v="0.6"/>
    <n v="0.6"/>
    <n v="0"/>
    <m/>
    <n v="0"/>
    <n v="0"/>
    <n v="0"/>
    <n v="0"/>
    <n v="0"/>
    <n v="0"/>
    <n v="0"/>
    <n v="0"/>
  </r>
  <r>
    <x v="2"/>
    <x v="10"/>
    <d v="2026-03-04T00:00:00"/>
    <s v="No Portfolio"/>
    <s v="USD"/>
    <x v="4"/>
    <s v="stroller tray"/>
    <s v="Amazon"/>
    <s v="United States"/>
    <s v="substitutes"/>
    <s v="-"/>
    <x v="18"/>
    <n v="23"/>
    <n v="1"/>
    <n v="4.3478260869565216E-2"/>
    <n v="0.61"/>
    <n v="0.61"/>
    <n v="0"/>
    <m/>
    <n v="0"/>
    <n v="0"/>
    <n v="0"/>
    <n v="0"/>
    <n v="0"/>
    <n v="0"/>
    <n v="0"/>
    <n v="0"/>
  </r>
  <r>
    <x v="2"/>
    <x v="11"/>
    <d v="2026-03-21T00:00:00"/>
    <s v="No Portfolio"/>
    <s v="USD"/>
    <x v="4"/>
    <s v="stroller tray"/>
    <s v="Amazon"/>
    <s v="United States"/>
    <s v="substitutes"/>
    <s v="-"/>
    <x v="18"/>
    <n v="19"/>
    <n v="1"/>
    <n v="5.2631578947368418E-2"/>
    <n v="0.57999999999999996"/>
    <n v="0.57999999999999996"/>
    <n v="37.979999999999997"/>
    <n v="1.5271195365982098E-2"/>
    <n v="65.482758620689651"/>
    <n v="1"/>
    <n v="2"/>
    <n v="1"/>
    <n v="2"/>
    <n v="0"/>
    <n v="37.979999999999997"/>
    <n v="0"/>
  </r>
  <r>
    <x v="2"/>
    <x v="10"/>
    <d v="2026-03-02T00:00:00"/>
    <s v="No Portfolio"/>
    <s v="USD"/>
    <x v="2"/>
    <s v="Tray"/>
    <s v="Amazon"/>
    <s v="United States"/>
    <s v="asin=&quot;B0DH98H2G4&quot;"/>
    <s v="-"/>
    <x v="18"/>
    <n v="59"/>
    <n v="1"/>
    <n v="1.6949152542372881E-2"/>
    <n v="0.56999999999999995"/>
    <n v="0.56999999999999995"/>
    <n v="0"/>
    <m/>
    <n v="0"/>
    <n v="0"/>
    <n v="0"/>
    <n v="0"/>
    <n v="0"/>
    <n v="0"/>
    <n v="0"/>
    <n v="0"/>
  </r>
  <r>
    <x v="2"/>
    <x v="10"/>
    <d v="2026-03-03T00:00:00"/>
    <s v="No Portfolio"/>
    <s v="USD"/>
    <x v="2"/>
    <s v="Tray"/>
    <s v="Amazon"/>
    <s v="United States"/>
    <s v="asin=&quot;B0DH98H2G4&quot;"/>
    <s v="-"/>
    <x v="18"/>
    <n v="115"/>
    <n v="1"/>
    <n v="8.6956521739130436E-3"/>
    <n v="0.56999999999999995"/>
    <n v="0.56999999999999995"/>
    <n v="0"/>
    <m/>
    <n v="0"/>
    <n v="0"/>
    <n v="0"/>
    <n v="0"/>
    <n v="0"/>
    <n v="0"/>
    <n v="0"/>
    <n v="0"/>
  </r>
  <r>
    <x v="2"/>
    <x v="10"/>
    <d v="2026-03-04T00:00:00"/>
    <s v="No Portfolio"/>
    <s v="USD"/>
    <x v="2"/>
    <s v="Tray"/>
    <s v="Amazon"/>
    <s v="United States"/>
    <s v="asin=&quot;B0DH98H2G4&quot;"/>
    <s v="-"/>
    <x v="18"/>
    <n v="30"/>
    <n v="1"/>
    <n v="3.3333333333333333E-2"/>
    <n v="0.61"/>
    <n v="0.61"/>
    <n v="0"/>
    <m/>
    <n v="0"/>
    <n v="0"/>
    <n v="0"/>
    <n v="0"/>
    <n v="0"/>
    <n v="0"/>
    <n v="0"/>
    <n v="0"/>
  </r>
  <r>
    <x v="2"/>
    <x v="10"/>
    <d v="2026-03-05T00:00:00"/>
    <s v="No Portfolio"/>
    <s v="USD"/>
    <x v="2"/>
    <s v="Tray"/>
    <s v="Amazon"/>
    <s v="United States"/>
    <s v="asin=&quot;B0DH98H2G4&quot;"/>
    <s v="-"/>
    <x v="18"/>
    <n v="429"/>
    <n v="2"/>
    <n v="4.662004662004662E-3"/>
    <n v="0.56999999999999995"/>
    <n v="1.1399999999999999"/>
    <n v="0"/>
    <m/>
    <n v="0"/>
    <n v="0"/>
    <n v="0"/>
    <n v="0"/>
    <n v="0"/>
    <n v="0"/>
    <n v="0"/>
    <n v="0"/>
  </r>
  <r>
    <x v="2"/>
    <x v="9"/>
    <d v="2026-03-09T00:00:00"/>
    <s v="No Portfolio"/>
    <s v="USD"/>
    <x v="2"/>
    <s v="Tray"/>
    <s v="Amazon"/>
    <s v="United States"/>
    <s v="asin=&quot;B0DH98H2G4&quot;"/>
    <s v="-"/>
    <x v="18"/>
    <n v="151"/>
    <n v="2"/>
    <n v="1.3245033112582781E-2"/>
    <n v="0.59"/>
    <n v="1.18"/>
    <n v="0"/>
    <m/>
    <n v="0"/>
    <n v="0"/>
    <n v="0"/>
    <n v="0"/>
    <n v="0"/>
    <n v="0"/>
    <n v="0"/>
    <n v="0"/>
  </r>
  <r>
    <x v="2"/>
    <x v="9"/>
    <d v="2026-03-10T00:00:00"/>
    <s v="No Portfolio"/>
    <s v="USD"/>
    <x v="2"/>
    <s v="Tray"/>
    <s v="Amazon"/>
    <s v="United States"/>
    <s v="asin=&quot;B0DH98H2G4&quot;"/>
    <s v="-"/>
    <x v="18"/>
    <n v="470"/>
    <n v="3"/>
    <n v="6.382978723404255E-3"/>
    <n v="0.5"/>
    <n v="1.5"/>
    <n v="0"/>
    <m/>
    <n v="0"/>
    <n v="0"/>
    <n v="0"/>
    <n v="0"/>
    <n v="0"/>
    <n v="0"/>
    <n v="0"/>
    <n v="0"/>
  </r>
  <r>
    <x v="2"/>
    <x v="9"/>
    <d v="2026-03-12T00:00:00"/>
    <s v="No Portfolio"/>
    <s v="USD"/>
    <x v="2"/>
    <s v="Tray"/>
    <s v="Amazon"/>
    <s v="United States"/>
    <s v="asin=&quot;B0DH98H2G4&quot;"/>
    <s v="-"/>
    <x v="18"/>
    <n v="311"/>
    <n v="2"/>
    <n v="6.4308681672025723E-3"/>
    <n v="0.57999999999999996"/>
    <n v="1.1599999999999999"/>
    <n v="0"/>
    <m/>
    <n v="0"/>
    <n v="0"/>
    <n v="0"/>
    <n v="0"/>
    <n v="0"/>
    <n v="0"/>
    <n v="0"/>
    <n v="0"/>
  </r>
  <r>
    <x v="2"/>
    <x v="9"/>
    <d v="2026-03-13T00:00:00"/>
    <s v="No Portfolio"/>
    <s v="USD"/>
    <x v="2"/>
    <s v="Tray"/>
    <s v="Amazon"/>
    <s v="United States"/>
    <s v="asin=&quot;B0DH98H2G4&quot;"/>
    <s v="-"/>
    <x v="18"/>
    <n v="355"/>
    <n v="4"/>
    <n v="1.1267605633802818E-2"/>
    <n v="0.6"/>
    <n v="2.4"/>
    <n v="0"/>
    <m/>
    <n v="0"/>
    <n v="0"/>
    <n v="0"/>
    <n v="0"/>
    <n v="0"/>
    <n v="0"/>
    <n v="0"/>
    <n v="0"/>
  </r>
  <r>
    <x v="2"/>
    <x v="9"/>
    <d v="2026-03-14T00:00:00"/>
    <s v="No Portfolio"/>
    <s v="USD"/>
    <x v="2"/>
    <s v="Tray"/>
    <s v="Amazon"/>
    <s v="United States"/>
    <s v="asin=&quot;B0DH98H2G4&quot;"/>
    <s v="-"/>
    <x v="18"/>
    <n v="457"/>
    <n v="4"/>
    <n v="8.7527352297592995E-3"/>
    <n v="0.6"/>
    <n v="2.4"/>
    <n v="0"/>
    <m/>
    <n v="0"/>
    <n v="0"/>
    <n v="0"/>
    <n v="0"/>
    <n v="0"/>
    <n v="0"/>
    <n v="0"/>
    <n v="0"/>
  </r>
  <r>
    <x v="2"/>
    <x v="11"/>
    <d v="2026-03-15T00:00:00"/>
    <s v="No Portfolio"/>
    <s v="USD"/>
    <x v="2"/>
    <s v="Tray"/>
    <s v="Amazon"/>
    <s v="United States"/>
    <s v="asin=&quot;B0DH98H2G4&quot;"/>
    <s v="-"/>
    <x v="18"/>
    <n v="332"/>
    <n v="4"/>
    <n v="1.2048192771084338E-2"/>
    <n v="0.58250000000000002"/>
    <n v="2.33"/>
    <n v="18.989999999999998"/>
    <n v="0.12269615587151134"/>
    <n v="8.1502145922746774"/>
    <n v="1"/>
    <n v="1"/>
    <n v="0.25"/>
    <n v="1"/>
    <n v="0"/>
    <n v="18.989999999999998"/>
    <n v="0"/>
  </r>
  <r>
    <x v="2"/>
    <x v="11"/>
    <d v="2026-03-18T00:00:00"/>
    <s v="No Portfolio"/>
    <s v="USD"/>
    <x v="2"/>
    <s v="Tray"/>
    <s v="Amazon"/>
    <s v="United States"/>
    <s v="asin=&quot;B0DH98H2G4&quot;"/>
    <s v="-"/>
    <x v="18"/>
    <n v="106"/>
    <n v="1"/>
    <n v="9.4339622641509448E-3"/>
    <n v="0.59"/>
    <n v="0.59"/>
    <n v="0"/>
    <m/>
    <n v="0"/>
    <n v="0"/>
    <n v="0"/>
    <n v="0"/>
    <n v="0"/>
    <n v="0"/>
    <n v="0"/>
    <n v="0"/>
  </r>
  <r>
    <x v="2"/>
    <x v="11"/>
    <d v="2026-03-19T00:00:00"/>
    <s v="No Portfolio"/>
    <s v="USD"/>
    <x v="2"/>
    <s v="Tray"/>
    <s v="Amazon"/>
    <s v="United States"/>
    <s v="asin=&quot;B0DH98H2G4&quot;"/>
    <s v="-"/>
    <x v="18"/>
    <n v="85"/>
    <n v="1"/>
    <n v="1.1764705882352943E-2"/>
    <n v="0.59"/>
    <n v="0.59"/>
    <n v="0"/>
    <m/>
    <n v="0"/>
    <n v="0"/>
    <n v="0"/>
    <n v="0"/>
    <n v="0"/>
    <n v="0"/>
    <n v="0"/>
    <n v="0"/>
  </r>
  <r>
    <x v="2"/>
    <x v="11"/>
    <d v="2026-03-20T00:00:00"/>
    <s v="No Portfolio"/>
    <s v="USD"/>
    <x v="2"/>
    <s v="Tray"/>
    <s v="Amazon"/>
    <s v="United States"/>
    <s v="asin=&quot;B0DH98H2G4&quot;"/>
    <s v="-"/>
    <x v="18"/>
    <n v="257"/>
    <n v="2"/>
    <n v="7.7821011673151752E-3"/>
    <n v="0.61499999999999999"/>
    <n v="1.23"/>
    <n v="18.989999999999998"/>
    <n v="6.4770932069510276E-2"/>
    <n v="15.439024390243901"/>
    <n v="1"/>
    <n v="1"/>
    <n v="0.5"/>
    <n v="1"/>
    <n v="0"/>
    <n v="18.989999999999998"/>
    <n v="0"/>
  </r>
  <r>
    <x v="2"/>
    <x v="11"/>
    <d v="2026-03-21T00:00:00"/>
    <s v="No Portfolio"/>
    <s v="USD"/>
    <x v="2"/>
    <s v="Tray"/>
    <s v="Amazon"/>
    <s v="United States"/>
    <s v="asin=&quot;B0DH98H2G4&quot;"/>
    <s v="-"/>
    <x v="18"/>
    <n v="367"/>
    <n v="2"/>
    <n v="5.4495912806539499E-3"/>
    <n v="0.61499999999999999"/>
    <n v="1.23"/>
    <n v="0"/>
    <m/>
    <n v="0"/>
    <n v="0"/>
    <n v="0"/>
    <n v="0"/>
    <n v="0"/>
    <n v="0"/>
    <n v="0"/>
    <n v="0"/>
  </r>
  <r>
    <x v="2"/>
    <x v="9"/>
    <d v="2026-03-14T00:00:00"/>
    <s v="No Portfolio"/>
    <s v="USD"/>
    <x v="4"/>
    <s v="stroller tray"/>
    <s v="Amazon"/>
    <s v="United States"/>
    <s v="substitutes"/>
    <s v="-"/>
    <x v="627"/>
    <n v="4"/>
    <n v="1"/>
    <n v="0.25"/>
    <n v="0.6"/>
    <n v="0.6"/>
    <n v="18.989999999999998"/>
    <n v="3.1595576619273306E-2"/>
    <n v="31.65"/>
    <n v="1"/>
    <n v="1"/>
    <n v="1"/>
    <n v="1"/>
    <n v="0"/>
    <n v="18.989999999999998"/>
    <n v="0"/>
  </r>
  <r>
    <x v="2"/>
    <x v="9"/>
    <d v="2026-03-09T00:00:00"/>
    <s v="No Portfolio"/>
    <s v="USD"/>
    <x v="2"/>
    <s v="Tray"/>
    <s v="Amazon"/>
    <s v="United States"/>
    <s v="asin=&quot;B0DKNQ2BMP&quot;"/>
    <s v="-"/>
    <x v="628"/>
    <n v="101"/>
    <n v="2"/>
    <n v="1.9801980198019802E-2"/>
    <n v="0.59499999999999997"/>
    <n v="1.19"/>
    <n v="0"/>
    <m/>
    <n v="0"/>
    <n v="0"/>
    <n v="0"/>
    <n v="0"/>
    <n v="0"/>
    <n v="0"/>
    <n v="0"/>
    <n v="0"/>
  </r>
  <r>
    <x v="2"/>
    <x v="9"/>
    <d v="2026-03-10T00:00:00"/>
    <s v="No Portfolio"/>
    <s v="USD"/>
    <x v="2"/>
    <s v="Tray"/>
    <s v="Amazon"/>
    <s v="United States"/>
    <s v="asin=&quot;B0DKNQ2BMP&quot;"/>
    <s v="-"/>
    <x v="628"/>
    <n v="528"/>
    <n v="1"/>
    <n v="1.893939393939394E-3"/>
    <n v="0.56000000000000005"/>
    <n v="0.56000000000000005"/>
    <n v="0"/>
    <m/>
    <n v="0"/>
    <n v="0"/>
    <n v="0"/>
    <n v="0"/>
    <n v="0"/>
    <n v="0"/>
    <n v="0"/>
    <n v="0"/>
  </r>
  <r>
    <x v="2"/>
    <x v="10"/>
    <d v="2026-03-01T00:00:00"/>
    <s v="No Portfolio"/>
    <s v="USD"/>
    <x v="2"/>
    <s v="Tray"/>
    <s v="Amazon"/>
    <s v="United States"/>
    <s v="asin=&quot;B0DSBVB1WW&quot;"/>
    <s v="-"/>
    <x v="21"/>
    <n v="117"/>
    <n v="2"/>
    <n v="1.7094017094017096E-2"/>
    <n v="0.48499999999999999"/>
    <n v="0.97"/>
    <n v="17.09"/>
    <n v="5.6758338209479217E-2"/>
    <n v="17.618556701030929"/>
    <n v="1"/>
    <n v="1"/>
    <n v="0.5"/>
    <n v="0"/>
    <n v="1"/>
    <n v="0"/>
    <n v="17.09"/>
  </r>
  <r>
    <x v="2"/>
    <x v="10"/>
    <d v="2026-03-02T00:00:00"/>
    <s v="No Portfolio"/>
    <s v="USD"/>
    <x v="2"/>
    <s v="Tray"/>
    <s v="Amazon"/>
    <s v="United States"/>
    <s v="asin=&quot;B0DSBVB1WW&quot;"/>
    <s v="-"/>
    <x v="21"/>
    <n v="42"/>
    <n v="1"/>
    <n v="2.3809523809523812E-2"/>
    <n v="0.63"/>
    <n v="0.63"/>
    <n v="0"/>
    <m/>
    <n v="0"/>
    <n v="0"/>
    <n v="0"/>
    <n v="0"/>
    <n v="0"/>
    <n v="0"/>
    <n v="0"/>
    <n v="0"/>
  </r>
  <r>
    <x v="2"/>
    <x v="11"/>
    <d v="2026-03-21T00:00:00"/>
    <s v="No Portfolio"/>
    <s v="USD"/>
    <x v="2"/>
    <s v="Tray"/>
    <s v="Amazon"/>
    <s v="United States"/>
    <s v="asin=&quot;B0DSBVB1WW&quot;"/>
    <s v="-"/>
    <x v="21"/>
    <n v="47"/>
    <n v="1"/>
    <n v="2.1276595744680851E-2"/>
    <n v="0.99"/>
    <n v="0.99"/>
    <n v="0"/>
    <m/>
    <n v="0"/>
    <n v="0"/>
    <n v="0"/>
    <n v="0"/>
    <n v="0"/>
    <n v="0"/>
    <n v="0"/>
    <n v="0"/>
  </r>
  <r>
    <x v="2"/>
    <x v="9"/>
    <d v="2026-03-13T00:00:00"/>
    <s v="No Portfolio"/>
    <s v="USD"/>
    <x v="4"/>
    <s v="stroller tray"/>
    <s v="Amazon"/>
    <s v="United States"/>
    <s v="substitutes"/>
    <s v="-"/>
    <x v="629"/>
    <n v="2"/>
    <n v="1"/>
    <n v="0.5"/>
    <n v="0.6"/>
    <n v="0.6"/>
    <n v="0"/>
    <m/>
    <n v="0"/>
    <n v="0"/>
    <n v="0"/>
    <n v="0"/>
    <n v="0"/>
    <n v="0"/>
    <n v="0"/>
    <n v="0"/>
  </r>
  <r>
    <x v="2"/>
    <x v="11"/>
    <d v="2026-03-16T00:00:00"/>
    <s v="No Portfolio"/>
    <s v="USD"/>
    <x v="4"/>
    <s v="stroller tray"/>
    <s v="Amazon"/>
    <s v="United States"/>
    <s v="substitutes"/>
    <s v="-"/>
    <x v="630"/>
    <n v="1"/>
    <n v="1"/>
    <n v="1"/>
    <n v="0.56000000000000005"/>
    <n v="0.56000000000000005"/>
    <n v="0"/>
    <m/>
    <n v="0"/>
    <n v="0"/>
    <n v="0"/>
    <n v="0"/>
    <n v="0"/>
    <n v="0"/>
    <n v="0"/>
    <n v="0"/>
  </r>
  <r>
    <x v="2"/>
    <x v="11"/>
    <d v="2026-03-18T00:00:00"/>
    <s v="No Portfolio"/>
    <s v="USD"/>
    <x v="4"/>
    <s v="stroller tray"/>
    <s v="Amazon"/>
    <s v="United States"/>
    <s v="substitutes"/>
    <s v="-"/>
    <x v="631"/>
    <n v="5"/>
    <n v="1"/>
    <n v="0.2"/>
    <n v="0.6"/>
    <n v="0.6"/>
    <n v="0"/>
    <m/>
    <n v="0"/>
    <n v="0"/>
    <n v="0"/>
    <n v="0"/>
    <n v="0"/>
    <n v="0"/>
    <n v="0"/>
    <n v="0"/>
  </r>
  <r>
    <x v="2"/>
    <x v="10"/>
    <d v="2026-03-01T00:00:00"/>
    <s v="No Portfolio"/>
    <s v="USD"/>
    <x v="2"/>
    <s v="Tray"/>
    <s v="Amazon"/>
    <s v="United States"/>
    <s v="asin=&quot;B0F4KJN2VC&quot;"/>
    <s v="-"/>
    <x v="24"/>
    <n v="107"/>
    <n v="3"/>
    <n v="2.803738317757009E-2"/>
    <n v="0.42333333333333334"/>
    <n v="1.27"/>
    <n v="0"/>
    <m/>
    <n v="0"/>
    <n v="0"/>
    <n v="0"/>
    <n v="0"/>
    <n v="0"/>
    <n v="0"/>
    <n v="0"/>
    <n v="0"/>
  </r>
  <r>
    <x v="2"/>
    <x v="10"/>
    <d v="2026-03-02T00:00:00"/>
    <s v="No Portfolio"/>
    <s v="USD"/>
    <x v="2"/>
    <s v="Tray"/>
    <s v="Amazon"/>
    <s v="United States"/>
    <s v="asin=&quot;B0F4KJN2VC&quot;"/>
    <s v="-"/>
    <x v="24"/>
    <n v="192"/>
    <n v="2"/>
    <n v="1.0416666666666664E-2"/>
    <n v="0.52"/>
    <n v="1.04"/>
    <n v="0"/>
    <m/>
    <n v="0"/>
    <n v="0"/>
    <n v="0"/>
    <n v="0"/>
    <n v="0"/>
    <n v="0"/>
    <n v="0"/>
    <n v="0"/>
  </r>
  <r>
    <x v="2"/>
    <x v="10"/>
    <d v="2026-03-03T00:00:00"/>
    <s v="No Portfolio"/>
    <s v="USD"/>
    <x v="2"/>
    <s v="Tray"/>
    <s v="Amazon"/>
    <s v="United States"/>
    <s v="asin=&quot;B0F4KJN2VC&quot;"/>
    <s v="-"/>
    <x v="24"/>
    <n v="198"/>
    <n v="3"/>
    <n v="1.515151515151515E-2"/>
    <n v="0.53666666666666674"/>
    <n v="1.61"/>
    <n v="0"/>
    <m/>
    <n v="0"/>
    <n v="0"/>
    <n v="0"/>
    <n v="0"/>
    <n v="0"/>
    <n v="0"/>
    <n v="0"/>
    <n v="0"/>
  </r>
  <r>
    <x v="2"/>
    <x v="10"/>
    <d v="2026-03-04T00:00:00"/>
    <s v="No Portfolio"/>
    <s v="USD"/>
    <x v="2"/>
    <s v="Tray"/>
    <s v="Amazon"/>
    <s v="United States"/>
    <s v="asin=&quot;B0F4KJN2VC&quot;"/>
    <s v="-"/>
    <x v="24"/>
    <n v="85"/>
    <n v="3"/>
    <n v="3.5294117647058823E-2"/>
    <n v="0.54666666666666663"/>
    <n v="1.64"/>
    <n v="0"/>
    <m/>
    <n v="0"/>
    <n v="0"/>
    <n v="0"/>
    <n v="0"/>
    <n v="0"/>
    <n v="0"/>
    <n v="0"/>
    <n v="0"/>
  </r>
  <r>
    <x v="2"/>
    <x v="10"/>
    <d v="2026-03-07T00:00:00"/>
    <s v="No Portfolio"/>
    <s v="USD"/>
    <x v="2"/>
    <s v="Tray"/>
    <s v="Amazon"/>
    <s v="United States"/>
    <s v="asin=&quot;B0F4KJN2VC&quot;"/>
    <s v="-"/>
    <x v="24"/>
    <n v="62"/>
    <n v="1"/>
    <n v="1.6129032258064516E-2"/>
    <n v="0.52"/>
    <n v="0.52"/>
    <n v="0"/>
    <m/>
    <n v="0"/>
    <n v="0"/>
    <n v="0"/>
    <n v="0"/>
    <n v="0"/>
    <n v="0"/>
    <n v="0"/>
    <n v="0"/>
  </r>
  <r>
    <x v="2"/>
    <x v="9"/>
    <d v="2026-03-08T00:00:00"/>
    <s v="No Portfolio"/>
    <s v="USD"/>
    <x v="2"/>
    <s v="Tray"/>
    <s v="Amazon"/>
    <s v="United States"/>
    <s v="asin=&quot;B0F4KJN2VC&quot;"/>
    <s v="-"/>
    <x v="24"/>
    <n v="238"/>
    <n v="4"/>
    <n v="1.680672268907563E-2"/>
    <n v="0.52"/>
    <n v="2.08"/>
    <n v="0"/>
    <m/>
    <n v="0"/>
    <n v="0"/>
    <n v="0"/>
    <n v="0"/>
    <n v="0"/>
    <n v="0"/>
    <n v="0"/>
    <n v="0"/>
  </r>
  <r>
    <x v="2"/>
    <x v="9"/>
    <d v="2026-03-10T00:00:00"/>
    <s v="No Portfolio"/>
    <s v="USD"/>
    <x v="2"/>
    <s v="Tray"/>
    <s v="Amazon"/>
    <s v="United States"/>
    <s v="asin=&quot;B0F4KJN2VC&quot;"/>
    <s v="-"/>
    <x v="24"/>
    <n v="289"/>
    <n v="1"/>
    <n v="3.4602076124567475E-3"/>
    <n v="0.3"/>
    <n v="0.3"/>
    <n v="0"/>
    <m/>
    <n v="0"/>
    <n v="0"/>
    <n v="0"/>
    <n v="0"/>
    <n v="0"/>
    <n v="0"/>
    <n v="0"/>
    <n v="0"/>
  </r>
  <r>
    <x v="2"/>
    <x v="9"/>
    <d v="2026-03-12T00:00:00"/>
    <s v="No Portfolio"/>
    <s v="USD"/>
    <x v="2"/>
    <s v="Tray"/>
    <s v="Amazon"/>
    <s v="United States"/>
    <s v="asin=&quot;B0F4KJN2VC&quot;"/>
    <s v="-"/>
    <x v="24"/>
    <n v="44"/>
    <n v="1"/>
    <n v="2.2727272727272731E-2"/>
    <n v="0.49"/>
    <n v="0.49"/>
    <n v="0"/>
    <m/>
    <n v="0"/>
    <n v="0"/>
    <n v="0"/>
    <n v="0"/>
    <n v="0"/>
    <n v="0"/>
    <n v="0"/>
    <n v="0"/>
  </r>
  <r>
    <x v="2"/>
    <x v="11"/>
    <d v="2026-03-19T00:00:00"/>
    <s v="No Portfolio"/>
    <s v="USD"/>
    <x v="2"/>
    <s v="Tray"/>
    <s v="Amazon"/>
    <s v="United States"/>
    <s v="asin=&quot;B0F4KJN2VC&quot;"/>
    <s v="-"/>
    <x v="24"/>
    <n v="218"/>
    <n v="3"/>
    <n v="1.3761467889908259E-2"/>
    <n v="0.48"/>
    <n v="1.44"/>
    <n v="0"/>
    <m/>
    <n v="0"/>
    <n v="0"/>
    <n v="0"/>
    <n v="0"/>
    <n v="0"/>
    <n v="0"/>
    <n v="0"/>
    <n v="0"/>
  </r>
  <r>
    <x v="2"/>
    <x v="11"/>
    <d v="2026-03-20T00:00:00"/>
    <s v="No Portfolio"/>
    <s v="USD"/>
    <x v="2"/>
    <s v="Tray"/>
    <s v="Amazon"/>
    <s v="United States"/>
    <s v="asin=&quot;B0F4KJN2VC&quot;"/>
    <s v="-"/>
    <x v="24"/>
    <n v="137"/>
    <n v="2"/>
    <n v="1.4598540145985401E-2"/>
    <n v="0.48"/>
    <n v="0.96"/>
    <n v="0"/>
    <m/>
    <n v="0"/>
    <n v="0"/>
    <n v="0"/>
    <n v="0"/>
    <n v="0"/>
    <n v="0"/>
    <n v="0"/>
    <n v="0"/>
  </r>
  <r>
    <x v="2"/>
    <x v="11"/>
    <d v="2026-03-21T00:00:00"/>
    <s v="No Portfolio"/>
    <s v="USD"/>
    <x v="2"/>
    <s v="Tray"/>
    <s v="Amazon"/>
    <s v="United States"/>
    <s v="asin=&quot;B0F4KJN2VC&quot;"/>
    <s v="-"/>
    <x v="24"/>
    <n v="279"/>
    <n v="1"/>
    <n v="3.5842293906810036E-3"/>
    <n v="0.48"/>
    <n v="0.48"/>
    <n v="0"/>
    <m/>
    <n v="0"/>
    <n v="0"/>
    <n v="0"/>
    <n v="0"/>
    <n v="0"/>
    <n v="0"/>
    <n v="0"/>
    <n v="0"/>
  </r>
  <r>
    <x v="2"/>
    <x v="9"/>
    <d v="2026-03-09T00:00:00"/>
    <s v="No Portfolio"/>
    <s v="USD"/>
    <x v="4"/>
    <s v="stroller tray"/>
    <s v="Amazon"/>
    <s v="United States"/>
    <s v="substitutes"/>
    <s v="-"/>
    <x v="341"/>
    <n v="3"/>
    <n v="1"/>
    <n v="0.33333333333333331"/>
    <n v="0.4"/>
    <n v="0.4"/>
    <n v="0"/>
    <m/>
    <n v="0"/>
    <n v="0"/>
    <n v="0"/>
    <n v="0"/>
    <n v="0"/>
    <n v="0"/>
    <n v="0"/>
    <n v="0"/>
  </r>
  <r>
    <x v="2"/>
    <x v="10"/>
    <d v="2026-03-01T00:00:00"/>
    <s v="No Portfolio"/>
    <s v="USD"/>
    <x v="4"/>
    <s v="stroller tray"/>
    <s v="Amazon"/>
    <s v="United States"/>
    <s v="substitutes"/>
    <s v="-"/>
    <x v="258"/>
    <n v="10"/>
    <n v="1"/>
    <n v="0.1"/>
    <n v="0.6"/>
    <n v="0.6"/>
    <n v="0"/>
    <m/>
    <n v="0"/>
    <n v="0"/>
    <n v="0"/>
    <n v="0"/>
    <n v="0"/>
    <n v="0"/>
    <n v="0"/>
    <n v="0"/>
  </r>
  <r>
    <x v="2"/>
    <x v="10"/>
    <d v="2026-03-02T00:00:00"/>
    <s v="No Portfolio"/>
    <s v="USD"/>
    <x v="4"/>
    <s v="stroller tray"/>
    <s v="Amazon"/>
    <s v="United States"/>
    <s v="substitutes"/>
    <s v="-"/>
    <x v="258"/>
    <n v="12"/>
    <n v="1"/>
    <n v="8.3333333333333315E-2"/>
    <n v="0.52"/>
    <n v="0.52"/>
    <n v="0"/>
    <m/>
    <n v="0"/>
    <n v="0"/>
    <n v="0"/>
    <n v="0"/>
    <n v="0"/>
    <n v="0"/>
    <n v="0"/>
    <n v="0"/>
  </r>
  <r>
    <x v="2"/>
    <x v="10"/>
    <d v="2026-03-04T00:00:00"/>
    <s v="No Portfolio"/>
    <s v="USD"/>
    <x v="4"/>
    <s v="stroller tray"/>
    <s v="Amazon"/>
    <s v="United States"/>
    <s v="substitutes"/>
    <s v="-"/>
    <x v="258"/>
    <n v="14"/>
    <n v="1"/>
    <n v="7.1428571428571425E-2"/>
    <n v="0.65"/>
    <n v="0.65"/>
    <n v="0"/>
    <m/>
    <n v="0"/>
    <n v="0"/>
    <n v="0"/>
    <n v="0"/>
    <n v="0"/>
    <n v="0"/>
    <n v="0"/>
    <n v="0"/>
  </r>
  <r>
    <x v="2"/>
    <x v="10"/>
    <d v="2026-03-06T00:00:00"/>
    <s v="No Portfolio"/>
    <s v="USD"/>
    <x v="4"/>
    <s v="stroller tray"/>
    <s v="Amazon"/>
    <s v="United States"/>
    <s v="substitutes"/>
    <s v="-"/>
    <x v="258"/>
    <n v="40"/>
    <n v="1"/>
    <n v="2.5000000000000001E-2"/>
    <n v="1.06"/>
    <n v="1.06"/>
    <n v="0"/>
    <m/>
    <n v="0"/>
    <n v="0"/>
    <n v="0"/>
    <n v="0"/>
    <n v="0"/>
    <n v="0"/>
    <n v="0"/>
    <n v="0"/>
  </r>
  <r>
    <x v="2"/>
    <x v="11"/>
    <d v="2026-03-18T00:00:00"/>
    <s v="No Portfolio"/>
    <s v="USD"/>
    <x v="4"/>
    <s v="stroller tray"/>
    <s v="Amazon"/>
    <s v="United States"/>
    <s v="substitutes"/>
    <s v="-"/>
    <x v="258"/>
    <n v="11"/>
    <n v="1"/>
    <n v="9.0909090909090925E-2"/>
    <n v="0.6"/>
    <n v="0.6"/>
    <n v="0"/>
    <m/>
    <n v="0"/>
    <n v="0"/>
    <n v="0"/>
    <n v="0"/>
    <n v="0"/>
    <n v="0"/>
    <n v="0"/>
    <n v="0"/>
  </r>
  <r>
    <x v="2"/>
    <x v="9"/>
    <d v="2026-03-10T00:00:00"/>
    <s v="No Portfolio"/>
    <s v="USD"/>
    <x v="6"/>
    <s v="ENC"/>
    <s v="Amazon"/>
    <s v="United States"/>
    <s v="substitutes"/>
    <s v="-"/>
    <x v="632"/>
    <n v="16"/>
    <n v="1"/>
    <n v="6.25E-2"/>
    <n v="0.11"/>
    <n v="0.11"/>
    <n v="0"/>
    <m/>
    <n v="0"/>
    <n v="0"/>
    <n v="0"/>
    <n v="0"/>
    <n v="0"/>
    <n v="0"/>
    <n v="0"/>
    <n v="0"/>
  </r>
  <r>
    <x v="2"/>
    <x v="10"/>
    <d v="2026-03-06T00:00:00"/>
    <s v="No Portfolio"/>
    <s v="USD"/>
    <x v="3"/>
    <s v="ENC Grey"/>
    <s v="Amazon"/>
    <s v="United States"/>
    <s v="loose-match"/>
    <s v="-"/>
    <x v="633"/>
    <n v="2"/>
    <n v="1"/>
    <n v="0.5"/>
    <n v="0.36"/>
    <n v="0.36"/>
    <n v="0"/>
    <m/>
    <n v="0"/>
    <n v="0"/>
    <n v="0"/>
    <n v="0"/>
    <n v="0"/>
    <n v="0"/>
    <n v="0"/>
    <n v="0"/>
  </r>
  <r>
    <x v="2"/>
    <x v="10"/>
    <d v="2026-03-07T00:00:00"/>
    <s v="No Portfolio"/>
    <s v="USD"/>
    <x v="5"/>
    <s v="ENC Yellow"/>
    <s v="Amazon"/>
    <s v="United States"/>
    <s v="close-match"/>
    <s v="-"/>
    <x v="634"/>
    <n v="1"/>
    <n v="1"/>
    <n v="1"/>
    <n v="0.6"/>
    <n v="0.6"/>
    <n v="0"/>
    <m/>
    <n v="0"/>
    <n v="0"/>
    <n v="0"/>
    <n v="0"/>
    <n v="0"/>
    <n v="0"/>
    <n v="0"/>
    <n v="0"/>
  </r>
  <r>
    <x v="2"/>
    <x v="10"/>
    <d v="2026-03-07T00:00:00"/>
    <s v="No Portfolio"/>
    <s v="USD"/>
    <x v="6"/>
    <s v="ENC"/>
    <s v="Amazon"/>
    <s v="United States"/>
    <s v="substitutes"/>
    <s v="-"/>
    <x v="635"/>
    <n v="3"/>
    <n v="1"/>
    <n v="0.33333333333333331"/>
    <n v="1.1399999999999999"/>
    <n v="1.1399999999999999"/>
    <n v="0"/>
    <m/>
    <n v="0"/>
    <n v="0"/>
    <n v="0"/>
    <n v="0"/>
    <n v="0"/>
    <n v="0"/>
    <n v="0"/>
    <n v="0"/>
  </r>
  <r>
    <x v="2"/>
    <x v="11"/>
    <d v="2026-03-21T00:00:00"/>
    <s v="No Portfolio"/>
    <s v="USD"/>
    <x v="5"/>
    <s v="ENC Yellow"/>
    <s v="Amazon"/>
    <s v="United States"/>
    <s v="loose-match"/>
    <s v="-"/>
    <x v="636"/>
    <n v="1"/>
    <n v="1"/>
    <n v="1"/>
    <n v="0.45"/>
    <n v="0.45"/>
    <n v="0"/>
    <m/>
    <n v="0"/>
    <n v="0"/>
    <n v="0"/>
    <n v="0"/>
    <n v="0"/>
    <n v="0"/>
    <n v="0"/>
    <n v="0"/>
  </r>
  <r>
    <x v="2"/>
    <x v="9"/>
    <d v="2026-03-09T00:00:00"/>
    <s v="No Portfolio"/>
    <s v="USD"/>
    <x v="4"/>
    <s v="stroller tray"/>
    <s v="Amazon"/>
    <s v="United States"/>
    <s v="loose-match"/>
    <s v="-"/>
    <x v="637"/>
    <n v="2"/>
    <n v="1"/>
    <n v="0.5"/>
    <n v="0.42"/>
    <n v="0.42"/>
    <n v="18.989999999999998"/>
    <n v="2.2116903633491308E-2"/>
    <n v="45.214285714285715"/>
    <n v="1"/>
    <n v="1"/>
    <n v="1"/>
    <n v="1"/>
    <n v="0"/>
    <n v="18.989999999999998"/>
    <n v="0"/>
  </r>
  <r>
    <x v="2"/>
    <x v="11"/>
    <d v="2026-03-17T00:00:00"/>
    <s v="No Portfolio"/>
    <s v="USD"/>
    <x v="0"/>
    <s v="broad组"/>
    <s v="Amazon"/>
    <s v="United States"/>
    <s v="stroller snack tray"/>
    <s v="BROAD"/>
    <x v="638"/>
    <n v="1"/>
    <n v="1"/>
    <n v="1"/>
    <n v="0.21"/>
    <n v="0.21"/>
    <n v="0"/>
    <m/>
    <n v="0"/>
    <n v="0"/>
    <n v="0"/>
    <n v="0"/>
    <n v="0"/>
    <n v="0"/>
    <n v="0"/>
    <n v="0"/>
  </r>
  <r>
    <x v="2"/>
    <x v="9"/>
    <d v="2026-03-10T00:00:00"/>
    <s v="No Portfolio"/>
    <s v="USD"/>
    <x v="4"/>
    <s v="stroller tray"/>
    <s v="Amazon"/>
    <s v="United States"/>
    <s v="loose-match"/>
    <s v="-"/>
    <x v="639"/>
    <n v="9"/>
    <n v="1"/>
    <n v="0.1111111111111111"/>
    <n v="0.5"/>
    <n v="0.5"/>
    <n v="0"/>
    <m/>
    <n v="0"/>
    <n v="0"/>
    <n v="0"/>
    <n v="0"/>
    <n v="0"/>
    <n v="0"/>
    <n v="0"/>
    <n v="0"/>
  </r>
  <r>
    <x v="2"/>
    <x v="11"/>
    <d v="2026-03-21T00:00:00"/>
    <s v="No Portfolio"/>
    <s v="USD"/>
    <x v="0"/>
    <s v="broad组"/>
    <s v="Amazon"/>
    <s v="United States"/>
    <s v="stroller snack tray"/>
    <s v="BROAD"/>
    <x v="640"/>
    <n v="4"/>
    <n v="1"/>
    <n v="0.25"/>
    <n v="0.21"/>
    <n v="0.21"/>
    <n v="0"/>
    <m/>
    <n v="0"/>
    <n v="0"/>
    <n v="0"/>
    <n v="0"/>
    <n v="0"/>
    <n v="0"/>
    <n v="0"/>
    <n v="0"/>
  </r>
  <r>
    <x v="2"/>
    <x v="11"/>
    <d v="2026-03-19T00:00:00"/>
    <s v="No Portfolio"/>
    <s v="USD"/>
    <x v="0"/>
    <s v="broad组"/>
    <s v="Amazon"/>
    <s v="United States"/>
    <s v="stroller snack tray"/>
    <s v="BROAD"/>
    <x v="641"/>
    <n v="1"/>
    <n v="1"/>
    <n v="1"/>
    <n v="0.21"/>
    <n v="0.21"/>
    <n v="0"/>
    <m/>
    <n v="0"/>
    <n v="0"/>
    <n v="0"/>
    <n v="0"/>
    <n v="0"/>
    <n v="0"/>
    <n v="0"/>
    <n v="0"/>
  </r>
  <r>
    <x v="2"/>
    <x v="9"/>
    <d v="2026-03-10T00:00:00"/>
    <s v="No Portfolio"/>
    <s v="USD"/>
    <x v="0"/>
    <s v="broad组"/>
    <s v="Amazon"/>
    <s v="United States"/>
    <s v="stroller snack tray"/>
    <s v="BROAD"/>
    <x v="642"/>
    <n v="3"/>
    <n v="1"/>
    <n v="0.33333333333333331"/>
    <n v="0.4"/>
    <n v="0.4"/>
    <n v="0"/>
    <m/>
    <n v="0"/>
    <n v="0"/>
    <n v="0"/>
    <n v="0"/>
    <n v="0"/>
    <n v="0"/>
    <n v="0"/>
    <n v="0"/>
  </r>
  <r>
    <x v="2"/>
    <x v="10"/>
    <d v="2026-03-07T00:00:00"/>
    <s v="No Portfolio"/>
    <s v="USD"/>
    <x v="5"/>
    <s v="ENC Yellow"/>
    <s v="Amazon"/>
    <s v="United States"/>
    <s v="close-match"/>
    <s v="-"/>
    <x v="643"/>
    <n v="3"/>
    <n v="1"/>
    <n v="0.33333333333333331"/>
    <n v="0.99"/>
    <n v="0.99"/>
    <n v="8.93"/>
    <n v="0.11086226203807389"/>
    <n v="9.0202020202020208"/>
    <n v="1"/>
    <n v="1"/>
    <n v="1"/>
    <n v="1"/>
    <n v="0"/>
    <n v="8.93"/>
    <n v="0"/>
  </r>
  <r>
    <x v="2"/>
    <x v="11"/>
    <d v="2026-03-21T00:00:00"/>
    <s v="No Portfolio"/>
    <s v="USD"/>
    <x v="5"/>
    <s v="ENC Yellow"/>
    <s v="Amazon"/>
    <s v="United States"/>
    <s v="close-match"/>
    <s v="-"/>
    <x v="644"/>
    <n v="2"/>
    <n v="1"/>
    <n v="0.5"/>
    <n v="0.77"/>
    <n v="0.77"/>
    <n v="0"/>
    <m/>
    <n v="0"/>
    <n v="0"/>
    <n v="0"/>
    <n v="0"/>
    <n v="0"/>
    <n v="0"/>
    <n v="0"/>
    <n v="0"/>
  </r>
  <r>
    <x v="2"/>
    <x v="10"/>
    <d v="2026-03-04T00:00:00"/>
    <s v="No Portfolio"/>
    <s v="USD"/>
    <x v="5"/>
    <s v="ENC Yellow"/>
    <s v="Amazon"/>
    <s v="United States"/>
    <s v="close-match"/>
    <s v="-"/>
    <x v="43"/>
    <n v="7"/>
    <n v="1"/>
    <n v="0.14285714285714285"/>
    <n v="1.37"/>
    <n v="1.37"/>
    <n v="0"/>
    <m/>
    <n v="0"/>
    <n v="0"/>
    <n v="0"/>
    <n v="0"/>
    <n v="0"/>
    <n v="0"/>
    <n v="0"/>
    <n v="0"/>
  </r>
  <r>
    <x v="2"/>
    <x v="9"/>
    <d v="2026-03-13T00:00:00"/>
    <s v="No Portfolio"/>
    <s v="USD"/>
    <x v="5"/>
    <s v="ENC Yellow"/>
    <s v="Amazon"/>
    <s v="United States"/>
    <s v="close-match"/>
    <s v="-"/>
    <x v="43"/>
    <n v="5"/>
    <n v="1"/>
    <n v="0.2"/>
    <n v="0.65"/>
    <n v="0.65"/>
    <n v="0"/>
    <m/>
    <n v="0"/>
    <n v="0"/>
    <n v="0"/>
    <n v="0"/>
    <n v="0"/>
    <n v="0"/>
    <n v="0"/>
    <n v="0"/>
  </r>
  <r>
    <x v="2"/>
    <x v="9"/>
    <d v="2026-03-12T00:00:00"/>
    <s v="No Portfolio"/>
    <s v="USD"/>
    <x v="6"/>
    <s v="ENC"/>
    <s v="Amazon"/>
    <s v="United States"/>
    <s v="close-match"/>
    <s v="-"/>
    <x v="46"/>
    <n v="215"/>
    <n v="1"/>
    <n v="4.6511627906976744E-3"/>
    <n v="1.53"/>
    <n v="1.53"/>
    <n v="0"/>
    <m/>
    <n v="0"/>
    <n v="0"/>
    <n v="0"/>
    <n v="0"/>
    <n v="0"/>
    <n v="0"/>
    <n v="0"/>
    <n v="0"/>
  </r>
  <r>
    <x v="2"/>
    <x v="11"/>
    <d v="2026-03-19T00:00:00"/>
    <s v="No Portfolio"/>
    <s v="USD"/>
    <x v="6"/>
    <s v="ENC"/>
    <s v="Amazon"/>
    <s v="United States"/>
    <s v="close-match"/>
    <s v="-"/>
    <x v="46"/>
    <n v="54"/>
    <n v="1"/>
    <n v="1.8518518518518517E-2"/>
    <n v="1.56"/>
    <n v="1.56"/>
    <n v="0"/>
    <m/>
    <n v="0"/>
    <n v="0"/>
    <n v="0"/>
    <n v="0"/>
    <n v="0"/>
    <n v="0"/>
    <n v="0"/>
    <n v="0"/>
  </r>
  <r>
    <x v="2"/>
    <x v="11"/>
    <d v="2026-03-21T00:00:00"/>
    <s v="No Portfolio"/>
    <s v="USD"/>
    <x v="6"/>
    <s v="ENC"/>
    <s v="Amazon"/>
    <s v="United States"/>
    <s v="close-match"/>
    <s v="-"/>
    <x v="46"/>
    <n v="60"/>
    <n v="1"/>
    <n v="1.6666666666666666E-2"/>
    <n v="1.67"/>
    <n v="1.67"/>
    <n v="0"/>
    <m/>
    <n v="0"/>
    <n v="0"/>
    <n v="0"/>
    <n v="0"/>
    <n v="0"/>
    <n v="0"/>
    <n v="0"/>
    <n v="0"/>
  </r>
  <r>
    <x v="2"/>
    <x v="11"/>
    <d v="2026-03-16T00:00:00"/>
    <s v="No Portfolio"/>
    <s v="USD"/>
    <x v="5"/>
    <s v="ENC Yellow"/>
    <s v="Amazon"/>
    <s v="United States"/>
    <s v="close-match"/>
    <s v="-"/>
    <x v="46"/>
    <n v="18"/>
    <n v="1"/>
    <n v="5.5555555555555552E-2"/>
    <n v="0.5"/>
    <n v="0.5"/>
    <n v="0"/>
    <m/>
    <n v="0"/>
    <n v="0"/>
    <n v="0"/>
    <n v="0"/>
    <n v="0"/>
    <n v="0"/>
    <n v="0"/>
    <n v="0"/>
  </r>
  <r>
    <x v="2"/>
    <x v="10"/>
    <d v="2026-03-02T00:00:00"/>
    <s v="No Portfolio"/>
    <s v="USD"/>
    <x v="5"/>
    <s v="ENC Yellow"/>
    <s v="Amazon"/>
    <s v="United States"/>
    <s v="close-match"/>
    <s v="-"/>
    <x v="47"/>
    <n v="38"/>
    <n v="1"/>
    <n v="2.6315789473684209E-2"/>
    <n v="0.99"/>
    <n v="0.99"/>
    <n v="0"/>
    <m/>
    <n v="0"/>
    <n v="0"/>
    <n v="0"/>
    <n v="0"/>
    <n v="0"/>
    <n v="0"/>
    <n v="0"/>
    <n v="0"/>
  </r>
  <r>
    <x v="2"/>
    <x v="9"/>
    <d v="2026-03-14T00:00:00"/>
    <s v="No Portfolio"/>
    <s v="USD"/>
    <x v="5"/>
    <s v="ENC Yellow"/>
    <s v="Amazon"/>
    <s v="United States"/>
    <s v="close-match"/>
    <s v="-"/>
    <x v="47"/>
    <n v="14"/>
    <n v="1"/>
    <n v="7.1428571428571425E-2"/>
    <n v="0.65"/>
    <n v="0.65"/>
    <n v="0"/>
    <m/>
    <n v="0"/>
    <n v="0"/>
    <n v="0"/>
    <n v="0"/>
    <n v="0"/>
    <n v="0"/>
    <n v="0"/>
    <n v="0"/>
  </r>
  <r>
    <x v="2"/>
    <x v="11"/>
    <d v="2026-03-15T00:00:00"/>
    <s v="No Portfolio"/>
    <s v="USD"/>
    <x v="5"/>
    <s v="ENC Yellow"/>
    <s v="Amazon"/>
    <s v="United States"/>
    <s v="close-match"/>
    <s v="-"/>
    <x v="47"/>
    <n v="17"/>
    <n v="1"/>
    <n v="5.8823529411764698E-2"/>
    <n v="0.65"/>
    <n v="0.65"/>
    <n v="0"/>
    <m/>
    <n v="0"/>
    <n v="0"/>
    <n v="0"/>
    <n v="0"/>
    <n v="0"/>
    <n v="0"/>
    <n v="0"/>
    <n v="0"/>
  </r>
  <r>
    <x v="2"/>
    <x v="9"/>
    <d v="2026-03-08T00:00:00"/>
    <s v="No Portfolio"/>
    <s v="USD"/>
    <x v="5"/>
    <s v="ENC Yellow"/>
    <s v="Amazon"/>
    <s v="United States"/>
    <s v="close-match"/>
    <s v="-"/>
    <x v="645"/>
    <n v="3"/>
    <n v="1"/>
    <n v="0.33333333333333331"/>
    <n v="0.6"/>
    <n v="0.6"/>
    <n v="0"/>
    <m/>
    <n v="0"/>
    <n v="0"/>
    <n v="0"/>
    <n v="0"/>
    <n v="0"/>
    <n v="0"/>
    <n v="0"/>
    <n v="0"/>
  </r>
  <r>
    <x v="2"/>
    <x v="10"/>
    <d v="2026-03-03T00:00:00"/>
    <s v="No Portfolio"/>
    <s v="USD"/>
    <x v="5"/>
    <s v="ENC Yellow"/>
    <s v="Amazon"/>
    <s v="United States"/>
    <s v="close-match"/>
    <s v="-"/>
    <x v="48"/>
    <n v="1"/>
    <n v="1"/>
    <n v="1"/>
    <n v="0.6"/>
    <n v="0.6"/>
    <n v="0"/>
    <m/>
    <n v="0"/>
    <n v="0"/>
    <n v="0"/>
    <n v="0"/>
    <n v="0"/>
    <n v="0"/>
    <n v="0"/>
    <n v="0"/>
  </r>
  <r>
    <x v="2"/>
    <x v="11"/>
    <d v="2026-03-16T00:00:00"/>
    <s v="No Portfolio"/>
    <s v="USD"/>
    <x v="5"/>
    <s v="ENC Yellow"/>
    <s v="Amazon"/>
    <s v="United States"/>
    <s v="close-match"/>
    <s v="-"/>
    <x v="357"/>
    <n v="11"/>
    <n v="1"/>
    <n v="9.0909090909090925E-2"/>
    <n v="0.5"/>
    <n v="0.5"/>
    <n v="0"/>
    <m/>
    <n v="0"/>
    <n v="0"/>
    <n v="0"/>
    <n v="0"/>
    <n v="0"/>
    <n v="0"/>
    <n v="0"/>
    <n v="0"/>
  </r>
  <r>
    <x v="2"/>
    <x v="9"/>
    <d v="2026-03-08T00:00:00"/>
    <s v="No Portfolio"/>
    <s v="USD"/>
    <x v="9"/>
    <s v="BNF"/>
    <s v="Amazon"/>
    <s v="United States"/>
    <s v="nail trimmer for baby"/>
    <s v="BROAD"/>
    <x v="357"/>
    <n v="3"/>
    <n v="1"/>
    <n v="0.33333333333333331"/>
    <n v="0.45"/>
    <n v="0.45"/>
    <n v="0"/>
    <m/>
    <n v="0"/>
    <n v="0"/>
    <n v="0"/>
    <n v="0"/>
    <n v="0"/>
    <n v="0"/>
    <n v="0"/>
    <n v="0"/>
  </r>
  <r>
    <x v="2"/>
    <x v="11"/>
    <d v="2026-03-18T00:00:00"/>
    <s v="No Portfolio"/>
    <s v="USD"/>
    <x v="5"/>
    <s v="ENC Yellow"/>
    <s v="Amazon"/>
    <s v="United States"/>
    <s v="close-match"/>
    <s v="-"/>
    <x v="49"/>
    <n v="7"/>
    <n v="2"/>
    <n v="0.2857142857142857"/>
    <n v="0.65"/>
    <n v="1.3"/>
    <n v="0"/>
    <m/>
    <n v="0"/>
    <n v="0"/>
    <n v="0"/>
    <n v="0"/>
    <n v="0"/>
    <n v="0"/>
    <n v="0"/>
    <n v="0"/>
  </r>
  <r>
    <x v="2"/>
    <x v="10"/>
    <d v="2026-03-05T00:00:00"/>
    <s v="No Portfolio"/>
    <s v="USD"/>
    <x v="5"/>
    <s v="ENC Yellow"/>
    <s v="Amazon"/>
    <s v="United States"/>
    <s v="loose-match"/>
    <s v="-"/>
    <x v="50"/>
    <n v="14"/>
    <n v="1"/>
    <n v="7.1428571428571425E-2"/>
    <n v="0.72"/>
    <n v="0.72"/>
    <n v="0"/>
    <m/>
    <n v="0"/>
    <n v="0"/>
    <n v="0"/>
    <n v="0"/>
    <n v="0"/>
    <n v="0"/>
    <n v="0"/>
    <n v="0"/>
  </r>
  <r>
    <x v="2"/>
    <x v="9"/>
    <d v="2026-03-11T00:00:00"/>
    <s v="No Portfolio"/>
    <s v="USD"/>
    <x v="0"/>
    <s v="broad组"/>
    <s v="Amazon"/>
    <s v="United States"/>
    <s v="stroller tray"/>
    <s v="BROAD"/>
    <x v="646"/>
    <n v="15"/>
    <n v="1"/>
    <n v="6.6666666666666666E-2"/>
    <n v="0.2"/>
    <n v="0.2"/>
    <n v="0"/>
    <m/>
    <n v="0"/>
    <n v="0"/>
    <n v="0"/>
    <n v="0"/>
    <n v="0"/>
    <n v="0"/>
    <n v="0"/>
    <n v="0"/>
  </r>
  <r>
    <x v="2"/>
    <x v="11"/>
    <d v="2026-03-15T00:00:00"/>
    <s v="No Portfolio"/>
    <s v="USD"/>
    <x v="6"/>
    <s v="ENC"/>
    <s v="Amazon"/>
    <s v="United States"/>
    <s v="loose-match"/>
    <s v="-"/>
    <x v="647"/>
    <n v="10"/>
    <n v="1"/>
    <n v="0.1"/>
    <n v="1.1299999999999999"/>
    <n v="1.1299999999999999"/>
    <n v="0"/>
    <m/>
    <n v="0"/>
    <n v="0"/>
    <n v="0"/>
    <n v="0"/>
    <n v="0"/>
    <n v="0"/>
    <n v="0"/>
    <n v="0"/>
  </r>
  <r>
    <x v="2"/>
    <x v="11"/>
    <d v="2026-03-21T00:00:00"/>
    <s v="No Portfolio"/>
    <s v="USD"/>
    <x v="0"/>
    <s v="broad组"/>
    <s v="Amazon"/>
    <s v="United States"/>
    <s v="stroller tray"/>
    <s v="BROAD"/>
    <x v="541"/>
    <n v="5"/>
    <n v="1"/>
    <n v="0.2"/>
    <n v="0.21"/>
    <n v="0.21"/>
    <n v="0"/>
    <m/>
    <n v="0"/>
    <n v="0"/>
    <n v="0"/>
    <n v="0"/>
    <n v="0"/>
    <n v="0"/>
    <n v="0"/>
    <n v="0"/>
  </r>
  <r>
    <x v="2"/>
    <x v="11"/>
    <d v="2026-03-17T00:00:00"/>
    <s v="No Portfolio"/>
    <s v="USD"/>
    <x v="6"/>
    <s v="ENC"/>
    <s v="Amazon"/>
    <s v="United States"/>
    <s v="loose-match"/>
    <s v="-"/>
    <x v="648"/>
    <n v="6"/>
    <n v="1"/>
    <n v="0.16666666666666663"/>
    <n v="1.17"/>
    <n v="1.17"/>
    <n v="0"/>
    <m/>
    <n v="0"/>
    <n v="0"/>
    <n v="0"/>
    <n v="0"/>
    <n v="0"/>
    <n v="0"/>
    <n v="0"/>
    <n v="0"/>
  </r>
  <r>
    <x v="2"/>
    <x v="9"/>
    <d v="2026-03-08T00:00:00"/>
    <s v="No Portfolio"/>
    <s v="USD"/>
    <x v="0"/>
    <s v="broad组"/>
    <s v="Amazon"/>
    <s v="United States"/>
    <s v="stroller tray"/>
    <s v="BROAD"/>
    <x v="649"/>
    <n v="5"/>
    <n v="2"/>
    <n v="0.4"/>
    <n v="0.21"/>
    <n v="0.42"/>
    <n v="0"/>
    <m/>
    <n v="0"/>
    <n v="0"/>
    <n v="0"/>
    <n v="0"/>
    <n v="0"/>
    <n v="0"/>
    <n v="0"/>
    <n v="0"/>
  </r>
  <r>
    <x v="2"/>
    <x v="9"/>
    <d v="2026-03-08T00:00:00"/>
    <s v="No Portfolio"/>
    <s v="USD"/>
    <x v="5"/>
    <s v="ENC Yellow"/>
    <s v="Amazon"/>
    <s v="United States"/>
    <s v="loose-match"/>
    <s v="-"/>
    <x v="650"/>
    <n v="3"/>
    <n v="1"/>
    <n v="0.33333333333333331"/>
    <n v="0.95"/>
    <n v="0.95"/>
    <n v="0"/>
    <m/>
    <n v="0"/>
    <n v="0"/>
    <n v="0"/>
    <n v="0"/>
    <n v="0"/>
    <n v="0"/>
    <n v="0"/>
    <n v="0"/>
  </r>
  <r>
    <x v="2"/>
    <x v="11"/>
    <d v="2026-03-21T00:00:00"/>
    <s v="No Portfolio"/>
    <s v="USD"/>
    <x v="0"/>
    <s v="broad组"/>
    <s v="Amazon"/>
    <s v="United States"/>
    <s v="stroller cup holder"/>
    <s v="BROAD"/>
    <x v="651"/>
    <n v="2"/>
    <n v="1"/>
    <n v="0.5"/>
    <n v="0.21"/>
    <n v="0.21"/>
    <n v="0"/>
    <m/>
    <n v="0"/>
    <n v="0"/>
    <n v="0"/>
    <n v="0"/>
    <n v="0"/>
    <n v="0"/>
    <n v="0"/>
    <n v="0"/>
  </r>
  <r>
    <x v="2"/>
    <x v="9"/>
    <d v="2026-03-09T00:00:00"/>
    <s v="No Portfolio"/>
    <s v="USD"/>
    <x v="0"/>
    <s v="broad组"/>
    <s v="Amazon"/>
    <s v="United States"/>
    <s v="clip on snack tray"/>
    <s v="BROAD"/>
    <x v="652"/>
    <n v="3"/>
    <n v="1"/>
    <n v="0.33333333333333331"/>
    <n v="0.21"/>
    <n v="0.21"/>
    <n v="0"/>
    <m/>
    <n v="0"/>
    <n v="0"/>
    <n v="0"/>
    <n v="0"/>
    <n v="0"/>
    <n v="0"/>
    <n v="0"/>
    <n v="0"/>
  </r>
  <r>
    <x v="2"/>
    <x v="9"/>
    <d v="2026-03-14T00:00:00"/>
    <s v="No Portfolio"/>
    <s v="USD"/>
    <x v="0"/>
    <s v="broad组"/>
    <s v="Amazon"/>
    <s v="United States"/>
    <s v="stroller snack tray"/>
    <s v="BROAD"/>
    <x v="653"/>
    <n v="3"/>
    <n v="1"/>
    <n v="0.33333333333333331"/>
    <n v="0.21"/>
    <n v="0.21"/>
    <n v="0"/>
    <m/>
    <n v="0"/>
    <n v="0"/>
    <n v="0"/>
    <n v="0"/>
    <n v="0"/>
    <n v="0"/>
    <n v="0"/>
    <n v="0"/>
  </r>
  <r>
    <x v="2"/>
    <x v="10"/>
    <d v="2026-03-05T00:00:00"/>
    <s v="No Portfolio"/>
    <s v="USD"/>
    <x v="5"/>
    <s v="ENC Yellow"/>
    <s v="Amazon"/>
    <s v="United States"/>
    <s v="loose-match"/>
    <s v="-"/>
    <x v="654"/>
    <n v="2"/>
    <n v="1"/>
    <n v="0.5"/>
    <n v="0.72"/>
    <n v="0.72"/>
    <n v="0"/>
    <m/>
    <n v="0"/>
    <n v="0"/>
    <n v="0"/>
    <n v="0"/>
    <n v="0"/>
    <n v="0"/>
    <n v="0"/>
    <n v="0"/>
  </r>
  <r>
    <x v="2"/>
    <x v="11"/>
    <d v="2026-03-20T00:00:00"/>
    <s v="No Portfolio"/>
    <s v="USD"/>
    <x v="0"/>
    <s v="broad组"/>
    <s v="Amazon"/>
    <s v="United States"/>
    <s v="snack tray for stroller"/>
    <s v="BROAD"/>
    <x v="655"/>
    <n v="2"/>
    <n v="1"/>
    <n v="0.5"/>
    <n v="0.21"/>
    <n v="0.21"/>
    <n v="0"/>
    <m/>
    <n v="0"/>
    <n v="0"/>
    <n v="0"/>
    <n v="0"/>
    <n v="0"/>
    <n v="0"/>
    <n v="0"/>
    <n v="0"/>
  </r>
  <r>
    <x v="2"/>
    <x v="11"/>
    <d v="2026-03-20T00:00:00"/>
    <s v="No Portfolio"/>
    <s v="USD"/>
    <x v="0"/>
    <s v="broad组"/>
    <s v="Amazon"/>
    <s v="United States"/>
    <s v="stroller snack tray"/>
    <s v="BROAD"/>
    <x v="544"/>
    <n v="6"/>
    <n v="1"/>
    <n v="0.16666666666666663"/>
    <n v="0.21"/>
    <n v="0.21"/>
    <n v="0"/>
    <m/>
    <n v="0"/>
    <n v="0"/>
    <n v="0"/>
    <n v="0"/>
    <n v="0"/>
    <n v="0"/>
    <n v="0"/>
    <n v="0"/>
  </r>
  <r>
    <x v="2"/>
    <x v="10"/>
    <d v="2026-03-07T00:00:00"/>
    <s v="No Portfolio"/>
    <s v="USD"/>
    <x v="2"/>
    <s v="Tray"/>
    <s v="Amazon"/>
    <s v="United States"/>
    <s v="asin=&quot;B0DH98H2G4&quot;"/>
    <s v="-"/>
    <x v="544"/>
    <n v="2"/>
    <n v="1"/>
    <n v="0.5"/>
    <n v="0.79"/>
    <n v="0.79"/>
    <n v="0"/>
    <m/>
    <n v="0"/>
    <n v="0"/>
    <n v="0"/>
    <n v="0"/>
    <n v="0"/>
    <n v="0"/>
    <n v="0"/>
    <n v="0"/>
  </r>
  <r>
    <x v="2"/>
    <x v="11"/>
    <d v="2026-03-17T00:00:00"/>
    <s v="No Portfolio"/>
    <s v="USD"/>
    <x v="0"/>
    <s v="broad组"/>
    <s v="Amazon"/>
    <s v="United States"/>
    <s v="snack tray for stroller"/>
    <s v="BROAD"/>
    <x v="544"/>
    <n v="2"/>
    <n v="1"/>
    <n v="0.5"/>
    <n v="0.22"/>
    <n v="0.22"/>
    <n v="0"/>
    <m/>
    <n v="0"/>
    <n v="0"/>
    <n v="0"/>
    <n v="0"/>
    <n v="0"/>
    <n v="0"/>
    <n v="0"/>
    <n v="0"/>
  </r>
  <r>
    <x v="2"/>
    <x v="10"/>
    <d v="2026-03-05T00:00:00"/>
    <s v="No Portfolio"/>
    <s v="USD"/>
    <x v="0"/>
    <s v="broad组"/>
    <s v="Amazon"/>
    <s v="United States"/>
    <s v="snack holder for stroller"/>
    <s v="BROAD"/>
    <x v="656"/>
    <n v="2"/>
    <n v="2"/>
    <n v="1"/>
    <n v="0.14499999999999999"/>
    <n v="0.28999999999999998"/>
    <n v="0"/>
    <m/>
    <n v="0"/>
    <n v="0"/>
    <n v="0"/>
    <n v="0"/>
    <n v="0"/>
    <n v="0"/>
    <n v="0"/>
    <n v="0"/>
  </r>
  <r>
    <x v="2"/>
    <x v="9"/>
    <d v="2026-03-11T00:00:00"/>
    <s v="No Portfolio"/>
    <s v="USD"/>
    <x v="0"/>
    <s v="broad组"/>
    <s v="Amazon"/>
    <s v="United States"/>
    <s v="clip on snack tray"/>
    <s v="BROAD"/>
    <x v="657"/>
    <n v="3"/>
    <n v="1"/>
    <n v="0.33333333333333331"/>
    <n v="0.4"/>
    <n v="0.4"/>
    <n v="0"/>
    <m/>
    <n v="0"/>
    <n v="0"/>
    <n v="0"/>
    <n v="0"/>
    <n v="0"/>
    <n v="0"/>
    <n v="0"/>
    <n v="0"/>
  </r>
  <r>
    <x v="2"/>
    <x v="10"/>
    <d v="2026-03-04T00:00:00"/>
    <s v="No Portfolio"/>
    <s v="USD"/>
    <x v="0"/>
    <s v="broad组"/>
    <s v="Amazon"/>
    <s v="United States"/>
    <s v="stroller attachment"/>
    <s v="BROAD"/>
    <x v="658"/>
    <n v="3"/>
    <n v="1"/>
    <n v="0.33333333333333331"/>
    <n v="0.08"/>
    <n v="0.08"/>
    <n v="0"/>
    <m/>
    <n v="0"/>
    <n v="0"/>
    <n v="0"/>
    <n v="0"/>
    <n v="0"/>
    <n v="0"/>
    <n v="0"/>
    <n v="0"/>
  </r>
  <r>
    <x v="2"/>
    <x v="9"/>
    <d v="2026-03-10T00:00:00"/>
    <s v="No Portfolio"/>
    <s v="USD"/>
    <x v="0"/>
    <s v="broad组"/>
    <s v="Amazon"/>
    <s v="United States"/>
    <s v="cup holder and tray for stroller"/>
    <s v="BROAD"/>
    <x v="659"/>
    <n v="4"/>
    <n v="2"/>
    <n v="0.5"/>
    <n v="0.21"/>
    <n v="0.42"/>
    <n v="0"/>
    <m/>
    <n v="0"/>
    <n v="0"/>
    <n v="0"/>
    <n v="0"/>
    <n v="0"/>
    <n v="0"/>
    <n v="0"/>
    <n v="0"/>
  </r>
  <r>
    <x v="2"/>
    <x v="11"/>
    <d v="2026-03-21T00:00:00"/>
    <s v="No Portfolio"/>
    <s v="USD"/>
    <x v="0"/>
    <s v="broad组"/>
    <s v="Amazon"/>
    <s v="United States"/>
    <s v="stroller clip on tray"/>
    <s v="BROAD"/>
    <x v="660"/>
    <n v="1"/>
    <n v="1"/>
    <n v="1"/>
    <n v="0.4"/>
    <n v="0.4"/>
    <n v="0"/>
    <m/>
    <n v="0"/>
    <n v="0"/>
    <n v="0"/>
    <n v="0"/>
    <n v="0"/>
    <n v="0"/>
    <n v="0"/>
    <n v="0"/>
  </r>
  <r>
    <x v="2"/>
    <x v="10"/>
    <d v="2026-03-06T00:00:00"/>
    <s v="No Portfolio"/>
    <s v="USD"/>
    <x v="0"/>
    <s v="broad组"/>
    <s v="Amazon"/>
    <s v="United States"/>
    <s v="stroller cup holder"/>
    <s v="BROAD"/>
    <x v="661"/>
    <n v="2"/>
    <n v="1"/>
    <n v="0.5"/>
    <n v="0.2"/>
    <n v="0.2"/>
    <n v="0"/>
    <m/>
    <n v="0"/>
    <n v="0"/>
    <n v="0"/>
    <n v="0"/>
    <n v="0"/>
    <n v="0"/>
    <n v="0"/>
    <n v="0"/>
  </r>
  <r>
    <x v="2"/>
    <x v="9"/>
    <d v="2026-03-11T00:00:00"/>
    <s v="No Portfolio"/>
    <s v="USD"/>
    <x v="0"/>
    <s v="phrase&amp;exact"/>
    <s v="Amazon"/>
    <s v="United States"/>
    <s v="clip on snack tray"/>
    <s v="PHRASE"/>
    <x v="662"/>
    <n v="7"/>
    <n v="1"/>
    <n v="0.14285714285714285"/>
    <n v="0.21"/>
    <n v="0.21"/>
    <n v="0"/>
    <m/>
    <n v="0"/>
    <n v="0"/>
    <n v="0"/>
    <n v="0"/>
    <n v="0"/>
    <n v="0"/>
    <n v="0"/>
    <n v="0"/>
  </r>
  <r>
    <x v="2"/>
    <x v="9"/>
    <d v="2026-03-14T00:00:00"/>
    <s v="No Portfolio"/>
    <s v="USD"/>
    <x v="0"/>
    <s v="phrase&amp;exact"/>
    <s v="Amazon"/>
    <s v="United States"/>
    <s v="stroller snack tray"/>
    <s v="PHRASE"/>
    <x v="663"/>
    <n v="2"/>
    <n v="1"/>
    <n v="0.5"/>
    <n v="0.21"/>
    <n v="0.21"/>
    <n v="0"/>
    <m/>
    <n v="0"/>
    <n v="0"/>
    <n v="0"/>
    <n v="0"/>
    <n v="0"/>
    <n v="0"/>
    <n v="0"/>
    <n v="0"/>
  </r>
  <r>
    <x v="2"/>
    <x v="9"/>
    <d v="2026-03-10T00:00:00"/>
    <s v="No Portfolio"/>
    <s v="USD"/>
    <x v="4"/>
    <s v="stroller tray"/>
    <s v="Amazon"/>
    <s v="United States"/>
    <s v="loose-match"/>
    <s v="-"/>
    <x v="664"/>
    <n v="2"/>
    <n v="1"/>
    <n v="0.5"/>
    <n v="0.55000000000000004"/>
    <n v="0.55000000000000004"/>
    <n v="0"/>
    <m/>
    <n v="0"/>
    <n v="0"/>
    <n v="0"/>
    <n v="0"/>
    <n v="0"/>
    <n v="0"/>
    <n v="0"/>
    <n v="0"/>
  </r>
  <r>
    <x v="2"/>
    <x v="9"/>
    <d v="2026-03-11T00:00:00"/>
    <s v="No Portfolio"/>
    <s v="USD"/>
    <x v="0"/>
    <s v="broad组"/>
    <s v="Amazon"/>
    <s v="United States"/>
    <s v="stroller clip on tray"/>
    <s v="BROAD"/>
    <x v="665"/>
    <n v="1"/>
    <n v="1"/>
    <n v="1"/>
    <n v="0.4"/>
    <n v="0.4"/>
    <n v="0"/>
    <m/>
    <n v="0"/>
    <n v="0"/>
    <n v="0"/>
    <n v="0"/>
    <n v="0"/>
    <n v="0"/>
    <n v="0"/>
    <n v="0"/>
  </r>
  <r>
    <x v="2"/>
    <x v="9"/>
    <d v="2026-03-13T00:00:00"/>
    <s v="No Portfolio"/>
    <s v="USD"/>
    <x v="0"/>
    <s v="broad组"/>
    <s v="Amazon"/>
    <s v="United States"/>
    <s v="stroller tray"/>
    <s v="BROAD"/>
    <x v="666"/>
    <n v="2"/>
    <n v="1"/>
    <n v="0.5"/>
    <n v="0.4"/>
    <n v="0.4"/>
    <n v="34.18"/>
    <n v="1.1702750146284377E-2"/>
    <n v="85.449999999999989"/>
    <n v="1"/>
    <n v="2"/>
    <n v="1"/>
    <n v="2"/>
    <n v="0"/>
    <n v="34.18"/>
    <n v="0"/>
  </r>
  <r>
    <x v="2"/>
    <x v="11"/>
    <d v="2026-03-15T00:00:00"/>
    <s v="No Portfolio"/>
    <s v="USD"/>
    <x v="0"/>
    <s v="broad组"/>
    <s v="Amazon"/>
    <s v="United States"/>
    <s v="stroller cup holder"/>
    <s v="BROAD"/>
    <x v="84"/>
    <n v="6"/>
    <n v="2"/>
    <n v="0.33333333333333331"/>
    <n v="0.20499999999999999"/>
    <n v="0.41"/>
    <n v="0"/>
    <m/>
    <n v="0"/>
    <n v="0"/>
    <n v="0"/>
    <n v="0"/>
    <n v="0"/>
    <n v="0"/>
    <n v="0"/>
    <n v="0"/>
  </r>
  <r>
    <x v="2"/>
    <x v="10"/>
    <d v="2026-03-07T00:00:00"/>
    <s v="No Portfolio"/>
    <s v="USD"/>
    <x v="0"/>
    <s v="broad组"/>
    <s v="Amazon"/>
    <s v="United States"/>
    <s v="stroller cup holder attachment"/>
    <s v="BROAD"/>
    <x v="667"/>
    <n v="1"/>
    <n v="1"/>
    <n v="1"/>
    <n v="0.2"/>
    <n v="0.2"/>
    <n v="0"/>
    <m/>
    <n v="0"/>
    <n v="0"/>
    <n v="0"/>
    <n v="0"/>
    <n v="0"/>
    <n v="0"/>
    <n v="0"/>
    <n v="0"/>
  </r>
  <r>
    <x v="2"/>
    <x v="9"/>
    <d v="2026-03-12T00:00:00"/>
    <s v="No Portfolio"/>
    <s v="USD"/>
    <x v="0"/>
    <s v="phrase&amp;exact"/>
    <s v="Amazon"/>
    <s v="United States"/>
    <s v="cup holder and tray for stroller"/>
    <s v="PHRASE"/>
    <x v="668"/>
    <n v="7"/>
    <n v="1"/>
    <n v="0.14285714285714285"/>
    <n v="0.21"/>
    <n v="0.21"/>
    <n v="0"/>
    <m/>
    <n v="0"/>
    <n v="0"/>
    <n v="0"/>
    <n v="0"/>
    <n v="0"/>
    <n v="0"/>
    <n v="0"/>
    <n v="0"/>
  </r>
  <r>
    <x v="2"/>
    <x v="9"/>
    <d v="2026-03-13T00:00:00"/>
    <s v="No Portfolio"/>
    <s v="USD"/>
    <x v="0"/>
    <s v="phrase&amp;exact"/>
    <s v="Amazon"/>
    <s v="United States"/>
    <s v="cup holder and tray for stroller"/>
    <s v="PHRASE"/>
    <x v="669"/>
    <n v="1"/>
    <n v="1"/>
    <n v="1"/>
    <n v="0.44"/>
    <n v="0.44"/>
    <n v="0"/>
    <m/>
    <n v="0"/>
    <n v="0"/>
    <n v="0"/>
    <n v="0"/>
    <n v="0"/>
    <n v="0"/>
    <n v="0"/>
    <n v="0"/>
  </r>
  <r>
    <x v="2"/>
    <x v="11"/>
    <d v="2026-03-16T00:00:00"/>
    <s v="No Portfolio"/>
    <s v="USD"/>
    <x v="0"/>
    <s v="broad组"/>
    <s v="Amazon"/>
    <s v="United States"/>
    <s v="stroller snack tray"/>
    <s v="BROAD"/>
    <x v="670"/>
    <n v="2"/>
    <n v="1"/>
    <n v="0.5"/>
    <n v="0.44"/>
    <n v="0.44"/>
    <n v="0"/>
    <m/>
    <n v="0"/>
    <n v="0"/>
    <n v="0"/>
    <n v="0"/>
    <n v="0"/>
    <n v="0"/>
    <n v="0"/>
    <n v="0"/>
  </r>
  <r>
    <x v="2"/>
    <x v="9"/>
    <d v="2026-03-14T00:00:00"/>
    <s v="No Portfolio"/>
    <s v="USD"/>
    <x v="0"/>
    <s v="broad组"/>
    <s v="Amazon"/>
    <s v="United States"/>
    <s v="stroller accessories"/>
    <s v="BROAD"/>
    <x v="671"/>
    <n v="1"/>
    <n v="1"/>
    <n v="1"/>
    <n v="0.16"/>
    <n v="0.16"/>
    <n v="0"/>
    <m/>
    <n v="0"/>
    <n v="0"/>
    <n v="0"/>
    <n v="0"/>
    <n v="0"/>
    <n v="0"/>
    <n v="0"/>
    <n v="0"/>
  </r>
  <r>
    <x v="2"/>
    <x v="10"/>
    <d v="2026-03-07T00:00:00"/>
    <s v="No Portfolio"/>
    <s v="USD"/>
    <x v="1"/>
    <s v="broad组"/>
    <s v="Amazon"/>
    <s v="United States"/>
    <s v="stroller tray attachment"/>
    <s v="BROAD"/>
    <x v="672"/>
    <n v="3"/>
    <n v="1"/>
    <n v="0.33333333333333331"/>
    <n v="1.62"/>
    <n v="1.62"/>
    <n v="0"/>
    <m/>
    <n v="0"/>
    <n v="0"/>
    <n v="0"/>
    <n v="0"/>
    <n v="0"/>
    <n v="0"/>
    <n v="0"/>
    <n v="0"/>
  </r>
  <r>
    <x v="2"/>
    <x v="11"/>
    <d v="2026-03-21T00:00:00"/>
    <s v="No Portfolio"/>
    <s v="USD"/>
    <x v="0"/>
    <s v="broad组"/>
    <s v="Amazon"/>
    <s v="United States"/>
    <s v="cup holder for stroller"/>
    <s v="BROAD"/>
    <x v="673"/>
    <n v="2"/>
    <n v="1"/>
    <n v="0.5"/>
    <n v="0.16"/>
    <n v="0.16"/>
    <n v="0"/>
    <m/>
    <n v="0"/>
    <n v="0"/>
    <n v="0"/>
    <n v="0"/>
    <n v="0"/>
    <n v="0"/>
    <n v="0"/>
    <n v="0"/>
  </r>
  <r>
    <x v="2"/>
    <x v="10"/>
    <d v="2026-03-01T00:00:00"/>
    <s v="No Portfolio"/>
    <s v="USD"/>
    <x v="6"/>
    <s v="ENC"/>
    <s v="Amazon"/>
    <s v="United States"/>
    <s v="loose-match"/>
    <s v="-"/>
    <x v="674"/>
    <n v="1"/>
    <n v="1"/>
    <n v="1"/>
    <n v="1.05"/>
    <n v="1.05"/>
    <n v="0"/>
    <m/>
    <n v="0"/>
    <n v="0"/>
    <n v="0"/>
    <n v="0"/>
    <n v="0"/>
    <n v="0"/>
    <n v="0"/>
    <n v="0"/>
  </r>
  <r>
    <x v="2"/>
    <x v="9"/>
    <d v="2026-03-10T00:00:00"/>
    <s v="No Portfolio"/>
    <s v="USD"/>
    <x v="6"/>
    <s v="ENC"/>
    <s v="Amazon"/>
    <s v="United States"/>
    <s v="close-match"/>
    <s v="-"/>
    <x v="107"/>
    <n v="73"/>
    <n v="1"/>
    <n v="1.3698630136986301E-2"/>
    <n v="1.25"/>
    <n v="1.25"/>
    <n v="0"/>
    <m/>
    <n v="0"/>
    <n v="0"/>
    <n v="0"/>
    <n v="0"/>
    <n v="0"/>
    <n v="0"/>
    <n v="0"/>
    <n v="0"/>
  </r>
  <r>
    <x v="2"/>
    <x v="9"/>
    <d v="2026-03-10T00:00:00"/>
    <s v="No Portfolio"/>
    <s v="USD"/>
    <x v="9"/>
    <s v="ENC"/>
    <s v="Amazon"/>
    <s v="United States"/>
    <s v="electric nail clipper"/>
    <s v="BROAD"/>
    <x v="107"/>
    <n v="20"/>
    <n v="1"/>
    <n v="0.05"/>
    <n v="0.35"/>
    <n v="0.35"/>
    <n v="0"/>
    <m/>
    <n v="0"/>
    <n v="0"/>
    <n v="0"/>
    <n v="0"/>
    <n v="0"/>
    <n v="0"/>
    <n v="0"/>
    <n v="0"/>
  </r>
  <r>
    <x v="2"/>
    <x v="11"/>
    <d v="2026-03-20T00:00:00"/>
    <s v="No Portfolio"/>
    <s v="USD"/>
    <x v="6"/>
    <s v="ENC"/>
    <s v="Amazon"/>
    <s v="United States"/>
    <s v="close-match"/>
    <s v="-"/>
    <x v="675"/>
    <n v="1"/>
    <n v="1"/>
    <n v="1"/>
    <n v="1.81"/>
    <n v="1.81"/>
    <n v="0"/>
    <m/>
    <n v="0"/>
    <n v="0"/>
    <n v="0"/>
    <n v="0"/>
    <n v="0"/>
    <n v="0"/>
    <n v="0"/>
    <n v="0"/>
  </r>
  <r>
    <x v="2"/>
    <x v="9"/>
    <d v="2026-03-13T00:00:00"/>
    <s v="No Portfolio"/>
    <s v="USD"/>
    <x v="6"/>
    <s v="ENC"/>
    <s v="Amazon"/>
    <s v="United States"/>
    <s v="close-match"/>
    <s v="-"/>
    <x v="112"/>
    <n v="11"/>
    <n v="1"/>
    <n v="9.0909090909090925E-2"/>
    <n v="1.28"/>
    <n v="1.28"/>
    <n v="0"/>
    <m/>
    <n v="0"/>
    <n v="0"/>
    <n v="0"/>
    <n v="0"/>
    <n v="0"/>
    <n v="0"/>
    <n v="0"/>
    <n v="0"/>
  </r>
  <r>
    <x v="2"/>
    <x v="10"/>
    <d v="2026-03-01T00:00:00"/>
    <s v="No Portfolio"/>
    <s v="USD"/>
    <x v="9"/>
    <s v="ENC"/>
    <s v="Amazon"/>
    <s v="United States"/>
    <s v="electric nail clipper"/>
    <s v="BROAD"/>
    <x v="112"/>
    <n v="22"/>
    <n v="1"/>
    <n v="4.5454545454545463E-2"/>
    <n v="0.68"/>
    <n v="0.68"/>
    <n v="0"/>
    <m/>
    <n v="0"/>
    <n v="0"/>
    <n v="0"/>
    <n v="0"/>
    <n v="0"/>
    <n v="0"/>
    <n v="0"/>
    <n v="0"/>
  </r>
  <r>
    <x v="2"/>
    <x v="11"/>
    <d v="2026-03-20T00:00:00"/>
    <s v="No Portfolio"/>
    <s v="USD"/>
    <x v="6"/>
    <s v="ENC"/>
    <s v="Amazon"/>
    <s v="United States"/>
    <s v="close-match"/>
    <s v="-"/>
    <x v="676"/>
    <n v="2"/>
    <n v="1"/>
    <n v="0.5"/>
    <n v="1.58"/>
    <n v="1.58"/>
    <n v="0"/>
    <m/>
    <n v="0"/>
    <n v="0"/>
    <n v="0"/>
    <n v="0"/>
    <n v="0"/>
    <n v="0"/>
    <n v="0"/>
    <n v="0"/>
  </r>
  <r>
    <x v="2"/>
    <x v="10"/>
    <d v="2026-03-01T00:00:00"/>
    <s v="No Portfolio"/>
    <s v="USD"/>
    <x v="6"/>
    <s v="ENC"/>
    <s v="Amazon"/>
    <s v="United States"/>
    <s v="close-match"/>
    <s v="-"/>
    <x v="113"/>
    <n v="318"/>
    <n v="1"/>
    <n v="3.1446540880503151E-3"/>
    <n v="1.1299999999999999"/>
    <n v="1.1299999999999999"/>
    <n v="0"/>
    <m/>
    <n v="0"/>
    <n v="0"/>
    <n v="0"/>
    <n v="0"/>
    <n v="0"/>
    <n v="0"/>
    <n v="0"/>
    <n v="0"/>
  </r>
  <r>
    <x v="2"/>
    <x v="10"/>
    <d v="2026-03-02T00:00:00"/>
    <s v="No Portfolio"/>
    <s v="USD"/>
    <x v="6"/>
    <s v="ENC"/>
    <s v="Amazon"/>
    <s v="United States"/>
    <s v="close-match"/>
    <s v="-"/>
    <x v="113"/>
    <n v="337"/>
    <n v="1"/>
    <n v="2.967359050445104E-3"/>
    <n v="1.48"/>
    <n v="1.48"/>
    <n v="0"/>
    <m/>
    <n v="0"/>
    <n v="0"/>
    <n v="0"/>
    <n v="0"/>
    <n v="0"/>
    <n v="0"/>
    <n v="0"/>
    <n v="0"/>
  </r>
  <r>
    <x v="2"/>
    <x v="10"/>
    <d v="2026-03-03T00:00:00"/>
    <s v="No Portfolio"/>
    <s v="USD"/>
    <x v="6"/>
    <s v="ENC"/>
    <s v="Amazon"/>
    <s v="United States"/>
    <s v="close-match"/>
    <s v="-"/>
    <x v="113"/>
    <n v="617"/>
    <n v="1"/>
    <n v="1.620745542949757E-3"/>
    <n v="1.51"/>
    <n v="1.51"/>
    <n v="0"/>
    <m/>
    <n v="0"/>
    <n v="0"/>
    <n v="0"/>
    <n v="0"/>
    <n v="0"/>
    <n v="0"/>
    <n v="0"/>
    <n v="0"/>
  </r>
  <r>
    <x v="2"/>
    <x v="10"/>
    <d v="2026-03-04T00:00:00"/>
    <s v="No Portfolio"/>
    <s v="USD"/>
    <x v="6"/>
    <s v="ENC"/>
    <s v="Amazon"/>
    <s v="United States"/>
    <s v="close-match"/>
    <s v="-"/>
    <x v="113"/>
    <n v="376"/>
    <n v="1"/>
    <n v="2.6595744680851063E-3"/>
    <n v="1.51"/>
    <n v="1.51"/>
    <n v="0"/>
    <m/>
    <n v="0"/>
    <n v="0"/>
    <n v="0"/>
    <n v="0"/>
    <n v="0"/>
    <n v="0"/>
    <n v="0"/>
    <n v="0"/>
  </r>
  <r>
    <x v="2"/>
    <x v="10"/>
    <d v="2026-03-05T00:00:00"/>
    <s v="No Portfolio"/>
    <s v="USD"/>
    <x v="6"/>
    <s v="ENC"/>
    <s v="Amazon"/>
    <s v="United States"/>
    <s v="close-match"/>
    <s v="-"/>
    <x v="113"/>
    <n v="261"/>
    <n v="1"/>
    <n v="3.8314176245210726E-3"/>
    <n v="1.58"/>
    <n v="1.58"/>
    <n v="0"/>
    <m/>
    <n v="0"/>
    <n v="0"/>
    <n v="0"/>
    <n v="0"/>
    <n v="0"/>
    <n v="0"/>
    <n v="0"/>
    <n v="0"/>
  </r>
  <r>
    <x v="2"/>
    <x v="10"/>
    <d v="2026-03-06T00:00:00"/>
    <s v="No Portfolio"/>
    <s v="USD"/>
    <x v="6"/>
    <s v="ENC"/>
    <s v="Amazon"/>
    <s v="United States"/>
    <s v="close-match"/>
    <s v="-"/>
    <x v="113"/>
    <n v="216"/>
    <n v="1"/>
    <n v="4.6296296296296294E-3"/>
    <n v="1.58"/>
    <n v="1.58"/>
    <n v="0"/>
    <m/>
    <n v="0"/>
    <n v="0"/>
    <n v="0"/>
    <n v="0"/>
    <n v="0"/>
    <n v="0"/>
    <n v="0"/>
    <n v="0"/>
  </r>
  <r>
    <x v="2"/>
    <x v="9"/>
    <d v="2026-03-08T00:00:00"/>
    <s v="No Portfolio"/>
    <s v="USD"/>
    <x v="6"/>
    <s v="ENC"/>
    <s v="Amazon"/>
    <s v="United States"/>
    <s v="close-match"/>
    <s v="-"/>
    <x v="113"/>
    <n v="70"/>
    <n v="1"/>
    <n v="1.4285714285714285E-2"/>
    <n v="1.31"/>
    <n v="1.31"/>
    <n v="0"/>
    <m/>
    <n v="0"/>
    <n v="0"/>
    <n v="0"/>
    <n v="0"/>
    <n v="0"/>
    <n v="0"/>
    <n v="0"/>
    <n v="0"/>
  </r>
  <r>
    <x v="2"/>
    <x v="11"/>
    <d v="2026-03-21T00:00:00"/>
    <s v="No Portfolio"/>
    <s v="USD"/>
    <x v="6"/>
    <s v="ENC"/>
    <s v="Amazon"/>
    <s v="United States"/>
    <s v="loose-match"/>
    <s v="-"/>
    <x v="677"/>
    <n v="1"/>
    <n v="1"/>
    <n v="1"/>
    <n v="1.5"/>
    <n v="1.5"/>
    <n v="0"/>
    <m/>
    <n v="0"/>
    <n v="0"/>
    <n v="0"/>
    <n v="0"/>
    <n v="0"/>
    <n v="0"/>
    <n v="0"/>
    <n v="0"/>
  </r>
  <r>
    <x v="2"/>
    <x v="10"/>
    <d v="2026-03-05T00:00:00"/>
    <s v="No Portfolio"/>
    <s v="USD"/>
    <x v="6"/>
    <s v="ENC"/>
    <s v="Amazon"/>
    <s v="United States"/>
    <s v="close-match"/>
    <s v="-"/>
    <x v="678"/>
    <n v="1"/>
    <n v="1"/>
    <n v="1"/>
    <n v="1.58"/>
    <n v="1.58"/>
    <n v="0"/>
    <m/>
    <n v="0"/>
    <n v="0"/>
    <n v="0"/>
    <n v="0"/>
    <n v="0"/>
    <n v="0"/>
    <n v="0"/>
    <n v="0"/>
  </r>
  <r>
    <x v="2"/>
    <x v="9"/>
    <d v="2026-03-10T00:00:00"/>
    <s v="No Portfolio"/>
    <s v="USD"/>
    <x v="3"/>
    <s v="ENC Grey"/>
    <s v="Amazon"/>
    <s v="United States"/>
    <s v="loose-match"/>
    <s v="-"/>
    <x v="679"/>
    <n v="1"/>
    <n v="1"/>
    <n v="1"/>
    <n v="0.46"/>
    <n v="0.46"/>
    <n v="0"/>
    <m/>
    <n v="0"/>
    <n v="0"/>
    <n v="0"/>
    <n v="0"/>
    <n v="0"/>
    <n v="0"/>
    <n v="0"/>
    <n v="0"/>
  </r>
  <r>
    <x v="2"/>
    <x v="11"/>
    <d v="2026-03-16T00:00:00"/>
    <s v="No Portfolio"/>
    <s v="USD"/>
    <x v="6"/>
    <s v="ENC"/>
    <s v="Amazon"/>
    <s v="United States"/>
    <s v="close-match"/>
    <s v="-"/>
    <x v="116"/>
    <n v="13"/>
    <n v="1"/>
    <n v="7.6923076923076927E-2"/>
    <n v="1.55"/>
    <n v="1.55"/>
    <n v="0"/>
    <m/>
    <n v="0"/>
    <n v="0"/>
    <n v="0"/>
    <n v="0"/>
    <n v="0"/>
    <n v="0"/>
    <n v="0"/>
    <n v="0"/>
  </r>
  <r>
    <x v="2"/>
    <x v="10"/>
    <d v="2026-03-02T00:00:00"/>
    <s v="No Portfolio"/>
    <s v="USD"/>
    <x v="6"/>
    <s v="ENC"/>
    <s v="Amazon"/>
    <s v="United States"/>
    <s v="close-match"/>
    <s v="-"/>
    <x v="680"/>
    <n v="5"/>
    <n v="1"/>
    <n v="0.2"/>
    <n v="1.7"/>
    <n v="1.7"/>
    <n v="0"/>
    <m/>
    <n v="0"/>
    <n v="0"/>
    <n v="0"/>
    <n v="0"/>
    <n v="0"/>
    <n v="0"/>
    <n v="0"/>
    <n v="0"/>
  </r>
  <r>
    <x v="2"/>
    <x v="11"/>
    <d v="2026-03-16T00:00:00"/>
    <s v="No Portfolio"/>
    <s v="USD"/>
    <x v="0"/>
    <s v="broad组"/>
    <s v="Amazon"/>
    <s v="United States"/>
    <s v="stroller accessories"/>
    <s v="BROAD"/>
    <x v="129"/>
    <n v="2"/>
    <n v="1"/>
    <n v="0.5"/>
    <n v="0.16"/>
    <n v="0.16"/>
    <n v="0"/>
    <m/>
    <n v="0"/>
    <n v="0"/>
    <n v="0"/>
    <n v="0"/>
    <n v="0"/>
    <n v="0"/>
    <n v="0"/>
    <n v="0"/>
  </r>
  <r>
    <x v="2"/>
    <x v="9"/>
    <d v="2026-03-12T00:00:00"/>
    <s v="No Portfolio"/>
    <s v="USD"/>
    <x v="0"/>
    <s v="broad组"/>
    <s v="Amazon"/>
    <s v="United States"/>
    <s v="snack tray for stroller"/>
    <s v="BROAD"/>
    <x v="681"/>
    <n v="1"/>
    <n v="1"/>
    <n v="1"/>
    <n v="0.21"/>
    <n v="0.21"/>
    <n v="18.989999999999998"/>
    <n v="1.1058451816745656E-2"/>
    <n v="90.428571428571431"/>
    <n v="1"/>
    <n v="1"/>
    <n v="1"/>
    <n v="1"/>
    <n v="0"/>
    <n v="18.989999999999998"/>
    <n v="0"/>
  </r>
  <r>
    <x v="2"/>
    <x v="11"/>
    <d v="2026-03-18T00:00:00"/>
    <s v="No Portfolio"/>
    <s v="USD"/>
    <x v="0"/>
    <s v="broad组"/>
    <s v="Amazon"/>
    <s v="United States"/>
    <s v="stroller cup holder"/>
    <s v="BROAD"/>
    <x v="682"/>
    <n v="1"/>
    <n v="1"/>
    <n v="1"/>
    <n v="0.2"/>
    <n v="0.2"/>
    <n v="0"/>
    <m/>
    <n v="0"/>
    <n v="0"/>
    <n v="0"/>
    <n v="0"/>
    <n v="0"/>
    <n v="0"/>
    <n v="0"/>
    <n v="0"/>
  </r>
  <r>
    <x v="2"/>
    <x v="9"/>
    <d v="2026-03-08T00:00:00"/>
    <s v="No Portfolio"/>
    <s v="USD"/>
    <x v="1"/>
    <s v="broad组"/>
    <s v="Amazon"/>
    <s v="United States"/>
    <s v="stroller tray"/>
    <s v="BROAD"/>
    <x v="683"/>
    <n v="1"/>
    <n v="1"/>
    <n v="1"/>
    <n v="0.87"/>
    <n v="0.87"/>
    <n v="17.989999999999998"/>
    <n v="4.8360200111172882E-2"/>
    <n v="20.678160919540229"/>
    <n v="1"/>
    <n v="1"/>
    <n v="1"/>
    <n v="1"/>
    <n v="0"/>
    <n v="17.989999999999998"/>
    <n v="0"/>
  </r>
  <r>
    <x v="2"/>
    <x v="11"/>
    <d v="2026-03-18T00:00:00"/>
    <s v="No Portfolio"/>
    <s v="USD"/>
    <x v="0"/>
    <s v="phrase&amp;exact"/>
    <s v="Amazon"/>
    <s v="United States"/>
    <s v="stroller snack tray"/>
    <s v="PHRASE"/>
    <x v="684"/>
    <n v="3"/>
    <n v="1"/>
    <n v="0.33333333333333331"/>
    <n v="0.23"/>
    <n v="0.23"/>
    <n v="0"/>
    <m/>
    <n v="0"/>
    <n v="0"/>
    <n v="0"/>
    <n v="0"/>
    <n v="0"/>
    <n v="0"/>
    <n v="0"/>
    <n v="0"/>
  </r>
  <r>
    <x v="2"/>
    <x v="10"/>
    <d v="2026-03-02T00:00:00"/>
    <s v="No Portfolio"/>
    <s v="USD"/>
    <x v="0"/>
    <s v="phrase&amp;exact"/>
    <s v="Amazon"/>
    <s v="United States"/>
    <s v="stroller snack tray"/>
    <s v="PHRASE"/>
    <x v="685"/>
    <n v="1"/>
    <n v="1"/>
    <n v="1"/>
    <n v="0.4"/>
    <n v="0.4"/>
    <n v="0"/>
    <m/>
    <n v="0"/>
    <n v="0"/>
    <n v="0"/>
    <n v="0"/>
    <n v="0"/>
    <n v="0"/>
    <n v="0"/>
    <n v="0"/>
  </r>
  <r>
    <x v="2"/>
    <x v="11"/>
    <d v="2026-03-17T00:00:00"/>
    <s v="No Portfolio"/>
    <s v="USD"/>
    <x v="0"/>
    <s v="broad组"/>
    <s v="Amazon"/>
    <s v="United States"/>
    <s v="stroller cup holder"/>
    <s v="BROAD"/>
    <x v="686"/>
    <n v="11"/>
    <n v="1"/>
    <n v="9.0909090909090925E-2"/>
    <n v="0.21"/>
    <n v="0.21"/>
    <n v="0"/>
    <m/>
    <n v="0"/>
    <n v="0"/>
    <n v="0"/>
    <n v="0"/>
    <n v="0"/>
    <n v="0"/>
    <n v="0"/>
    <n v="0"/>
  </r>
  <r>
    <x v="2"/>
    <x v="11"/>
    <d v="2026-03-17T00:00:00"/>
    <s v="No Portfolio"/>
    <s v="USD"/>
    <x v="4"/>
    <s v="stroller tray"/>
    <s v="Amazon"/>
    <s v="United States"/>
    <s v="loose-match"/>
    <s v="-"/>
    <x v="687"/>
    <n v="7"/>
    <n v="1"/>
    <n v="0.14285714285714285"/>
    <n v="0.49"/>
    <n v="0.49"/>
    <n v="0"/>
    <m/>
    <n v="0"/>
    <n v="0"/>
    <n v="0"/>
    <n v="0"/>
    <n v="0"/>
    <n v="0"/>
    <n v="0"/>
    <n v="0"/>
  </r>
  <r>
    <x v="2"/>
    <x v="11"/>
    <d v="2026-03-16T00:00:00"/>
    <s v="No Portfolio"/>
    <s v="USD"/>
    <x v="0"/>
    <s v="broad组"/>
    <s v="Amazon"/>
    <s v="United States"/>
    <s v="stroller tray"/>
    <s v="BROAD"/>
    <x v="688"/>
    <n v="4"/>
    <n v="1"/>
    <n v="0.25"/>
    <n v="0.21"/>
    <n v="0.21"/>
    <n v="0"/>
    <m/>
    <n v="0"/>
    <n v="0"/>
    <n v="0"/>
    <n v="0"/>
    <n v="0"/>
    <n v="0"/>
    <n v="0"/>
    <n v="0"/>
  </r>
  <r>
    <x v="2"/>
    <x v="10"/>
    <d v="2026-03-06T00:00:00"/>
    <s v="No Portfolio"/>
    <s v="USD"/>
    <x v="4"/>
    <s v="stroller tray"/>
    <s v="Amazon"/>
    <s v="United States"/>
    <s v="loose-match"/>
    <s v="-"/>
    <x v="689"/>
    <n v="2"/>
    <n v="1"/>
    <n v="0.5"/>
    <n v="0.56999999999999995"/>
    <n v="0.56999999999999995"/>
    <n v="0"/>
    <m/>
    <n v="0"/>
    <n v="0"/>
    <n v="0"/>
    <n v="0"/>
    <n v="0"/>
    <n v="0"/>
    <n v="0"/>
    <n v="0"/>
  </r>
  <r>
    <x v="2"/>
    <x v="11"/>
    <d v="2026-03-19T00:00:00"/>
    <s v="No Portfolio"/>
    <s v="USD"/>
    <x v="0"/>
    <s v="broad组"/>
    <s v="Amazon"/>
    <s v="United States"/>
    <s v="stroller tray"/>
    <s v="BROAD"/>
    <x v="690"/>
    <n v="3"/>
    <n v="1"/>
    <n v="0.33333333333333331"/>
    <n v="0.4"/>
    <n v="0.4"/>
    <n v="0"/>
    <m/>
    <n v="0"/>
    <n v="0"/>
    <n v="0"/>
    <n v="0"/>
    <n v="0"/>
    <n v="0"/>
    <n v="0"/>
    <n v="0"/>
  </r>
  <r>
    <x v="2"/>
    <x v="9"/>
    <d v="2026-03-09T00:00:00"/>
    <s v="No Portfolio"/>
    <s v="USD"/>
    <x v="0"/>
    <s v="phrase&amp;exact"/>
    <s v="Amazon"/>
    <s v="United States"/>
    <s v="stroller tray attachment"/>
    <s v="PHRASE"/>
    <x v="691"/>
    <n v="5"/>
    <n v="1"/>
    <n v="0.2"/>
    <n v="0.21"/>
    <n v="0.21"/>
    <n v="0"/>
    <m/>
    <n v="0"/>
    <n v="0"/>
    <n v="0"/>
    <n v="0"/>
    <n v="0"/>
    <n v="0"/>
    <n v="0"/>
    <n v="0"/>
  </r>
  <r>
    <x v="2"/>
    <x v="10"/>
    <d v="2026-03-06T00:00:00"/>
    <s v="No Portfolio"/>
    <s v="USD"/>
    <x v="0"/>
    <s v="broad组"/>
    <s v="Amazon"/>
    <s v="United States"/>
    <s v="stroller attachment"/>
    <s v="BROAD"/>
    <x v="692"/>
    <n v="1"/>
    <n v="1"/>
    <n v="1"/>
    <n v="0.08"/>
    <n v="0.08"/>
    <n v="0"/>
    <m/>
    <n v="0"/>
    <n v="0"/>
    <n v="0"/>
    <n v="0"/>
    <n v="0"/>
    <n v="0"/>
    <n v="0"/>
    <n v="0"/>
  </r>
  <r>
    <x v="2"/>
    <x v="10"/>
    <d v="2026-03-04T00:00:00"/>
    <s v="No Portfolio"/>
    <s v="USD"/>
    <x v="0"/>
    <s v="broad组"/>
    <s v="Amazon"/>
    <s v="United States"/>
    <s v="stroller tray"/>
    <s v="BROAD"/>
    <x v="693"/>
    <n v="1"/>
    <n v="1"/>
    <n v="1"/>
    <n v="0.08"/>
    <n v="0.08"/>
    <n v="0"/>
    <m/>
    <n v="0"/>
    <n v="0"/>
    <n v="0"/>
    <n v="0"/>
    <n v="0"/>
    <n v="0"/>
    <n v="0"/>
    <n v="0"/>
  </r>
  <r>
    <x v="2"/>
    <x v="11"/>
    <d v="2026-03-16T00:00:00"/>
    <s v="No Portfolio"/>
    <s v="USD"/>
    <x v="6"/>
    <s v="ENC"/>
    <s v="Amazon"/>
    <s v="United States"/>
    <s v="loose-match"/>
    <s v="-"/>
    <x v="694"/>
    <n v="1"/>
    <n v="1"/>
    <n v="1"/>
    <n v="1.22"/>
    <n v="1.22"/>
    <n v="0"/>
    <m/>
    <n v="0"/>
    <n v="0"/>
    <n v="0"/>
    <n v="0"/>
    <n v="0"/>
    <n v="0"/>
    <n v="0"/>
    <n v="0"/>
  </r>
  <r>
    <x v="2"/>
    <x v="11"/>
    <d v="2026-03-20T00:00:00"/>
    <s v="No Portfolio"/>
    <s v="USD"/>
    <x v="0"/>
    <s v="broad组"/>
    <s v="Amazon"/>
    <s v="United States"/>
    <s v="stroller accessories"/>
    <s v="BROAD"/>
    <x v="695"/>
    <n v="1"/>
    <n v="1"/>
    <n v="1"/>
    <n v="0.16"/>
    <n v="0.16"/>
    <n v="0"/>
    <m/>
    <n v="0"/>
    <n v="0"/>
    <n v="0"/>
    <n v="0"/>
    <n v="0"/>
    <n v="0"/>
    <n v="0"/>
    <n v="0"/>
  </r>
  <r>
    <x v="2"/>
    <x v="11"/>
    <d v="2026-03-20T00:00:00"/>
    <s v="No Portfolio"/>
    <s v="USD"/>
    <x v="0"/>
    <s v="phrase&amp;exact"/>
    <s v="Amazon"/>
    <s v="United States"/>
    <s v="stroller snack tray"/>
    <s v="PHRASE"/>
    <x v="696"/>
    <n v="1"/>
    <n v="1"/>
    <n v="1"/>
    <n v="0.4"/>
    <n v="0.4"/>
    <n v="0"/>
    <m/>
    <n v="0"/>
    <n v="0"/>
    <n v="0"/>
    <n v="0"/>
    <n v="0"/>
    <n v="0"/>
    <n v="0"/>
    <n v="0"/>
  </r>
  <r>
    <x v="2"/>
    <x v="11"/>
    <d v="2026-03-17T00:00:00"/>
    <s v="No Portfolio"/>
    <s v="USD"/>
    <x v="0"/>
    <s v="phrase&amp;exact"/>
    <s v="Amazon"/>
    <s v="United States"/>
    <s v="stroller snack tray"/>
    <s v="PHRASE"/>
    <x v="697"/>
    <n v="1"/>
    <n v="1"/>
    <n v="1"/>
    <n v="0.21"/>
    <n v="0.21"/>
    <n v="0"/>
    <m/>
    <n v="0"/>
    <n v="0"/>
    <n v="0"/>
    <n v="0"/>
    <n v="0"/>
    <n v="0"/>
    <n v="0"/>
    <n v="0"/>
  </r>
  <r>
    <x v="2"/>
    <x v="10"/>
    <d v="2026-03-02T00:00:00"/>
    <s v="No Portfolio"/>
    <s v="USD"/>
    <x v="0"/>
    <s v="phrase&amp;exact"/>
    <s v="Amazon"/>
    <s v="United States"/>
    <s v="stroller cup holder"/>
    <s v="PHRASE"/>
    <x v="698"/>
    <n v="1"/>
    <n v="1"/>
    <n v="1"/>
    <n v="0.4"/>
    <n v="0.4"/>
    <n v="0"/>
    <m/>
    <n v="0"/>
    <n v="0"/>
    <n v="0"/>
    <n v="0"/>
    <n v="0"/>
    <n v="0"/>
    <n v="0"/>
    <n v="0"/>
  </r>
  <r>
    <x v="2"/>
    <x v="10"/>
    <d v="2026-03-05T00:00:00"/>
    <s v="No Portfolio"/>
    <s v="USD"/>
    <x v="0"/>
    <s v="broad组"/>
    <s v="Amazon"/>
    <s v="United States"/>
    <s v="stroller tray attachment"/>
    <s v="BROAD"/>
    <x v="699"/>
    <n v="1"/>
    <n v="1"/>
    <n v="1"/>
    <n v="0.08"/>
    <n v="0.08"/>
    <n v="0"/>
    <m/>
    <n v="0"/>
    <n v="0"/>
    <n v="0"/>
    <n v="0"/>
    <n v="0"/>
    <n v="0"/>
    <n v="0"/>
    <n v="0"/>
  </r>
  <r>
    <x v="2"/>
    <x v="10"/>
    <d v="2026-03-07T00:00:00"/>
    <s v="No Portfolio"/>
    <s v="USD"/>
    <x v="0"/>
    <s v="phrase&amp;exact"/>
    <s v="Amazon"/>
    <s v="United States"/>
    <s v="stroller snack tray"/>
    <s v="PHRASE"/>
    <x v="700"/>
    <n v="2"/>
    <n v="1"/>
    <n v="0.5"/>
    <n v="0.21"/>
    <n v="0.21"/>
    <n v="0"/>
    <m/>
    <n v="0"/>
    <n v="0"/>
    <n v="0"/>
    <n v="0"/>
    <n v="0"/>
    <n v="0"/>
    <n v="0"/>
    <n v="0"/>
  </r>
  <r>
    <x v="2"/>
    <x v="10"/>
    <d v="2026-03-03T00:00:00"/>
    <s v="No Portfolio"/>
    <s v="USD"/>
    <x v="0"/>
    <s v="broad组"/>
    <s v="Amazon"/>
    <s v="United States"/>
    <s v="snack tray for stroller"/>
    <s v="BROAD"/>
    <x v="700"/>
    <n v="3"/>
    <n v="1"/>
    <n v="0.33333333333333331"/>
    <n v="0.21"/>
    <n v="0.21"/>
    <n v="0"/>
    <m/>
    <n v="0"/>
    <n v="0"/>
    <n v="0"/>
    <n v="0"/>
    <n v="0"/>
    <n v="0"/>
    <n v="0"/>
    <n v="0"/>
  </r>
  <r>
    <x v="2"/>
    <x v="10"/>
    <d v="2026-03-07T00:00:00"/>
    <s v="No Portfolio"/>
    <s v="USD"/>
    <x v="0"/>
    <s v="broad组"/>
    <s v="Amazon"/>
    <s v="United States"/>
    <s v="snack tray for stroller"/>
    <s v="BROAD"/>
    <x v="700"/>
    <n v="1"/>
    <n v="1"/>
    <n v="1"/>
    <n v="0.2"/>
    <n v="0.2"/>
    <n v="0"/>
    <m/>
    <n v="0"/>
    <n v="0"/>
    <n v="0"/>
    <n v="0"/>
    <n v="0"/>
    <n v="0"/>
    <n v="0"/>
    <n v="0"/>
  </r>
  <r>
    <x v="2"/>
    <x v="9"/>
    <d v="2026-03-11T00:00:00"/>
    <s v="No Portfolio"/>
    <s v="USD"/>
    <x v="4"/>
    <s v="stroller tray"/>
    <s v="Amazon"/>
    <s v="United States"/>
    <s v="loose-match"/>
    <s v="-"/>
    <x v="701"/>
    <n v="2"/>
    <n v="1"/>
    <n v="0.5"/>
    <n v="0.71"/>
    <n v="0.71"/>
    <n v="0"/>
    <m/>
    <n v="0"/>
    <n v="0"/>
    <n v="0"/>
    <n v="0"/>
    <n v="0"/>
    <n v="0"/>
    <n v="0"/>
    <n v="0"/>
  </r>
  <r>
    <x v="2"/>
    <x v="10"/>
    <d v="2026-03-07T00:00:00"/>
    <s v="No Portfolio"/>
    <s v="USD"/>
    <x v="0"/>
    <s v="phrase&amp;exact"/>
    <s v="Amazon"/>
    <s v="United States"/>
    <s v="stroller snack tray"/>
    <s v="PHRASE"/>
    <x v="142"/>
    <n v="12"/>
    <n v="1"/>
    <n v="8.3333333333333315E-2"/>
    <n v="0.2"/>
    <n v="0.2"/>
    <n v="0"/>
    <m/>
    <n v="0"/>
    <n v="0"/>
    <n v="0"/>
    <n v="0"/>
    <n v="0"/>
    <n v="0"/>
    <n v="0"/>
    <n v="0"/>
  </r>
  <r>
    <x v="2"/>
    <x v="10"/>
    <d v="2026-03-04T00:00:00"/>
    <s v="No Portfolio"/>
    <s v="USD"/>
    <x v="0"/>
    <s v="broad组"/>
    <s v="Amazon"/>
    <s v="United States"/>
    <s v="stroller tray"/>
    <s v="BROAD"/>
    <x v="702"/>
    <n v="1"/>
    <n v="1"/>
    <n v="1"/>
    <n v="0.21"/>
    <n v="0.21"/>
    <n v="0"/>
    <m/>
    <n v="0"/>
    <n v="0"/>
    <n v="0"/>
    <n v="0"/>
    <n v="0"/>
    <n v="0"/>
    <n v="0"/>
    <n v="0"/>
  </r>
  <r>
    <x v="2"/>
    <x v="11"/>
    <d v="2026-03-19T00:00:00"/>
    <s v="No Portfolio"/>
    <s v="USD"/>
    <x v="0"/>
    <s v="phrase&amp;exact"/>
    <s v="Amazon"/>
    <s v="United States"/>
    <s v="stroller cup holder"/>
    <s v="PHRASE"/>
    <x v="703"/>
    <n v="1"/>
    <n v="1"/>
    <n v="1"/>
    <n v="0.2"/>
    <n v="0.2"/>
    <n v="0"/>
    <m/>
    <n v="0"/>
    <n v="0"/>
    <n v="0"/>
    <n v="0"/>
    <n v="0"/>
    <n v="0"/>
    <n v="0"/>
    <n v="0"/>
  </r>
  <r>
    <x v="2"/>
    <x v="9"/>
    <d v="2026-03-13T00:00:00"/>
    <s v="No Portfolio"/>
    <s v="USD"/>
    <x v="0"/>
    <s v="broad组"/>
    <s v="Amazon"/>
    <s v="United States"/>
    <s v="stroller cup holder"/>
    <s v="BROAD"/>
    <x v="704"/>
    <n v="2"/>
    <n v="2"/>
    <n v="1"/>
    <n v="0.30499999999999999"/>
    <n v="0.61"/>
    <n v="0"/>
    <m/>
    <n v="0"/>
    <n v="0"/>
    <n v="0"/>
    <n v="0"/>
    <n v="0"/>
    <n v="0"/>
    <n v="0"/>
    <n v="0"/>
  </r>
  <r>
    <x v="2"/>
    <x v="10"/>
    <d v="2026-03-05T00:00:00"/>
    <s v="No Portfolio"/>
    <s v="USD"/>
    <x v="0"/>
    <s v="phrase&amp;exact"/>
    <s v="Amazon"/>
    <s v="United States"/>
    <s v="snack cup for stroller"/>
    <s v="PHRASE"/>
    <x v="705"/>
    <n v="2"/>
    <n v="1"/>
    <n v="0.5"/>
    <n v="0.2"/>
    <n v="0.2"/>
    <n v="0"/>
    <m/>
    <n v="0"/>
    <n v="0"/>
    <n v="0"/>
    <n v="0"/>
    <n v="0"/>
    <n v="0"/>
    <n v="0"/>
    <n v="0"/>
  </r>
  <r>
    <x v="2"/>
    <x v="11"/>
    <d v="2026-03-16T00:00:00"/>
    <s v="No Portfolio"/>
    <s v="USD"/>
    <x v="0"/>
    <s v="broad组"/>
    <s v="Amazon"/>
    <s v="United States"/>
    <s v="stroller tray"/>
    <s v="BROAD"/>
    <x v="706"/>
    <n v="7"/>
    <n v="1"/>
    <n v="0.14285714285714285"/>
    <n v="0.23"/>
    <n v="0.23"/>
    <n v="0"/>
    <m/>
    <n v="0"/>
    <n v="0"/>
    <n v="0"/>
    <n v="0"/>
    <n v="0"/>
    <n v="0"/>
    <n v="0"/>
    <n v="0"/>
  </r>
  <r>
    <x v="2"/>
    <x v="10"/>
    <d v="2026-03-07T00:00:00"/>
    <s v="No Portfolio"/>
    <s v="USD"/>
    <x v="2"/>
    <s v="Tray"/>
    <s v="Amazon"/>
    <s v="United States"/>
    <s v="asin=&quot;B0DH98H2G4&quot;"/>
    <s v="-"/>
    <x v="707"/>
    <n v="1"/>
    <n v="1"/>
    <n v="1"/>
    <n v="0.71"/>
    <n v="0.71"/>
    <n v="0"/>
    <m/>
    <n v="0"/>
    <n v="0"/>
    <n v="0"/>
    <n v="0"/>
    <n v="0"/>
    <n v="0"/>
    <n v="0"/>
    <n v="0"/>
  </r>
  <r>
    <x v="2"/>
    <x v="10"/>
    <d v="2026-03-03T00:00:00"/>
    <s v="No Portfolio"/>
    <s v="USD"/>
    <x v="0"/>
    <s v="phrase&amp;exact"/>
    <s v="Amazon"/>
    <s v="United States"/>
    <s v="liuliuby universal stroller snack tray"/>
    <s v="EXACT"/>
    <x v="708"/>
    <n v="9"/>
    <n v="1"/>
    <n v="0.1111111111111111"/>
    <n v="0.2"/>
    <n v="0.2"/>
    <n v="0"/>
    <m/>
    <n v="0"/>
    <n v="0"/>
    <n v="0"/>
    <n v="0"/>
    <n v="0"/>
    <n v="0"/>
    <n v="0"/>
    <n v="0"/>
  </r>
  <r>
    <x v="2"/>
    <x v="10"/>
    <d v="2026-03-02T00:00:00"/>
    <s v="No Portfolio"/>
    <s v="USD"/>
    <x v="5"/>
    <s v="ENC Yellow"/>
    <s v="Amazon"/>
    <s v="United States"/>
    <s v="loose-match"/>
    <s v="-"/>
    <x v="709"/>
    <n v="1"/>
    <n v="1"/>
    <n v="1"/>
    <n v="0.72"/>
    <n v="0.72"/>
    <n v="0"/>
    <m/>
    <n v="0"/>
    <n v="0"/>
    <n v="0"/>
    <n v="0"/>
    <n v="0"/>
    <n v="0"/>
    <n v="0"/>
    <n v="0"/>
  </r>
  <r>
    <x v="2"/>
    <x v="11"/>
    <d v="2026-03-21T00:00:00"/>
    <s v="No Portfolio"/>
    <s v="USD"/>
    <x v="0"/>
    <s v="broad组"/>
    <s v="Amazon"/>
    <s v="United States"/>
    <s v="stroller clip on tray"/>
    <s v="BROAD"/>
    <x v="710"/>
    <n v="3"/>
    <n v="1"/>
    <n v="0.33333333333333331"/>
    <n v="0.2"/>
    <n v="0.2"/>
    <n v="0"/>
    <m/>
    <n v="0"/>
    <n v="0"/>
    <n v="0"/>
    <n v="0"/>
    <n v="0"/>
    <n v="0"/>
    <n v="0"/>
    <n v="0"/>
  </r>
  <r>
    <x v="2"/>
    <x v="10"/>
    <d v="2026-03-01T00:00:00"/>
    <s v="No Portfolio"/>
    <s v="USD"/>
    <x v="5"/>
    <s v="ENC Yellow"/>
    <s v="Amazon"/>
    <s v="United States"/>
    <s v="close-match"/>
    <s v="-"/>
    <x v="711"/>
    <n v="1"/>
    <n v="1"/>
    <n v="1"/>
    <n v="0.99"/>
    <n v="0.99"/>
    <n v="0"/>
    <m/>
    <n v="0"/>
    <n v="0"/>
    <n v="0"/>
    <n v="0"/>
    <n v="0"/>
    <n v="0"/>
    <n v="0"/>
    <n v="0"/>
  </r>
  <r>
    <x v="2"/>
    <x v="10"/>
    <d v="2026-03-03T00:00:00"/>
    <s v="No Portfolio"/>
    <s v="USD"/>
    <x v="6"/>
    <s v="ENC"/>
    <s v="Amazon"/>
    <s v="United States"/>
    <s v="close-match"/>
    <s v="-"/>
    <x v="284"/>
    <n v="191"/>
    <n v="1"/>
    <n v="5.235602094240838E-3"/>
    <n v="1.51"/>
    <n v="1.51"/>
    <n v="0"/>
    <m/>
    <n v="0"/>
    <n v="0"/>
    <n v="0"/>
    <n v="0"/>
    <n v="0"/>
    <n v="0"/>
    <n v="0"/>
    <n v="0"/>
  </r>
  <r>
    <x v="2"/>
    <x v="9"/>
    <d v="2026-03-10T00:00:00"/>
    <s v="No Portfolio"/>
    <s v="USD"/>
    <x v="6"/>
    <s v="ENC"/>
    <s v="Amazon"/>
    <s v="United States"/>
    <s v="loose-match"/>
    <s v="-"/>
    <x v="712"/>
    <n v="1"/>
    <n v="1"/>
    <n v="1"/>
    <n v="1.2"/>
    <n v="1.2"/>
    <n v="0"/>
    <m/>
    <n v="0"/>
    <n v="0"/>
    <n v="0"/>
    <n v="0"/>
    <n v="0"/>
    <n v="0"/>
    <n v="0"/>
    <n v="0"/>
  </r>
  <r>
    <x v="2"/>
    <x v="10"/>
    <d v="2026-03-04T00:00:00"/>
    <s v="No Portfolio"/>
    <s v="USD"/>
    <x v="6"/>
    <s v="ENC"/>
    <s v="Amazon"/>
    <s v="United States"/>
    <s v="close-match"/>
    <s v="-"/>
    <x v="159"/>
    <n v="36"/>
    <n v="1"/>
    <n v="2.7777777777777776E-2"/>
    <n v="1.55"/>
    <n v="1.55"/>
    <n v="0"/>
    <m/>
    <n v="0"/>
    <n v="0"/>
    <n v="0"/>
    <n v="0"/>
    <n v="0"/>
    <n v="0"/>
    <n v="0"/>
    <n v="0"/>
  </r>
  <r>
    <x v="2"/>
    <x v="10"/>
    <d v="2026-03-07T00:00:00"/>
    <s v="No Portfolio"/>
    <s v="USD"/>
    <x v="6"/>
    <s v="ENC"/>
    <s v="Amazon"/>
    <s v="United States"/>
    <s v="close-match"/>
    <s v="-"/>
    <x v="159"/>
    <n v="130"/>
    <n v="2"/>
    <n v="1.5384615384615385E-2"/>
    <n v="1.56"/>
    <n v="3.12"/>
    <n v="0"/>
    <m/>
    <n v="0"/>
    <n v="0"/>
    <n v="0"/>
    <n v="0"/>
    <n v="0"/>
    <n v="0"/>
    <n v="0"/>
    <n v="0"/>
  </r>
  <r>
    <x v="2"/>
    <x v="9"/>
    <d v="2026-03-08T00:00:00"/>
    <s v="No Portfolio"/>
    <s v="USD"/>
    <x v="6"/>
    <s v="ENC"/>
    <s v="Amazon"/>
    <s v="United States"/>
    <s v="close-match"/>
    <s v="-"/>
    <x v="159"/>
    <n v="13"/>
    <n v="1"/>
    <n v="7.6923076923076927E-2"/>
    <n v="1.31"/>
    <n v="1.31"/>
    <n v="0"/>
    <m/>
    <n v="0"/>
    <n v="0"/>
    <n v="0"/>
    <n v="0"/>
    <n v="0"/>
    <n v="0"/>
    <n v="0"/>
    <n v="0"/>
  </r>
  <r>
    <x v="2"/>
    <x v="9"/>
    <d v="2026-03-12T00:00:00"/>
    <s v="No Portfolio"/>
    <s v="USD"/>
    <x v="6"/>
    <s v="ENC"/>
    <s v="Amazon"/>
    <s v="United States"/>
    <s v="close-match"/>
    <s v="-"/>
    <x v="159"/>
    <n v="695"/>
    <n v="1"/>
    <n v="1.4388489208633094E-3"/>
    <n v="1.53"/>
    <n v="1.53"/>
    <n v="0"/>
    <m/>
    <n v="0"/>
    <n v="0"/>
    <n v="0"/>
    <n v="0"/>
    <n v="0"/>
    <n v="0"/>
    <n v="0"/>
    <n v="0"/>
  </r>
  <r>
    <x v="2"/>
    <x v="11"/>
    <d v="2026-03-18T00:00:00"/>
    <s v="No Portfolio"/>
    <s v="USD"/>
    <x v="6"/>
    <s v="ENC"/>
    <s v="Amazon"/>
    <s v="United States"/>
    <s v="close-match"/>
    <s v="-"/>
    <x v="159"/>
    <n v="22"/>
    <n v="2"/>
    <n v="9.0909090909090925E-2"/>
    <n v="1.55"/>
    <n v="3.1"/>
    <n v="0"/>
    <m/>
    <n v="0"/>
    <n v="0"/>
    <n v="0"/>
    <n v="0"/>
    <n v="0"/>
    <n v="0"/>
    <n v="0"/>
    <n v="0"/>
  </r>
  <r>
    <x v="2"/>
    <x v="9"/>
    <d v="2026-03-13T00:00:00"/>
    <s v="No Portfolio"/>
    <s v="USD"/>
    <x v="6"/>
    <s v="ENC"/>
    <s v="Amazon"/>
    <s v="United States"/>
    <s v="close-match"/>
    <s v="-"/>
    <x v="160"/>
    <n v="1"/>
    <n v="1"/>
    <n v="1"/>
    <n v="1.28"/>
    <n v="1.28"/>
    <n v="0"/>
    <m/>
    <n v="0"/>
    <n v="0"/>
    <n v="0"/>
    <n v="0"/>
    <n v="0"/>
    <n v="0"/>
    <n v="0"/>
    <n v="0"/>
  </r>
  <r>
    <x v="2"/>
    <x v="10"/>
    <d v="2026-03-03T00:00:00"/>
    <s v="No Portfolio"/>
    <s v="USD"/>
    <x v="5"/>
    <s v="ENC Yellow"/>
    <s v="Amazon"/>
    <s v="United States"/>
    <s v="close-match"/>
    <s v="-"/>
    <x v="160"/>
    <n v="3"/>
    <n v="2"/>
    <n v="0.66666666666666663"/>
    <n v="0.97499999999999998"/>
    <n v="1.95"/>
    <n v="0"/>
    <m/>
    <n v="0"/>
    <n v="0"/>
    <n v="0"/>
    <n v="0"/>
    <n v="0"/>
    <n v="0"/>
    <n v="0"/>
    <n v="0"/>
  </r>
  <r>
    <x v="2"/>
    <x v="10"/>
    <d v="2026-03-04T00:00:00"/>
    <s v="No Portfolio"/>
    <s v="USD"/>
    <x v="5"/>
    <s v="ENC Yellow"/>
    <s v="Amazon"/>
    <s v="United States"/>
    <s v="close-match"/>
    <s v="-"/>
    <x v="160"/>
    <n v="3"/>
    <n v="1"/>
    <n v="0.33333333333333331"/>
    <n v="0.99"/>
    <n v="0.99"/>
    <n v="0"/>
    <m/>
    <n v="0"/>
    <n v="0"/>
    <n v="0"/>
    <n v="0"/>
    <n v="0"/>
    <n v="0"/>
    <n v="0"/>
    <n v="0"/>
  </r>
  <r>
    <x v="2"/>
    <x v="11"/>
    <d v="2026-03-17T00:00:00"/>
    <s v="No Portfolio"/>
    <s v="USD"/>
    <x v="6"/>
    <s v="ENC"/>
    <s v="Amazon"/>
    <s v="United States"/>
    <s v="loose-match"/>
    <s v="-"/>
    <x v="713"/>
    <n v="1"/>
    <n v="1"/>
    <n v="1"/>
    <n v="1.29"/>
    <n v="1.29"/>
    <n v="0"/>
    <m/>
    <n v="0"/>
    <n v="0"/>
    <n v="0"/>
    <n v="0"/>
    <n v="0"/>
    <n v="0"/>
    <n v="0"/>
    <n v="0"/>
  </r>
  <r>
    <x v="2"/>
    <x v="10"/>
    <d v="2026-03-05T00:00:00"/>
    <s v="No Portfolio"/>
    <s v="USD"/>
    <x v="6"/>
    <s v="ENC"/>
    <s v="Amazon"/>
    <s v="United States"/>
    <s v="close-match"/>
    <s v="-"/>
    <x v="568"/>
    <n v="56"/>
    <n v="1"/>
    <n v="1.7857142857142856E-2"/>
    <n v="1.58"/>
    <n v="1.58"/>
    <n v="0"/>
    <m/>
    <n v="0"/>
    <n v="0"/>
    <n v="0"/>
    <n v="0"/>
    <n v="0"/>
    <n v="0"/>
    <n v="0"/>
    <n v="0"/>
  </r>
  <r>
    <x v="2"/>
    <x v="9"/>
    <d v="2026-03-14T00:00:00"/>
    <s v="No Portfolio"/>
    <s v="USD"/>
    <x v="5"/>
    <s v="ENC Yellow"/>
    <s v="Amazon"/>
    <s v="United States"/>
    <s v="close-match"/>
    <s v="-"/>
    <x v="714"/>
    <n v="1"/>
    <n v="1"/>
    <n v="1"/>
    <n v="0.65"/>
    <n v="0.65"/>
    <n v="0"/>
    <m/>
    <n v="0"/>
    <n v="0"/>
    <n v="0"/>
    <n v="0"/>
    <n v="0"/>
    <n v="0"/>
    <n v="0"/>
    <n v="0"/>
  </r>
  <r>
    <x v="2"/>
    <x v="11"/>
    <d v="2026-03-21T00:00:00"/>
    <s v="No Portfolio"/>
    <s v="USD"/>
    <x v="5"/>
    <s v="ENC Yellow"/>
    <s v="Amazon"/>
    <s v="United States"/>
    <s v="close-match"/>
    <s v="-"/>
    <x v="714"/>
    <n v="1"/>
    <n v="1"/>
    <n v="1"/>
    <n v="0.9"/>
    <n v="0.9"/>
    <n v="0"/>
    <m/>
    <n v="0"/>
    <n v="0"/>
    <n v="0"/>
    <n v="0"/>
    <n v="0"/>
    <n v="0"/>
    <n v="0"/>
    <n v="0"/>
  </r>
  <r>
    <x v="2"/>
    <x v="9"/>
    <d v="2026-03-11T00:00:00"/>
    <s v="No Portfolio"/>
    <s v="USD"/>
    <x v="6"/>
    <s v="ENC"/>
    <s v="Amazon"/>
    <s v="United States"/>
    <s v="loose-match"/>
    <s v="-"/>
    <x v="163"/>
    <n v="17"/>
    <n v="2"/>
    <n v="0.1176470588235294"/>
    <n v="1.18"/>
    <n v="2.36"/>
    <n v="0"/>
    <m/>
    <n v="0"/>
    <n v="0"/>
    <n v="0"/>
    <n v="0"/>
    <n v="0"/>
    <n v="0"/>
    <n v="0"/>
    <n v="0"/>
  </r>
  <r>
    <x v="2"/>
    <x v="11"/>
    <d v="2026-03-17T00:00:00"/>
    <s v="No Portfolio"/>
    <s v="USD"/>
    <x v="0"/>
    <s v="broad组"/>
    <s v="Amazon"/>
    <s v="United States"/>
    <s v="snack cup for stroller"/>
    <s v="BROAD"/>
    <x v="715"/>
    <n v="3"/>
    <n v="1"/>
    <n v="0.33333333333333331"/>
    <n v="0.23"/>
    <n v="0.23"/>
    <n v="0"/>
    <m/>
    <n v="0"/>
    <n v="0"/>
    <n v="0"/>
    <n v="0"/>
    <n v="0"/>
    <n v="0"/>
    <n v="0"/>
    <n v="0"/>
  </r>
  <r>
    <x v="2"/>
    <x v="10"/>
    <d v="2026-03-01T00:00:00"/>
    <s v="No Portfolio"/>
    <s v="USD"/>
    <x v="0"/>
    <s v="broad组"/>
    <s v="Amazon"/>
    <s v="United States"/>
    <s v="stroller attachment"/>
    <s v="BROAD"/>
    <x v="716"/>
    <n v="1"/>
    <n v="1"/>
    <n v="1"/>
    <n v="0.21"/>
    <n v="0.21"/>
    <n v="0"/>
    <m/>
    <n v="0"/>
    <n v="0"/>
    <n v="0"/>
    <n v="0"/>
    <n v="0"/>
    <n v="0"/>
    <n v="0"/>
    <n v="0"/>
  </r>
  <r>
    <x v="2"/>
    <x v="11"/>
    <d v="2026-03-15T00:00:00"/>
    <s v="No Portfolio"/>
    <s v="USD"/>
    <x v="6"/>
    <s v="ENC"/>
    <s v="Amazon"/>
    <s v="United States"/>
    <s v="loose-match"/>
    <s v="-"/>
    <x v="717"/>
    <n v="1"/>
    <n v="1"/>
    <n v="1"/>
    <n v="1.1299999999999999"/>
    <n v="1.1299999999999999"/>
    <n v="0"/>
    <m/>
    <n v="0"/>
    <n v="0"/>
    <n v="0"/>
    <n v="0"/>
    <n v="0"/>
    <n v="0"/>
    <n v="0"/>
    <n v="0"/>
  </r>
  <r>
    <x v="2"/>
    <x v="11"/>
    <d v="2026-03-21T00:00:00"/>
    <s v="No Portfolio"/>
    <s v="USD"/>
    <x v="0"/>
    <s v="broad组"/>
    <s v="Amazon"/>
    <s v="United States"/>
    <s v="stroller cup holder"/>
    <s v="BROAD"/>
    <x v="718"/>
    <n v="1"/>
    <n v="1"/>
    <n v="1"/>
    <n v="0.21"/>
    <n v="0.21"/>
    <n v="0"/>
    <m/>
    <n v="0"/>
    <n v="0"/>
    <n v="0"/>
    <n v="0"/>
    <n v="0"/>
    <n v="0"/>
    <n v="0"/>
    <n v="0"/>
  </r>
  <r>
    <x v="2"/>
    <x v="11"/>
    <d v="2026-03-16T00:00:00"/>
    <s v="No Portfolio"/>
    <s v="USD"/>
    <x v="0"/>
    <s v="broad组"/>
    <s v="Amazon"/>
    <s v="United States"/>
    <s v="clip on snack tray"/>
    <s v="BROAD"/>
    <x v="719"/>
    <n v="3"/>
    <n v="1"/>
    <n v="0.33333333333333331"/>
    <n v="0.4"/>
    <n v="0.4"/>
    <n v="0"/>
    <m/>
    <n v="0"/>
    <n v="0"/>
    <n v="0"/>
    <n v="0"/>
    <n v="0"/>
    <n v="0"/>
    <n v="0"/>
    <n v="0"/>
  </r>
  <r>
    <x v="2"/>
    <x v="9"/>
    <d v="2026-03-11T00:00:00"/>
    <s v="No Portfolio"/>
    <s v="USD"/>
    <x v="0"/>
    <s v="broad组"/>
    <s v="Amazon"/>
    <s v="United States"/>
    <s v="stroller tray"/>
    <s v="BROAD"/>
    <x v="720"/>
    <n v="1"/>
    <n v="1"/>
    <n v="1"/>
    <n v="0.2"/>
    <n v="0.2"/>
    <n v="0"/>
    <m/>
    <n v="0"/>
    <n v="0"/>
    <n v="0"/>
    <n v="0"/>
    <n v="0"/>
    <n v="0"/>
    <n v="0"/>
    <n v="0"/>
  </r>
  <r>
    <x v="2"/>
    <x v="11"/>
    <d v="2026-03-17T00:00:00"/>
    <s v="No Portfolio"/>
    <s v="USD"/>
    <x v="9"/>
    <s v="BNF"/>
    <s v="Amazon"/>
    <s v="United States"/>
    <s v="keyword-group=&quot;Keywords related to your product category&quot;"/>
    <s v="-"/>
    <x v="721"/>
    <n v="1"/>
    <n v="1"/>
    <n v="1"/>
    <n v="0.51"/>
    <n v="0.51"/>
    <n v="0"/>
    <m/>
    <n v="0"/>
    <n v="0"/>
    <n v="0"/>
    <n v="0"/>
    <n v="0"/>
    <n v="0"/>
    <n v="0"/>
    <n v="0"/>
  </r>
  <r>
    <x v="2"/>
    <x v="11"/>
    <d v="2026-03-15T00:00:00"/>
    <s v="No Portfolio"/>
    <s v="USD"/>
    <x v="0"/>
    <s v="broad组"/>
    <s v="Amazon"/>
    <s v="United States"/>
    <s v="stroller cup holder"/>
    <s v="BROAD"/>
    <x v="722"/>
    <n v="1"/>
    <n v="1"/>
    <n v="1"/>
    <n v="0.21"/>
    <n v="0.21"/>
    <n v="0"/>
    <m/>
    <n v="0"/>
    <n v="0"/>
    <n v="0"/>
    <n v="0"/>
    <n v="0"/>
    <n v="0"/>
    <n v="0"/>
    <n v="0"/>
  </r>
  <r>
    <x v="2"/>
    <x v="11"/>
    <d v="2026-03-15T00:00:00"/>
    <s v="No Portfolio"/>
    <s v="USD"/>
    <x v="0"/>
    <s v="broad组"/>
    <s v="Amazon"/>
    <s v="United States"/>
    <s v="snack cup for stroller"/>
    <s v="BROAD"/>
    <x v="723"/>
    <n v="3"/>
    <n v="1"/>
    <n v="0.33333333333333331"/>
    <n v="0.08"/>
    <n v="0.08"/>
    <n v="0"/>
    <m/>
    <n v="0"/>
    <n v="0"/>
    <n v="0"/>
    <n v="0"/>
    <n v="0"/>
    <n v="0"/>
    <n v="0"/>
    <n v="0"/>
  </r>
  <r>
    <x v="2"/>
    <x v="9"/>
    <d v="2026-03-11T00:00:00"/>
    <s v="No Portfolio"/>
    <s v="USD"/>
    <x v="0"/>
    <s v="broad组"/>
    <s v="Amazon"/>
    <s v="United States"/>
    <s v="stroller attachment"/>
    <s v="BROAD"/>
    <x v="724"/>
    <n v="6"/>
    <n v="1"/>
    <n v="0.16666666666666663"/>
    <n v="0.21"/>
    <n v="0.21"/>
    <n v="0"/>
    <m/>
    <n v="0"/>
    <n v="0"/>
    <n v="0"/>
    <n v="0"/>
    <n v="0"/>
    <n v="0"/>
    <n v="0"/>
    <n v="0"/>
  </r>
  <r>
    <x v="2"/>
    <x v="11"/>
    <d v="2026-03-21T00:00:00"/>
    <s v="No Portfolio"/>
    <s v="USD"/>
    <x v="0"/>
    <s v="broad组"/>
    <s v="Amazon"/>
    <s v="United States"/>
    <s v="snack holder for stroller"/>
    <s v="BROAD"/>
    <x v="725"/>
    <n v="3"/>
    <n v="1"/>
    <n v="0.33333333333333331"/>
    <n v="0.21"/>
    <n v="0.21"/>
    <n v="0"/>
    <m/>
    <n v="0"/>
    <n v="0"/>
    <n v="0"/>
    <n v="0"/>
    <n v="0"/>
    <n v="0"/>
    <n v="0"/>
    <n v="0"/>
  </r>
  <r>
    <x v="2"/>
    <x v="9"/>
    <d v="2026-03-08T00:00:00"/>
    <s v="No Portfolio"/>
    <s v="USD"/>
    <x v="9"/>
    <s v="ENC"/>
    <s v="Amazon"/>
    <s v="United States"/>
    <s v="electric nail clipper"/>
    <s v="BROAD"/>
    <x v="174"/>
    <n v="2"/>
    <n v="1"/>
    <n v="0.5"/>
    <n v="0.68"/>
    <n v="0.68"/>
    <n v="0"/>
    <m/>
    <n v="0"/>
    <n v="0"/>
    <n v="0"/>
    <n v="0"/>
    <n v="0"/>
    <n v="0"/>
    <n v="0"/>
    <n v="0"/>
  </r>
  <r>
    <x v="2"/>
    <x v="10"/>
    <d v="2026-03-05T00:00:00"/>
    <s v="No Portfolio"/>
    <s v="USD"/>
    <x v="2"/>
    <s v="Tray"/>
    <s v="Amazon"/>
    <s v="United States"/>
    <s v="asin=&quot;B0DSBVB1WW&quot;"/>
    <s v="-"/>
    <x v="726"/>
    <n v="2"/>
    <n v="1"/>
    <n v="0.5"/>
    <n v="0.81"/>
    <n v="0.81"/>
    <n v="0"/>
    <m/>
    <n v="0"/>
    <n v="0"/>
    <n v="0"/>
    <n v="0"/>
    <n v="0"/>
    <n v="0"/>
    <n v="0"/>
    <n v="0"/>
  </r>
  <r>
    <x v="2"/>
    <x v="10"/>
    <d v="2026-03-03T00:00:00"/>
    <s v="No Portfolio"/>
    <s v="USD"/>
    <x v="0"/>
    <s v="broad组"/>
    <s v="Amazon"/>
    <s v="United States"/>
    <s v="snack tray for stroller"/>
    <s v="BROAD"/>
    <x v="727"/>
    <n v="2"/>
    <n v="1"/>
    <n v="0.5"/>
    <n v="0.44"/>
    <n v="0.44"/>
    <n v="17.09"/>
    <n v="2.5746050321825632E-2"/>
    <n v="38.840909090909093"/>
    <n v="1"/>
    <n v="1"/>
    <n v="1"/>
    <n v="0"/>
    <n v="1"/>
    <n v="0"/>
    <n v="17.09"/>
  </r>
  <r>
    <x v="2"/>
    <x v="9"/>
    <d v="2026-03-08T00:00:00"/>
    <s v="No Portfolio"/>
    <s v="USD"/>
    <x v="4"/>
    <s v="stroller tray"/>
    <s v="Amazon"/>
    <s v="United States"/>
    <s v="loose-match"/>
    <s v="-"/>
    <x v="728"/>
    <n v="1"/>
    <n v="1"/>
    <n v="1"/>
    <n v="0.64"/>
    <n v="0.64"/>
    <n v="0"/>
    <m/>
    <n v="0"/>
    <n v="0"/>
    <n v="0"/>
    <n v="0"/>
    <n v="0"/>
    <n v="0"/>
    <n v="0"/>
    <n v="0"/>
  </r>
  <r>
    <x v="2"/>
    <x v="10"/>
    <d v="2026-03-03T00:00:00"/>
    <s v="No Portfolio"/>
    <s v="USD"/>
    <x v="1"/>
    <s v="broad组"/>
    <s v="Amazon"/>
    <s v="United States"/>
    <s v="stroller tray"/>
    <s v="BROAD"/>
    <x v="729"/>
    <n v="1"/>
    <n v="1"/>
    <n v="1"/>
    <n v="0.77"/>
    <n v="0.77"/>
    <n v="0"/>
    <m/>
    <n v="0"/>
    <n v="0"/>
    <n v="0"/>
    <n v="0"/>
    <n v="0"/>
    <n v="0"/>
    <n v="0"/>
    <n v="0"/>
  </r>
  <r>
    <x v="2"/>
    <x v="11"/>
    <d v="2026-03-18T00:00:00"/>
    <s v="No Portfolio"/>
    <s v="USD"/>
    <x v="0"/>
    <s v="broad组"/>
    <s v="Amazon"/>
    <s v="United States"/>
    <s v="stroller attachment"/>
    <s v="BROAD"/>
    <x v="730"/>
    <n v="3"/>
    <n v="1"/>
    <n v="0.33333333333333331"/>
    <n v="0.21"/>
    <n v="0.21"/>
    <n v="0"/>
    <m/>
    <n v="0"/>
    <n v="0"/>
    <n v="0"/>
    <n v="0"/>
    <n v="0"/>
    <n v="0"/>
    <n v="0"/>
    <n v="0"/>
  </r>
  <r>
    <x v="2"/>
    <x v="9"/>
    <d v="2026-03-09T00:00:00"/>
    <s v="No Portfolio"/>
    <s v="USD"/>
    <x v="0"/>
    <s v="phrase&amp;exact"/>
    <s v="Amazon"/>
    <s v="United States"/>
    <s v="snack holder for stroller"/>
    <s v="PHRASE"/>
    <x v="731"/>
    <n v="1"/>
    <n v="1"/>
    <n v="1"/>
    <n v="0.21"/>
    <n v="0.21"/>
    <n v="0"/>
    <m/>
    <n v="0"/>
    <n v="0"/>
    <n v="0"/>
    <n v="0"/>
    <n v="0"/>
    <n v="0"/>
    <n v="0"/>
    <n v="0"/>
  </r>
  <r>
    <x v="2"/>
    <x v="11"/>
    <d v="2026-03-16T00:00:00"/>
    <s v="No Portfolio"/>
    <s v="USD"/>
    <x v="2"/>
    <s v="Tray"/>
    <s v="Amazon"/>
    <s v="United States"/>
    <s v="asin=&quot;B0DH98H2G4&quot;"/>
    <s v="-"/>
    <x v="732"/>
    <n v="2"/>
    <n v="2"/>
    <n v="1"/>
    <n v="0.59499999999999997"/>
    <n v="1.19"/>
    <n v="0"/>
    <m/>
    <n v="0"/>
    <n v="0"/>
    <n v="0"/>
    <n v="0"/>
    <n v="0"/>
    <n v="0"/>
    <n v="0"/>
    <n v="0"/>
  </r>
  <r>
    <x v="2"/>
    <x v="11"/>
    <d v="2026-03-17T00:00:00"/>
    <s v="No Portfolio"/>
    <s v="USD"/>
    <x v="4"/>
    <s v="stroller tray"/>
    <s v="Amazon"/>
    <s v="United States"/>
    <s v="loose-match"/>
    <s v="-"/>
    <x v="733"/>
    <n v="1"/>
    <n v="1"/>
    <n v="1"/>
    <n v="0.48"/>
    <n v="0.48"/>
    <n v="0"/>
    <m/>
    <n v="0"/>
    <n v="0"/>
    <n v="0"/>
    <n v="0"/>
    <n v="0"/>
    <n v="0"/>
    <n v="0"/>
    <n v="0"/>
  </r>
  <r>
    <x v="2"/>
    <x v="11"/>
    <d v="2026-03-21T00:00:00"/>
    <s v="No Portfolio"/>
    <s v="USD"/>
    <x v="4"/>
    <s v="stroller tray"/>
    <s v="Amazon"/>
    <s v="United States"/>
    <s v="loose-match"/>
    <s v="-"/>
    <x v="734"/>
    <n v="3"/>
    <n v="1"/>
    <n v="0.33333333333333331"/>
    <n v="0.49"/>
    <n v="0.49"/>
    <n v="0"/>
    <m/>
    <n v="0"/>
    <n v="0"/>
    <n v="0"/>
    <n v="0"/>
    <n v="0"/>
    <n v="0"/>
    <n v="0"/>
    <n v="0"/>
  </r>
  <r>
    <x v="2"/>
    <x v="10"/>
    <d v="2026-03-01T00:00:00"/>
    <s v="No Portfolio"/>
    <s v="USD"/>
    <x v="0"/>
    <s v="broad组"/>
    <s v="Amazon"/>
    <s v="United States"/>
    <s v="stroller tray"/>
    <s v="BROAD"/>
    <x v="735"/>
    <n v="2"/>
    <n v="1"/>
    <n v="0.5"/>
    <n v="0.21"/>
    <n v="0.21"/>
    <n v="0"/>
    <m/>
    <n v="0"/>
    <n v="0"/>
    <n v="0"/>
    <n v="0"/>
    <n v="0"/>
    <n v="0"/>
    <n v="0"/>
    <n v="0"/>
  </r>
  <r>
    <x v="2"/>
    <x v="11"/>
    <d v="2026-03-19T00:00:00"/>
    <s v="No Portfolio"/>
    <s v="USD"/>
    <x v="0"/>
    <s v="broad组"/>
    <s v="Amazon"/>
    <s v="United States"/>
    <s v="snack tray for stroller"/>
    <s v="BROAD"/>
    <x v="736"/>
    <n v="2"/>
    <n v="1"/>
    <n v="0.5"/>
    <n v="0.21"/>
    <n v="0.21"/>
    <n v="0"/>
    <m/>
    <n v="0"/>
    <n v="0"/>
    <n v="0"/>
    <n v="0"/>
    <n v="0"/>
    <n v="0"/>
    <n v="0"/>
    <n v="0"/>
  </r>
  <r>
    <x v="2"/>
    <x v="11"/>
    <d v="2026-03-18T00:00:00"/>
    <s v="No Portfolio"/>
    <s v="USD"/>
    <x v="2"/>
    <s v="Tray"/>
    <s v="Amazon"/>
    <s v="United States"/>
    <s v="asin=&quot;B0CJ4YL7L6&quot;"/>
    <s v="-"/>
    <x v="737"/>
    <n v="2"/>
    <n v="1"/>
    <n v="0.5"/>
    <n v="0.65"/>
    <n v="0.65"/>
    <n v="0"/>
    <m/>
    <n v="0"/>
    <n v="0"/>
    <n v="0"/>
    <n v="0"/>
    <n v="0"/>
    <n v="0"/>
    <n v="0"/>
    <n v="0"/>
  </r>
  <r>
    <x v="2"/>
    <x v="9"/>
    <d v="2026-03-08T00:00:00"/>
    <s v="No Portfolio"/>
    <s v="USD"/>
    <x v="4"/>
    <s v="stroller tray"/>
    <s v="Amazon"/>
    <s v="United States"/>
    <s v="loose-match"/>
    <s v="-"/>
    <x v="738"/>
    <n v="1"/>
    <n v="1"/>
    <n v="1"/>
    <n v="0.61"/>
    <n v="0.61"/>
    <n v="0"/>
    <m/>
    <n v="0"/>
    <n v="0"/>
    <n v="0"/>
    <n v="0"/>
    <n v="0"/>
    <n v="0"/>
    <n v="0"/>
    <n v="0"/>
  </r>
  <r>
    <x v="2"/>
    <x v="10"/>
    <d v="2026-03-02T00:00:00"/>
    <s v="No Portfolio"/>
    <s v="USD"/>
    <x v="4"/>
    <s v="stroller tray"/>
    <s v="Amazon"/>
    <s v="United States"/>
    <s v="close-match"/>
    <s v="-"/>
    <x v="187"/>
    <n v="12"/>
    <n v="1"/>
    <n v="8.3333333333333315E-2"/>
    <n v="0.82"/>
    <n v="0.82"/>
    <n v="0"/>
    <m/>
    <n v="0"/>
    <n v="0"/>
    <n v="0"/>
    <n v="0"/>
    <n v="0"/>
    <n v="0"/>
    <n v="0"/>
    <n v="0"/>
  </r>
  <r>
    <x v="2"/>
    <x v="9"/>
    <d v="2026-03-11T00:00:00"/>
    <s v="No Portfolio"/>
    <s v="USD"/>
    <x v="4"/>
    <s v="stroller tray"/>
    <s v="Amazon"/>
    <s v="United States"/>
    <s v="close-match"/>
    <s v="-"/>
    <x v="187"/>
    <n v="27"/>
    <n v="1"/>
    <n v="3.7037037037037035E-2"/>
    <n v="0.83"/>
    <n v="0.83"/>
    <n v="0"/>
    <m/>
    <n v="0"/>
    <n v="0"/>
    <n v="0"/>
    <n v="0"/>
    <n v="0"/>
    <n v="0"/>
    <n v="0"/>
    <n v="0"/>
  </r>
  <r>
    <x v="2"/>
    <x v="11"/>
    <d v="2026-03-15T00:00:00"/>
    <s v="No Portfolio"/>
    <s v="USD"/>
    <x v="4"/>
    <s v="stroller tray"/>
    <s v="Amazon"/>
    <s v="United States"/>
    <s v="close-match"/>
    <s v="-"/>
    <x v="187"/>
    <n v="10"/>
    <n v="1"/>
    <n v="0.1"/>
    <n v="0.53"/>
    <n v="0.53"/>
    <n v="0"/>
    <m/>
    <n v="0"/>
    <n v="0"/>
    <n v="0"/>
    <n v="0"/>
    <n v="0"/>
    <n v="0"/>
    <n v="0"/>
    <n v="0"/>
  </r>
  <r>
    <x v="2"/>
    <x v="10"/>
    <d v="2026-03-02T00:00:00"/>
    <s v="No Portfolio"/>
    <s v="USD"/>
    <x v="1"/>
    <s v="broad组"/>
    <s v="Amazon"/>
    <s v="United States"/>
    <s v="stroller tray"/>
    <s v="BROAD"/>
    <x v="187"/>
    <n v="5"/>
    <n v="1"/>
    <n v="0.2"/>
    <n v="1"/>
    <n v="1"/>
    <n v="0"/>
    <m/>
    <n v="0"/>
    <n v="0"/>
    <n v="0"/>
    <n v="0"/>
    <n v="0"/>
    <n v="0"/>
    <n v="0"/>
    <n v="0"/>
  </r>
  <r>
    <x v="2"/>
    <x v="9"/>
    <d v="2026-03-08T00:00:00"/>
    <s v="No Portfolio"/>
    <s v="USD"/>
    <x v="0"/>
    <s v="phrase&amp;exact"/>
    <s v="Amazon"/>
    <s v="United States"/>
    <s v="snack tray for stroller"/>
    <s v="PHRASE"/>
    <x v="187"/>
    <n v="54"/>
    <n v="2"/>
    <n v="3.7037037037037035E-2"/>
    <n v="0.2"/>
    <n v="0.4"/>
    <n v="0"/>
    <m/>
    <n v="0"/>
    <n v="0"/>
    <n v="0"/>
    <n v="0"/>
    <n v="0"/>
    <n v="0"/>
    <n v="0"/>
    <n v="0"/>
  </r>
  <r>
    <x v="2"/>
    <x v="11"/>
    <d v="2026-03-21T00:00:00"/>
    <s v="No Portfolio"/>
    <s v="USD"/>
    <x v="0"/>
    <s v="phrase&amp;exact"/>
    <s v="Amazon"/>
    <s v="United States"/>
    <s v="snack tray for stroller"/>
    <s v="PHRASE"/>
    <x v="187"/>
    <n v="12"/>
    <n v="1"/>
    <n v="8.3333333333333315E-2"/>
    <n v="0.21"/>
    <n v="0.21"/>
    <n v="0"/>
    <m/>
    <n v="0"/>
    <n v="0"/>
    <n v="0"/>
    <n v="0"/>
    <n v="0"/>
    <n v="0"/>
    <n v="0"/>
    <n v="0"/>
  </r>
  <r>
    <x v="2"/>
    <x v="9"/>
    <d v="2026-03-11T00:00:00"/>
    <s v="No Portfolio"/>
    <s v="USD"/>
    <x v="0"/>
    <s v="phrase&amp;exact"/>
    <s v="Amazon"/>
    <s v="United States"/>
    <s v="snack tray for stroller"/>
    <s v="EXACT"/>
    <x v="187"/>
    <n v="47"/>
    <n v="1"/>
    <n v="2.1276595744680851E-2"/>
    <n v="0.2"/>
    <n v="0.2"/>
    <n v="18.989999999999998"/>
    <n v="1.0531858873091103E-2"/>
    <n v="94.949999999999989"/>
    <n v="1"/>
    <n v="1"/>
    <n v="1"/>
    <n v="1"/>
    <n v="0"/>
    <n v="18.989999999999998"/>
    <n v="0"/>
  </r>
  <r>
    <x v="2"/>
    <x v="9"/>
    <d v="2026-03-14T00:00:00"/>
    <s v="No Portfolio"/>
    <s v="USD"/>
    <x v="0"/>
    <s v="phrase&amp;exact"/>
    <s v="Amazon"/>
    <s v="United States"/>
    <s v="snack tray for stroller"/>
    <s v="EXACT"/>
    <x v="187"/>
    <n v="127"/>
    <n v="1"/>
    <n v="7.8740157480314942E-3"/>
    <n v="0.2"/>
    <n v="0.2"/>
    <n v="0"/>
    <m/>
    <n v="0"/>
    <n v="0"/>
    <n v="0"/>
    <n v="0"/>
    <n v="0"/>
    <n v="0"/>
    <n v="0"/>
    <n v="0"/>
  </r>
  <r>
    <x v="2"/>
    <x v="11"/>
    <d v="2026-03-17T00:00:00"/>
    <s v="No Portfolio"/>
    <s v="USD"/>
    <x v="0"/>
    <s v="phrase&amp;exact"/>
    <s v="Amazon"/>
    <s v="United States"/>
    <s v="snack tray for stroller"/>
    <s v="EXACT"/>
    <x v="187"/>
    <n v="19"/>
    <n v="1"/>
    <n v="5.2631578947368418E-2"/>
    <n v="0.2"/>
    <n v="0.2"/>
    <n v="0"/>
    <m/>
    <n v="0"/>
    <n v="0"/>
    <n v="0"/>
    <n v="0"/>
    <n v="0"/>
    <n v="0"/>
    <n v="0"/>
    <n v="0"/>
  </r>
  <r>
    <x v="2"/>
    <x v="11"/>
    <d v="2026-03-21T00:00:00"/>
    <s v="No Portfolio"/>
    <s v="USD"/>
    <x v="0"/>
    <s v="phrase&amp;exact"/>
    <s v="Amazon"/>
    <s v="United States"/>
    <s v="snack tray for stroller"/>
    <s v="EXACT"/>
    <x v="187"/>
    <n v="19"/>
    <n v="2"/>
    <n v="0.10526315789473684"/>
    <n v="0.2"/>
    <n v="0.4"/>
    <n v="0"/>
    <m/>
    <n v="0"/>
    <n v="0"/>
    <n v="0"/>
    <n v="0"/>
    <n v="0"/>
    <n v="0"/>
    <n v="0"/>
    <n v="0"/>
  </r>
  <r>
    <x v="2"/>
    <x v="9"/>
    <d v="2026-03-11T00:00:00"/>
    <s v="No Portfolio"/>
    <s v="USD"/>
    <x v="2"/>
    <s v="Tray"/>
    <s v="Amazon"/>
    <s v="United States"/>
    <s v="asin=&quot;B0DH98H2G4&quot;"/>
    <s v="-"/>
    <x v="187"/>
    <n v="4"/>
    <n v="1"/>
    <n v="0.25"/>
    <n v="0.52"/>
    <n v="0.52"/>
    <n v="0"/>
    <m/>
    <n v="0"/>
    <n v="0"/>
    <n v="0"/>
    <n v="0"/>
    <n v="0"/>
    <n v="0"/>
    <n v="0"/>
    <n v="0"/>
  </r>
  <r>
    <x v="2"/>
    <x v="9"/>
    <d v="2026-03-12T00:00:00"/>
    <s v="No Portfolio"/>
    <s v="USD"/>
    <x v="2"/>
    <s v="Tray"/>
    <s v="Amazon"/>
    <s v="United States"/>
    <s v="asin=&quot;B0DH98H2G4&quot;"/>
    <s v="-"/>
    <x v="739"/>
    <n v="1"/>
    <n v="1"/>
    <n v="1"/>
    <n v="0.63"/>
    <n v="0.63"/>
    <n v="0"/>
    <m/>
    <n v="0"/>
    <n v="0"/>
    <n v="0"/>
    <n v="0"/>
    <n v="0"/>
    <n v="0"/>
    <n v="0"/>
    <n v="0"/>
  </r>
  <r>
    <x v="2"/>
    <x v="10"/>
    <d v="2026-03-06T00:00:00"/>
    <s v="No Portfolio"/>
    <s v="USD"/>
    <x v="2"/>
    <s v="Tray"/>
    <s v="Amazon"/>
    <s v="United States"/>
    <s v="asin=&quot;B0DH98H2G4&quot;"/>
    <s v="-"/>
    <x v="188"/>
    <n v="6"/>
    <n v="1"/>
    <n v="0.16666666666666663"/>
    <n v="0.73"/>
    <n v="0.73"/>
    <n v="18.989999999999998"/>
    <n v="3.8441284886782522E-2"/>
    <n v="26.013698630136986"/>
    <n v="1"/>
    <n v="1"/>
    <n v="1"/>
    <n v="1"/>
    <n v="0"/>
    <n v="18.989999999999998"/>
    <n v="0"/>
  </r>
  <r>
    <x v="2"/>
    <x v="9"/>
    <d v="2026-03-12T00:00:00"/>
    <s v="No Portfolio"/>
    <s v="USD"/>
    <x v="0"/>
    <s v="broad组"/>
    <s v="Amazon"/>
    <s v="United States"/>
    <s v="snack tray for stroller"/>
    <s v="BROAD"/>
    <x v="740"/>
    <n v="1"/>
    <n v="1"/>
    <n v="1"/>
    <n v="0.21"/>
    <n v="0.21"/>
    <n v="0"/>
    <m/>
    <n v="0"/>
    <n v="0"/>
    <n v="0"/>
    <n v="0"/>
    <n v="0"/>
    <n v="0"/>
    <n v="0"/>
    <n v="0"/>
  </r>
  <r>
    <x v="2"/>
    <x v="11"/>
    <d v="2026-03-15T00:00:00"/>
    <s v="No Portfolio"/>
    <s v="USD"/>
    <x v="0"/>
    <s v="broad组"/>
    <s v="Amazon"/>
    <s v="United States"/>
    <s v="snack tray for stroller"/>
    <s v="BROAD"/>
    <x v="741"/>
    <n v="5"/>
    <n v="1"/>
    <n v="0.2"/>
    <n v="0.21"/>
    <n v="0.21"/>
    <n v="0"/>
    <m/>
    <n v="0"/>
    <n v="0"/>
    <n v="0"/>
    <n v="0"/>
    <n v="0"/>
    <n v="0"/>
    <n v="0"/>
    <n v="0"/>
  </r>
  <r>
    <x v="2"/>
    <x v="11"/>
    <d v="2026-03-15T00:00:00"/>
    <s v="No Portfolio"/>
    <s v="USD"/>
    <x v="0"/>
    <s v="broad组"/>
    <s v="Amazon"/>
    <s v="United States"/>
    <s v="stroller clip on tray"/>
    <s v="BROAD"/>
    <x v="742"/>
    <n v="6"/>
    <n v="2"/>
    <n v="0.33333333333333331"/>
    <n v="0.21"/>
    <n v="0.42"/>
    <n v="0"/>
    <m/>
    <n v="0"/>
    <n v="0"/>
    <n v="0"/>
    <n v="0"/>
    <n v="0"/>
    <n v="0"/>
    <n v="0"/>
    <n v="0"/>
  </r>
  <r>
    <x v="2"/>
    <x v="11"/>
    <d v="2026-03-15T00:00:00"/>
    <s v="No Portfolio"/>
    <s v="USD"/>
    <x v="0"/>
    <s v="broad组"/>
    <s v="Amazon"/>
    <s v="United States"/>
    <s v="clip on snack tray"/>
    <s v="BROAD"/>
    <x v="743"/>
    <n v="6"/>
    <n v="1"/>
    <n v="0.16666666666666663"/>
    <n v="0.4"/>
    <n v="0.4"/>
    <n v="0"/>
    <m/>
    <n v="0"/>
    <n v="0"/>
    <n v="0"/>
    <n v="0"/>
    <n v="0"/>
    <n v="0"/>
    <n v="0"/>
    <n v="0"/>
  </r>
  <r>
    <x v="2"/>
    <x v="9"/>
    <d v="2026-03-13T00:00:00"/>
    <s v="No Portfolio"/>
    <s v="USD"/>
    <x v="0"/>
    <s v="broad组"/>
    <s v="Amazon"/>
    <s v="United States"/>
    <s v="stroller tray"/>
    <s v="BROAD"/>
    <x v="744"/>
    <n v="1"/>
    <n v="1"/>
    <n v="1"/>
    <n v="0.21"/>
    <n v="0.21"/>
    <n v="0"/>
    <m/>
    <n v="0"/>
    <n v="0"/>
    <n v="0"/>
    <n v="0"/>
    <n v="0"/>
    <n v="0"/>
    <n v="0"/>
    <n v="0"/>
  </r>
  <r>
    <x v="2"/>
    <x v="11"/>
    <d v="2026-03-16T00:00:00"/>
    <s v="No Portfolio"/>
    <s v="USD"/>
    <x v="0"/>
    <s v="broad组"/>
    <s v="Amazon"/>
    <s v="United States"/>
    <s v="clip on snack tray"/>
    <s v="BROAD"/>
    <x v="745"/>
    <n v="2"/>
    <n v="1"/>
    <n v="0.5"/>
    <n v="0.21"/>
    <n v="0.21"/>
    <n v="0"/>
    <m/>
    <n v="0"/>
    <n v="0"/>
    <n v="0"/>
    <n v="0"/>
    <n v="0"/>
    <n v="0"/>
    <n v="0"/>
    <n v="0"/>
  </r>
  <r>
    <x v="2"/>
    <x v="9"/>
    <d v="2026-03-11T00:00:00"/>
    <s v="No Portfolio"/>
    <s v="USD"/>
    <x v="0"/>
    <s v="broad组"/>
    <s v="Amazon"/>
    <s v="United States"/>
    <s v="stroller accessories"/>
    <s v="BROAD"/>
    <x v="746"/>
    <n v="1"/>
    <n v="1"/>
    <n v="1"/>
    <n v="0.16"/>
    <n v="0.16"/>
    <n v="0"/>
    <m/>
    <n v="0"/>
    <n v="0"/>
    <n v="0"/>
    <n v="0"/>
    <n v="0"/>
    <n v="0"/>
    <n v="0"/>
    <n v="0"/>
  </r>
  <r>
    <x v="2"/>
    <x v="11"/>
    <d v="2026-03-17T00:00:00"/>
    <s v="No Portfolio"/>
    <s v="USD"/>
    <x v="2"/>
    <s v="Tray"/>
    <s v="Amazon"/>
    <s v="United States"/>
    <s v="asin=&quot;B0DH98H2G4&quot;"/>
    <s v="-"/>
    <x v="747"/>
    <n v="2"/>
    <n v="1"/>
    <n v="0.5"/>
    <n v="0.56999999999999995"/>
    <n v="0.56999999999999995"/>
    <n v="0"/>
    <m/>
    <n v="0"/>
    <n v="0"/>
    <n v="0"/>
    <n v="0"/>
    <n v="0"/>
    <n v="0"/>
    <n v="0"/>
    <n v="0"/>
  </r>
  <r>
    <x v="2"/>
    <x v="9"/>
    <d v="2026-03-09T00:00:00"/>
    <s v="No Portfolio"/>
    <s v="USD"/>
    <x v="0"/>
    <s v="broad组"/>
    <s v="Amazon"/>
    <s v="United States"/>
    <s v="stroller tray"/>
    <s v="BROAD"/>
    <x v="748"/>
    <n v="3"/>
    <n v="1"/>
    <n v="0.33333333333333331"/>
    <n v="0.21"/>
    <n v="0.21"/>
    <n v="17.09"/>
    <n v="1.2287887653598594E-2"/>
    <n v="81.38095238095238"/>
    <n v="1"/>
    <n v="1"/>
    <n v="1"/>
    <n v="0"/>
    <n v="1"/>
    <n v="0"/>
    <n v="17.09"/>
  </r>
  <r>
    <x v="2"/>
    <x v="10"/>
    <d v="2026-03-02T00:00:00"/>
    <s v="No Portfolio"/>
    <s v="USD"/>
    <x v="0"/>
    <s v="phrase&amp;exact"/>
    <s v="Amazon"/>
    <s v="United States"/>
    <s v="stroller accessories"/>
    <s v="EXACT"/>
    <x v="192"/>
    <n v="5"/>
    <n v="1"/>
    <n v="0.2"/>
    <n v="0.21"/>
    <n v="0.21"/>
    <n v="17.09"/>
    <n v="1.2287887653598594E-2"/>
    <n v="81.38095238095238"/>
    <n v="1"/>
    <n v="1"/>
    <n v="1"/>
    <n v="1"/>
    <n v="0"/>
    <n v="17.09"/>
    <n v="0"/>
  </r>
  <r>
    <x v="2"/>
    <x v="10"/>
    <d v="2026-03-04T00:00:00"/>
    <s v="No Portfolio"/>
    <s v="USD"/>
    <x v="0"/>
    <s v="phrase&amp;exact"/>
    <s v="Amazon"/>
    <s v="United States"/>
    <s v="stroller accessories"/>
    <s v="EXACT"/>
    <x v="192"/>
    <n v="8"/>
    <n v="2"/>
    <n v="0.25"/>
    <n v="0.20499999999999999"/>
    <n v="0.41"/>
    <n v="0"/>
    <m/>
    <n v="0"/>
    <n v="0"/>
    <n v="0"/>
    <n v="0"/>
    <n v="0"/>
    <n v="0"/>
    <n v="0"/>
    <n v="0"/>
  </r>
  <r>
    <x v="2"/>
    <x v="11"/>
    <d v="2026-03-17T00:00:00"/>
    <s v="No Portfolio"/>
    <s v="USD"/>
    <x v="0"/>
    <s v="phrase&amp;exact"/>
    <s v="Amazon"/>
    <s v="United States"/>
    <s v="stroller accessories"/>
    <s v="EXACT"/>
    <x v="192"/>
    <n v="3"/>
    <n v="1"/>
    <n v="0.33333333333333331"/>
    <n v="0.21"/>
    <n v="0.21"/>
    <n v="0"/>
    <m/>
    <n v="0"/>
    <n v="0"/>
    <n v="0"/>
    <n v="0"/>
    <n v="0"/>
    <n v="0"/>
    <n v="0"/>
    <n v="0"/>
  </r>
  <r>
    <x v="2"/>
    <x v="11"/>
    <d v="2026-03-18T00:00:00"/>
    <s v="No Portfolio"/>
    <s v="USD"/>
    <x v="0"/>
    <s v="phrase&amp;exact"/>
    <s v="Amazon"/>
    <s v="United States"/>
    <s v="stroller accessories"/>
    <s v="EXACT"/>
    <x v="192"/>
    <n v="6"/>
    <n v="1"/>
    <n v="0.16666666666666663"/>
    <n v="0.23"/>
    <n v="0.23"/>
    <n v="0"/>
    <m/>
    <n v="0"/>
    <n v="0"/>
    <n v="0"/>
    <n v="0"/>
    <n v="0"/>
    <n v="0"/>
    <n v="0"/>
    <n v="0"/>
  </r>
  <r>
    <x v="2"/>
    <x v="10"/>
    <d v="2026-03-06T00:00:00"/>
    <s v="No Portfolio"/>
    <s v="USD"/>
    <x v="0"/>
    <s v="broad组"/>
    <s v="Amazon"/>
    <s v="United States"/>
    <s v="stroller tray"/>
    <s v="BROAD"/>
    <x v="749"/>
    <n v="3"/>
    <n v="1"/>
    <n v="0.33333333333333331"/>
    <n v="0.21"/>
    <n v="0.21"/>
    <n v="0"/>
    <m/>
    <n v="0"/>
    <n v="0"/>
    <n v="0"/>
    <n v="0"/>
    <n v="0"/>
    <n v="0"/>
    <n v="0"/>
    <n v="0"/>
  </r>
  <r>
    <x v="2"/>
    <x v="11"/>
    <d v="2026-03-21T00:00:00"/>
    <s v="No Portfolio"/>
    <s v="USD"/>
    <x v="0"/>
    <s v="broad组"/>
    <s v="Amazon"/>
    <s v="United States"/>
    <s v="stroller attachment"/>
    <s v="BROAD"/>
    <x v="193"/>
    <n v="5"/>
    <n v="1"/>
    <n v="0.2"/>
    <n v="0.21"/>
    <n v="0.21"/>
    <n v="0"/>
    <m/>
    <n v="0"/>
    <n v="0"/>
    <n v="0"/>
    <n v="0"/>
    <n v="0"/>
    <n v="0"/>
    <n v="0"/>
    <n v="0"/>
  </r>
  <r>
    <x v="2"/>
    <x v="11"/>
    <d v="2026-03-15T00:00:00"/>
    <s v="No Portfolio"/>
    <s v="USD"/>
    <x v="0"/>
    <s v="broad组"/>
    <s v="Amazon"/>
    <s v="United States"/>
    <s v="stroller attachment"/>
    <s v="BROAD"/>
    <x v="750"/>
    <n v="1"/>
    <n v="1"/>
    <n v="1"/>
    <n v="0.21"/>
    <n v="0.21"/>
    <n v="0"/>
    <m/>
    <n v="0"/>
    <n v="0"/>
    <n v="0"/>
    <n v="0"/>
    <n v="0"/>
    <n v="0"/>
    <n v="0"/>
    <n v="0"/>
  </r>
  <r>
    <x v="2"/>
    <x v="9"/>
    <d v="2026-03-09T00:00:00"/>
    <s v="No Portfolio"/>
    <s v="USD"/>
    <x v="4"/>
    <s v="stroller tray"/>
    <s v="Amazon"/>
    <s v="United States"/>
    <s v="loose-match"/>
    <s v="-"/>
    <x v="751"/>
    <n v="1"/>
    <n v="1"/>
    <n v="1"/>
    <n v="0.64"/>
    <n v="0.64"/>
    <n v="0"/>
    <m/>
    <n v="0"/>
    <n v="0"/>
    <n v="0"/>
    <n v="0"/>
    <n v="0"/>
    <n v="0"/>
    <n v="0"/>
    <n v="0"/>
  </r>
  <r>
    <x v="2"/>
    <x v="10"/>
    <d v="2026-03-04T00:00:00"/>
    <s v="No Portfolio"/>
    <s v="USD"/>
    <x v="4"/>
    <s v="stroller tray"/>
    <s v="Amazon"/>
    <s v="United States"/>
    <s v="loose-match"/>
    <s v="-"/>
    <x v="752"/>
    <n v="1"/>
    <n v="1"/>
    <n v="1"/>
    <n v="0.45"/>
    <n v="0.45"/>
    <n v="0"/>
    <m/>
    <n v="0"/>
    <n v="0"/>
    <n v="0"/>
    <n v="0"/>
    <n v="0"/>
    <n v="0"/>
    <n v="0"/>
    <n v="0"/>
  </r>
  <r>
    <x v="2"/>
    <x v="9"/>
    <d v="2026-03-14T00:00:00"/>
    <s v="No Portfolio"/>
    <s v="USD"/>
    <x v="4"/>
    <s v="stroller tray"/>
    <s v="Amazon"/>
    <s v="United States"/>
    <s v="substitutes"/>
    <s v="-"/>
    <x v="198"/>
    <n v="2"/>
    <n v="1"/>
    <n v="0.5"/>
    <n v="0.6"/>
    <n v="0.6"/>
    <n v="0"/>
    <m/>
    <n v="0"/>
    <n v="0"/>
    <n v="0"/>
    <n v="0"/>
    <n v="0"/>
    <n v="0"/>
    <n v="0"/>
    <n v="0"/>
  </r>
  <r>
    <x v="2"/>
    <x v="9"/>
    <d v="2026-03-10T00:00:00"/>
    <s v="No Portfolio"/>
    <s v="USD"/>
    <x v="0"/>
    <s v="broad组"/>
    <s v="Amazon"/>
    <s v="United States"/>
    <s v="stroller cup holder"/>
    <s v="BROAD"/>
    <x v="198"/>
    <n v="3"/>
    <n v="1"/>
    <n v="0.33333333333333331"/>
    <n v="0.21"/>
    <n v="0.21"/>
    <n v="0"/>
    <m/>
    <n v="0"/>
    <n v="0"/>
    <n v="0"/>
    <n v="0"/>
    <n v="0"/>
    <n v="0"/>
    <n v="0"/>
    <n v="0"/>
  </r>
  <r>
    <x v="2"/>
    <x v="10"/>
    <d v="2026-03-06T00:00:00"/>
    <s v="No Portfolio"/>
    <s v="USD"/>
    <x v="0"/>
    <s v="phrase&amp;exact"/>
    <s v="Amazon"/>
    <s v="United States"/>
    <s v="stroller cup holder"/>
    <s v="PHRASE"/>
    <x v="198"/>
    <n v="17"/>
    <n v="1"/>
    <n v="5.8823529411764698E-2"/>
    <n v="0.2"/>
    <n v="0.2"/>
    <n v="0"/>
    <m/>
    <n v="0"/>
    <n v="0"/>
    <n v="0"/>
    <n v="0"/>
    <n v="0"/>
    <n v="0"/>
    <n v="0"/>
    <n v="0"/>
  </r>
  <r>
    <x v="2"/>
    <x v="9"/>
    <d v="2026-03-11T00:00:00"/>
    <s v="No Portfolio"/>
    <s v="USD"/>
    <x v="0"/>
    <s v="phrase&amp;exact"/>
    <s v="Amazon"/>
    <s v="United States"/>
    <s v="stroller cup holder"/>
    <s v="PHRASE"/>
    <x v="198"/>
    <n v="32"/>
    <n v="1"/>
    <n v="3.125E-2"/>
    <n v="0.2"/>
    <n v="0.2"/>
    <n v="0"/>
    <m/>
    <n v="0"/>
    <n v="0"/>
    <n v="0"/>
    <n v="0"/>
    <n v="0"/>
    <n v="0"/>
    <n v="0"/>
    <n v="0"/>
  </r>
  <r>
    <x v="2"/>
    <x v="10"/>
    <d v="2026-03-05T00:00:00"/>
    <s v="No Portfolio"/>
    <s v="USD"/>
    <x v="0"/>
    <s v="broad组"/>
    <s v="Amazon"/>
    <s v="United States"/>
    <s v="cup holder for stroller"/>
    <s v="BROAD"/>
    <x v="198"/>
    <n v="1"/>
    <n v="1"/>
    <n v="1"/>
    <n v="0.21"/>
    <n v="0.21"/>
    <n v="0"/>
    <m/>
    <n v="0"/>
    <n v="0"/>
    <n v="0"/>
    <n v="0"/>
    <n v="0"/>
    <n v="0"/>
    <n v="0"/>
    <n v="0"/>
  </r>
  <r>
    <x v="2"/>
    <x v="9"/>
    <d v="2026-03-08T00:00:00"/>
    <s v="No Portfolio"/>
    <s v="USD"/>
    <x v="0"/>
    <s v="broad组"/>
    <s v="Amazon"/>
    <s v="United States"/>
    <s v="stroller cup holder attachment"/>
    <s v="BROAD"/>
    <x v="198"/>
    <n v="2"/>
    <n v="1"/>
    <n v="0.5"/>
    <n v="0.2"/>
    <n v="0.2"/>
    <n v="0"/>
    <m/>
    <n v="0"/>
    <n v="0"/>
    <n v="0"/>
    <n v="0"/>
    <n v="0"/>
    <n v="0"/>
    <n v="0"/>
    <n v="0"/>
  </r>
  <r>
    <x v="2"/>
    <x v="11"/>
    <d v="2026-03-16T00:00:00"/>
    <s v="No Portfolio"/>
    <s v="USD"/>
    <x v="0"/>
    <s v="phrase&amp;exact"/>
    <s v="Amazon"/>
    <s v="United States"/>
    <s v="stroller cup holder"/>
    <s v="PHRASE"/>
    <x v="199"/>
    <n v="4"/>
    <n v="2"/>
    <n v="0.5"/>
    <n v="0.21"/>
    <n v="0.42"/>
    <n v="0"/>
    <m/>
    <n v="0"/>
    <n v="0"/>
    <n v="0"/>
    <n v="0"/>
    <n v="0"/>
    <n v="0"/>
    <n v="0"/>
    <n v="0"/>
  </r>
  <r>
    <x v="2"/>
    <x v="9"/>
    <d v="2026-03-10T00:00:00"/>
    <s v="No Portfolio"/>
    <s v="USD"/>
    <x v="0"/>
    <s v="phrase&amp;exact"/>
    <s v="Amazon"/>
    <s v="United States"/>
    <s v="stroller cup holder"/>
    <s v="PHRASE"/>
    <x v="753"/>
    <n v="1"/>
    <n v="1"/>
    <n v="1"/>
    <n v="0.21"/>
    <n v="0.21"/>
    <n v="0"/>
    <m/>
    <n v="0"/>
    <n v="0"/>
    <n v="0"/>
    <n v="0"/>
    <n v="0"/>
    <n v="0"/>
    <n v="0"/>
    <n v="0"/>
  </r>
  <r>
    <x v="2"/>
    <x v="11"/>
    <d v="2026-03-17T00:00:00"/>
    <s v="No Portfolio"/>
    <s v="USD"/>
    <x v="2"/>
    <s v="Tray"/>
    <s v="Amazon"/>
    <s v="United States"/>
    <s v="asin=&quot;B0DH98H2G4&quot;"/>
    <s v="-"/>
    <x v="754"/>
    <n v="2"/>
    <n v="1"/>
    <n v="0.5"/>
    <n v="0.6"/>
    <n v="0.6"/>
    <n v="0"/>
    <m/>
    <n v="0"/>
    <n v="0"/>
    <n v="0"/>
    <n v="0"/>
    <n v="0"/>
    <n v="0"/>
    <n v="0"/>
    <n v="0"/>
  </r>
  <r>
    <x v="2"/>
    <x v="11"/>
    <d v="2026-03-18T00:00:00"/>
    <s v="No Portfolio"/>
    <s v="USD"/>
    <x v="0"/>
    <s v="phrase&amp;exact"/>
    <s v="Amazon"/>
    <s v="United States"/>
    <s v="stroller cup holder"/>
    <s v="PHRASE"/>
    <x v="755"/>
    <n v="1"/>
    <n v="1"/>
    <n v="1"/>
    <n v="0.44"/>
    <n v="0.44"/>
    <n v="0"/>
    <m/>
    <n v="0"/>
    <n v="0"/>
    <n v="0"/>
    <n v="0"/>
    <n v="0"/>
    <n v="0"/>
    <n v="0"/>
    <n v="0"/>
  </r>
  <r>
    <x v="2"/>
    <x v="11"/>
    <d v="2026-03-21T00:00:00"/>
    <s v="No Portfolio"/>
    <s v="USD"/>
    <x v="0"/>
    <s v="broad组"/>
    <s v="Amazon"/>
    <s v="United States"/>
    <s v="stroller tray"/>
    <s v="BROAD"/>
    <x v="756"/>
    <n v="3"/>
    <n v="1"/>
    <n v="0.33333333333333331"/>
    <n v="0.4"/>
    <n v="0.4"/>
    <n v="0"/>
    <m/>
    <n v="0"/>
    <n v="0"/>
    <n v="0"/>
    <n v="0"/>
    <n v="0"/>
    <n v="0"/>
    <n v="0"/>
    <n v="0"/>
  </r>
  <r>
    <x v="2"/>
    <x v="9"/>
    <d v="2026-03-10T00:00:00"/>
    <s v="No Portfolio"/>
    <s v="USD"/>
    <x v="4"/>
    <s v="stroller tray"/>
    <s v="Amazon"/>
    <s v="United States"/>
    <s v="loose-match"/>
    <s v="-"/>
    <x v="757"/>
    <n v="1"/>
    <n v="1"/>
    <n v="1"/>
    <n v="0.5"/>
    <n v="0.5"/>
    <n v="0"/>
    <m/>
    <n v="0"/>
    <n v="0"/>
    <n v="0"/>
    <n v="0"/>
    <n v="0"/>
    <n v="0"/>
    <n v="0"/>
    <n v="0"/>
  </r>
  <r>
    <x v="2"/>
    <x v="11"/>
    <d v="2026-03-18T00:00:00"/>
    <s v="No Portfolio"/>
    <s v="USD"/>
    <x v="0"/>
    <s v="broad组"/>
    <s v="Amazon"/>
    <s v="United States"/>
    <s v="stroller cup holder"/>
    <s v="BROAD"/>
    <x v="758"/>
    <n v="1"/>
    <n v="1"/>
    <n v="1"/>
    <n v="0.4"/>
    <n v="0.4"/>
    <n v="0"/>
    <m/>
    <n v="0"/>
    <n v="0"/>
    <n v="0"/>
    <n v="0"/>
    <n v="0"/>
    <n v="0"/>
    <n v="0"/>
    <n v="0"/>
  </r>
  <r>
    <x v="2"/>
    <x v="11"/>
    <d v="2026-03-18T00:00:00"/>
    <s v="No Portfolio"/>
    <s v="USD"/>
    <x v="0"/>
    <s v="broad组"/>
    <s v="Amazon"/>
    <s v="United States"/>
    <s v="stroller cup holder"/>
    <s v="BROAD"/>
    <x v="759"/>
    <n v="2"/>
    <n v="1"/>
    <n v="0.5"/>
    <n v="0.21"/>
    <n v="0.21"/>
    <n v="0"/>
    <m/>
    <n v="0"/>
    <n v="0"/>
    <n v="0"/>
    <n v="0"/>
    <n v="0"/>
    <n v="0"/>
    <n v="0"/>
    <n v="0"/>
  </r>
  <r>
    <x v="2"/>
    <x v="10"/>
    <d v="2026-03-01T00:00:00"/>
    <s v="No Portfolio"/>
    <s v="USD"/>
    <x v="0"/>
    <s v="broad组"/>
    <s v="Amazon"/>
    <s v="United States"/>
    <s v="stroller tray"/>
    <s v="BROAD"/>
    <x v="760"/>
    <n v="3"/>
    <n v="1"/>
    <n v="0.33333333333333331"/>
    <n v="0.21"/>
    <n v="0.21"/>
    <n v="0"/>
    <m/>
    <n v="0"/>
    <n v="0"/>
    <n v="0"/>
    <n v="0"/>
    <n v="0"/>
    <n v="0"/>
    <n v="0"/>
    <n v="0"/>
  </r>
  <r>
    <x v="2"/>
    <x v="10"/>
    <d v="2026-03-06T00:00:00"/>
    <s v="No Portfolio"/>
    <s v="USD"/>
    <x v="4"/>
    <s v="stroller tray"/>
    <s v="Amazon"/>
    <s v="United States"/>
    <s v="close-match"/>
    <s v="-"/>
    <x v="205"/>
    <n v="23"/>
    <n v="1"/>
    <n v="4.3478260869565216E-2"/>
    <n v="0.88"/>
    <n v="0.88"/>
    <n v="0"/>
    <m/>
    <n v="0"/>
    <n v="0"/>
    <n v="0"/>
    <n v="0"/>
    <n v="0"/>
    <n v="0"/>
    <n v="0"/>
    <n v="0"/>
  </r>
  <r>
    <x v="2"/>
    <x v="11"/>
    <d v="2026-03-20T00:00:00"/>
    <s v="No Portfolio"/>
    <s v="USD"/>
    <x v="4"/>
    <s v="stroller tray"/>
    <s v="Amazon"/>
    <s v="United States"/>
    <s v="close-match"/>
    <s v="-"/>
    <x v="205"/>
    <n v="19"/>
    <n v="1"/>
    <n v="5.2631578947368418E-2"/>
    <n v="0.72"/>
    <n v="0.72"/>
    <n v="0"/>
    <m/>
    <n v="0"/>
    <n v="0"/>
    <n v="0"/>
    <n v="0"/>
    <n v="0"/>
    <n v="0"/>
    <n v="0"/>
    <n v="0"/>
  </r>
  <r>
    <x v="2"/>
    <x v="10"/>
    <d v="2026-03-01T00:00:00"/>
    <s v="No Portfolio"/>
    <s v="USD"/>
    <x v="1"/>
    <s v="Phrase&amp;Exact组"/>
    <s v="Amazon"/>
    <s v="United States"/>
    <s v="stroller snack tray"/>
    <s v="EXACT"/>
    <x v="205"/>
    <n v="28"/>
    <n v="1"/>
    <n v="3.5714285714285712E-2"/>
    <n v="1.03"/>
    <n v="1.03"/>
    <n v="17.09"/>
    <n v="6.0269163253364552E-2"/>
    <n v="16.592233009708739"/>
    <n v="1"/>
    <n v="1"/>
    <n v="1"/>
    <n v="1"/>
    <n v="0"/>
    <n v="17.09"/>
    <n v="0"/>
  </r>
  <r>
    <x v="2"/>
    <x v="10"/>
    <d v="2026-03-04T00:00:00"/>
    <s v="No Portfolio"/>
    <s v="USD"/>
    <x v="1"/>
    <s v="Phrase&amp;Exact组"/>
    <s v="Amazon"/>
    <s v="United States"/>
    <s v="stroller snack tray"/>
    <s v="EXACT"/>
    <x v="205"/>
    <n v="85"/>
    <n v="1"/>
    <n v="1.1764705882352943E-2"/>
    <n v="1.34"/>
    <n v="1.34"/>
    <n v="0"/>
    <m/>
    <n v="0"/>
    <n v="0"/>
    <n v="0"/>
    <n v="0"/>
    <n v="0"/>
    <n v="0"/>
    <n v="0"/>
    <n v="0"/>
  </r>
  <r>
    <x v="2"/>
    <x v="10"/>
    <d v="2026-03-05T00:00:00"/>
    <s v="No Portfolio"/>
    <s v="USD"/>
    <x v="1"/>
    <s v="Phrase&amp;Exact组"/>
    <s v="Amazon"/>
    <s v="United States"/>
    <s v="stroller snack tray"/>
    <s v="EXACT"/>
    <x v="205"/>
    <n v="90"/>
    <n v="1"/>
    <n v="1.1111111111111112E-2"/>
    <n v="1.03"/>
    <n v="1.03"/>
    <n v="0"/>
    <m/>
    <n v="0"/>
    <n v="0"/>
    <n v="0"/>
    <n v="0"/>
    <n v="0"/>
    <n v="0"/>
    <n v="0"/>
    <n v="0"/>
  </r>
  <r>
    <x v="2"/>
    <x v="9"/>
    <d v="2026-03-09T00:00:00"/>
    <s v="No Portfolio"/>
    <s v="USD"/>
    <x v="1"/>
    <s v="Phrase&amp;Exact组"/>
    <s v="Amazon"/>
    <s v="United States"/>
    <s v="stroller snack tray"/>
    <s v="EXACT"/>
    <x v="205"/>
    <n v="3"/>
    <n v="1"/>
    <n v="0.33333333333333331"/>
    <n v="0.8"/>
    <n v="0.8"/>
    <n v="0"/>
    <m/>
    <n v="0"/>
    <n v="0"/>
    <n v="0"/>
    <n v="0"/>
    <n v="0"/>
    <n v="0"/>
    <n v="0"/>
    <n v="0"/>
  </r>
  <r>
    <x v="2"/>
    <x v="10"/>
    <d v="2026-03-03T00:00:00"/>
    <s v="No Portfolio"/>
    <s v="USD"/>
    <x v="0"/>
    <s v="phrase&amp;exact"/>
    <s v="Amazon"/>
    <s v="United States"/>
    <s v="stroller snack tray"/>
    <s v="PHRASE"/>
    <x v="205"/>
    <n v="16"/>
    <n v="1"/>
    <n v="6.25E-2"/>
    <n v="0.2"/>
    <n v="0.2"/>
    <n v="0"/>
    <m/>
    <n v="0"/>
    <n v="0"/>
    <n v="0"/>
    <n v="0"/>
    <n v="0"/>
    <n v="0"/>
    <n v="0"/>
    <n v="0"/>
  </r>
  <r>
    <x v="2"/>
    <x v="11"/>
    <d v="2026-03-17T00:00:00"/>
    <s v="No Portfolio"/>
    <s v="USD"/>
    <x v="0"/>
    <s v="phrase&amp;exact"/>
    <s v="Amazon"/>
    <s v="United States"/>
    <s v="stroller snack tray"/>
    <s v="PHRASE"/>
    <x v="205"/>
    <n v="12"/>
    <n v="1"/>
    <n v="8.3333333333333315E-2"/>
    <n v="0.21"/>
    <n v="0.21"/>
    <n v="0"/>
    <m/>
    <n v="0"/>
    <n v="0"/>
    <n v="0"/>
    <n v="0"/>
    <n v="0"/>
    <n v="0"/>
    <n v="0"/>
    <n v="0"/>
  </r>
  <r>
    <x v="2"/>
    <x v="9"/>
    <d v="2026-03-11T00:00:00"/>
    <s v="No Portfolio"/>
    <s v="USD"/>
    <x v="2"/>
    <s v="Tray"/>
    <s v="Amazon"/>
    <s v="United States"/>
    <s v="asin=&quot;B0DH98H2G4&quot;"/>
    <s v="-"/>
    <x v="205"/>
    <n v="12"/>
    <n v="1"/>
    <n v="8.3333333333333315E-2"/>
    <n v="0.52"/>
    <n v="0.52"/>
    <n v="0"/>
    <m/>
    <n v="0"/>
    <n v="0"/>
    <n v="0"/>
    <n v="0"/>
    <n v="0"/>
    <n v="0"/>
    <n v="0"/>
    <n v="0"/>
  </r>
  <r>
    <x v="2"/>
    <x v="9"/>
    <d v="2026-03-14T00:00:00"/>
    <s v="No Portfolio"/>
    <s v="USD"/>
    <x v="0"/>
    <s v="broad组"/>
    <s v="Amazon"/>
    <s v="United States"/>
    <s v="snack tray for stroller"/>
    <s v="BROAD"/>
    <x v="205"/>
    <n v="9"/>
    <n v="1"/>
    <n v="0.1111111111111111"/>
    <n v="0.2"/>
    <n v="0.2"/>
    <n v="0"/>
    <m/>
    <n v="0"/>
    <n v="0"/>
    <n v="0"/>
    <n v="0"/>
    <n v="0"/>
    <n v="0"/>
    <n v="0"/>
    <n v="0"/>
  </r>
  <r>
    <x v="2"/>
    <x v="10"/>
    <d v="2026-03-05T00:00:00"/>
    <s v="No Portfolio"/>
    <s v="USD"/>
    <x v="1"/>
    <s v="broad组"/>
    <s v="Amazon"/>
    <s v="United States"/>
    <s v="snack tray for stroller"/>
    <s v="BROAD"/>
    <x v="205"/>
    <n v="4"/>
    <n v="1"/>
    <n v="0.25"/>
    <n v="0.64"/>
    <n v="0.64"/>
    <n v="0"/>
    <m/>
    <n v="0"/>
    <n v="0"/>
    <n v="0"/>
    <n v="0"/>
    <n v="0"/>
    <n v="0"/>
    <n v="0"/>
    <n v="0"/>
  </r>
  <r>
    <x v="2"/>
    <x v="11"/>
    <d v="2026-03-15T00:00:00"/>
    <s v="No Portfolio"/>
    <s v="USD"/>
    <x v="4"/>
    <s v="stroller tray"/>
    <s v="Amazon"/>
    <s v="United States"/>
    <s v="close-match"/>
    <s v="-"/>
    <x v="206"/>
    <n v="13"/>
    <n v="1"/>
    <n v="7.6923076923076927E-2"/>
    <n v="0.53"/>
    <n v="0.53"/>
    <n v="0"/>
    <m/>
    <n v="0"/>
    <n v="0"/>
    <n v="0"/>
    <n v="0"/>
    <n v="0"/>
    <n v="0"/>
    <n v="0"/>
    <n v="0"/>
  </r>
  <r>
    <x v="2"/>
    <x v="9"/>
    <d v="2026-03-13T00:00:00"/>
    <s v="No Portfolio"/>
    <s v="USD"/>
    <x v="4"/>
    <s v="stroller tray"/>
    <s v="Amazon"/>
    <s v="United States"/>
    <s v="loose-match"/>
    <s v="-"/>
    <x v="206"/>
    <n v="1"/>
    <n v="1"/>
    <n v="1"/>
    <n v="0.6"/>
    <n v="0.6"/>
    <n v="0"/>
    <m/>
    <n v="0"/>
    <n v="0"/>
    <n v="0"/>
    <n v="0"/>
    <n v="0"/>
    <n v="0"/>
    <n v="0"/>
    <n v="0"/>
  </r>
  <r>
    <x v="2"/>
    <x v="10"/>
    <d v="2026-03-05T00:00:00"/>
    <s v="No Portfolio"/>
    <s v="USD"/>
    <x v="4"/>
    <s v="stroller tray"/>
    <s v="Amazon"/>
    <s v="United States"/>
    <s v="substitutes"/>
    <s v="-"/>
    <x v="206"/>
    <n v="1"/>
    <n v="1"/>
    <n v="1"/>
    <n v="1.1599999999999999"/>
    <n v="1.1599999999999999"/>
    <n v="0"/>
    <m/>
    <n v="0"/>
    <n v="0"/>
    <n v="0"/>
    <n v="0"/>
    <n v="0"/>
    <n v="0"/>
    <n v="0"/>
    <n v="0"/>
  </r>
  <r>
    <x v="2"/>
    <x v="10"/>
    <d v="2026-03-06T00:00:00"/>
    <s v="No Portfolio"/>
    <s v="USD"/>
    <x v="1"/>
    <s v="broad组"/>
    <s v="Amazon"/>
    <s v="United States"/>
    <s v="stroller tray attachment"/>
    <s v="BROAD"/>
    <x v="206"/>
    <n v="28"/>
    <n v="1"/>
    <n v="3.5714285714285712E-2"/>
    <n v="1.57"/>
    <n v="1.57"/>
    <n v="0"/>
    <m/>
    <n v="0"/>
    <n v="0"/>
    <n v="0"/>
    <n v="0"/>
    <n v="0"/>
    <n v="0"/>
    <n v="0"/>
    <n v="0"/>
  </r>
  <r>
    <x v="2"/>
    <x v="11"/>
    <d v="2026-03-16T00:00:00"/>
    <s v="No Portfolio"/>
    <s v="USD"/>
    <x v="0"/>
    <s v="broad组"/>
    <s v="Amazon"/>
    <s v="United States"/>
    <s v="stroller tray attachment"/>
    <s v="BROAD"/>
    <x v="206"/>
    <n v="3"/>
    <n v="1"/>
    <n v="0.33333333333333331"/>
    <n v="0.2"/>
    <n v="0.2"/>
    <n v="0"/>
    <m/>
    <n v="0"/>
    <n v="0"/>
    <n v="0"/>
    <n v="0"/>
    <n v="0"/>
    <n v="0"/>
    <n v="0"/>
    <n v="0"/>
  </r>
  <r>
    <x v="2"/>
    <x v="11"/>
    <d v="2026-03-17T00:00:00"/>
    <s v="No Portfolio"/>
    <s v="USD"/>
    <x v="0"/>
    <s v="broad组"/>
    <s v="Amazon"/>
    <s v="United States"/>
    <s v="stroller tray attachment"/>
    <s v="BROAD"/>
    <x v="206"/>
    <n v="4"/>
    <n v="1"/>
    <n v="0.25"/>
    <n v="0.2"/>
    <n v="0.2"/>
    <n v="0"/>
    <m/>
    <n v="0"/>
    <n v="0"/>
    <n v="0"/>
    <n v="0"/>
    <n v="0"/>
    <n v="0"/>
    <n v="0"/>
    <n v="0"/>
  </r>
  <r>
    <x v="2"/>
    <x v="9"/>
    <d v="2026-03-11T00:00:00"/>
    <s v="No Portfolio"/>
    <s v="USD"/>
    <x v="0"/>
    <s v="phrase&amp;exact"/>
    <s v="Amazon"/>
    <s v="United States"/>
    <s v="stroller snack tray"/>
    <s v="PHRASE"/>
    <x v="206"/>
    <n v="25"/>
    <n v="1"/>
    <n v="0.04"/>
    <n v="0.2"/>
    <n v="0.2"/>
    <n v="0"/>
    <m/>
    <n v="0"/>
    <n v="0"/>
    <n v="0"/>
    <n v="0"/>
    <n v="0"/>
    <n v="0"/>
    <n v="0"/>
    <n v="0"/>
  </r>
  <r>
    <x v="2"/>
    <x v="11"/>
    <d v="2026-03-16T00:00:00"/>
    <s v="No Portfolio"/>
    <s v="USD"/>
    <x v="0"/>
    <s v="phrase&amp;exact"/>
    <s v="Amazon"/>
    <s v="United States"/>
    <s v="stroller snack tray"/>
    <s v="PHRASE"/>
    <x v="206"/>
    <n v="2"/>
    <n v="1"/>
    <n v="0.5"/>
    <n v="0.21"/>
    <n v="0.21"/>
    <n v="0"/>
    <m/>
    <n v="0"/>
    <n v="0"/>
    <n v="0"/>
    <n v="0"/>
    <n v="0"/>
    <n v="0"/>
    <n v="0"/>
    <n v="0"/>
  </r>
  <r>
    <x v="2"/>
    <x v="11"/>
    <d v="2026-03-15T00:00:00"/>
    <s v="No Portfolio"/>
    <s v="USD"/>
    <x v="0"/>
    <s v="broad组"/>
    <s v="Amazon"/>
    <s v="United States"/>
    <s v="stroller attachment"/>
    <s v="BROAD"/>
    <x v="206"/>
    <n v="3"/>
    <n v="1"/>
    <n v="0.33333333333333331"/>
    <n v="0.2"/>
    <n v="0.2"/>
    <n v="0"/>
    <m/>
    <n v="0"/>
    <n v="0"/>
    <n v="0"/>
    <n v="0"/>
    <n v="0"/>
    <n v="0"/>
    <n v="0"/>
    <n v="0"/>
  </r>
  <r>
    <x v="2"/>
    <x v="10"/>
    <d v="2026-03-01T00:00:00"/>
    <s v="No Portfolio"/>
    <s v="USD"/>
    <x v="1"/>
    <s v="broad组"/>
    <s v="Amazon"/>
    <s v="United States"/>
    <s v="stroller snack tray attachment"/>
    <s v="BROAD"/>
    <x v="206"/>
    <n v="17"/>
    <n v="1"/>
    <n v="5.8823529411764698E-2"/>
    <n v="1.37"/>
    <n v="1.37"/>
    <n v="0"/>
    <m/>
    <n v="0"/>
    <n v="0"/>
    <n v="0"/>
    <n v="0"/>
    <n v="0"/>
    <n v="0"/>
    <n v="0"/>
    <n v="0"/>
  </r>
  <r>
    <x v="2"/>
    <x v="9"/>
    <d v="2026-03-14T00:00:00"/>
    <s v="No Portfolio"/>
    <s v="USD"/>
    <x v="0"/>
    <s v="broad组"/>
    <s v="Amazon"/>
    <s v="United States"/>
    <s v="stroller snack tray attachment"/>
    <s v="BROAD"/>
    <x v="206"/>
    <n v="9"/>
    <n v="1"/>
    <n v="0.1111111111111111"/>
    <n v="0.08"/>
    <n v="0.08"/>
    <n v="0"/>
    <m/>
    <n v="0"/>
    <n v="0"/>
    <n v="0"/>
    <n v="0"/>
    <n v="0"/>
    <n v="0"/>
    <n v="0"/>
    <n v="0"/>
  </r>
  <r>
    <x v="2"/>
    <x v="9"/>
    <d v="2026-03-13T00:00:00"/>
    <s v="No Portfolio"/>
    <s v="USD"/>
    <x v="0"/>
    <s v="phrase&amp;exact"/>
    <s v="Amazon"/>
    <s v="United States"/>
    <s v="stroller snack tray attachment"/>
    <s v="PHRASE"/>
    <x v="206"/>
    <n v="2"/>
    <n v="1"/>
    <n v="0.5"/>
    <n v="0.21"/>
    <n v="0.21"/>
    <n v="0"/>
    <m/>
    <n v="0"/>
    <n v="0"/>
    <n v="0"/>
    <n v="0"/>
    <n v="0"/>
    <n v="0"/>
    <n v="0"/>
    <n v="0"/>
  </r>
  <r>
    <x v="2"/>
    <x v="10"/>
    <d v="2026-03-03T00:00:00"/>
    <s v="No Portfolio"/>
    <s v="USD"/>
    <x v="1"/>
    <s v="Phrase&amp;Exact组"/>
    <s v="Amazon"/>
    <s v="United States"/>
    <s v="stroller snack tray attachment"/>
    <s v="EXACT"/>
    <x v="206"/>
    <n v="177"/>
    <n v="2"/>
    <n v="1.1299435028248588E-2"/>
    <n v="0.87"/>
    <n v="1.74"/>
    <n v="0"/>
    <m/>
    <n v="0"/>
    <n v="0"/>
    <n v="0"/>
    <n v="0"/>
    <n v="0"/>
    <n v="0"/>
    <n v="0"/>
    <n v="0"/>
  </r>
  <r>
    <x v="2"/>
    <x v="10"/>
    <d v="2026-03-04T00:00:00"/>
    <s v="No Portfolio"/>
    <s v="USD"/>
    <x v="1"/>
    <s v="Phrase&amp;Exact组"/>
    <s v="Amazon"/>
    <s v="United States"/>
    <s v="stroller snack tray attachment"/>
    <s v="EXACT"/>
    <x v="206"/>
    <n v="257"/>
    <n v="1"/>
    <n v="3.8910505836575876E-3"/>
    <n v="0.83"/>
    <n v="0.83"/>
    <n v="0"/>
    <m/>
    <n v="0"/>
    <n v="0"/>
    <n v="0"/>
    <n v="0"/>
    <n v="0"/>
    <n v="0"/>
    <n v="0"/>
    <n v="0"/>
  </r>
  <r>
    <x v="2"/>
    <x v="10"/>
    <d v="2026-03-05T00:00:00"/>
    <s v="No Portfolio"/>
    <s v="USD"/>
    <x v="1"/>
    <s v="Phrase&amp;Exact组"/>
    <s v="Amazon"/>
    <s v="United States"/>
    <s v="stroller snack tray attachment"/>
    <s v="EXACT"/>
    <x v="206"/>
    <n v="247"/>
    <n v="1"/>
    <n v="4.048582995951417E-3"/>
    <n v="0.86"/>
    <n v="0.86"/>
    <n v="0"/>
    <m/>
    <n v="0"/>
    <n v="0"/>
    <n v="0"/>
    <n v="0"/>
    <n v="0"/>
    <n v="0"/>
    <n v="0"/>
    <n v="0"/>
  </r>
  <r>
    <x v="2"/>
    <x v="10"/>
    <d v="2026-03-06T00:00:00"/>
    <s v="No Portfolio"/>
    <s v="USD"/>
    <x v="1"/>
    <s v="Phrase&amp;Exact组"/>
    <s v="Amazon"/>
    <s v="United States"/>
    <s v="stroller snack tray attachment"/>
    <s v="EXACT"/>
    <x v="206"/>
    <n v="214"/>
    <n v="1"/>
    <n v="4.6728971962616819E-3"/>
    <n v="0.86"/>
    <n v="0.86"/>
    <n v="0"/>
    <m/>
    <n v="0"/>
    <n v="0"/>
    <n v="0"/>
    <n v="0"/>
    <n v="0"/>
    <n v="0"/>
    <n v="0"/>
    <n v="0"/>
  </r>
  <r>
    <x v="2"/>
    <x v="10"/>
    <d v="2026-03-07T00:00:00"/>
    <s v="No Portfolio"/>
    <s v="USD"/>
    <x v="1"/>
    <s v="Phrase&amp;Exact组"/>
    <s v="Amazon"/>
    <s v="United States"/>
    <s v="stroller snack tray attachment"/>
    <s v="EXACT"/>
    <x v="206"/>
    <n v="43"/>
    <n v="2"/>
    <n v="4.651162790697675E-2"/>
    <n v="0.86"/>
    <n v="1.72"/>
    <n v="0"/>
    <m/>
    <n v="0"/>
    <n v="0"/>
    <n v="0"/>
    <n v="0"/>
    <n v="0"/>
    <n v="0"/>
    <n v="0"/>
    <n v="0"/>
  </r>
  <r>
    <x v="2"/>
    <x v="9"/>
    <d v="2026-03-08T00:00:00"/>
    <s v="No Portfolio"/>
    <s v="USD"/>
    <x v="1"/>
    <s v="Phrase&amp;Exact组"/>
    <s v="Amazon"/>
    <s v="United States"/>
    <s v="stroller snack tray attachment"/>
    <s v="EXACT"/>
    <x v="206"/>
    <n v="113"/>
    <n v="2"/>
    <n v="1.7699115044247787E-2"/>
    <n v="0.9"/>
    <n v="1.8"/>
    <n v="0"/>
    <m/>
    <n v="0"/>
    <n v="0"/>
    <n v="0"/>
    <n v="0"/>
    <n v="0"/>
    <n v="0"/>
    <n v="0"/>
    <n v="0"/>
  </r>
  <r>
    <x v="2"/>
    <x v="11"/>
    <d v="2026-03-18T00:00:00"/>
    <s v="No Portfolio"/>
    <s v="USD"/>
    <x v="0"/>
    <s v="phrase&amp;exact"/>
    <s v="Amazon"/>
    <s v="United States"/>
    <s v="stroller snack tray"/>
    <s v="PHRASE"/>
    <x v="761"/>
    <n v="2"/>
    <n v="1"/>
    <n v="0.5"/>
    <n v="0.21"/>
    <n v="0.21"/>
    <n v="0"/>
    <m/>
    <n v="0"/>
    <n v="0"/>
    <n v="0"/>
    <n v="0"/>
    <n v="0"/>
    <n v="0"/>
    <n v="0"/>
    <n v="0"/>
  </r>
  <r>
    <x v="2"/>
    <x v="11"/>
    <d v="2026-03-16T00:00:00"/>
    <s v="No Portfolio"/>
    <s v="USD"/>
    <x v="0"/>
    <s v="phrase&amp;exact"/>
    <s v="Amazon"/>
    <s v="United States"/>
    <s v="stroller snack tray"/>
    <s v="PHRASE"/>
    <x v="762"/>
    <n v="3"/>
    <n v="2"/>
    <n v="0.66666666666666663"/>
    <n v="0.23"/>
    <n v="0.46"/>
    <n v="0"/>
    <m/>
    <n v="0"/>
    <n v="0"/>
    <n v="0"/>
    <n v="0"/>
    <n v="0"/>
    <n v="0"/>
    <n v="0"/>
    <n v="0"/>
  </r>
  <r>
    <x v="2"/>
    <x v="11"/>
    <d v="2026-03-17T00:00:00"/>
    <s v="No Portfolio"/>
    <s v="USD"/>
    <x v="2"/>
    <s v="Tray"/>
    <s v="Amazon"/>
    <s v="United States"/>
    <s v="asin=&quot;B0DH98H2G4&quot;"/>
    <s v="-"/>
    <x v="762"/>
    <n v="1"/>
    <n v="1"/>
    <n v="1"/>
    <n v="0.6"/>
    <n v="0.6"/>
    <n v="0"/>
    <m/>
    <n v="0"/>
    <n v="0"/>
    <n v="0"/>
    <n v="0"/>
    <n v="0"/>
    <n v="0"/>
    <n v="0"/>
    <n v="0"/>
  </r>
  <r>
    <x v="2"/>
    <x v="9"/>
    <d v="2026-03-13T00:00:00"/>
    <s v="No Portfolio"/>
    <s v="USD"/>
    <x v="0"/>
    <s v="phrase&amp;exact"/>
    <s v="Amazon"/>
    <s v="United States"/>
    <s v="stroller snack tray"/>
    <s v="PHRASE"/>
    <x v="763"/>
    <n v="1"/>
    <n v="1"/>
    <n v="1"/>
    <n v="0.08"/>
    <n v="0.08"/>
    <n v="0"/>
    <m/>
    <n v="0"/>
    <n v="0"/>
    <n v="0"/>
    <n v="0"/>
    <n v="0"/>
    <n v="0"/>
    <n v="0"/>
    <n v="0"/>
  </r>
  <r>
    <x v="2"/>
    <x v="9"/>
    <d v="2026-03-13T00:00:00"/>
    <s v="No Portfolio"/>
    <s v="USD"/>
    <x v="0"/>
    <s v="broad组"/>
    <s v="Amazon"/>
    <s v="United States"/>
    <s v="stroller tray"/>
    <s v="BROAD"/>
    <x v="207"/>
    <n v="1"/>
    <n v="1"/>
    <n v="1"/>
    <n v="0.23"/>
    <n v="0.23"/>
    <n v="18.989999999999998"/>
    <n v="1.2111637704054767E-2"/>
    <n v="82.565217391304344"/>
    <n v="1"/>
    <n v="1"/>
    <n v="1"/>
    <n v="1"/>
    <n v="0"/>
    <n v="18.989999999999998"/>
    <n v="0"/>
  </r>
  <r>
    <x v="2"/>
    <x v="9"/>
    <d v="2026-03-14T00:00:00"/>
    <s v="No Portfolio"/>
    <s v="USD"/>
    <x v="0"/>
    <s v="broad组"/>
    <s v="Amazon"/>
    <s v="United States"/>
    <s v="snack tray for stroller"/>
    <s v="BROAD"/>
    <x v="764"/>
    <n v="1"/>
    <n v="1"/>
    <n v="1"/>
    <n v="0.21"/>
    <n v="0.21"/>
    <n v="0"/>
    <m/>
    <n v="0"/>
    <n v="0"/>
    <n v="0"/>
    <n v="0"/>
    <n v="0"/>
    <n v="0"/>
    <n v="0"/>
    <n v="0"/>
  </r>
  <r>
    <x v="2"/>
    <x v="9"/>
    <d v="2026-03-10T00:00:00"/>
    <s v="No Portfolio"/>
    <s v="USD"/>
    <x v="0"/>
    <s v="broad组"/>
    <s v="Amazon"/>
    <s v="United States"/>
    <s v="stroller attachment"/>
    <s v="BROAD"/>
    <x v="765"/>
    <n v="3"/>
    <n v="1"/>
    <n v="0.33333333333333331"/>
    <n v="0.21"/>
    <n v="0.21"/>
    <n v="0"/>
    <m/>
    <n v="0"/>
    <n v="0"/>
    <n v="0"/>
    <n v="0"/>
    <n v="0"/>
    <n v="0"/>
    <n v="0"/>
    <n v="0"/>
  </r>
  <r>
    <x v="2"/>
    <x v="9"/>
    <d v="2026-03-12T00:00:00"/>
    <s v="No Portfolio"/>
    <s v="USD"/>
    <x v="4"/>
    <s v="stroller tray"/>
    <s v="Amazon"/>
    <s v="United States"/>
    <s v="loose-match"/>
    <s v="-"/>
    <x v="766"/>
    <n v="1"/>
    <n v="1"/>
    <n v="1"/>
    <n v="0.59"/>
    <n v="0.59"/>
    <n v="0"/>
    <m/>
    <n v="0"/>
    <n v="0"/>
    <n v="0"/>
    <n v="0"/>
    <n v="0"/>
    <n v="0"/>
    <n v="0"/>
    <n v="0"/>
  </r>
  <r>
    <x v="2"/>
    <x v="11"/>
    <d v="2026-03-15T00:00:00"/>
    <s v="No Portfolio"/>
    <s v="USD"/>
    <x v="4"/>
    <s v="stroller tray"/>
    <s v="Amazon"/>
    <s v="United States"/>
    <s v="loose-match"/>
    <s v="-"/>
    <x v="767"/>
    <n v="1"/>
    <n v="1"/>
    <n v="1"/>
    <n v="0.6"/>
    <n v="0.6"/>
    <n v="0"/>
    <m/>
    <n v="0"/>
    <n v="0"/>
    <n v="0"/>
    <n v="0"/>
    <n v="0"/>
    <n v="0"/>
    <n v="0"/>
    <n v="0"/>
  </r>
  <r>
    <x v="2"/>
    <x v="9"/>
    <d v="2026-03-14T00:00:00"/>
    <s v="No Portfolio"/>
    <s v="USD"/>
    <x v="4"/>
    <s v="stroller tray"/>
    <s v="Amazon"/>
    <s v="United States"/>
    <s v="loose-match"/>
    <s v="-"/>
    <x v="768"/>
    <n v="2"/>
    <n v="1"/>
    <n v="0.5"/>
    <n v="0.6"/>
    <n v="0.6"/>
    <n v="0"/>
    <m/>
    <n v="0"/>
    <n v="0"/>
    <n v="0"/>
    <n v="0"/>
    <n v="0"/>
    <n v="0"/>
    <n v="0"/>
    <n v="0"/>
  </r>
  <r>
    <x v="2"/>
    <x v="10"/>
    <d v="2026-03-01T00:00:00"/>
    <s v="No Portfolio"/>
    <s v="USD"/>
    <x v="4"/>
    <s v="stroller tray"/>
    <s v="Amazon"/>
    <s v="United States"/>
    <s v="close-match"/>
    <s v="-"/>
    <x v="208"/>
    <n v="6"/>
    <n v="1"/>
    <n v="0.16666666666666663"/>
    <n v="0.78"/>
    <n v="0.78"/>
    <n v="0"/>
    <m/>
    <n v="0"/>
    <n v="0"/>
    <n v="0"/>
    <n v="0"/>
    <n v="0"/>
    <n v="0"/>
    <n v="0"/>
    <n v="0"/>
  </r>
  <r>
    <x v="2"/>
    <x v="9"/>
    <d v="2026-03-09T00:00:00"/>
    <s v="No Portfolio"/>
    <s v="USD"/>
    <x v="1"/>
    <s v="broad组"/>
    <s v="Amazon"/>
    <s v="United States"/>
    <s v="stroller tray"/>
    <s v="BROAD"/>
    <x v="208"/>
    <n v="17"/>
    <n v="1"/>
    <n v="5.8823529411764698E-2"/>
    <n v="0.92"/>
    <n v="0.92"/>
    <n v="0"/>
    <m/>
    <n v="0"/>
    <n v="0"/>
    <n v="0"/>
    <n v="0"/>
    <n v="0"/>
    <n v="0"/>
    <n v="0"/>
    <n v="0"/>
  </r>
  <r>
    <x v="2"/>
    <x v="9"/>
    <d v="2026-03-14T00:00:00"/>
    <s v="No Portfolio"/>
    <s v="USD"/>
    <x v="0"/>
    <s v="broad组"/>
    <s v="Amazon"/>
    <s v="United States"/>
    <s v="stroller tray"/>
    <s v="BROAD"/>
    <x v="208"/>
    <n v="9"/>
    <n v="1"/>
    <n v="0.1111111111111111"/>
    <n v="0.2"/>
    <n v="0.2"/>
    <n v="0"/>
    <m/>
    <n v="0"/>
    <n v="0"/>
    <n v="0"/>
    <n v="0"/>
    <n v="0"/>
    <n v="0"/>
    <n v="0"/>
    <n v="0"/>
  </r>
  <r>
    <x v="2"/>
    <x v="11"/>
    <d v="2026-03-21T00:00:00"/>
    <s v="No Portfolio"/>
    <s v="USD"/>
    <x v="0"/>
    <s v="broad组"/>
    <s v="Amazon"/>
    <s v="United States"/>
    <s v="stroller tray"/>
    <s v="BROAD"/>
    <x v="208"/>
    <n v="15"/>
    <n v="1"/>
    <n v="6.6666666666666666E-2"/>
    <n v="0.21"/>
    <n v="0.21"/>
    <n v="0"/>
    <m/>
    <n v="0"/>
    <n v="0"/>
    <n v="0"/>
    <n v="0"/>
    <n v="0"/>
    <n v="0"/>
    <n v="0"/>
    <n v="0"/>
  </r>
  <r>
    <x v="2"/>
    <x v="9"/>
    <d v="2026-03-08T00:00:00"/>
    <s v="No Portfolio"/>
    <s v="USD"/>
    <x v="4"/>
    <s v="stroller tray"/>
    <s v="Amazon"/>
    <s v="United States"/>
    <s v="close-match"/>
    <s v="-"/>
    <x v="209"/>
    <n v="2"/>
    <n v="1"/>
    <n v="0.5"/>
    <n v="0.9"/>
    <n v="0.9"/>
    <n v="0"/>
    <m/>
    <n v="0"/>
    <n v="0"/>
    <n v="0"/>
    <n v="0"/>
    <n v="0"/>
    <n v="0"/>
    <n v="0"/>
    <n v="0"/>
  </r>
  <r>
    <x v="2"/>
    <x v="9"/>
    <d v="2026-03-11T00:00:00"/>
    <s v="No Portfolio"/>
    <s v="USD"/>
    <x v="0"/>
    <s v="phrase&amp;exact"/>
    <s v="Amazon"/>
    <s v="United States"/>
    <s v="stroller tray attachment"/>
    <s v="PHRASE"/>
    <x v="209"/>
    <n v="15"/>
    <n v="1"/>
    <n v="6.6666666666666666E-2"/>
    <n v="0.2"/>
    <n v="0.2"/>
    <n v="0"/>
    <m/>
    <n v="0"/>
    <n v="0"/>
    <n v="0"/>
    <n v="0"/>
    <n v="0"/>
    <n v="0"/>
    <n v="0"/>
    <n v="0"/>
  </r>
  <r>
    <x v="2"/>
    <x v="11"/>
    <d v="2026-03-20T00:00:00"/>
    <s v="No Portfolio"/>
    <s v="USD"/>
    <x v="0"/>
    <s v="phrase&amp;exact"/>
    <s v="Amazon"/>
    <s v="United States"/>
    <s v="stroller tray attachment"/>
    <s v="PHRASE"/>
    <x v="209"/>
    <n v="9"/>
    <n v="1"/>
    <n v="0.1111111111111111"/>
    <n v="0.2"/>
    <n v="0.2"/>
    <n v="0"/>
    <m/>
    <n v="0"/>
    <n v="0"/>
    <n v="0"/>
    <n v="0"/>
    <n v="0"/>
    <n v="0"/>
    <n v="0"/>
    <n v="0"/>
  </r>
  <r>
    <x v="2"/>
    <x v="9"/>
    <d v="2026-03-09T00:00:00"/>
    <s v="No Portfolio"/>
    <s v="USD"/>
    <x v="4"/>
    <s v="stroller tray"/>
    <s v="Amazon"/>
    <s v="United States"/>
    <s v="close-match"/>
    <s v="-"/>
    <x v="210"/>
    <n v="2"/>
    <n v="1"/>
    <n v="0.5"/>
    <n v="0.62"/>
    <n v="0.62"/>
    <n v="0"/>
    <m/>
    <n v="0"/>
    <n v="0"/>
    <n v="0"/>
    <n v="0"/>
    <n v="0"/>
    <n v="0"/>
    <n v="0"/>
    <n v="0"/>
  </r>
  <r>
    <x v="2"/>
    <x v="11"/>
    <d v="2026-03-16T00:00:00"/>
    <s v="No Portfolio"/>
    <s v="USD"/>
    <x v="0"/>
    <s v="phrase&amp;exact"/>
    <s v="Amazon"/>
    <s v="United States"/>
    <s v="stroller tray attachment"/>
    <s v="PHRASE"/>
    <x v="210"/>
    <n v="4"/>
    <n v="1"/>
    <n v="0.25"/>
    <n v="0.21"/>
    <n v="0.21"/>
    <n v="0"/>
    <m/>
    <n v="0"/>
    <n v="0"/>
    <n v="0"/>
    <n v="0"/>
    <n v="0"/>
    <n v="0"/>
    <n v="0"/>
    <n v="0"/>
  </r>
  <r>
    <x v="2"/>
    <x v="11"/>
    <d v="2026-03-18T00:00:00"/>
    <s v="No Portfolio"/>
    <s v="USD"/>
    <x v="0"/>
    <s v="phrase&amp;exact"/>
    <s v="Amazon"/>
    <s v="United States"/>
    <s v="stroller tray attachment"/>
    <s v="PHRASE"/>
    <x v="210"/>
    <n v="4"/>
    <n v="2"/>
    <n v="0.5"/>
    <n v="0.22"/>
    <n v="0.44"/>
    <n v="0"/>
    <m/>
    <n v="0"/>
    <n v="0"/>
    <n v="0"/>
    <n v="0"/>
    <n v="0"/>
    <n v="0"/>
    <n v="0"/>
    <n v="0"/>
  </r>
  <r>
    <x v="2"/>
    <x v="9"/>
    <d v="2026-03-11T00:00:00"/>
    <s v="No Portfolio"/>
    <s v="USD"/>
    <x v="2"/>
    <s v="Tray"/>
    <s v="Amazon"/>
    <s v="United States"/>
    <s v="asin=&quot;B0DDP2FVG5&quot;"/>
    <s v="-"/>
    <x v="210"/>
    <n v="1"/>
    <n v="1"/>
    <n v="1"/>
    <n v="0.75"/>
    <n v="0.75"/>
    <n v="0"/>
    <m/>
    <n v="0"/>
    <n v="0"/>
    <n v="0"/>
    <n v="0"/>
    <n v="0"/>
    <n v="0"/>
    <n v="0"/>
    <n v="0"/>
  </r>
  <r>
    <x v="2"/>
    <x v="9"/>
    <d v="2026-03-12T00:00:00"/>
    <s v="No Portfolio"/>
    <s v="USD"/>
    <x v="4"/>
    <s v="stroller tray"/>
    <s v="Amazon"/>
    <s v="United States"/>
    <s v="close-match"/>
    <s v="-"/>
    <x v="769"/>
    <n v="1"/>
    <n v="1"/>
    <n v="1"/>
    <n v="1.01"/>
    <n v="1.01"/>
    <n v="0"/>
    <m/>
    <n v="0"/>
    <n v="0"/>
    <n v="0"/>
    <n v="0"/>
    <n v="0"/>
    <n v="0"/>
    <n v="0"/>
    <n v="0"/>
  </r>
  <r>
    <x v="2"/>
    <x v="9"/>
    <d v="2026-03-11T00:00:00"/>
    <s v="No Portfolio"/>
    <s v="USD"/>
    <x v="0"/>
    <s v="broad组"/>
    <s v="Amazon"/>
    <s v="United States"/>
    <s v="wagon cup holder"/>
    <s v="BROAD"/>
    <x v="485"/>
    <n v="2"/>
    <n v="1"/>
    <n v="0.5"/>
    <n v="0.2"/>
    <n v="0.2"/>
    <n v="0"/>
    <m/>
    <n v="0"/>
    <n v="0"/>
    <n v="0"/>
    <n v="0"/>
    <n v="0"/>
    <n v="0"/>
    <n v="0"/>
    <n v="0"/>
  </r>
  <r>
    <x v="2"/>
    <x v="11"/>
    <d v="2026-03-20T00:00:00"/>
    <s v="No Portfolio"/>
    <s v="USD"/>
    <x v="4"/>
    <s v="stroller tray"/>
    <s v="Amazon"/>
    <s v="United States"/>
    <s v="loose-match"/>
    <s v="-"/>
    <x v="770"/>
    <n v="1"/>
    <n v="1"/>
    <n v="1"/>
    <n v="0.49"/>
    <n v="0.49"/>
    <n v="18.989999999999998"/>
    <n v="2.5803054239073201E-2"/>
    <n v="38.755102040816325"/>
    <n v="1"/>
    <n v="1"/>
    <n v="1"/>
    <n v="1"/>
    <n v="0"/>
    <n v="18.989999999999998"/>
    <n v="0"/>
  </r>
  <r>
    <x v="2"/>
    <x v="11"/>
    <d v="2026-03-15T00:00:00"/>
    <s v="No Portfolio"/>
    <s v="USD"/>
    <x v="0"/>
    <s v="broad组"/>
    <s v="Amazon"/>
    <s v="United States"/>
    <s v="stroller tray"/>
    <s v="BROAD"/>
    <x v="771"/>
    <n v="2"/>
    <n v="1"/>
    <n v="0.5"/>
    <n v="0.21"/>
    <n v="0.21"/>
    <n v="0"/>
    <m/>
    <n v="0"/>
    <n v="0"/>
    <n v="0"/>
    <n v="0"/>
    <n v="0"/>
    <n v="0"/>
    <n v="0"/>
    <n v="0"/>
  </r>
  <r>
    <x v="2"/>
    <x v="11"/>
    <d v="2026-03-19T00:00:00"/>
    <s v="No Portfolio"/>
    <s v="USD"/>
    <x v="0"/>
    <s v="broad组"/>
    <s v="Amazon"/>
    <s v="United States"/>
    <s v="baby stroller parent cup holders"/>
    <s v="BROAD"/>
    <x v="772"/>
    <n v="1"/>
    <n v="1"/>
    <n v="1"/>
    <n v="0.2"/>
    <n v="0.2"/>
    <n v="0"/>
    <m/>
    <n v="0"/>
    <n v="0"/>
    <n v="0"/>
    <n v="0"/>
    <n v="0"/>
    <n v="0"/>
    <n v="0"/>
    <n v="0"/>
  </r>
  <r>
    <x v="2"/>
    <x v="10"/>
    <d v="2026-03-04T00:00:00"/>
    <s v="No Portfolio"/>
    <s v="USD"/>
    <x v="0"/>
    <s v="broad组"/>
    <s v="Amazon"/>
    <s v="United States"/>
    <s v="stroller accessories"/>
    <s v="BROAD"/>
    <x v="491"/>
    <n v="3"/>
    <n v="1"/>
    <n v="0.33333333333333331"/>
    <n v="0.08"/>
    <n v="0.08"/>
    <n v="0"/>
    <m/>
    <n v="0"/>
    <n v="0"/>
    <n v="0"/>
    <n v="0"/>
    <n v="0"/>
    <n v="0"/>
    <n v="0"/>
    <n v="0"/>
  </r>
  <r>
    <x v="2"/>
    <x v="11"/>
    <d v="2026-03-19T00:00:00"/>
    <s v="No Portfolio"/>
    <s v="USD"/>
    <x v="6"/>
    <s v="ENC"/>
    <s v="Amazon"/>
    <s v="United States"/>
    <s v="close-match"/>
    <s v="-"/>
    <x v="773"/>
    <n v="4"/>
    <n v="1"/>
    <n v="0.25"/>
    <n v="1.56"/>
    <n v="1.56"/>
    <n v="0"/>
    <m/>
    <n v="0"/>
    <n v="0"/>
    <n v="0"/>
    <n v="0"/>
    <n v="0"/>
    <n v="0"/>
    <n v="0"/>
    <n v="0"/>
  </r>
  <r>
    <x v="2"/>
    <x v="9"/>
    <d v="2026-03-14T00:00:00"/>
    <s v="No Portfolio"/>
    <s v="USD"/>
    <x v="6"/>
    <s v="ENC"/>
    <s v="Amazon"/>
    <s v="United States"/>
    <s v="loose-match"/>
    <s v="-"/>
    <x v="774"/>
    <n v="1"/>
    <n v="1"/>
    <n v="1"/>
    <n v="1.01"/>
    <n v="1.01"/>
    <n v="0"/>
    <m/>
    <n v="0"/>
    <n v="0"/>
    <n v="0"/>
    <n v="0"/>
    <n v="0"/>
    <n v="0"/>
    <n v="0"/>
    <n v="0"/>
  </r>
  <r>
    <x v="2"/>
    <x v="10"/>
    <d v="2026-03-06T00:00:00"/>
    <s v="No Portfolio"/>
    <s v="USD"/>
    <x v="6"/>
    <s v="ENC"/>
    <s v="Amazon"/>
    <s v="United States"/>
    <s v="substitutes"/>
    <s v="-"/>
    <x v="775"/>
    <n v="2"/>
    <n v="1"/>
    <n v="0.5"/>
    <n v="1.1599999999999999"/>
    <n v="1.1599999999999999"/>
    <n v="0"/>
    <m/>
    <n v="0"/>
    <n v="0"/>
    <n v="0"/>
    <n v="0"/>
    <n v="0"/>
    <n v="0"/>
    <n v="0"/>
    <n v="0"/>
  </r>
  <r>
    <x v="2"/>
    <x v="11"/>
    <d v="2026-03-21T00:00:00"/>
    <s v="No Portfolio"/>
    <s v="USD"/>
    <x v="0"/>
    <s v="broad组"/>
    <s v="Amazon"/>
    <s v="United States"/>
    <s v="stroller tray attachment"/>
    <s v="BROAD"/>
    <x v="776"/>
    <n v="3"/>
    <n v="1"/>
    <n v="0.33333333333333331"/>
    <n v="0.21"/>
    <n v="0.21"/>
    <n v="0"/>
    <m/>
    <n v="0"/>
    <n v="0"/>
    <n v="0"/>
    <n v="0"/>
    <n v="0"/>
    <n v="0"/>
    <n v="0"/>
    <n v="0"/>
  </r>
  <r>
    <x v="2"/>
    <x v="11"/>
    <d v="2026-03-18T00:00:00"/>
    <s v="No Portfolio"/>
    <s v="USD"/>
    <x v="0"/>
    <s v="broad组"/>
    <s v="Amazon"/>
    <s v="United States"/>
    <s v="stroller clip on tray"/>
    <s v="BROAD"/>
    <x v="777"/>
    <n v="3"/>
    <n v="1"/>
    <n v="0.33333333333333331"/>
    <n v="0.21"/>
    <n v="0.21"/>
    <n v="0"/>
    <m/>
    <n v="0"/>
    <n v="0"/>
    <n v="0"/>
    <n v="0"/>
    <n v="0"/>
    <n v="0"/>
    <n v="0"/>
    <n v="0"/>
  </r>
  <r>
    <x v="2"/>
    <x v="11"/>
    <d v="2026-03-16T00:00:00"/>
    <s v="No Portfolio"/>
    <s v="USD"/>
    <x v="4"/>
    <s v="stroller tray"/>
    <s v="Amazon"/>
    <s v="United States"/>
    <s v="close-match"/>
    <s v="-"/>
    <x v="222"/>
    <n v="10"/>
    <n v="1"/>
    <n v="0.1"/>
    <n v="0.69"/>
    <n v="0.69"/>
    <n v="0"/>
    <m/>
    <n v="0"/>
    <n v="0"/>
    <n v="0"/>
    <n v="0"/>
    <n v="0"/>
    <n v="0"/>
    <n v="0"/>
    <n v="0"/>
  </r>
  <r>
    <x v="2"/>
    <x v="10"/>
    <d v="2026-03-02T00:00:00"/>
    <s v="No Portfolio"/>
    <s v="USD"/>
    <x v="1"/>
    <s v="broad组"/>
    <s v="Amazon"/>
    <s v="United States"/>
    <s v="stroller tray"/>
    <s v="BROAD"/>
    <x v="222"/>
    <n v="3"/>
    <n v="1"/>
    <n v="0.33333333333333331"/>
    <n v="1"/>
    <n v="1"/>
    <n v="0"/>
    <m/>
    <n v="0"/>
    <n v="0"/>
    <n v="0"/>
    <n v="0"/>
    <n v="0"/>
    <n v="0"/>
    <n v="0"/>
    <n v="0"/>
  </r>
  <r>
    <x v="2"/>
    <x v="11"/>
    <d v="2026-03-15T00:00:00"/>
    <s v="No Portfolio"/>
    <s v="USD"/>
    <x v="0"/>
    <s v="broad组"/>
    <s v="Amazon"/>
    <s v="United States"/>
    <s v="stroller tray"/>
    <s v="BROAD"/>
    <x v="778"/>
    <n v="2"/>
    <n v="1"/>
    <n v="0.5"/>
    <n v="0.4"/>
    <n v="0.4"/>
    <n v="0"/>
    <m/>
    <n v="0"/>
    <n v="0"/>
    <n v="0"/>
    <n v="0"/>
    <n v="0"/>
    <n v="0"/>
    <n v="0"/>
    <n v="0"/>
  </r>
  <r>
    <x v="2"/>
    <x v="11"/>
    <d v="2026-03-17T00:00:00"/>
    <s v="No Portfolio"/>
    <s v="USD"/>
    <x v="0"/>
    <s v="broad组"/>
    <s v="Amazon"/>
    <s v="United States"/>
    <s v="stroller snack tray"/>
    <s v="BROAD"/>
    <x v="779"/>
    <n v="2"/>
    <n v="1"/>
    <n v="0.5"/>
    <n v="0.21"/>
    <n v="0.21"/>
    <n v="0"/>
    <m/>
    <n v="0"/>
    <n v="0"/>
    <n v="0"/>
    <n v="0"/>
    <n v="0"/>
    <n v="0"/>
    <n v="0"/>
    <n v="0"/>
  </r>
  <r>
    <x v="2"/>
    <x v="10"/>
    <d v="2026-03-01T00:00:00"/>
    <s v="No Portfolio"/>
    <s v="USD"/>
    <x v="0"/>
    <s v="broad组"/>
    <s v="Amazon"/>
    <s v="United States"/>
    <s v="stroller accessories"/>
    <s v="BROAD"/>
    <x v="503"/>
    <n v="8"/>
    <n v="1"/>
    <n v="0.125"/>
    <n v="0.16"/>
    <n v="0.16"/>
    <n v="0"/>
    <m/>
    <n v="0"/>
    <n v="0"/>
    <n v="0"/>
    <n v="0"/>
    <n v="0"/>
    <n v="0"/>
    <n v="0"/>
    <n v="0"/>
  </r>
  <r>
    <x v="2"/>
    <x v="10"/>
    <d v="2026-03-07T00:00:00"/>
    <s v="No Portfolio"/>
    <s v="USD"/>
    <x v="0"/>
    <s v="broad组"/>
    <s v="Amazon"/>
    <s v="United States"/>
    <s v="stroller accessories"/>
    <s v="BROAD"/>
    <x v="503"/>
    <n v="3"/>
    <n v="1"/>
    <n v="0.33333333333333331"/>
    <n v="0.22"/>
    <n v="0.22"/>
    <n v="0"/>
    <m/>
    <n v="0"/>
    <n v="0"/>
    <n v="0"/>
    <n v="0"/>
    <n v="0"/>
    <n v="0"/>
    <n v="0"/>
    <n v="0"/>
  </r>
  <r>
    <x v="2"/>
    <x v="11"/>
    <d v="2026-03-18T00:00:00"/>
    <s v="No Portfolio"/>
    <s v="USD"/>
    <x v="0"/>
    <s v="broad组"/>
    <s v="Amazon"/>
    <s v="United States"/>
    <s v="stroller accessories"/>
    <s v="BROAD"/>
    <x v="503"/>
    <n v="2"/>
    <n v="1"/>
    <n v="0.5"/>
    <n v="0.16"/>
    <n v="0.16"/>
    <n v="0"/>
    <m/>
    <n v="0"/>
    <n v="0"/>
    <n v="0"/>
    <n v="0"/>
    <n v="0"/>
    <n v="0"/>
    <n v="0"/>
    <n v="0"/>
  </r>
  <r>
    <x v="2"/>
    <x v="9"/>
    <d v="2026-03-13T00:00:00"/>
    <s v="No Portfolio"/>
    <s v="USD"/>
    <x v="0"/>
    <s v="broad组"/>
    <s v="Amazon"/>
    <s v="United States"/>
    <s v="stroller tray"/>
    <s v="BROAD"/>
    <x v="316"/>
    <n v="1"/>
    <n v="1"/>
    <n v="1"/>
    <n v="0.21"/>
    <n v="0.21"/>
    <n v="0"/>
    <m/>
    <n v="0"/>
    <n v="0"/>
    <n v="0"/>
    <n v="0"/>
    <n v="0"/>
    <n v="0"/>
    <n v="0"/>
    <n v="0"/>
  </r>
  <r>
    <x v="2"/>
    <x v="11"/>
    <d v="2026-03-19T00:00:00"/>
    <s v="No Portfolio"/>
    <s v="USD"/>
    <x v="0"/>
    <s v="phrase&amp;exact"/>
    <s v="Amazon"/>
    <s v="United States"/>
    <s v="stroller cup holder"/>
    <s v="PHRASE"/>
    <x v="780"/>
    <n v="1"/>
    <n v="1"/>
    <n v="1"/>
    <n v="0.4"/>
    <n v="0.4"/>
    <n v="0"/>
    <m/>
    <n v="0"/>
    <n v="0"/>
    <n v="0"/>
    <n v="0"/>
    <n v="0"/>
    <n v="0"/>
    <n v="0"/>
    <n v="0"/>
  </r>
  <r>
    <x v="2"/>
    <x v="9"/>
    <d v="2026-03-14T00:00:00"/>
    <s v="No Portfolio"/>
    <s v="USD"/>
    <x v="0"/>
    <s v="phrase&amp;exact"/>
    <s v="Amazon"/>
    <s v="United States"/>
    <s v="stroller snack tray"/>
    <s v="PHRASE"/>
    <x v="229"/>
    <n v="2"/>
    <n v="1"/>
    <n v="0.5"/>
    <n v="0.21"/>
    <n v="0.21"/>
    <n v="0"/>
    <m/>
    <n v="0"/>
    <n v="0"/>
    <n v="0"/>
    <n v="0"/>
    <n v="0"/>
    <n v="0"/>
    <n v="0"/>
    <n v="0"/>
  </r>
  <r>
    <x v="2"/>
    <x v="9"/>
    <d v="2026-03-13T00:00:00"/>
    <s v="No Portfolio"/>
    <s v="USD"/>
    <x v="0"/>
    <s v="broad组"/>
    <s v="Amazon"/>
    <s v="United States"/>
    <s v="universal snack tray"/>
    <s v="BROAD"/>
    <x v="229"/>
    <n v="23"/>
    <n v="1"/>
    <n v="4.3478260869565216E-2"/>
    <n v="0.2"/>
    <n v="0.2"/>
    <n v="18.989999999999998"/>
    <n v="1.0531858873091103E-2"/>
    <n v="94.949999999999989"/>
    <n v="1"/>
    <n v="1"/>
    <n v="1"/>
    <n v="1"/>
    <n v="0"/>
    <n v="18.989999999999998"/>
    <n v="0"/>
  </r>
  <r>
    <x v="2"/>
    <x v="11"/>
    <d v="2026-03-17T00:00:00"/>
    <s v="No Portfolio"/>
    <s v="USD"/>
    <x v="0"/>
    <s v="broad组"/>
    <s v="Amazon"/>
    <s v="United States"/>
    <s v="universal snack tray"/>
    <s v="BROAD"/>
    <x v="229"/>
    <n v="9"/>
    <n v="1"/>
    <n v="0.1111111111111111"/>
    <n v="0.2"/>
    <n v="0.2"/>
    <n v="0"/>
    <m/>
    <n v="0"/>
    <n v="0"/>
    <n v="0"/>
    <n v="0"/>
    <n v="0"/>
    <n v="0"/>
    <n v="0"/>
    <n v="0"/>
  </r>
  <r>
    <x v="2"/>
    <x v="9"/>
    <d v="2026-03-13T00:00:00"/>
    <s v="No Portfolio"/>
    <s v="USD"/>
    <x v="0"/>
    <s v="broad组"/>
    <s v="Amazon"/>
    <s v="United States"/>
    <s v="cup holder and tray for stroller"/>
    <s v="BROAD"/>
    <x v="781"/>
    <n v="2"/>
    <n v="1"/>
    <n v="0.5"/>
    <n v="0.21"/>
    <n v="0.21"/>
    <n v="0"/>
    <m/>
    <n v="0"/>
    <n v="0"/>
    <n v="0"/>
    <n v="0"/>
    <n v="0"/>
    <n v="0"/>
    <n v="0"/>
    <n v="0"/>
  </r>
  <r>
    <x v="2"/>
    <x v="11"/>
    <d v="2026-03-19T00:00:00"/>
    <s v="No Portfolio"/>
    <s v="USD"/>
    <x v="4"/>
    <s v="stroller tray"/>
    <s v="Amazon"/>
    <s v="United States"/>
    <s v="close-match"/>
    <s v="-"/>
    <x v="782"/>
    <n v="1"/>
    <n v="1"/>
    <n v="1"/>
    <n v="0.78"/>
    <n v="0.78"/>
    <n v="0"/>
    <m/>
    <n v="0"/>
    <n v="0"/>
    <n v="0"/>
    <n v="0"/>
    <n v="0"/>
    <n v="0"/>
    <n v="0"/>
    <n v="0"/>
  </r>
  <r>
    <x v="2"/>
    <x v="10"/>
    <d v="2026-03-01T00:00:00"/>
    <s v="No Portfolio"/>
    <s v="USD"/>
    <x v="0"/>
    <s v="broad组"/>
    <s v="Amazon"/>
    <s v="United States"/>
    <s v="snack cup for stroller"/>
    <s v="BROAD"/>
    <x v="783"/>
    <n v="1"/>
    <n v="1"/>
    <n v="1"/>
    <n v="0.21"/>
    <n v="0.21"/>
    <n v="0"/>
    <m/>
    <n v="0"/>
    <n v="0"/>
    <n v="0"/>
    <n v="0"/>
    <n v="0"/>
    <n v="0"/>
    <n v="0"/>
    <n v="0"/>
  </r>
  <r>
    <x v="2"/>
    <x v="11"/>
    <d v="2026-03-15T00:00:00"/>
    <s v="No Portfolio"/>
    <s v="USD"/>
    <x v="0"/>
    <s v="phrase&amp;exact"/>
    <s v="Amazon"/>
    <s v="United States"/>
    <s v="stroller cup holder"/>
    <s v="PHRASE"/>
    <x v="784"/>
    <n v="1"/>
    <n v="1"/>
    <n v="1"/>
    <n v="0.4"/>
    <n v="0.4"/>
    <n v="0"/>
    <m/>
    <n v="0"/>
    <n v="0"/>
    <n v="0"/>
    <n v="0"/>
    <n v="0"/>
    <n v="0"/>
    <n v="0"/>
    <n v="0"/>
  </r>
  <r>
    <x v="2"/>
    <x v="10"/>
    <d v="2026-03-03T00:00:00"/>
    <s v="No Portfolio"/>
    <s v="USD"/>
    <x v="4"/>
    <s v="stroller tray"/>
    <s v="Amazon"/>
    <s v="United States"/>
    <s v="close-match"/>
    <s v="-"/>
    <x v="234"/>
    <n v="5"/>
    <n v="1"/>
    <n v="0.2"/>
    <n v="0.73"/>
    <n v="0.73"/>
    <n v="0"/>
    <m/>
    <n v="0"/>
    <n v="0"/>
    <n v="0"/>
    <n v="0"/>
    <n v="0"/>
    <n v="0"/>
    <n v="0"/>
    <n v="0"/>
  </r>
  <r>
    <x v="2"/>
    <x v="10"/>
    <d v="2026-03-02T00:00:00"/>
    <s v="No Portfolio"/>
    <s v="USD"/>
    <x v="4"/>
    <s v="stroller tray"/>
    <s v="Amazon"/>
    <s v="United States"/>
    <s v="close-match"/>
    <s v="-"/>
    <x v="235"/>
    <n v="22"/>
    <n v="1"/>
    <n v="4.5454545454545463E-2"/>
    <n v="0.82"/>
    <n v="0.82"/>
    <n v="0"/>
    <m/>
    <n v="0"/>
    <n v="0"/>
    <n v="0"/>
    <n v="0"/>
    <n v="0"/>
    <n v="0"/>
    <n v="0"/>
    <n v="0"/>
  </r>
  <r>
    <x v="2"/>
    <x v="11"/>
    <d v="2026-03-18T00:00:00"/>
    <s v="No Portfolio"/>
    <s v="USD"/>
    <x v="4"/>
    <s v="stroller tray"/>
    <s v="Amazon"/>
    <s v="United States"/>
    <s v="close-match"/>
    <s v="-"/>
    <x v="235"/>
    <n v="18"/>
    <n v="1"/>
    <n v="5.5555555555555552E-2"/>
    <n v="0.72"/>
    <n v="0.72"/>
    <n v="0"/>
    <m/>
    <n v="0"/>
    <n v="0"/>
    <n v="0"/>
    <n v="0"/>
    <n v="0"/>
    <n v="0"/>
    <n v="0"/>
    <n v="0"/>
  </r>
  <r>
    <x v="2"/>
    <x v="10"/>
    <d v="2026-03-04T00:00:00"/>
    <s v="No Portfolio"/>
    <s v="USD"/>
    <x v="0"/>
    <s v="phrase&amp;exact"/>
    <s v="Amazon"/>
    <s v="United States"/>
    <s v="snack tray for stroller"/>
    <s v="PHRASE"/>
    <x v="235"/>
    <n v="8"/>
    <n v="1"/>
    <n v="0.125"/>
    <n v="0.2"/>
    <n v="0.2"/>
    <n v="0"/>
    <m/>
    <n v="0"/>
    <n v="0"/>
    <n v="0"/>
    <n v="0"/>
    <n v="0"/>
    <n v="0"/>
    <n v="0"/>
    <n v="0"/>
  </r>
  <r>
    <x v="2"/>
    <x v="9"/>
    <d v="2026-03-13T00:00:00"/>
    <s v="No Portfolio"/>
    <s v="USD"/>
    <x v="0"/>
    <s v="phrase&amp;exact"/>
    <s v="Amazon"/>
    <s v="United States"/>
    <s v="snack tray for stroller"/>
    <s v="PHRASE"/>
    <x v="235"/>
    <n v="18"/>
    <n v="1"/>
    <n v="5.5555555555555552E-2"/>
    <n v="0.2"/>
    <n v="0.2"/>
    <n v="0"/>
    <m/>
    <n v="0"/>
    <n v="0"/>
    <n v="0"/>
    <n v="0"/>
    <n v="0"/>
    <n v="0"/>
    <n v="0"/>
    <n v="0"/>
  </r>
  <r>
    <x v="2"/>
    <x v="11"/>
    <d v="2026-03-19T00:00:00"/>
    <s v="No Portfolio"/>
    <s v="USD"/>
    <x v="0"/>
    <s v="phrase&amp;exact"/>
    <s v="Amazon"/>
    <s v="United States"/>
    <s v="snack tray for stroller"/>
    <s v="PHRASE"/>
    <x v="235"/>
    <n v="8"/>
    <n v="1"/>
    <n v="0.125"/>
    <n v="0.2"/>
    <n v="0.2"/>
    <n v="0"/>
    <m/>
    <n v="0"/>
    <n v="0"/>
    <n v="0"/>
    <n v="0"/>
    <n v="0"/>
    <n v="0"/>
    <n v="0"/>
    <n v="0"/>
  </r>
  <r>
    <x v="2"/>
    <x v="11"/>
    <d v="2026-03-16T00:00:00"/>
    <s v="No Portfolio"/>
    <s v="USD"/>
    <x v="0"/>
    <s v="broad组"/>
    <s v="Amazon"/>
    <s v="United States"/>
    <s v="universal stroller snack tray"/>
    <s v="BROAD"/>
    <x v="235"/>
    <n v="5"/>
    <n v="1"/>
    <n v="0.2"/>
    <n v="0.22"/>
    <n v="0.22"/>
    <n v="0"/>
    <m/>
    <n v="0"/>
    <n v="0"/>
    <n v="0"/>
    <n v="0"/>
    <n v="0"/>
    <n v="0"/>
    <n v="0"/>
    <n v="0"/>
  </r>
  <r>
    <x v="2"/>
    <x v="11"/>
    <d v="2026-03-19T00:00:00"/>
    <s v="No Portfolio"/>
    <s v="USD"/>
    <x v="0"/>
    <s v="phrase&amp;exact"/>
    <s v="Amazon"/>
    <s v="United States"/>
    <s v="universal snack tray for stroller"/>
    <s v="PHRASE"/>
    <x v="235"/>
    <n v="15"/>
    <n v="1"/>
    <n v="6.6666666666666666E-2"/>
    <n v="0.21"/>
    <n v="0.21"/>
    <n v="0"/>
    <m/>
    <n v="0"/>
    <n v="0"/>
    <n v="0"/>
    <n v="0"/>
    <n v="0"/>
    <n v="0"/>
    <n v="0"/>
    <n v="0"/>
  </r>
  <r>
    <x v="2"/>
    <x v="11"/>
    <d v="2026-03-18T00:00:00"/>
    <s v="No Portfolio"/>
    <s v="USD"/>
    <x v="0"/>
    <s v="phrase&amp;exact"/>
    <s v="Amazon"/>
    <s v="United States"/>
    <s v="universal snack tray"/>
    <s v="PHRASE"/>
    <x v="785"/>
    <n v="9"/>
    <n v="1"/>
    <n v="0.1111111111111111"/>
    <n v="0.2"/>
    <n v="0.2"/>
    <n v="0"/>
    <m/>
    <n v="0"/>
    <n v="0"/>
    <n v="0"/>
    <n v="0"/>
    <n v="0"/>
    <n v="0"/>
    <n v="0"/>
    <n v="0"/>
  </r>
  <r>
    <x v="2"/>
    <x v="11"/>
    <d v="2026-03-16T00:00:00"/>
    <s v="No Portfolio"/>
    <s v="USD"/>
    <x v="0"/>
    <s v="phrase&amp;exact"/>
    <s v="Amazon"/>
    <s v="United States"/>
    <s v="universal snack tray"/>
    <s v="PHRASE"/>
    <x v="786"/>
    <n v="1"/>
    <n v="1"/>
    <n v="1"/>
    <n v="0.21"/>
    <n v="0.21"/>
    <n v="0"/>
    <m/>
    <n v="0"/>
    <n v="0"/>
    <n v="0"/>
    <n v="0"/>
    <n v="0"/>
    <n v="0"/>
    <n v="0"/>
    <n v="0"/>
  </r>
  <r>
    <x v="2"/>
    <x v="9"/>
    <d v="2026-03-09T00:00:00"/>
    <s v="No Portfolio"/>
    <s v="USD"/>
    <x v="0"/>
    <s v="broad组"/>
    <s v="Amazon"/>
    <s v="United States"/>
    <s v="snack cup for stroller"/>
    <s v="BROAD"/>
    <x v="787"/>
    <n v="1"/>
    <n v="1"/>
    <n v="1"/>
    <n v="0.4"/>
    <n v="0.4"/>
    <n v="0"/>
    <m/>
    <n v="0"/>
    <n v="0"/>
    <n v="0"/>
    <n v="0"/>
    <n v="0"/>
    <n v="0"/>
    <n v="0"/>
    <n v="0"/>
  </r>
  <r>
    <x v="2"/>
    <x v="11"/>
    <d v="2026-03-19T00:00:00"/>
    <s v="No Portfolio"/>
    <s v="USD"/>
    <x v="4"/>
    <s v="stroller tray"/>
    <s v="Amazon"/>
    <s v="United States"/>
    <s v="close-match"/>
    <s v="-"/>
    <x v="237"/>
    <n v="1"/>
    <n v="1"/>
    <n v="1"/>
    <n v="0.69"/>
    <n v="0.69"/>
    <n v="0"/>
    <m/>
    <n v="0"/>
    <n v="0"/>
    <n v="0"/>
    <n v="0"/>
    <n v="0"/>
    <n v="0"/>
    <n v="0"/>
    <n v="0"/>
  </r>
  <r>
    <x v="2"/>
    <x v="11"/>
    <d v="2026-03-18T00:00:00"/>
    <s v="No Portfolio"/>
    <s v="USD"/>
    <x v="0"/>
    <s v="phrase&amp;exact"/>
    <s v="Amazon"/>
    <s v="United States"/>
    <s v="stroller cup holder"/>
    <s v="PHRASE"/>
    <x v="237"/>
    <n v="2"/>
    <n v="1"/>
    <n v="0.5"/>
    <n v="0.2"/>
    <n v="0.2"/>
    <n v="0"/>
    <m/>
    <n v="0"/>
    <n v="0"/>
    <n v="0"/>
    <n v="0"/>
    <n v="0"/>
    <n v="0"/>
    <n v="0"/>
    <n v="0"/>
  </r>
  <r>
    <x v="2"/>
    <x v="11"/>
    <d v="2026-03-15T00:00:00"/>
    <s v="No Portfolio"/>
    <s v="USD"/>
    <x v="0"/>
    <s v="broad组"/>
    <s v="Amazon"/>
    <s v="United States"/>
    <s v="cup holder for stroller"/>
    <s v="BROAD"/>
    <x v="788"/>
    <n v="3"/>
    <n v="1"/>
    <n v="0.33333333333333331"/>
    <n v="0.21"/>
    <n v="0.21"/>
    <n v="0"/>
    <m/>
    <n v="0"/>
    <n v="0"/>
    <n v="0"/>
    <n v="0"/>
    <n v="0"/>
    <n v="0"/>
    <n v="0"/>
    <n v="0"/>
  </r>
  <r>
    <x v="2"/>
    <x v="10"/>
    <d v="2026-03-04T00:00:00"/>
    <s v="No Portfolio"/>
    <s v="USD"/>
    <x v="4"/>
    <s v="stroller tray"/>
    <s v="Amazon"/>
    <s v="United States"/>
    <s v="close-match"/>
    <s v="-"/>
    <x v="238"/>
    <n v="9"/>
    <n v="1"/>
    <n v="0.1111111111111111"/>
    <n v="0.73"/>
    <n v="0.73"/>
    <n v="0"/>
    <m/>
    <n v="0"/>
    <n v="0"/>
    <n v="0"/>
    <n v="0"/>
    <n v="0"/>
    <n v="0"/>
    <n v="0"/>
    <n v="0"/>
  </r>
  <r>
    <x v="2"/>
    <x v="11"/>
    <d v="2026-03-21T00:00:00"/>
    <s v="No Portfolio"/>
    <s v="USD"/>
    <x v="4"/>
    <s v="stroller tray"/>
    <s v="Amazon"/>
    <s v="United States"/>
    <s v="close-match"/>
    <s v="-"/>
    <x v="238"/>
    <n v="30"/>
    <n v="1"/>
    <n v="3.3333333333333333E-2"/>
    <n v="0.95"/>
    <n v="0.95"/>
    <n v="0"/>
    <m/>
    <n v="0"/>
    <n v="0"/>
    <n v="0"/>
    <n v="0"/>
    <n v="0"/>
    <n v="0"/>
    <n v="0"/>
    <n v="0"/>
  </r>
  <r>
    <x v="2"/>
    <x v="10"/>
    <d v="2026-03-02T00:00:00"/>
    <s v="No Portfolio"/>
    <s v="USD"/>
    <x v="1"/>
    <s v="broad组"/>
    <s v="Amazon"/>
    <s v="United States"/>
    <s v="stroller tray"/>
    <s v="BROAD"/>
    <x v="238"/>
    <n v="2"/>
    <n v="1"/>
    <n v="0.5"/>
    <n v="0.92"/>
    <n v="0.92"/>
    <n v="0"/>
    <m/>
    <n v="0"/>
    <n v="0"/>
    <n v="0"/>
    <n v="0"/>
    <n v="0"/>
    <n v="0"/>
    <n v="0"/>
    <n v="0"/>
  </r>
  <r>
    <x v="2"/>
    <x v="9"/>
    <d v="2026-03-09T00:00:00"/>
    <s v="No Portfolio"/>
    <s v="USD"/>
    <x v="0"/>
    <s v="broad组"/>
    <s v="Amazon"/>
    <s v="United States"/>
    <s v="stroller clip on tray"/>
    <s v="BROAD"/>
    <x v="238"/>
    <n v="10"/>
    <n v="1"/>
    <n v="0.1"/>
    <n v="0.2"/>
    <n v="0.2"/>
    <n v="0"/>
    <m/>
    <n v="0"/>
    <n v="0"/>
    <n v="0"/>
    <n v="0"/>
    <n v="0"/>
    <n v="0"/>
    <n v="0"/>
    <n v="0"/>
  </r>
  <r>
    <x v="2"/>
    <x v="11"/>
    <d v="2026-03-18T00:00:00"/>
    <s v="No Portfolio"/>
    <s v="USD"/>
    <x v="0"/>
    <s v="phrase&amp;exact"/>
    <s v="Amazon"/>
    <s v="United States"/>
    <s v="universal stroller snack tray"/>
    <s v="PHRASE"/>
    <x v="238"/>
    <n v="10"/>
    <n v="1"/>
    <n v="0.1"/>
    <n v="0.21"/>
    <n v="0.21"/>
    <n v="0"/>
    <m/>
    <n v="0"/>
    <n v="0"/>
    <n v="0"/>
    <n v="0"/>
    <n v="0"/>
    <n v="0"/>
    <n v="0"/>
    <n v="0"/>
  </r>
  <r>
    <x v="2"/>
    <x v="9"/>
    <d v="2026-03-11T00:00:00"/>
    <s v="No Portfolio"/>
    <s v="USD"/>
    <x v="0"/>
    <s v="phrase&amp;exact"/>
    <s v="Amazon"/>
    <s v="United States"/>
    <s v="stroller snack tray"/>
    <s v="PHRASE"/>
    <x v="238"/>
    <n v="35"/>
    <n v="1"/>
    <n v="2.8571428571428571E-2"/>
    <n v="0.2"/>
    <n v="0.2"/>
    <n v="18.989999999999998"/>
    <n v="1.0531858873091103E-2"/>
    <n v="94.949999999999989"/>
    <n v="1"/>
    <n v="1"/>
    <n v="1"/>
    <n v="1"/>
    <n v="0"/>
    <n v="18.989999999999998"/>
    <n v="0"/>
  </r>
  <r>
    <x v="2"/>
    <x v="11"/>
    <d v="2026-03-17T00:00:00"/>
    <s v="No Portfolio"/>
    <s v="USD"/>
    <x v="2"/>
    <s v="Tray"/>
    <s v="Amazon"/>
    <s v="United States"/>
    <s v="asin=&quot;B0DH98H2G4&quot;"/>
    <s v="-"/>
    <x v="238"/>
    <n v="7"/>
    <n v="1"/>
    <n v="0.14285714285714285"/>
    <n v="0.6"/>
    <n v="0.6"/>
    <n v="0"/>
    <m/>
    <n v="0"/>
    <n v="0"/>
    <n v="0"/>
    <n v="0"/>
    <n v="0"/>
    <n v="0"/>
    <n v="0"/>
    <n v="0"/>
  </r>
  <r>
    <x v="2"/>
    <x v="11"/>
    <d v="2026-03-20T00:00:00"/>
    <s v="No Portfolio"/>
    <s v="USD"/>
    <x v="0"/>
    <s v="broad组"/>
    <s v="Amazon"/>
    <s v="United States"/>
    <s v="universal stroller tray"/>
    <s v="BROAD"/>
    <x v="238"/>
    <n v="2"/>
    <n v="1"/>
    <n v="0.5"/>
    <n v="0.2"/>
    <n v="0.2"/>
    <n v="0"/>
    <m/>
    <n v="0"/>
    <n v="0"/>
    <n v="0"/>
    <n v="0"/>
    <n v="0"/>
    <n v="0"/>
    <n v="0"/>
    <n v="0"/>
  </r>
  <r>
    <x v="2"/>
    <x v="11"/>
    <d v="2026-03-18T00:00:00"/>
    <s v="No Portfolio"/>
    <s v="USD"/>
    <x v="2"/>
    <s v="Tray"/>
    <s v="Amazon"/>
    <s v="United States"/>
    <s v="asin=&quot;B0DH98H2G4&quot;"/>
    <s v="-"/>
    <x v="322"/>
    <n v="3"/>
    <n v="1"/>
    <n v="0.33333333333333331"/>
    <n v="0.59"/>
    <n v="0.59"/>
    <n v="0"/>
    <m/>
    <n v="0"/>
    <n v="0"/>
    <n v="0"/>
    <n v="0"/>
    <n v="0"/>
    <n v="0"/>
    <n v="0"/>
    <n v="0"/>
  </r>
  <r>
    <x v="2"/>
    <x v="9"/>
    <d v="2026-03-10T00:00:00"/>
    <s v="No Portfolio"/>
    <s v="USD"/>
    <x v="4"/>
    <s v="stroller tray"/>
    <s v="Amazon"/>
    <s v="United States"/>
    <s v="loose-match"/>
    <s v="-"/>
    <x v="240"/>
    <n v="3"/>
    <n v="1"/>
    <n v="0.33333333333333331"/>
    <n v="0.55000000000000004"/>
    <n v="0.55000000000000004"/>
    <n v="0"/>
    <m/>
    <n v="0"/>
    <n v="0"/>
    <n v="0"/>
    <n v="0"/>
    <n v="0"/>
    <n v="0"/>
    <n v="0"/>
    <n v="0"/>
  </r>
  <r>
    <x v="2"/>
    <x v="9"/>
    <d v="2026-03-10T00:00:00"/>
    <s v="No Portfolio"/>
    <s v="USD"/>
    <x v="0"/>
    <s v="broad组"/>
    <s v="Amazon"/>
    <s v="United States"/>
    <s v="stroller tray"/>
    <s v="BROAD"/>
    <x v="240"/>
    <n v="2"/>
    <n v="1"/>
    <n v="0.5"/>
    <n v="0.21"/>
    <n v="0.21"/>
    <n v="0"/>
    <m/>
    <n v="0"/>
    <n v="0"/>
    <n v="0"/>
    <n v="0"/>
    <n v="0"/>
    <n v="0"/>
    <n v="0"/>
    <n v="0"/>
  </r>
  <r>
    <x v="2"/>
    <x v="11"/>
    <d v="2026-03-21T00:00:00"/>
    <s v="No Portfolio"/>
    <s v="USD"/>
    <x v="0"/>
    <s v="phrase&amp;exact"/>
    <s v="Amazon"/>
    <s v="United States"/>
    <s v="universal stroller tray"/>
    <s v="PHRASE"/>
    <x v="241"/>
    <n v="4"/>
    <n v="1"/>
    <n v="0.25"/>
    <n v="0.21"/>
    <n v="0.21"/>
    <n v="0"/>
    <m/>
    <n v="0"/>
    <n v="0"/>
    <n v="0"/>
    <n v="0"/>
    <n v="0"/>
    <n v="0"/>
    <n v="0"/>
    <n v="0"/>
  </r>
  <r>
    <x v="2"/>
    <x v="9"/>
    <d v="2026-03-13T00:00:00"/>
    <s v="No Portfolio"/>
    <s v="USD"/>
    <x v="4"/>
    <s v="stroller tray"/>
    <s v="Amazon"/>
    <s v="United States"/>
    <s v="close-match"/>
    <s v="-"/>
    <x v="242"/>
    <n v="7"/>
    <n v="1"/>
    <n v="0.14285714285714285"/>
    <n v="0.83"/>
    <n v="0.83"/>
    <n v="0"/>
    <m/>
    <n v="0"/>
    <n v="0"/>
    <n v="0"/>
    <n v="0"/>
    <n v="0"/>
    <n v="0"/>
    <n v="0"/>
    <n v="0"/>
  </r>
  <r>
    <x v="2"/>
    <x v="11"/>
    <d v="2026-03-19T00:00:00"/>
    <s v="No Portfolio"/>
    <s v="USD"/>
    <x v="0"/>
    <s v="broad组"/>
    <s v="Amazon"/>
    <s v="United States"/>
    <s v="clip on snack tray"/>
    <s v="BROAD"/>
    <x v="789"/>
    <n v="4"/>
    <n v="1"/>
    <n v="0.25"/>
    <n v="0.08"/>
    <n v="0.08"/>
    <n v="0"/>
    <m/>
    <n v="0"/>
    <n v="0"/>
    <n v="0"/>
    <n v="0"/>
    <n v="0"/>
    <n v="0"/>
    <n v="0"/>
    <n v="0"/>
  </r>
  <r>
    <x v="2"/>
    <x v="10"/>
    <d v="2026-03-02T00:00:00"/>
    <s v="No Portfolio"/>
    <s v="USD"/>
    <x v="1"/>
    <s v="broad组"/>
    <s v="Amazon"/>
    <s v="United States"/>
    <s v="wagon cup holder"/>
    <s v="BROAD"/>
    <x v="790"/>
    <n v="2"/>
    <n v="1"/>
    <n v="0.5"/>
    <n v="1.03"/>
    <n v="1.03"/>
    <n v="0"/>
    <m/>
    <n v="0"/>
    <n v="0"/>
    <n v="0"/>
    <n v="0"/>
    <n v="0"/>
    <n v="0"/>
    <n v="0"/>
    <n v="0"/>
  </r>
  <r>
    <x v="2"/>
    <x v="10"/>
    <d v="2026-03-05T00:00:00"/>
    <s v="No Portfolio"/>
    <s v="USD"/>
    <x v="0"/>
    <s v="broad组"/>
    <s v="Amazon"/>
    <s v="United States"/>
    <s v="stroller tray"/>
    <s v="BROAD"/>
    <x v="791"/>
    <n v="2"/>
    <n v="1"/>
    <n v="0.5"/>
    <n v="0.21"/>
    <n v="0.21"/>
    <n v="0"/>
    <m/>
    <n v="0"/>
    <n v="0"/>
    <n v="0"/>
    <n v="0"/>
    <n v="0"/>
    <n v="0"/>
    <n v="0"/>
    <n v="0"/>
  </r>
  <r>
    <x v="2"/>
    <x v="9"/>
    <d v="2026-03-12T00:00:00"/>
    <s v="No Portfolio"/>
    <s v="USD"/>
    <x v="0"/>
    <s v="phrase&amp;exact"/>
    <s v="Amazon"/>
    <s v="United States"/>
    <s v="stroller snack tray"/>
    <s v="PHRASE"/>
    <x v="792"/>
    <n v="2"/>
    <n v="1"/>
    <n v="0.5"/>
    <n v="0.2"/>
    <n v="0.2"/>
    <n v="0"/>
    <m/>
    <n v="0"/>
    <n v="0"/>
    <n v="0"/>
    <n v="0"/>
    <n v="0"/>
    <n v="0"/>
    <n v="0"/>
    <n v="0"/>
  </r>
  <r>
    <x v="2"/>
    <x v="10"/>
    <d v="2026-03-06T00:00:00"/>
    <s v="No Portfolio"/>
    <s v="USD"/>
    <x v="2"/>
    <s v="Tray"/>
    <s v="Amazon"/>
    <s v="United States"/>
    <s v="asin=&quot;B0DH98H2G4&quot;"/>
    <s v="-"/>
    <x v="793"/>
    <n v="1"/>
    <n v="1"/>
    <n v="1"/>
    <n v="0.8"/>
    <n v="0.8"/>
    <n v="0"/>
    <m/>
    <n v="0"/>
    <n v="0"/>
    <n v="0"/>
    <n v="0"/>
    <n v="0"/>
    <n v="0"/>
    <n v="0"/>
    <n v="0"/>
  </r>
  <r>
    <x v="2"/>
    <x v="12"/>
    <d v="2026-03-30T00:00:00"/>
    <s v="No Portfolio"/>
    <s v="USD"/>
    <x v="0"/>
    <s v="broad组"/>
    <s v="Amazon"/>
    <s v="United States"/>
    <s v="stroller cup holder"/>
    <s v="BROAD"/>
    <x v="794"/>
    <n v="2"/>
    <n v="1"/>
    <n v="0.5"/>
    <n v="0.21"/>
    <n v="0.21"/>
    <n v="0"/>
    <m/>
    <n v="0"/>
    <n v="0"/>
    <n v="0"/>
    <n v="0"/>
    <n v="0"/>
    <n v="0"/>
    <n v="0"/>
    <n v="0"/>
  </r>
  <r>
    <x v="2"/>
    <x v="12"/>
    <d v="2026-03-29T00:00:00"/>
    <s v="No Portfolio"/>
    <s v="USD"/>
    <x v="0"/>
    <s v="broad组"/>
    <s v="Amazon"/>
    <s v="United States"/>
    <s v="stroller accessories"/>
    <s v="BROAD"/>
    <x v="795"/>
    <n v="2"/>
    <n v="1"/>
    <n v="0.5"/>
    <n v="0.16"/>
    <n v="0.16"/>
    <n v="0"/>
    <m/>
    <n v="0"/>
    <n v="0"/>
    <n v="0"/>
    <n v="0"/>
    <n v="0"/>
    <n v="0"/>
    <n v="0"/>
    <n v="0"/>
  </r>
  <r>
    <x v="2"/>
    <x v="13"/>
    <d v="2026-03-28T00:00:00"/>
    <s v="No Portfolio"/>
    <s v="USD"/>
    <x v="0"/>
    <s v="broad组"/>
    <s v="Amazon"/>
    <s v="United States"/>
    <s v="stroller accessories"/>
    <s v="BROAD"/>
    <x v="796"/>
    <n v="2"/>
    <n v="1"/>
    <n v="0.5"/>
    <n v="0.16"/>
    <n v="0.16"/>
    <n v="0"/>
    <m/>
    <n v="0"/>
    <n v="0"/>
    <n v="0"/>
    <n v="0"/>
    <n v="0"/>
    <n v="0"/>
    <n v="0"/>
    <n v="0"/>
  </r>
  <r>
    <x v="2"/>
    <x v="13"/>
    <d v="2026-03-22T00:00:00"/>
    <s v="No Portfolio"/>
    <s v="USD"/>
    <x v="4"/>
    <s v="stroller tray"/>
    <s v="Amazon"/>
    <s v="United States"/>
    <s v="loose-match"/>
    <s v="-"/>
    <x v="797"/>
    <n v="1"/>
    <n v="1"/>
    <n v="1"/>
    <n v="0.45"/>
    <n v="0.45"/>
    <n v="18.989999999999998"/>
    <n v="2.3696682464454978E-2"/>
    <n v="42.199999999999996"/>
    <n v="1"/>
    <n v="1"/>
    <n v="1"/>
    <n v="0"/>
    <n v="1"/>
    <n v="0"/>
    <n v="18.989999999999998"/>
  </r>
  <r>
    <x v="2"/>
    <x v="13"/>
    <d v="2026-03-28T00:00:00"/>
    <s v="No Portfolio"/>
    <s v="USD"/>
    <x v="0"/>
    <s v="phrase&amp;exact"/>
    <s v="Amazon"/>
    <s v="United States"/>
    <s v="stroller cup holder"/>
    <s v="PHRASE"/>
    <x v="798"/>
    <n v="1"/>
    <n v="1"/>
    <n v="1"/>
    <n v="0.21"/>
    <n v="0.21"/>
    <n v="0"/>
    <m/>
    <n v="0"/>
    <n v="0"/>
    <n v="0"/>
    <n v="0"/>
    <n v="0"/>
    <n v="0"/>
    <n v="0"/>
    <n v="0"/>
  </r>
  <r>
    <x v="2"/>
    <x v="13"/>
    <d v="2026-03-24T00:00:00"/>
    <s v="No Portfolio"/>
    <s v="USD"/>
    <x v="6"/>
    <s v="ENC"/>
    <s v="Amazon"/>
    <s v="United States"/>
    <s v="loose-match"/>
    <s v="-"/>
    <x v="799"/>
    <n v="1"/>
    <n v="1"/>
    <n v="1"/>
    <n v="1.25"/>
    <n v="1.25"/>
    <n v="0"/>
    <m/>
    <n v="0"/>
    <n v="0"/>
    <n v="0"/>
    <n v="0"/>
    <n v="0"/>
    <n v="0"/>
    <n v="0"/>
    <n v="0"/>
  </r>
  <r>
    <x v="2"/>
    <x v="13"/>
    <d v="2026-03-27T00:00:00"/>
    <s v="No Portfolio"/>
    <s v="USD"/>
    <x v="4"/>
    <s v="stroller tray"/>
    <s v="Amazon"/>
    <s v="United States"/>
    <s v="substitutes"/>
    <s v="-"/>
    <x v="800"/>
    <n v="1"/>
    <n v="1"/>
    <n v="1"/>
    <n v="0.47"/>
    <n v="0.47"/>
    <n v="0"/>
    <m/>
    <n v="0"/>
    <n v="0"/>
    <n v="0"/>
    <n v="0"/>
    <n v="0"/>
    <n v="0"/>
    <n v="0"/>
    <n v="0"/>
  </r>
  <r>
    <x v="2"/>
    <x v="12"/>
    <d v="2026-03-31T00:00:00"/>
    <s v="No Portfolio"/>
    <s v="USD"/>
    <x v="4"/>
    <s v="stroller tray"/>
    <s v="Amazon"/>
    <s v="United States"/>
    <s v="substitutes"/>
    <s v="-"/>
    <x v="801"/>
    <n v="1"/>
    <n v="1"/>
    <n v="1"/>
    <n v="0.47"/>
    <n v="0.47"/>
    <n v="0"/>
    <m/>
    <n v="0"/>
    <n v="0"/>
    <n v="0"/>
    <n v="0"/>
    <n v="0"/>
    <n v="0"/>
    <n v="0"/>
    <n v="0"/>
  </r>
  <r>
    <x v="2"/>
    <x v="13"/>
    <d v="2026-03-23T00:00:00"/>
    <s v="No Portfolio"/>
    <s v="USD"/>
    <x v="4"/>
    <s v="stroller tray"/>
    <s v="Amazon"/>
    <s v="United States"/>
    <s v="substitutes"/>
    <s v="-"/>
    <x v="613"/>
    <n v="6"/>
    <n v="1"/>
    <n v="0.16666666666666663"/>
    <n v="0.1"/>
    <n v="0.1"/>
    <n v="18.989999999999998"/>
    <n v="5.2659294365455514E-3"/>
    <n v="189.89999999999998"/>
    <n v="1"/>
    <n v="1"/>
    <n v="1"/>
    <n v="0"/>
    <n v="1"/>
    <n v="0"/>
    <n v="18.989999999999998"/>
  </r>
  <r>
    <x v="2"/>
    <x v="13"/>
    <d v="2026-03-27T00:00:00"/>
    <s v="No Portfolio"/>
    <s v="USD"/>
    <x v="4"/>
    <s v="stroller tray"/>
    <s v="Amazon"/>
    <s v="United States"/>
    <s v="substitutes"/>
    <s v="-"/>
    <x v="802"/>
    <n v="1"/>
    <n v="1"/>
    <n v="1"/>
    <n v="0.47"/>
    <n v="0.47"/>
    <n v="0"/>
    <m/>
    <n v="0"/>
    <n v="0"/>
    <n v="0"/>
    <n v="0"/>
    <n v="0"/>
    <n v="0"/>
    <n v="0"/>
    <n v="0"/>
  </r>
  <r>
    <x v="2"/>
    <x v="13"/>
    <d v="2026-03-28T00:00:00"/>
    <s v="No Portfolio"/>
    <s v="USD"/>
    <x v="4"/>
    <s v="stroller tray"/>
    <s v="Amazon"/>
    <s v="United States"/>
    <s v="substitutes"/>
    <s v="-"/>
    <x v="12"/>
    <n v="2"/>
    <n v="1"/>
    <n v="0.5"/>
    <n v="0.47"/>
    <n v="0.47"/>
    <n v="0"/>
    <m/>
    <n v="0"/>
    <n v="0"/>
    <n v="0"/>
    <n v="0"/>
    <n v="0"/>
    <n v="0"/>
    <n v="0"/>
    <n v="0"/>
  </r>
  <r>
    <x v="2"/>
    <x v="13"/>
    <d v="2026-03-28T00:00:00"/>
    <s v="No Portfolio"/>
    <s v="USD"/>
    <x v="2"/>
    <s v="Tray"/>
    <s v="Amazon"/>
    <s v="United States"/>
    <s v="asin=&quot;B0BZDB9YRP&quot;"/>
    <s v="-"/>
    <x v="12"/>
    <n v="4"/>
    <n v="2"/>
    <n v="0.5"/>
    <n v="0.45500000000000002"/>
    <n v="0.91"/>
    <n v="0"/>
    <m/>
    <n v="0"/>
    <n v="0"/>
    <n v="0"/>
    <n v="0"/>
    <n v="0"/>
    <n v="0"/>
    <n v="0"/>
    <n v="0"/>
  </r>
  <r>
    <x v="2"/>
    <x v="13"/>
    <d v="2026-03-28T00:00:00"/>
    <s v="No Portfolio"/>
    <s v="USD"/>
    <x v="4"/>
    <s v="stroller tray"/>
    <s v="Amazon"/>
    <s v="United States"/>
    <s v="substitutes"/>
    <s v="-"/>
    <x v="803"/>
    <n v="1"/>
    <n v="1"/>
    <n v="1"/>
    <n v="0.47"/>
    <n v="0.47"/>
    <n v="0"/>
    <m/>
    <n v="0"/>
    <n v="0"/>
    <n v="0"/>
    <n v="0"/>
    <n v="0"/>
    <n v="0"/>
    <n v="0"/>
    <n v="0"/>
  </r>
  <r>
    <x v="2"/>
    <x v="12"/>
    <d v="2026-03-29T00:00:00"/>
    <s v="No Portfolio"/>
    <s v="USD"/>
    <x v="2"/>
    <s v="Tray"/>
    <s v="Amazon"/>
    <s v="United States"/>
    <s v="asin=&quot;B0D9Q9X59P&quot;"/>
    <s v="-"/>
    <x v="16"/>
    <n v="2"/>
    <n v="1"/>
    <n v="0.5"/>
    <n v="0.28000000000000003"/>
    <n v="0.28000000000000003"/>
    <n v="0"/>
    <m/>
    <n v="0"/>
    <n v="0"/>
    <n v="0"/>
    <n v="0"/>
    <n v="0"/>
    <n v="0"/>
    <n v="0"/>
    <n v="0"/>
  </r>
  <r>
    <x v="2"/>
    <x v="13"/>
    <d v="2026-03-22T00:00:00"/>
    <s v="No Portfolio"/>
    <s v="USD"/>
    <x v="2"/>
    <s v="Tray"/>
    <s v="Amazon"/>
    <s v="United States"/>
    <s v="asin=&quot;B0DH98H2G4&quot;"/>
    <s v="-"/>
    <x v="18"/>
    <n v="185"/>
    <n v="1"/>
    <n v="5.4054054054054057E-3"/>
    <n v="0.6"/>
    <n v="0.6"/>
    <n v="0"/>
    <m/>
    <n v="0"/>
    <n v="0"/>
    <n v="0"/>
    <n v="0"/>
    <n v="0"/>
    <n v="0"/>
    <n v="0"/>
    <n v="0"/>
  </r>
  <r>
    <x v="2"/>
    <x v="13"/>
    <d v="2026-03-23T00:00:00"/>
    <s v="No Portfolio"/>
    <s v="USD"/>
    <x v="2"/>
    <s v="Tray"/>
    <s v="Amazon"/>
    <s v="United States"/>
    <s v="asin=&quot;B0DH98H2G4&quot;"/>
    <s v="-"/>
    <x v="18"/>
    <n v="104"/>
    <n v="2"/>
    <n v="1.9230769230769232E-2"/>
    <n v="0.38"/>
    <n v="0.76"/>
    <n v="17.09"/>
    <n v="4.4470450555880628E-2"/>
    <n v="22.486842105263158"/>
    <n v="1"/>
    <n v="1"/>
    <n v="0.5"/>
    <n v="0"/>
    <n v="1"/>
    <n v="0"/>
    <n v="17.09"/>
  </r>
  <r>
    <x v="2"/>
    <x v="13"/>
    <d v="2026-03-25T00:00:00"/>
    <s v="No Portfolio"/>
    <s v="USD"/>
    <x v="2"/>
    <s v="Tray"/>
    <s v="Amazon"/>
    <s v="United States"/>
    <s v="asin=&quot;B0DH98H2G4&quot;"/>
    <s v="-"/>
    <x v="18"/>
    <n v="87"/>
    <n v="2"/>
    <n v="2.2988505747126436E-2"/>
    <n v="0.45"/>
    <n v="0.9"/>
    <n v="0"/>
    <m/>
    <n v="0"/>
    <n v="0"/>
    <n v="0"/>
    <n v="0"/>
    <n v="0"/>
    <n v="0"/>
    <n v="0"/>
    <n v="0"/>
  </r>
  <r>
    <x v="2"/>
    <x v="13"/>
    <d v="2026-03-26T00:00:00"/>
    <s v="No Portfolio"/>
    <s v="USD"/>
    <x v="2"/>
    <s v="Tray"/>
    <s v="Amazon"/>
    <s v="United States"/>
    <s v="asin=&quot;B0DH98H2G4&quot;"/>
    <s v="-"/>
    <x v="18"/>
    <n v="355"/>
    <n v="3"/>
    <n v="8.4507042253521118E-3"/>
    <n v="0.5"/>
    <n v="1.5"/>
    <n v="18.989999999999998"/>
    <n v="7.8988941548183256E-2"/>
    <n v="12.659999999999998"/>
    <n v="1"/>
    <n v="1"/>
    <n v="0.33333333333333331"/>
    <n v="1"/>
    <n v="0"/>
    <n v="18.989999999999998"/>
    <n v="0"/>
  </r>
  <r>
    <x v="2"/>
    <x v="13"/>
    <d v="2026-03-27T00:00:00"/>
    <s v="No Portfolio"/>
    <s v="USD"/>
    <x v="2"/>
    <s v="Tray"/>
    <s v="Amazon"/>
    <s v="United States"/>
    <s v="asin=&quot;B0DH98H2G4&quot;"/>
    <s v="-"/>
    <x v="18"/>
    <n v="77"/>
    <n v="1"/>
    <n v="1.2987012987012986E-2"/>
    <n v="0.56000000000000005"/>
    <n v="0.56000000000000005"/>
    <n v="0"/>
    <m/>
    <n v="0"/>
    <n v="0"/>
    <n v="0"/>
    <n v="0"/>
    <n v="0"/>
    <n v="0"/>
    <n v="0"/>
    <n v="0"/>
  </r>
  <r>
    <x v="2"/>
    <x v="13"/>
    <d v="2026-03-28T00:00:00"/>
    <s v="No Portfolio"/>
    <s v="USD"/>
    <x v="2"/>
    <s v="Tray"/>
    <s v="Amazon"/>
    <s v="United States"/>
    <s v="asin=&quot;B0DH98H2G4&quot;"/>
    <s v="-"/>
    <x v="18"/>
    <n v="134"/>
    <n v="2"/>
    <n v="1.4925373134328356E-2"/>
    <n v="0.56000000000000005"/>
    <n v="1.1200000000000001"/>
    <n v="0"/>
    <m/>
    <n v="0"/>
    <n v="0"/>
    <n v="0"/>
    <n v="0"/>
    <n v="0"/>
    <n v="0"/>
    <n v="0"/>
    <n v="0"/>
  </r>
  <r>
    <x v="2"/>
    <x v="12"/>
    <d v="2026-03-29T00:00:00"/>
    <s v="No Portfolio"/>
    <s v="USD"/>
    <x v="2"/>
    <s v="Tray"/>
    <s v="Amazon"/>
    <s v="United States"/>
    <s v="asin=&quot;B0DH98H2G4&quot;"/>
    <s v="-"/>
    <x v="18"/>
    <n v="231"/>
    <n v="2"/>
    <n v="8.658008658008658E-3"/>
    <n v="0.56000000000000005"/>
    <n v="1.1200000000000001"/>
    <n v="0"/>
    <m/>
    <n v="0"/>
    <n v="0"/>
    <n v="0"/>
    <n v="0"/>
    <n v="0"/>
    <n v="0"/>
    <n v="0"/>
    <n v="0"/>
  </r>
  <r>
    <x v="2"/>
    <x v="12"/>
    <d v="2026-03-30T00:00:00"/>
    <s v="No Portfolio"/>
    <s v="USD"/>
    <x v="2"/>
    <s v="Tray"/>
    <s v="Amazon"/>
    <s v="United States"/>
    <s v="asin=&quot;B0DH98H2G4&quot;"/>
    <s v="-"/>
    <x v="18"/>
    <n v="161"/>
    <n v="4"/>
    <n v="2.4844720496894412E-2"/>
    <n v="0.67500000000000004"/>
    <n v="2.7"/>
    <n v="0"/>
    <m/>
    <n v="0"/>
    <n v="0"/>
    <n v="0"/>
    <n v="0"/>
    <n v="0"/>
    <n v="0"/>
    <n v="0"/>
    <n v="0"/>
  </r>
  <r>
    <x v="2"/>
    <x v="12"/>
    <d v="2026-03-31T00:00:00"/>
    <s v="No Portfolio"/>
    <s v="USD"/>
    <x v="2"/>
    <s v="Tray"/>
    <s v="Amazon"/>
    <s v="United States"/>
    <s v="asin=&quot;B0DH98H2G4&quot;"/>
    <s v="-"/>
    <x v="18"/>
    <n v="316"/>
    <n v="2"/>
    <n v="6.3291139240506328E-3"/>
    <n v="0.57999999999999996"/>
    <n v="1.1599999999999999"/>
    <n v="0"/>
    <m/>
    <n v="0"/>
    <n v="0"/>
    <n v="0"/>
    <n v="0"/>
    <n v="0"/>
    <n v="0"/>
    <n v="0"/>
    <n v="0"/>
  </r>
  <r>
    <x v="2"/>
    <x v="13"/>
    <d v="2026-03-23T00:00:00"/>
    <s v="No Portfolio"/>
    <s v="USD"/>
    <x v="2"/>
    <s v="Tray"/>
    <s v="Amazon"/>
    <s v="United States"/>
    <s v="asin=&quot;B0DKNQ2BMP&quot;"/>
    <s v="-"/>
    <x v="628"/>
    <n v="33"/>
    <n v="1"/>
    <n v="3.0303030303030304E-2"/>
    <n v="0.57999999999999996"/>
    <n v="0.57999999999999996"/>
    <n v="0"/>
    <m/>
    <n v="0"/>
    <n v="0"/>
    <n v="0"/>
    <n v="0"/>
    <n v="0"/>
    <n v="0"/>
    <n v="0"/>
    <n v="0"/>
  </r>
  <r>
    <x v="2"/>
    <x v="12"/>
    <d v="2026-03-29T00:00:00"/>
    <s v="No Portfolio"/>
    <s v="USD"/>
    <x v="2"/>
    <s v="Tray"/>
    <s v="Amazon"/>
    <s v="United States"/>
    <s v="asin=&quot;B0DKNQ2BMP&quot;"/>
    <s v="-"/>
    <x v="628"/>
    <n v="8"/>
    <n v="1"/>
    <n v="0.125"/>
    <n v="0.5"/>
    <n v="0.5"/>
    <n v="0"/>
    <m/>
    <n v="0"/>
    <n v="0"/>
    <n v="0"/>
    <n v="0"/>
    <n v="0"/>
    <n v="0"/>
    <n v="0"/>
    <n v="0"/>
  </r>
  <r>
    <x v="2"/>
    <x v="13"/>
    <d v="2026-03-22T00:00:00"/>
    <s v="No Portfolio"/>
    <s v="USD"/>
    <x v="2"/>
    <s v="Tray"/>
    <s v="Amazon"/>
    <s v="United States"/>
    <s v="asin=&quot;B0DSBVB1WW&quot;"/>
    <s v="-"/>
    <x v="21"/>
    <n v="32"/>
    <n v="1"/>
    <n v="3.125E-2"/>
    <n v="1.1599999999999999"/>
    <n v="1.1599999999999999"/>
    <n v="0"/>
    <m/>
    <n v="0"/>
    <n v="0"/>
    <n v="0"/>
    <n v="0"/>
    <n v="0"/>
    <n v="0"/>
    <n v="0"/>
    <n v="0"/>
  </r>
  <r>
    <x v="2"/>
    <x v="13"/>
    <d v="2026-03-23T00:00:00"/>
    <s v="No Portfolio"/>
    <s v="USD"/>
    <x v="2"/>
    <s v="Tray"/>
    <s v="Amazon"/>
    <s v="United States"/>
    <s v="asin=&quot;B0DSBVB1WW&quot;"/>
    <s v="-"/>
    <x v="21"/>
    <n v="31"/>
    <n v="1"/>
    <n v="3.2258064516129031E-2"/>
    <n v="0.86"/>
    <n v="0.86"/>
    <n v="0"/>
    <m/>
    <n v="0"/>
    <n v="0"/>
    <n v="0"/>
    <n v="0"/>
    <n v="0"/>
    <n v="0"/>
    <n v="0"/>
    <n v="0"/>
  </r>
  <r>
    <x v="2"/>
    <x v="12"/>
    <d v="2026-03-31T00:00:00"/>
    <s v="No Portfolio"/>
    <s v="USD"/>
    <x v="2"/>
    <s v="Tray"/>
    <s v="Amazon"/>
    <s v="United States"/>
    <s v="asin=&quot;B0DSBVB1WW&quot;"/>
    <s v="-"/>
    <x v="21"/>
    <n v="14"/>
    <n v="1"/>
    <n v="7.1428571428571425E-2"/>
    <n v="0.87"/>
    <n v="0.87"/>
    <n v="0"/>
    <m/>
    <n v="0"/>
    <n v="0"/>
    <n v="0"/>
    <n v="0"/>
    <n v="0"/>
    <n v="0"/>
    <n v="0"/>
    <n v="0"/>
  </r>
  <r>
    <x v="2"/>
    <x v="13"/>
    <d v="2026-03-22T00:00:00"/>
    <s v="No Portfolio"/>
    <s v="USD"/>
    <x v="2"/>
    <s v="Tray"/>
    <s v="Amazon"/>
    <s v="United States"/>
    <s v="asin=&quot;B0F4KJN2VC&quot;"/>
    <s v="-"/>
    <x v="24"/>
    <n v="136"/>
    <n v="1"/>
    <n v="7.3529411764705881E-3"/>
    <n v="0.48"/>
    <n v="0.48"/>
    <n v="0"/>
    <m/>
    <n v="0"/>
    <n v="0"/>
    <n v="0"/>
    <n v="0"/>
    <n v="0"/>
    <n v="0"/>
    <n v="0"/>
    <n v="0"/>
  </r>
  <r>
    <x v="2"/>
    <x v="13"/>
    <d v="2026-03-23T00:00:00"/>
    <s v="No Portfolio"/>
    <s v="USD"/>
    <x v="2"/>
    <s v="Tray"/>
    <s v="Amazon"/>
    <s v="United States"/>
    <s v="asin=&quot;B0F4KJN2VC&quot;"/>
    <s v="-"/>
    <x v="24"/>
    <n v="98"/>
    <n v="1"/>
    <n v="1.020408163265306E-2"/>
    <n v="0.3"/>
    <n v="0.3"/>
    <n v="0"/>
    <m/>
    <n v="0"/>
    <n v="0"/>
    <n v="0"/>
    <n v="0"/>
    <n v="0"/>
    <n v="0"/>
    <n v="0"/>
    <n v="0"/>
  </r>
  <r>
    <x v="2"/>
    <x v="13"/>
    <d v="2026-03-24T00:00:00"/>
    <s v="No Portfolio"/>
    <s v="USD"/>
    <x v="2"/>
    <s v="Tray"/>
    <s v="Amazon"/>
    <s v="United States"/>
    <s v="asin=&quot;B0F4KJN2VC&quot;"/>
    <s v="-"/>
    <x v="24"/>
    <n v="268"/>
    <n v="3"/>
    <n v="1.1194029850746268E-2"/>
    <n v="0.52"/>
    <n v="1.56"/>
    <n v="0"/>
    <m/>
    <n v="0"/>
    <n v="0"/>
    <n v="0"/>
    <n v="0"/>
    <n v="0"/>
    <n v="0"/>
    <n v="0"/>
    <n v="0"/>
  </r>
  <r>
    <x v="2"/>
    <x v="13"/>
    <d v="2026-03-25T00:00:00"/>
    <s v="No Portfolio"/>
    <s v="USD"/>
    <x v="2"/>
    <s v="Tray"/>
    <s v="Amazon"/>
    <s v="United States"/>
    <s v="asin=&quot;B0F4KJN2VC&quot;"/>
    <s v="-"/>
    <x v="24"/>
    <n v="126"/>
    <n v="3"/>
    <n v="2.3809523809523812E-2"/>
    <n v="0.3"/>
    <n v="0.9"/>
    <n v="0"/>
    <m/>
    <n v="0"/>
    <n v="0"/>
    <n v="0"/>
    <n v="0"/>
    <n v="0"/>
    <n v="0"/>
    <n v="0"/>
    <n v="0"/>
  </r>
  <r>
    <x v="2"/>
    <x v="13"/>
    <d v="2026-03-26T00:00:00"/>
    <s v="No Portfolio"/>
    <s v="USD"/>
    <x v="2"/>
    <s v="Tray"/>
    <s v="Amazon"/>
    <s v="United States"/>
    <s v="asin=&quot;B0F4KJN2VC&quot;"/>
    <s v="-"/>
    <x v="24"/>
    <n v="211"/>
    <n v="1"/>
    <n v="4.7393364928909956E-3"/>
    <n v="0.28999999999999998"/>
    <n v="0.28999999999999998"/>
    <n v="0"/>
    <m/>
    <n v="0"/>
    <n v="0"/>
    <n v="0"/>
    <n v="0"/>
    <n v="0"/>
    <n v="0"/>
    <n v="0"/>
    <n v="0"/>
  </r>
  <r>
    <x v="2"/>
    <x v="12"/>
    <d v="2026-03-29T00:00:00"/>
    <s v="No Portfolio"/>
    <s v="USD"/>
    <x v="2"/>
    <s v="Tray"/>
    <s v="Amazon"/>
    <s v="United States"/>
    <s v="asin=&quot;B0F4KJN2VC&quot;"/>
    <s v="-"/>
    <x v="24"/>
    <n v="65"/>
    <n v="2"/>
    <n v="3.0769230769230771E-2"/>
    <n v="0.28999999999999998"/>
    <n v="0.57999999999999996"/>
    <n v="0"/>
    <m/>
    <n v="0"/>
    <n v="0"/>
    <n v="0"/>
    <n v="0"/>
    <n v="0"/>
    <n v="0"/>
    <n v="0"/>
    <n v="0"/>
  </r>
  <r>
    <x v="2"/>
    <x v="12"/>
    <d v="2026-03-30T00:00:00"/>
    <s v="No Portfolio"/>
    <s v="USD"/>
    <x v="2"/>
    <s v="Tray"/>
    <s v="Amazon"/>
    <s v="United States"/>
    <s v="asin=&quot;B0F4KJN2VC&quot;"/>
    <s v="-"/>
    <x v="24"/>
    <n v="42"/>
    <n v="1"/>
    <n v="2.3809523809523812E-2"/>
    <n v="0.38"/>
    <n v="0.38"/>
    <n v="0"/>
    <m/>
    <n v="0"/>
    <n v="0"/>
    <n v="0"/>
    <n v="0"/>
    <n v="0"/>
    <n v="0"/>
    <n v="0"/>
    <n v="0"/>
  </r>
  <r>
    <x v="2"/>
    <x v="12"/>
    <d v="2026-03-31T00:00:00"/>
    <s v="No Portfolio"/>
    <s v="USD"/>
    <x v="2"/>
    <s v="Tray"/>
    <s v="Amazon"/>
    <s v="United States"/>
    <s v="asin=&quot;B0F4KJN2VC&quot;"/>
    <s v="-"/>
    <x v="24"/>
    <n v="220"/>
    <n v="1"/>
    <n v="4.5454545454545452E-3"/>
    <n v="0.38"/>
    <n v="0.38"/>
    <n v="0"/>
    <m/>
    <n v="0"/>
    <n v="0"/>
    <n v="0"/>
    <n v="0"/>
    <n v="0"/>
    <n v="0"/>
    <n v="0"/>
    <n v="0"/>
  </r>
  <r>
    <x v="2"/>
    <x v="13"/>
    <d v="2026-03-24T00:00:00"/>
    <s v="No Portfolio"/>
    <s v="USD"/>
    <x v="4"/>
    <s v="stroller tray"/>
    <s v="Amazon"/>
    <s v="United States"/>
    <s v="substitutes"/>
    <s v="-"/>
    <x v="341"/>
    <n v="6"/>
    <n v="1"/>
    <n v="0.16666666666666663"/>
    <n v="0.49"/>
    <n v="0.49"/>
    <n v="0"/>
    <m/>
    <n v="0"/>
    <n v="0"/>
    <n v="0"/>
    <n v="0"/>
    <n v="0"/>
    <n v="0"/>
    <n v="0"/>
    <n v="0"/>
  </r>
  <r>
    <x v="2"/>
    <x v="13"/>
    <d v="2026-03-22T00:00:00"/>
    <s v="No Portfolio"/>
    <s v="USD"/>
    <x v="4"/>
    <s v="stroller tray"/>
    <s v="Amazon"/>
    <s v="United States"/>
    <s v="substitutes"/>
    <s v="-"/>
    <x v="258"/>
    <n v="7"/>
    <n v="1"/>
    <n v="0.14285714285714285"/>
    <n v="0.57999999999999996"/>
    <n v="0.57999999999999996"/>
    <n v="0"/>
    <m/>
    <n v="0"/>
    <n v="0"/>
    <n v="0"/>
    <n v="0"/>
    <n v="0"/>
    <n v="0"/>
    <n v="0"/>
    <n v="0"/>
  </r>
  <r>
    <x v="2"/>
    <x v="12"/>
    <d v="2026-03-29T00:00:00"/>
    <s v="No Portfolio"/>
    <s v="USD"/>
    <x v="4"/>
    <s v="stroller tray"/>
    <s v="Amazon"/>
    <s v="United States"/>
    <s v="substitutes"/>
    <s v="-"/>
    <x v="258"/>
    <n v="8"/>
    <n v="1"/>
    <n v="0.125"/>
    <n v="0.4"/>
    <n v="0.4"/>
    <n v="0"/>
    <m/>
    <n v="0"/>
    <n v="0"/>
    <n v="0"/>
    <n v="0"/>
    <n v="0"/>
    <n v="0"/>
    <n v="0"/>
    <n v="0"/>
  </r>
  <r>
    <x v="2"/>
    <x v="12"/>
    <d v="2026-03-29T00:00:00"/>
    <s v="No Portfolio"/>
    <s v="USD"/>
    <x v="6"/>
    <s v="ENC"/>
    <s v="Amazon"/>
    <s v="United States"/>
    <s v="loose-match"/>
    <s v="-"/>
    <x v="804"/>
    <n v="71"/>
    <n v="1"/>
    <n v="1.4084507042253521E-2"/>
    <n v="1.2"/>
    <n v="1.2"/>
    <n v="0"/>
    <m/>
    <n v="0"/>
    <n v="0"/>
    <n v="0"/>
    <n v="0"/>
    <n v="0"/>
    <n v="0"/>
    <n v="0"/>
    <n v="0"/>
  </r>
  <r>
    <x v="2"/>
    <x v="13"/>
    <d v="2026-03-25T00:00:00"/>
    <s v="No Portfolio"/>
    <s v="USD"/>
    <x v="6"/>
    <s v="ENC"/>
    <s v="Amazon"/>
    <s v="United States"/>
    <s v="loose-match"/>
    <s v="-"/>
    <x v="805"/>
    <n v="7"/>
    <n v="2"/>
    <n v="0.2857142857142857"/>
    <n v="1.1499999999999999"/>
    <n v="2.2999999999999998"/>
    <n v="0"/>
    <m/>
    <n v="0"/>
    <n v="0"/>
    <n v="0"/>
    <n v="0"/>
    <n v="0"/>
    <n v="0"/>
    <n v="0"/>
    <n v="0"/>
  </r>
  <r>
    <x v="2"/>
    <x v="13"/>
    <d v="2026-03-28T00:00:00"/>
    <s v="No Portfolio"/>
    <s v="USD"/>
    <x v="6"/>
    <s v="ENC"/>
    <s v="Amazon"/>
    <s v="United States"/>
    <s v="loose-match"/>
    <s v="-"/>
    <x v="806"/>
    <n v="2"/>
    <n v="1"/>
    <n v="0.5"/>
    <n v="1.2"/>
    <n v="1.2"/>
    <n v="0"/>
    <m/>
    <n v="0"/>
    <n v="0"/>
    <n v="0"/>
    <n v="0"/>
    <n v="0"/>
    <n v="0"/>
    <n v="0"/>
    <n v="0"/>
  </r>
  <r>
    <x v="2"/>
    <x v="13"/>
    <d v="2026-03-23T00:00:00"/>
    <s v="No Portfolio"/>
    <s v="USD"/>
    <x v="5"/>
    <s v="ENC Yellow"/>
    <s v="Amazon"/>
    <s v="United States"/>
    <s v="close-match"/>
    <s v="-"/>
    <x v="37"/>
    <n v="11"/>
    <n v="1"/>
    <n v="9.0909090909090925E-2"/>
    <n v="0.5"/>
    <n v="0.5"/>
    <n v="0"/>
    <m/>
    <n v="0"/>
    <n v="0"/>
    <n v="0"/>
    <n v="0"/>
    <n v="0"/>
    <n v="0"/>
    <n v="0"/>
    <n v="0"/>
  </r>
  <r>
    <x v="2"/>
    <x v="13"/>
    <d v="2026-03-28T00:00:00"/>
    <s v="No Portfolio"/>
    <s v="USD"/>
    <x v="0"/>
    <s v="broad组"/>
    <s v="Amazon"/>
    <s v="United States"/>
    <s v="stroller snack tray"/>
    <s v="BROAD"/>
    <x v="40"/>
    <n v="3"/>
    <n v="1"/>
    <n v="0.33333333333333331"/>
    <n v="0.21"/>
    <n v="0.21"/>
    <n v="0"/>
    <m/>
    <n v="0"/>
    <n v="0"/>
    <n v="0"/>
    <n v="0"/>
    <n v="0"/>
    <n v="0"/>
    <n v="0"/>
    <n v="0"/>
  </r>
  <r>
    <x v="2"/>
    <x v="13"/>
    <d v="2026-03-26T00:00:00"/>
    <s v="No Portfolio"/>
    <s v="USD"/>
    <x v="4"/>
    <s v="stroller tray"/>
    <s v="Amazon"/>
    <s v="United States"/>
    <s v="loose-match"/>
    <s v="-"/>
    <x v="807"/>
    <n v="1"/>
    <n v="1"/>
    <n v="1"/>
    <n v="0.43"/>
    <n v="0.43"/>
    <n v="0"/>
    <m/>
    <n v="0"/>
    <n v="0"/>
    <n v="0"/>
    <n v="0"/>
    <n v="0"/>
    <n v="0"/>
    <n v="0"/>
    <n v="0"/>
  </r>
  <r>
    <x v="2"/>
    <x v="12"/>
    <d v="2026-03-29T00:00:00"/>
    <s v="No Portfolio"/>
    <s v="USD"/>
    <x v="0"/>
    <s v="broad组"/>
    <s v="Amazon"/>
    <s v="United States"/>
    <s v="stroller snack tray"/>
    <s v="BROAD"/>
    <x v="808"/>
    <n v="3"/>
    <n v="1"/>
    <n v="0.33333333333333331"/>
    <n v="0.21"/>
    <n v="0.21"/>
    <n v="0"/>
    <m/>
    <n v="0"/>
    <n v="0"/>
    <n v="0"/>
    <n v="0"/>
    <n v="0"/>
    <n v="0"/>
    <n v="0"/>
    <n v="0"/>
  </r>
  <r>
    <x v="2"/>
    <x v="12"/>
    <d v="2026-03-30T00:00:00"/>
    <s v="No Portfolio"/>
    <s v="USD"/>
    <x v="6"/>
    <s v="ENC"/>
    <s v="Amazon"/>
    <s v="United States"/>
    <s v="loose-match"/>
    <s v="-"/>
    <x v="809"/>
    <n v="3"/>
    <n v="1"/>
    <n v="0.33333333333333331"/>
    <n v="1.1399999999999999"/>
    <n v="1.1399999999999999"/>
    <n v="0"/>
    <m/>
    <n v="0"/>
    <n v="0"/>
    <n v="0"/>
    <n v="0"/>
    <n v="0"/>
    <n v="0"/>
    <n v="0"/>
    <n v="0"/>
  </r>
  <r>
    <x v="2"/>
    <x v="13"/>
    <d v="2026-03-24T00:00:00"/>
    <s v="No Portfolio"/>
    <s v="USD"/>
    <x v="5"/>
    <s v="ENC Yellow"/>
    <s v="Amazon"/>
    <s v="United States"/>
    <s v="close-match"/>
    <s v="-"/>
    <x v="43"/>
    <n v="9"/>
    <n v="1"/>
    <n v="0.1111111111111111"/>
    <n v="0.65"/>
    <n v="0.65"/>
    <n v="0"/>
    <m/>
    <n v="0"/>
    <n v="0"/>
    <n v="0"/>
    <n v="0"/>
    <n v="0"/>
    <n v="0"/>
    <n v="0"/>
    <n v="0"/>
  </r>
  <r>
    <x v="2"/>
    <x v="13"/>
    <d v="2026-03-22T00:00:00"/>
    <s v="No Portfolio"/>
    <s v="USD"/>
    <x v="9"/>
    <s v="BNF"/>
    <s v="Amazon"/>
    <s v="United States"/>
    <s v="nail buffer auto children"/>
    <s v="BROAD"/>
    <x v="43"/>
    <n v="1"/>
    <n v="1"/>
    <n v="1"/>
    <n v="0.39"/>
    <n v="0.39"/>
    <n v="0"/>
    <m/>
    <n v="0"/>
    <n v="0"/>
    <n v="0"/>
    <n v="0"/>
    <n v="0"/>
    <n v="0"/>
    <n v="0"/>
    <n v="0"/>
  </r>
  <r>
    <x v="2"/>
    <x v="12"/>
    <d v="2026-03-31T00:00:00"/>
    <s v="No Portfolio"/>
    <s v="USD"/>
    <x v="5"/>
    <s v="ENC Yellow"/>
    <s v="Amazon"/>
    <s v="United States"/>
    <s v="close-match"/>
    <s v="-"/>
    <x v="46"/>
    <n v="7"/>
    <n v="1"/>
    <n v="0.14285714285714285"/>
    <n v="0.5"/>
    <n v="0.5"/>
    <n v="0"/>
    <m/>
    <n v="0"/>
    <n v="0"/>
    <n v="0"/>
    <n v="0"/>
    <n v="0"/>
    <n v="0"/>
    <n v="0"/>
    <n v="0"/>
  </r>
  <r>
    <x v="2"/>
    <x v="13"/>
    <d v="2026-03-22T00:00:00"/>
    <s v="No Portfolio"/>
    <s v="USD"/>
    <x v="9"/>
    <s v="BNF"/>
    <s v="Amazon"/>
    <s v="United States"/>
    <s v="keyword-group=&quot;Keywords related to your product category&quot;"/>
    <s v="-"/>
    <x v="46"/>
    <n v="2"/>
    <n v="1"/>
    <n v="0.5"/>
    <n v="0.51"/>
    <n v="0.51"/>
    <n v="0"/>
    <m/>
    <n v="0"/>
    <n v="0"/>
    <n v="0"/>
    <n v="0"/>
    <n v="0"/>
    <n v="0"/>
    <n v="0"/>
    <n v="0"/>
  </r>
  <r>
    <x v="2"/>
    <x v="13"/>
    <d v="2026-03-22T00:00:00"/>
    <s v="No Portfolio"/>
    <s v="USD"/>
    <x v="5"/>
    <s v="ENC Yellow"/>
    <s v="Amazon"/>
    <s v="United States"/>
    <s v="close-match"/>
    <s v="-"/>
    <x v="538"/>
    <n v="1"/>
    <n v="1"/>
    <n v="1"/>
    <n v="0.9"/>
    <n v="0.9"/>
    <n v="0"/>
    <m/>
    <n v="0"/>
    <n v="0"/>
    <n v="0"/>
    <n v="0"/>
    <n v="0"/>
    <n v="0"/>
    <n v="0"/>
    <n v="0"/>
  </r>
  <r>
    <x v="2"/>
    <x v="13"/>
    <d v="2026-03-22T00:00:00"/>
    <s v="No Portfolio"/>
    <s v="USD"/>
    <x v="5"/>
    <s v="ENC Yellow"/>
    <s v="Amazon"/>
    <s v="United States"/>
    <s v="close-match"/>
    <s v="-"/>
    <x v="49"/>
    <n v="3"/>
    <n v="1"/>
    <n v="0.33333333333333331"/>
    <n v="0.65"/>
    <n v="0.65"/>
    <n v="0"/>
    <m/>
    <n v="0"/>
    <n v="0"/>
    <n v="0"/>
    <n v="0"/>
    <n v="0"/>
    <n v="0"/>
    <n v="0"/>
    <n v="0"/>
  </r>
  <r>
    <x v="2"/>
    <x v="12"/>
    <d v="2026-03-29T00:00:00"/>
    <s v="No Portfolio"/>
    <s v="USD"/>
    <x v="5"/>
    <s v="ENC Yellow"/>
    <s v="Amazon"/>
    <s v="United States"/>
    <s v="close-match"/>
    <s v="-"/>
    <x v="810"/>
    <n v="1"/>
    <n v="1"/>
    <n v="1"/>
    <n v="0.65"/>
    <n v="0.65"/>
    <n v="0"/>
    <m/>
    <n v="0"/>
    <n v="0"/>
    <n v="0"/>
    <n v="0"/>
    <n v="0"/>
    <n v="0"/>
    <n v="0"/>
    <n v="0"/>
  </r>
  <r>
    <x v="2"/>
    <x v="13"/>
    <d v="2026-03-27T00:00:00"/>
    <s v="No Portfolio"/>
    <s v="USD"/>
    <x v="0"/>
    <s v="phrase&amp;exact"/>
    <s v="Amazon"/>
    <s v="United States"/>
    <s v="stroller cup holder"/>
    <s v="PHRASE"/>
    <x v="811"/>
    <n v="2"/>
    <n v="2"/>
    <n v="1"/>
    <n v="0.21"/>
    <n v="0.42"/>
    <n v="18.989999999999998"/>
    <n v="2.2116903633491308E-2"/>
    <n v="45.214285714285715"/>
    <n v="1"/>
    <n v="1"/>
    <n v="0.5"/>
    <n v="0"/>
    <n v="1"/>
    <n v="0"/>
    <n v="18.989999999999998"/>
  </r>
  <r>
    <x v="2"/>
    <x v="12"/>
    <d v="2026-03-29T00:00:00"/>
    <s v="No Portfolio"/>
    <s v="USD"/>
    <x v="5"/>
    <s v="ENC Yellow"/>
    <s v="Amazon"/>
    <s v="United States"/>
    <s v="loose-match"/>
    <s v="-"/>
    <x v="812"/>
    <n v="1"/>
    <n v="1"/>
    <n v="1"/>
    <n v="0.35"/>
    <n v="0.35"/>
    <n v="0"/>
    <m/>
    <n v="0"/>
    <n v="0"/>
    <n v="0"/>
    <n v="0"/>
    <n v="0"/>
    <n v="0"/>
    <n v="0"/>
    <n v="0"/>
  </r>
  <r>
    <x v="2"/>
    <x v="13"/>
    <d v="2026-03-23T00:00:00"/>
    <s v="No Portfolio"/>
    <s v="USD"/>
    <x v="0"/>
    <s v="phrase&amp;exact"/>
    <s v="Amazon"/>
    <s v="United States"/>
    <s v="stroller snack tray"/>
    <s v="PHRASE"/>
    <x v="813"/>
    <n v="4"/>
    <n v="1"/>
    <n v="0.25"/>
    <n v="0.08"/>
    <n v="0.08"/>
    <n v="0"/>
    <m/>
    <n v="0"/>
    <n v="0"/>
    <n v="0"/>
    <n v="0"/>
    <n v="0"/>
    <n v="0"/>
    <n v="0"/>
    <n v="0"/>
  </r>
  <r>
    <x v="2"/>
    <x v="13"/>
    <d v="2026-03-23T00:00:00"/>
    <s v="No Portfolio"/>
    <s v="USD"/>
    <x v="4"/>
    <s v="stroller tray"/>
    <s v="Amazon"/>
    <s v="United States"/>
    <s v="loose-match"/>
    <s v="-"/>
    <x v="814"/>
    <n v="1"/>
    <n v="1"/>
    <n v="1"/>
    <n v="0.65"/>
    <n v="0.65"/>
    <n v="0"/>
    <m/>
    <n v="0"/>
    <n v="0"/>
    <n v="0"/>
    <n v="0"/>
    <n v="0"/>
    <n v="0"/>
    <n v="0"/>
    <n v="0"/>
  </r>
  <r>
    <x v="2"/>
    <x v="12"/>
    <d v="2026-03-31T00:00:00"/>
    <s v="No Portfolio"/>
    <s v="USD"/>
    <x v="6"/>
    <s v="ENC"/>
    <s v="Amazon"/>
    <s v="United States"/>
    <s v="loose-match"/>
    <s v="-"/>
    <x v="815"/>
    <n v="1"/>
    <n v="1"/>
    <n v="1"/>
    <n v="1.67"/>
    <n v="1.67"/>
    <n v="0"/>
    <m/>
    <n v="0"/>
    <n v="0"/>
    <n v="0"/>
    <n v="0"/>
    <n v="0"/>
    <n v="0"/>
    <n v="0"/>
    <n v="0"/>
  </r>
  <r>
    <x v="2"/>
    <x v="12"/>
    <d v="2026-03-31T00:00:00"/>
    <s v="No Portfolio"/>
    <s v="USD"/>
    <x v="0"/>
    <s v="phrase&amp;exact"/>
    <s v="Amazon"/>
    <s v="United States"/>
    <s v="stroller cup holder"/>
    <s v="PHRASE"/>
    <x v="816"/>
    <n v="1"/>
    <n v="1"/>
    <n v="1"/>
    <n v="0.4"/>
    <n v="0.4"/>
    <n v="0"/>
    <m/>
    <n v="0"/>
    <n v="0"/>
    <n v="0"/>
    <n v="0"/>
    <n v="0"/>
    <n v="0"/>
    <n v="0"/>
    <n v="0"/>
  </r>
  <r>
    <x v="2"/>
    <x v="13"/>
    <d v="2026-03-27T00:00:00"/>
    <s v="No Portfolio"/>
    <s v="USD"/>
    <x v="2"/>
    <s v="Tray"/>
    <s v="Amazon"/>
    <s v="United States"/>
    <s v="asin=&quot;B0DH98H2G4&quot;"/>
    <s v="-"/>
    <x v="817"/>
    <n v="1"/>
    <n v="1"/>
    <n v="1"/>
    <n v="0.56000000000000005"/>
    <n v="0.56000000000000005"/>
    <n v="0"/>
    <m/>
    <n v="0"/>
    <n v="0"/>
    <n v="0"/>
    <n v="0"/>
    <n v="0"/>
    <n v="0"/>
    <n v="0"/>
    <n v="0"/>
  </r>
  <r>
    <x v="2"/>
    <x v="13"/>
    <d v="2026-03-27T00:00:00"/>
    <s v="No Portfolio"/>
    <s v="USD"/>
    <x v="0"/>
    <s v="broad组"/>
    <s v="Amazon"/>
    <s v="United States"/>
    <s v="stroller tray"/>
    <s v="BROAD"/>
    <x v="818"/>
    <n v="4"/>
    <n v="1"/>
    <n v="0.25"/>
    <n v="0.21"/>
    <n v="0.21"/>
    <n v="0"/>
    <m/>
    <n v="0"/>
    <n v="0"/>
    <n v="0"/>
    <n v="0"/>
    <n v="0"/>
    <n v="0"/>
    <n v="0"/>
    <n v="0"/>
  </r>
  <r>
    <x v="2"/>
    <x v="12"/>
    <d v="2026-03-29T00:00:00"/>
    <s v="No Portfolio"/>
    <s v="USD"/>
    <x v="0"/>
    <s v="broad组"/>
    <s v="Amazon"/>
    <s v="United States"/>
    <s v="stroller cup holder"/>
    <s v="BROAD"/>
    <x v="819"/>
    <n v="1"/>
    <n v="1"/>
    <n v="1"/>
    <n v="0.21"/>
    <n v="0.21"/>
    <n v="0"/>
    <m/>
    <n v="0"/>
    <n v="0"/>
    <n v="0"/>
    <n v="0"/>
    <n v="0"/>
    <n v="0"/>
    <n v="0"/>
    <n v="0"/>
  </r>
  <r>
    <x v="2"/>
    <x v="12"/>
    <d v="2026-03-30T00:00:00"/>
    <s v="No Portfolio"/>
    <s v="USD"/>
    <x v="0"/>
    <s v="broad组"/>
    <s v="Amazon"/>
    <s v="United States"/>
    <s v="stroller tray"/>
    <s v="BROAD"/>
    <x v="820"/>
    <n v="4"/>
    <n v="1"/>
    <n v="0.25"/>
    <n v="0.21"/>
    <n v="0.21"/>
    <n v="0"/>
    <m/>
    <n v="0"/>
    <n v="0"/>
    <n v="0"/>
    <n v="0"/>
    <n v="0"/>
    <n v="0"/>
    <n v="0"/>
    <n v="0"/>
  </r>
  <r>
    <x v="2"/>
    <x v="13"/>
    <d v="2026-03-27T00:00:00"/>
    <s v="No Portfolio"/>
    <s v="USD"/>
    <x v="2"/>
    <s v="Tray"/>
    <s v="Amazon"/>
    <s v="United States"/>
    <s v="asin=&quot;B0DH98H2G4&quot;"/>
    <s v="-"/>
    <x v="821"/>
    <n v="2"/>
    <n v="1"/>
    <n v="0.5"/>
    <n v="0.56000000000000005"/>
    <n v="0.56000000000000005"/>
    <n v="0"/>
    <m/>
    <n v="0"/>
    <n v="0"/>
    <n v="0"/>
    <n v="0"/>
    <n v="0"/>
    <n v="0"/>
    <n v="0"/>
    <n v="0"/>
  </r>
  <r>
    <x v="2"/>
    <x v="12"/>
    <d v="2026-03-30T00:00:00"/>
    <s v="No Portfolio"/>
    <s v="USD"/>
    <x v="4"/>
    <s v="stroller tray"/>
    <s v="Amazon"/>
    <s v="United States"/>
    <s v="loose-match"/>
    <s v="-"/>
    <x v="822"/>
    <n v="1"/>
    <n v="1"/>
    <n v="1"/>
    <n v="0.47"/>
    <n v="0.47"/>
    <n v="0"/>
    <m/>
    <n v="0"/>
    <n v="0"/>
    <n v="0"/>
    <n v="0"/>
    <n v="0"/>
    <n v="0"/>
    <n v="0"/>
    <n v="0"/>
  </r>
  <r>
    <x v="2"/>
    <x v="12"/>
    <d v="2026-03-29T00:00:00"/>
    <s v="No Portfolio"/>
    <s v="USD"/>
    <x v="0"/>
    <s v="broad组"/>
    <s v="Amazon"/>
    <s v="United States"/>
    <s v="stroller attachment"/>
    <s v="BROAD"/>
    <x v="823"/>
    <n v="1"/>
    <n v="1"/>
    <n v="1"/>
    <n v="0.21"/>
    <n v="0.21"/>
    <n v="0"/>
    <m/>
    <n v="0"/>
    <n v="0"/>
    <n v="0"/>
    <n v="0"/>
    <n v="0"/>
    <n v="0"/>
    <n v="0"/>
    <n v="0"/>
  </r>
  <r>
    <x v="2"/>
    <x v="12"/>
    <d v="2026-03-31T00:00:00"/>
    <s v="No Portfolio"/>
    <s v="USD"/>
    <x v="0"/>
    <s v="broad组"/>
    <s v="Amazon"/>
    <s v="United States"/>
    <s v="stroller accessories"/>
    <s v="BROAD"/>
    <x v="824"/>
    <n v="1"/>
    <n v="1"/>
    <n v="1"/>
    <n v="0.16"/>
    <n v="0.16"/>
    <n v="0"/>
    <m/>
    <n v="0"/>
    <n v="0"/>
    <n v="0"/>
    <n v="0"/>
    <n v="0"/>
    <n v="0"/>
    <n v="0"/>
    <n v="0"/>
  </r>
  <r>
    <x v="2"/>
    <x v="12"/>
    <d v="2026-03-30T00:00:00"/>
    <s v="No Portfolio"/>
    <s v="USD"/>
    <x v="4"/>
    <s v="stroller tray"/>
    <s v="Amazon"/>
    <s v="United States"/>
    <s v="loose-match"/>
    <s v="-"/>
    <x v="825"/>
    <n v="1"/>
    <n v="1"/>
    <n v="1"/>
    <n v="0.47"/>
    <n v="0.47"/>
    <n v="0"/>
    <m/>
    <n v="0"/>
    <n v="0"/>
    <n v="0"/>
    <n v="0"/>
    <n v="0"/>
    <n v="0"/>
    <n v="0"/>
    <n v="0"/>
  </r>
  <r>
    <x v="2"/>
    <x v="13"/>
    <d v="2026-03-27T00:00:00"/>
    <s v="No Portfolio"/>
    <s v="USD"/>
    <x v="0"/>
    <s v="broad组"/>
    <s v="Amazon"/>
    <s v="United States"/>
    <s v="wagon cup holder"/>
    <s v="BROAD"/>
    <x v="826"/>
    <n v="1"/>
    <n v="1"/>
    <n v="1"/>
    <n v="0.2"/>
    <n v="0.2"/>
    <n v="0"/>
    <m/>
    <n v="0"/>
    <n v="0"/>
    <n v="0"/>
    <n v="0"/>
    <n v="0"/>
    <n v="0"/>
    <n v="0"/>
    <n v="0"/>
  </r>
  <r>
    <x v="2"/>
    <x v="13"/>
    <d v="2026-03-27T00:00:00"/>
    <s v="No Portfolio"/>
    <s v="USD"/>
    <x v="0"/>
    <s v="phrase&amp;exact"/>
    <s v="Amazon"/>
    <s v="United States"/>
    <s v="clip on snack tray"/>
    <s v="EXACT"/>
    <x v="662"/>
    <n v="1"/>
    <n v="1"/>
    <n v="1"/>
    <n v="0.21"/>
    <n v="0.21"/>
    <n v="0"/>
    <m/>
    <n v="0"/>
    <n v="0"/>
    <n v="0"/>
    <n v="0"/>
    <n v="0"/>
    <n v="0"/>
    <n v="0"/>
    <n v="0"/>
  </r>
  <r>
    <x v="2"/>
    <x v="12"/>
    <d v="2026-03-30T00:00:00"/>
    <s v="No Portfolio"/>
    <s v="USD"/>
    <x v="0"/>
    <s v="phrase&amp;exact"/>
    <s v="Amazon"/>
    <s v="United States"/>
    <s v="clip on snack tray"/>
    <s v="PHRASE"/>
    <x v="827"/>
    <n v="1"/>
    <n v="1"/>
    <n v="1"/>
    <n v="0.21"/>
    <n v="0.21"/>
    <n v="0"/>
    <m/>
    <n v="0"/>
    <n v="0"/>
    <n v="0"/>
    <n v="0"/>
    <n v="0"/>
    <n v="0"/>
    <n v="0"/>
    <n v="0"/>
  </r>
  <r>
    <x v="2"/>
    <x v="13"/>
    <d v="2026-03-25T00:00:00"/>
    <s v="No Portfolio"/>
    <s v="USD"/>
    <x v="0"/>
    <s v="phrase&amp;exact"/>
    <s v="Amazon"/>
    <s v="United States"/>
    <s v="stroller snack tray"/>
    <s v="PHRASE"/>
    <x v="828"/>
    <n v="1"/>
    <n v="1"/>
    <n v="1"/>
    <n v="0.21"/>
    <n v="0.21"/>
    <n v="0"/>
    <m/>
    <n v="0"/>
    <n v="0"/>
    <n v="0"/>
    <n v="0"/>
    <n v="0"/>
    <n v="0"/>
    <n v="0"/>
    <n v="0"/>
  </r>
  <r>
    <x v="2"/>
    <x v="13"/>
    <d v="2026-03-25T00:00:00"/>
    <s v="No Portfolio"/>
    <s v="USD"/>
    <x v="0"/>
    <s v="broad组"/>
    <s v="Amazon"/>
    <s v="United States"/>
    <s v="stroller attachment"/>
    <s v="BROAD"/>
    <x v="829"/>
    <n v="1"/>
    <n v="1"/>
    <n v="1"/>
    <n v="0.21"/>
    <n v="0.21"/>
    <n v="0"/>
    <m/>
    <n v="0"/>
    <n v="0"/>
    <n v="0"/>
    <n v="0"/>
    <n v="0"/>
    <n v="0"/>
    <n v="0"/>
    <n v="0"/>
  </r>
  <r>
    <x v="2"/>
    <x v="13"/>
    <d v="2026-03-28T00:00:00"/>
    <s v="No Portfolio"/>
    <s v="USD"/>
    <x v="4"/>
    <s v="stroller tray"/>
    <s v="Amazon"/>
    <s v="United States"/>
    <s v="loose-match"/>
    <s v="-"/>
    <x v="830"/>
    <n v="2"/>
    <n v="1"/>
    <n v="0.5"/>
    <n v="0.47"/>
    <n v="0.47"/>
    <n v="0"/>
    <m/>
    <n v="0"/>
    <n v="0"/>
    <n v="0"/>
    <n v="0"/>
    <n v="0"/>
    <n v="0"/>
    <n v="0"/>
    <n v="0"/>
  </r>
  <r>
    <x v="2"/>
    <x v="12"/>
    <d v="2026-03-29T00:00:00"/>
    <s v="No Portfolio"/>
    <s v="USD"/>
    <x v="0"/>
    <s v="broad组"/>
    <s v="Amazon"/>
    <s v="United States"/>
    <s v="stroller cup holder"/>
    <s v="BROAD"/>
    <x v="84"/>
    <n v="5"/>
    <n v="1"/>
    <n v="0.2"/>
    <n v="0.4"/>
    <n v="0.4"/>
    <n v="0"/>
    <m/>
    <n v="0"/>
    <n v="0"/>
    <n v="0"/>
    <n v="0"/>
    <n v="0"/>
    <n v="0"/>
    <n v="0"/>
    <n v="0"/>
  </r>
  <r>
    <x v="2"/>
    <x v="13"/>
    <d v="2026-03-27T00:00:00"/>
    <s v="No Portfolio"/>
    <s v="USD"/>
    <x v="4"/>
    <s v="stroller tray"/>
    <s v="Amazon"/>
    <s v="United States"/>
    <s v="close-match"/>
    <s v="-"/>
    <x v="831"/>
    <n v="4"/>
    <n v="1"/>
    <n v="0.25"/>
    <n v="0.65"/>
    <n v="0.65"/>
    <n v="0"/>
    <m/>
    <n v="0"/>
    <n v="0"/>
    <n v="0"/>
    <n v="0"/>
    <n v="0"/>
    <n v="0"/>
    <n v="0"/>
    <n v="0"/>
  </r>
  <r>
    <x v="2"/>
    <x v="12"/>
    <d v="2026-03-30T00:00:00"/>
    <s v="No Portfolio"/>
    <s v="USD"/>
    <x v="0"/>
    <s v="broad组"/>
    <s v="Amazon"/>
    <s v="United States"/>
    <s v="cup holder and tray for stroller"/>
    <s v="BROAD"/>
    <x v="832"/>
    <n v="2"/>
    <n v="1"/>
    <n v="0.5"/>
    <n v="0.2"/>
    <n v="0.2"/>
    <n v="0"/>
    <m/>
    <n v="0"/>
    <n v="0"/>
    <n v="0"/>
    <n v="0"/>
    <n v="0"/>
    <n v="0"/>
    <n v="0"/>
    <n v="0"/>
  </r>
  <r>
    <x v="2"/>
    <x v="12"/>
    <d v="2026-03-29T00:00:00"/>
    <s v="No Portfolio"/>
    <s v="USD"/>
    <x v="4"/>
    <s v="stroller tray"/>
    <s v="Amazon"/>
    <s v="United States"/>
    <s v="loose-match"/>
    <s v="-"/>
    <x v="833"/>
    <n v="1"/>
    <n v="1"/>
    <n v="1"/>
    <n v="0.47"/>
    <n v="0.47"/>
    <n v="0"/>
    <m/>
    <n v="0"/>
    <n v="0"/>
    <n v="0"/>
    <n v="0"/>
    <n v="0"/>
    <n v="0"/>
    <n v="0"/>
    <n v="0"/>
  </r>
  <r>
    <x v="2"/>
    <x v="12"/>
    <d v="2026-03-31T00:00:00"/>
    <s v="No Portfolio"/>
    <s v="USD"/>
    <x v="0"/>
    <s v="broad组"/>
    <s v="Amazon"/>
    <s v="United States"/>
    <s v="stroller tray"/>
    <s v="BROAD"/>
    <x v="92"/>
    <n v="1"/>
    <n v="1"/>
    <n v="1"/>
    <n v="0.4"/>
    <n v="0.4"/>
    <n v="0"/>
    <m/>
    <n v="0"/>
    <n v="0"/>
    <n v="0"/>
    <n v="0"/>
    <n v="0"/>
    <n v="0"/>
    <n v="0"/>
    <n v="0"/>
  </r>
  <r>
    <x v="2"/>
    <x v="13"/>
    <d v="2026-03-22T00:00:00"/>
    <s v="No Portfolio"/>
    <s v="USD"/>
    <x v="0"/>
    <s v="broad组"/>
    <s v="Amazon"/>
    <s v="United States"/>
    <s v="stroller accessories"/>
    <s v="BROAD"/>
    <x v="834"/>
    <n v="3"/>
    <n v="2"/>
    <n v="0.66666666666666663"/>
    <n v="0.16"/>
    <n v="0.32"/>
    <n v="0"/>
    <m/>
    <n v="0"/>
    <n v="0"/>
    <n v="0"/>
    <n v="0"/>
    <n v="0"/>
    <n v="0"/>
    <n v="0"/>
    <n v="0"/>
  </r>
  <r>
    <x v="2"/>
    <x v="13"/>
    <d v="2026-03-23T00:00:00"/>
    <s v="No Portfolio"/>
    <s v="USD"/>
    <x v="0"/>
    <s v="broad组"/>
    <s v="Amazon"/>
    <s v="United States"/>
    <s v="stroller accessories"/>
    <s v="BROAD"/>
    <x v="835"/>
    <n v="4"/>
    <n v="1"/>
    <n v="0.25"/>
    <n v="0.17"/>
    <n v="0.17"/>
    <n v="0"/>
    <m/>
    <n v="0"/>
    <n v="0"/>
    <n v="0"/>
    <n v="0"/>
    <n v="0"/>
    <n v="0"/>
    <n v="0"/>
    <n v="0"/>
  </r>
  <r>
    <x v="2"/>
    <x v="13"/>
    <d v="2026-03-25T00:00:00"/>
    <s v="No Portfolio"/>
    <s v="USD"/>
    <x v="0"/>
    <s v="broad组"/>
    <s v="Amazon"/>
    <s v="United States"/>
    <s v="snack holder for stroller"/>
    <s v="BROAD"/>
    <x v="836"/>
    <n v="1"/>
    <n v="1"/>
    <n v="1"/>
    <n v="0.21"/>
    <n v="0.21"/>
    <n v="0"/>
    <m/>
    <n v="0"/>
    <n v="0"/>
    <n v="0"/>
    <n v="0"/>
    <n v="0"/>
    <n v="0"/>
    <n v="0"/>
    <n v="0"/>
  </r>
  <r>
    <x v="2"/>
    <x v="13"/>
    <d v="2026-03-27T00:00:00"/>
    <s v="No Portfolio"/>
    <s v="USD"/>
    <x v="0"/>
    <s v="broad组"/>
    <s v="Amazon"/>
    <s v="United States"/>
    <s v="stroller cup holder"/>
    <s v="BROAD"/>
    <x v="837"/>
    <n v="1"/>
    <n v="1"/>
    <n v="1"/>
    <n v="0.4"/>
    <n v="0.4"/>
    <n v="0"/>
    <m/>
    <n v="0"/>
    <n v="0"/>
    <n v="0"/>
    <n v="0"/>
    <n v="0"/>
    <n v="0"/>
    <n v="0"/>
    <n v="0"/>
  </r>
  <r>
    <x v="2"/>
    <x v="12"/>
    <d v="2026-03-30T00:00:00"/>
    <s v="No Portfolio"/>
    <s v="USD"/>
    <x v="6"/>
    <s v="ENC"/>
    <s v="Amazon"/>
    <s v="United States"/>
    <s v="close-match"/>
    <s v="-"/>
    <x v="101"/>
    <n v="10"/>
    <n v="1"/>
    <n v="0.1"/>
    <n v="1.5"/>
    <n v="1.5"/>
    <n v="0"/>
    <m/>
    <n v="0"/>
    <n v="0"/>
    <n v="0"/>
    <n v="0"/>
    <n v="0"/>
    <n v="0"/>
    <n v="0"/>
    <n v="0"/>
  </r>
  <r>
    <x v="2"/>
    <x v="12"/>
    <d v="2026-03-29T00:00:00"/>
    <s v="No Portfolio"/>
    <s v="USD"/>
    <x v="0"/>
    <s v="broad组"/>
    <s v="Amazon"/>
    <s v="United States"/>
    <s v="stroller attachment"/>
    <s v="BROAD"/>
    <x v="838"/>
    <n v="1"/>
    <n v="1"/>
    <n v="1"/>
    <n v="0.21"/>
    <n v="0.21"/>
    <n v="0"/>
    <m/>
    <n v="0"/>
    <n v="0"/>
    <n v="0"/>
    <n v="0"/>
    <n v="0"/>
    <n v="0"/>
    <n v="0"/>
    <n v="0"/>
  </r>
  <r>
    <x v="2"/>
    <x v="13"/>
    <d v="2026-03-22T00:00:00"/>
    <s v="No Portfolio"/>
    <s v="USD"/>
    <x v="0"/>
    <s v="phrase&amp;exact"/>
    <s v="Amazon"/>
    <s v="United States"/>
    <s v="stroller snack tray"/>
    <s v="PHRASE"/>
    <x v="406"/>
    <n v="4"/>
    <n v="1"/>
    <n v="0.25"/>
    <n v="0.21"/>
    <n v="0.21"/>
    <n v="0"/>
    <m/>
    <n v="0"/>
    <n v="0"/>
    <n v="0"/>
    <n v="0"/>
    <n v="0"/>
    <n v="0"/>
    <n v="0"/>
    <n v="0"/>
  </r>
  <r>
    <x v="2"/>
    <x v="13"/>
    <d v="2026-03-25T00:00:00"/>
    <s v="No Portfolio"/>
    <s v="USD"/>
    <x v="0"/>
    <s v="broad组"/>
    <s v="Amazon"/>
    <s v="United States"/>
    <s v="stroller snack tray"/>
    <s v="BROAD"/>
    <x v="839"/>
    <n v="1"/>
    <n v="1"/>
    <n v="1"/>
    <n v="0.21"/>
    <n v="0.21"/>
    <n v="0"/>
    <m/>
    <n v="0"/>
    <n v="0"/>
    <n v="0"/>
    <n v="0"/>
    <n v="0"/>
    <n v="0"/>
    <n v="0"/>
    <n v="0"/>
  </r>
  <r>
    <x v="2"/>
    <x v="12"/>
    <d v="2026-03-29T00:00:00"/>
    <s v="No Portfolio"/>
    <s v="USD"/>
    <x v="0"/>
    <s v="phrase&amp;exact"/>
    <s v="Amazon"/>
    <s v="United States"/>
    <s v="stroller cup holder"/>
    <s v="PHRASE"/>
    <x v="840"/>
    <n v="1"/>
    <n v="1"/>
    <n v="1"/>
    <n v="0.2"/>
    <n v="0.2"/>
    <n v="0"/>
    <m/>
    <n v="0"/>
    <n v="0"/>
    <n v="0"/>
    <n v="0"/>
    <n v="0"/>
    <n v="0"/>
    <n v="0"/>
    <n v="0"/>
  </r>
  <r>
    <x v="2"/>
    <x v="13"/>
    <d v="2026-03-26T00:00:00"/>
    <s v="No Portfolio"/>
    <s v="USD"/>
    <x v="6"/>
    <s v="ENC"/>
    <s v="Amazon"/>
    <s v="United States"/>
    <s v="loose-match"/>
    <s v="-"/>
    <x v="841"/>
    <n v="1"/>
    <n v="1"/>
    <n v="1"/>
    <n v="1.17"/>
    <n v="1.17"/>
    <n v="0"/>
    <m/>
    <n v="0"/>
    <n v="0"/>
    <n v="0"/>
    <n v="0"/>
    <n v="0"/>
    <n v="0"/>
    <n v="0"/>
    <n v="0"/>
  </r>
  <r>
    <x v="2"/>
    <x v="12"/>
    <d v="2026-03-30T00:00:00"/>
    <s v="No Portfolio"/>
    <s v="USD"/>
    <x v="0"/>
    <s v="broad组"/>
    <s v="Amazon"/>
    <s v="United States"/>
    <s v="stroller cup holder"/>
    <s v="BROAD"/>
    <x v="842"/>
    <n v="2"/>
    <n v="1"/>
    <n v="0.5"/>
    <n v="0.21"/>
    <n v="0.21"/>
    <n v="0"/>
    <m/>
    <n v="0"/>
    <n v="0"/>
    <n v="0"/>
    <n v="0"/>
    <n v="0"/>
    <n v="0"/>
    <n v="0"/>
    <n v="0"/>
  </r>
  <r>
    <x v="2"/>
    <x v="13"/>
    <d v="2026-03-24T00:00:00"/>
    <s v="No Portfolio"/>
    <s v="USD"/>
    <x v="0"/>
    <s v="broad组"/>
    <s v="Amazon"/>
    <s v="United States"/>
    <s v="stroller cup holder"/>
    <s v="BROAD"/>
    <x v="843"/>
    <n v="2"/>
    <n v="1"/>
    <n v="0.5"/>
    <n v="0.21"/>
    <n v="0.21"/>
    <n v="0"/>
    <m/>
    <n v="0"/>
    <n v="0"/>
    <n v="0"/>
    <n v="0"/>
    <n v="0"/>
    <n v="0"/>
    <n v="0"/>
    <n v="0"/>
  </r>
  <r>
    <x v="2"/>
    <x v="13"/>
    <d v="2026-03-24T00:00:00"/>
    <s v="No Portfolio"/>
    <s v="USD"/>
    <x v="0"/>
    <s v="broad组"/>
    <s v="Amazon"/>
    <s v="United States"/>
    <s v="clip on snack tray"/>
    <s v="BROAD"/>
    <x v="844"/>
    <n v="2"/>
    <n v="1"/>
    <n v="0.5"/>
    <n v="0.21"/>
    <n v="0.21"/>
    <n v="0"/>
    <m/>
    <n v="0"/>
    <n v="0"/>
    <n v="0"/>
    <n v="0"/>
    <n v="0"/>
    <n v="0"/>
    <n v="0"/>
    <n v="0"/>
  </r>
  <r>
    <x v="2"/>
    <x v="12"/>
    <d v="2026-03-31T00:00:00"/>
    <s v="No Portfolio"/>
    <s v="USD"/>
    <x v="0"/>
    <s v="broad组"/>
    <s v="Amazon"/>
    <s v="United States"/>
    <s v="stroller cup holder"/>
    <s v="BROAD"/>
    <x v="845"/>
    <n v="2"/>
    <n v="1"/>
    <n v="0.5"/>
    <n v="0.21"/>
    <n v="0.21"/>
    <n v="0"/>
    <m/>
    <n v="0"/>
    <n v="0"/>
    <n v="0"/>
    <n v="0"/>
    <n v="0"/>
    <n v="0"/>
    <n v="0"/>
    <n v="0"/>
  </r>
  <r>
    <x v="2"/>
    <x v="12"/>
    <d v="2026-03-29T00:00:00"/>
    <s v="No Portfolio"/>
    <s v="USD"/>
    <x v="0"/>
    <s v="phrase&amp;exact"/>
    <s v="Amazon"/>
    <s v="United States"/>
    <s v="stroller snack tray"/>
    <s v="PHRASE"/>
    <x v="142"/>
    <n v="12"/>
    <n v="1"/>
    <n v="8.3333333333333315E-2"/>
    <n v="0.2"/>
    <n v="0.2"/>
    <n v="0"/>
    <m/>
    <n v="0"/>
    <n v="0"/>
    <n v="0"/>
    <n v="0"/>
    <n v="0"/>
    <n v="0"/>
    <n v="0"/>
    <n v="0"/>
  </r>
  <r>
    <x v="2"/>
    <x v="12"/>
    <d v="2026-03-30T00:00:00"/>
    <s v="No Portfolio"/>
    <s v="USD"/>
    <x v="0"/>
    <s v="phrase&amp;exact"/>
    <s v="Amazon"/>
    <s v="United States"/>
    <s v="stroller snack tray"/>
    <s v="PHRASE"/>
    <x v="142"/>
    <n v="8"/>
    <n v="1"/>
    <n v="0.125"/>
    <n v="0.2"/>
    <n v="0.2"/>
    <n v="37.979999999999997"/>
    <n v="5.2659294365455514E-3"/>
    <n v="189.89999999999998"/>
    <n v="1"/>
    <n v="2"/>
    <n v="1"/>
    <n v="2"/>
    <n v="0"/>
    <n v="37.979999999999997"/>
    <n v="0"/>
  </r>
  <r>
    <x v="2"/>
    <x v="13"/>
    <d v="2026-03-25T00:00:00"/>
    <s v="No Portfolio"/>
    <s v="USD"/>
    <x v="2"/>
    <s v="Tray"/>
    <s v="Amazon"/>
    <s v="United States"/>
    <s v="asin=&quot;B0DKNQTJHX&quot;"/>
    <s v="-"/>
    <x v="142"/>
    <n v="4"/>
    <n v="1"/>
    <n v="0.25"/>
    <n v="0.32"/>
    <n v="0.32"/>
    <n v="0"/>
    <m/>
    <n v="0"/>
    <n v="0"/>
    <n v="0"/>
    <n v="0"/>
    <n v="0"/>
    <n v="0"/>
    <n v="0"/>
    <n v="0"/>
  </r>
  <r>
    <x v="2"/>
    <x v="13"/>
    <d v="2026-03-22T00:00:00"/>
    <s v="No Portfolio"/>
    <s v="USD"/>
    <x v="0"/>
    <s v="broad组"/>
    <s v="Amazon"/>
    <s v="United States"/>
    <s v="stroller attachment"/>
    <s v="BROAD"/>
    <x v="846"/>
    <n v="1"/>
    <n v="1"/>
    <n v="1"/>
    <n v="0.21"/>
    <n v="0.21"/>
    <n v="0"/>
    <m/>
    <n v="0"/>
    <n v="0"/>
    <n v="0"/>
    <n v="0"/>
    <n v="0"/>
    <n v="0"/>
    <n v="0"/>
    <n v="0"/>
  </r>
  <r>
    <x v="2"/>
    <x v="12"/>
    <d v="2026-03-29T00:00:00"/>
    <s v="No Portfolio"/>
    <s v="USD"/>
    <x v="0"/>
    <s v="broad组"/>
    <s v="Amazon"/>
    <s v="United States"/>
    <s v="stroller snack tray"/>
    <s v="BROAD"/>
    <x v="847"/>
    <n v="1"/>
    <n v="1"/>
    <n v="1"/>
    <n v="0.21"/>
    <n v="0.21"/>
    <n v="0"/>
    <m/>
    <n v="0"/>
    <n v="0"/>
    <n v="0"/>
    <n v="0"/>
    <n v="0"/>
    <n v="0"/>
    <n v="0"/>
    <n v="0"/>
  </r>
  <r>
    <x v="2"/>
    <x v="13"/>
    <d v="2026-03-22T00:00:00"/>
    <s v="No Portfolio"/>
    <s v="USD"/>
    <x v="0"/>
    <s v="broad组"/>
    <s v="Amazon"/>
    <s v="United States"/>
    <s v="snack tray for stroller"/>
    <s v="BROAD"/>
    <x v="848"/>
    <n v="5"/>
    <n v="1"/>
    <n v="0.2"/>
    <n v="0.21"/>
    <n v="0.21"/>
    <n v="0"/>
    <m/>
    <n v="0"/>
    <n v="0"/>
    <n v="0"/>
    <n v="0"/>
    <n v="0"/>
    <n v="0"/>
    <n v="0"/>
    <n v="0"/>
  </r>
  <r>
    <x v="2"/>
    <x v="13"/>
    <d v="2026-03-24T00:00:00"/>
    <s v="No Portfolio"/>
    <s v="USD"/>
    <x v="0"/>
    <s v="phrase&amp;exact"/>
    <s v="Amazon"/>
    <s v="United States"/>
    <s v="snack tray for stroller"/>
    <s v="PHRASE"/>
    <x v="849"/>
    <n v="2"/>
    <n v="1"/>
    <n v="0.5"/>
    <n v="0.08"/>
    <n v="0.08"/>
    <n v="0"/>
    <m/>
    <n v="0"/>
    <n v="0"/>
    <n v="0"/>
    <n v="0"/>
    <n v="0"/>
    <n v="0"/>
    <n v="0"/>
    <n v="0"/>
  </r>
  <r>
    <x v="2"/>
    <x v="12"/>
    <d v="2026-03-31T00:00:00"/>
    <s v="No Portfolio"/>
    <s v="USD"/>
    <x v="0"/>
    <s v="phrase&amp;exact"/>
    <s v="Amazon"/>
    <s v="United States"/>
    <s v="snack tray for stroller"/>
    <s v="PHRASE"/>
    <x v="850"/>
    <n v="1"/>
    <n v="1"/>
    <n v="1"/>
    <n v="0.4"/>
    <n v="0.4"/>
    <n v="0"/>
    <m/>
    <n v="0"/>
    <n v="0"/>
    <n v="0"/>
    <n v="0"/>
    <n v="0"/>
    <n v="0"/>
    <n v="0"/>
    <n v="0"/>
  </r>
  <r>
    <x v="2"/>
    <x v="13"/>
    <d v="2026-03-26T00:00:00"/>
    <s v="No Portfolio"/>
    <s v="USD"/>
    <x v="0"/>
    <s v="broad组"/>
    <s v="Amazon"/>
    <s v="United States"/>
    <s v="stroller snack tray"/>
    <s v="BROAD"/>
    <x v="851"/>
    <n v="2"/>
    <n v="1"/>
    <n v="0.5"/>
    <n v="0.21"/>
    <n v="0.21"/>
    <n v="0"/>
    <m/>
    <n v="0"/>
    <n v="0"/>
    <n v="0"/>
    <n v="0"/>
    <n v="0"/>
    <n v="0"/>
    <n v="0"/>
    <n v="0"/>
  </r>
  <r>
    <x v="2"/>
    <x v="13"/>
    <d v="2026-03-24T00:00:00"/>
    <s v="No Portfolio"/>
    <s v="USD"/>
    <x v="5"/>
    <s v="ENC Yellow"/>
    <s v="Amazon"/>
    <s v="United States"/>
    <s v="loose-match"/>
    <s v="-"/>
    <x v="852"/>
    <n v="1"/>
    <n v="1"/>
    <n v="1"/>
    <n v="0.45"/>
    <n v="0.45"/>
    <n v="0"/>
    <m/>
    <n v="0"/>
    <n v="0"/>
    <n v="0"/>
    <n v="0"/>
    <n v="0"/>
    <n v="0"/>
    <n v="0"/>
    <n v="0"/>
  </r>
  <r>
    <x v="2"/>
    <x v="12"/>
    <d v="2026-03-29T00:00:00"/>
    <s v="No Portfolio"/>
    <s v="USD"/>
    <x v="5"/>
    <s v="ENC Yellow"/>
    <s v="Amazon"/>
    <s v="United States"/>
    <s v="close-match"/>
    <s v="-"/>
    <x v="155"/>
    <n v="1"/>
    <n v="1"/>
    <n v="1"/>
    <n v="0.65"/>
    <n v="0.65"/>
    <n v="0"/>
    <m/>
    <n v="0"/>
    <n v="0"/>
    <n v="0"/>
    <n v="0"/>
    <n v="0"/>
    <n v="0"/>
    <n v="0"/>
    <n v="0"/>
  </r>
  <r>
    <x v="2"/>
    <x v="12"/>
    <d v="2026-03-30T00:00:00"/>
    <s v="No Portfolio"/>
    <s v="USD"/>
    <x v="5"/>
    <s v="ENC Yellow"/>
    <s v="Amazon"/>
    <s v="United States"/>
    <s v="close-match"/>
    <s v="-"/>
    <x v="160"/>
    <n v="4"/>
    <n v="2"/>
    <n v="0.5"/>
    <n v="0.65"/>
    <n v="1.3"/>
    <n v="0"/>
    <m/>
    <n v="0"/>
    <n v="0"/>
    <n v="0"/>
    <n v="0"/>
    <n v="0"/>
    <n v="0"/>
    <n v="0"/>
    <n v="0"/>
  </r>
  <r>
    <x v="2"/>
    <x v="13"/>
    <d v="2026-03-28T00:00:00"/>
    <s v="No Portfolio"/>
    <s v="USD"/>
    <x v="5"/>
    <s v="ENC Yellow"/>
    <s v="Amazon"/>
    <s v="United States"/>
    <s v="close-match"/>
    <s v="-"/>
    <x v="853"/>
    <n v="2"/>
    <n v="1"/>
    <n v="0.5"/>
    <n v="0.5"/>
    <n v="0.5"/>
    <n v="0"/>
    <m/>
    <n v="0"/>
    <n v="0"/>
    <n v="0"/>
    <n v="0"/>
    <n v="0"/>
    <n v="0"/>
    <n v="0"/>
    <n v="0"/>
  </r>
  <r>
    <x v="2"/>
    <x v="12"/>
    <d v="2026-03-29T00:00:00"/>
    <s v="No Portfolio"/>
    <s v="USD"/>
    <x v="6"/>
    <s v="ENC"/>
    <s v="Amazon"/>
    <s v="United States"/>
    <s v="loose-match"/>
    <s v="-"/>
    <x v="854"/>
    <n v="2"/>
    <n v="1"/>
    <n v="0.5"/>
    <n v="1.2"/>
    <n v="1.2"/>
    <n v="0"/>
    <m/>
    <n v="0"/>
    <n v="0"/>
    <n v="0"/>
    <n v="0"/>
    <n v="0"/>
    <n v="0"/>
    <n v="0"/>
    <n v="0"/>
  </r>
  <r>
    <x v="2"/>
    <x v="13"/>
    <d v="2026-03-23T00:00:00"/>
    <s v="No Portfolio"/>
    <s v="USD"/>
    <x v="6"/>
    <s v="ENC"/>
    <s v="Amazon"/>
    <s v="United States"/>
    <s v="loose-match"/>
    <s v="-"/>
    <x v="855"/>
    <n v="15"/>
    <n v="1"/>
    <n v="6.6666666666666666E-2"/>
    <n v="1.25"/>
    <n v="1.25"/>
    <n v="0"/>
    <m/>
    <n v="0"/>
    <n v="0"/>
    <n v="0"/>
    <n v="0"/>
    <n v="0"/>
    <n v="0"/>
    <n v="0"/>
    <n v="0"/>
  </r>
  <r>
    <x v="2"/>
    <x v="13"/>
    <d v="2026-03-26T00:00:00"/>
    <s v="No Portfolio"/>
    <s v="USD"/>
    <x v="6"/>
    <s v="ENC"/>
    <s v="Amazon"/>
    <s v="United States"/>
    <s v="loose-match"/>
    <s v="-"/>
    <x v="855"/>
    <n v="56"/>
    <n v="1"/>
    <n v="1.7857142857142856E-2"/>
    <n v="1.17"/>
    <n v="1.17"/>
    <n v="0"/>
    <m/>
    <n v="0"/>
    <n v="0"/>
    <n v="0"/>
    <n v="0"/>
    <n v="0"/>
    <n v="0"/>
    <n v="0"/>
    <n v="0"/>
  </r>
  <r>
    <x v="2"/>
    <x v="13"/>
    <d v="2026-03-23T00:00:00"/>
    <s v="No Portfolio"/>
    <s v="USD"/>
    <x v="0"/>
    <s v="phrase&amp;exact"/>
    <s v="Amazon"/>
    <s v="United States"/>
    <s v="nuna snack tray for stroller"/>
    <s v="EXACT"/>
    <x v="168"/>
    <n v="1"/>
    <n v="1"/>
    <n v="1"/>
    <n v="0.21"/>
    <n v="0.21"/>
    <n v="0"/>
    <m/>
    <n v="0"/>
    <n v="0"/>
    <n v="0"/>
    <n v="0"/>
    <n v="0"/>
    <n v="0"/>
    <n v="0"/>
    <n v="0"/>
  </r>
  <r>
    <x v="2"/>
    <x v="13"/>
    <d v="2026-03-27T00:00:00"/>
    <s v="No Portfolio"/>
    <s v="USD"/>
    <x v="9"/>
    <s v="ENC"/>
    <s v="Amazon"/>
    <s v="United States"/>
    <s v="electric nail clipper"/>
    <s v="BROAD"/>
    <x v="856"/>
    <n v="1"/>
    <n v="1"/>
    <n v="1"/>
    <n v="0.4"/>
    <n v="0.4"/>
    <n v="0"/>
    <m/>
    <n v="0"/>
    <n v="0"/>
    <n v="0"/>
    <n v="0"/>
    <n v="0"/>
    <n v="0"/>
    <n v="0"/>
    <n v="0"/>
  </r>
  <r>
    <x v="2"/>
    <x v="13"/>
    <d v="2026-03-27T00:00:00"/>
    <s v="No Portfolio"/>
    <s v="USD"/>
    <x v="5"/>
    <s v="ENC Yellow"/>
    <s v="Amazon"/>
    <s v="United States"/>
    <s v="loose-match"/>
    <s v="-"/>
    <x v="857"/>
    <n v="1"/>
    <n v="1"/>
    <n v="1"/>
    <n v="0.35"/>
    <n v="0.35"/>
    <n v="0"/>
    <m/>
    <n v="0"/>
    <n v="0"/>
    <n v="0"/>
    <n v="0"/>
    <n v="0"/>
    <n v="0"/>
    <n v="0"/>
    <n v="0"/>
  </r>
  <r>
    <x v="2"/>
    <x v="12"/>
    <d v="2026-03-31T00:00:00"/>
    <s v="No Portfolio"/>
    <s v="USD"/>
    <x v="6"/>
    <s v="ENC"/>
    <s v="Amazon"/>
    <s v="United States"/>
    <s v="loose-match"/>
    <s v="-"/>
    <x v="858"/>
    <n v="1"/>
    <n v="1"/>
    <n v="1"/>
    <n v="1.67"/>
    <n v="1.67"/>
    <n v="0"/>
    <m/>
    <n v="0"/>
    <n v="0"/>
    <n v="0"/>
    <n v="0"/>
    <n v="0"/>
    <n v="0"/>
    <n v="0"/>
    <n v="0"/>
  </r>
  <r>
    <x v="2"/>
    <x v="13"/>
    <d v="2026-03-25T00:00:00"/>
    <s v="No Portfolio"/>
    <s v="USD"/>
    <x v="4"/>
    <s v="stroller tray"/>
    <s v="Amazon"/>
    <s v="United States"/>
    <s v="loose-match"/>
    <s v="-"/>
    <x v="859"/>
    <n v="4"/>
    <n v="1"/>
    <n v="0.25"/>
    <n v="0.76"/>
    <n v="0.76"/>
    <n v="0"/>
    <m/>
    <n v="0"/>
    <n v="0"/>
    <n v="0"/>
    <n v="0"/>
    <n v="0"/>
    <n v="0"/>
    <n v="0"/>
    <n v="0"/>
  </r>
  <r>
    <x v="2"/>
    <x v="12"/>
    <d v="2026-03-30T00:00:00"/>
    <s v="No Portfolio"/>
    <s v="USD"/>
    <x v="0"/>
    <s v="broad组"/>
    <s v="Amazon"/>
    <s v="United States"/>
    <s v="snack holder for stroller"/>
    <s v="BROAD"/>
    <x v="860"/>
    <n v="1"/>
    <n v="1"/>
    <n v="1"/>
    <n v="0.4"/>
    <n v="0.4"/>
    <n v="0"/>
    <m/>
    <n v="0"/>
    <n v="0"/>
    <n v="0"/>
    <n v="0"/>
    <n v="0"/>
    <n v="0"/>
    <n v="0"/>
    <n v="0"/>
  </r>
  <r>
    <x v="2"/>
    <x v="13"/>
    <d v="2026-03-25T00:00:00"/>
    <s v="No Portfolio"/>
    <s v="USD"/>
    <x v="0"/>
    <s v="broad组"/>
    <s v="Amazon"/>
    <s v="United States"/>
    <s v="universal snack tray for stroller"/>
    <s v="BROAD"/>
    <x v="861"/>
    <n v="1"/>
    <n v="1"/>
    <n v="1"/>
    <n v="0.08"/>
    <n v="0.08"/>
    <n v="0"/>
    <m/>
    <n v="0"/>
    <n v="0"/>
    <n v="0"/>
    <n v="0"/>
    <n v="0"/>
    <n v="0"/>
    <n v="0"/>
    <n v="0"/>
  </r>
  <r>
    <x v="2"/>
    <x v="13"/>
    <d v="2026-03-24T00:00:00"/>
    <s v="No Portfolio"/>
    <s v="USD"/>
    <x v="0"/>
    <s v="broad组"/>
    <s v="Amazon"/>
    <s v="United States"/>
    <s v="stroller tray"/>
    <s v="BROAD"/>
    <x v="862"/>
    <n v="3"/>
    <n v="1"/>
    <n v="0.33333333333333331"/>
    <n v="0.21"/>
    <n v="0.21"/>
    <n v="0"/>
    <m/>
    <n v="0"/>
    <n v="0"/>
    <n v="0"/>
    <n v="0"/>
    <n v="0"/>
    <n v="0"/>
    <n v="0"/>
    <n v="0"/>
  </r>
  <r>
    <x v="2"/>
    <x v="12"/>
    <d v="2026-03-30T00:00:00"/>
    <s v="No Portfolio"/>
    <s v="USD"/>
    <x v="0"/>
    <s v="phrase&amp;exact"/>
    <s v="Amazon"/>
    <s v="United States"/>
    <s v="snack tray for stroller"/>
    <s v="PHRASE"/>
    <x v="187"/>
    <n v="62"/>
    <n v="1"/>
    <n v="1.6129032258064516E-2"/>
    <n v="0.21"/>
    <n v="0.21"/>
    <n v="0"/>
    <m/>
    <n v="0"/>
    <n v="0"/>
    <n v="0"/>
    <n v="0"/>
    <n v="0"/>
    <n v="0"/>
    <n v="0"/>
    <n v="0"/>
  </r>
  <r>
    <x v="2"/>
    <x v="13"/>
    <d v="2026-03-24T00:00:00"/>
    <s v="No Portfolio"/>
    <s v="USD"/>
    <x v="0"/>
    <s v="phrase&amp;exact"/>
    <s v="Amazon"/>
    <s v="United States"/>
    <s v="snack tray for stroller"/>
    <s v="EXACT"/>
    <x v="187"/>
    <n v="25"/>
    <n v="1"/>
    <n v="0.04"/>
    <n v="0.2"/>
    <n v="0.2"/>
    <n v="0"/>
    <m/>
    <n v="0"/>
    <n v="0"/>
    <n v="0"/>
    <n v="0"/>
    <n v="0"/>
    <n v="0"/>
    <n v="0"/>
    <n v="0"/>
  </r>
  <r>
    <x v="2"/>
    <x v="13"/>
    <d v="2026-03-25T00:00:00"/>
    <s v="No Portfolio"/>
    <s v="USD"/>
    <x v="0"/>
    <s v="phrase&amp;exact"/>
    <s v="Amazon"/>
    <s v="United States"/>
    <s v="snack tray for stroller"/>
    <s v="EXACT"/>
    <x v="187"/>
    <n v="34"/>
    <n v="1"/>
    <n v="2.9411764705882349E-2"/>
    <n v="0.2"/>
    <n v="0.2"/>
    <n v="0"/>
    <m/>
    <n v="0"/>
    <n v="0"/>
    <n v="0"/>
    <n v="0"/>
    <n v="0"/>
    <n v="0"/>
    <n v="0"/>
    <n v="0"/>
  </r>
  <r>
    <x v="2"/>
    <x v="13"/>
    <d v="2026-03-24T00:00:00"/>
    <s v="No Portfolio"/>
    <s v="USD"/>
    <x v="2"/>
    <s v="Tray"/>
    <s v="Amazon"/>
    <s v="United States"/>
    <s v="asin=&quot;B0F4KJN2VC&quot;"/>
    <s v="-"/>
    <x v="187"/>
    <n v="12"/>
    <n v="1"/>
    <n v="8.3333333333333315E-2"/>
    <n v="0.52"/>
    <n v="0.52"/>
    <n v="0"/>
    <m/>
    <n v="0"/>
    <n v="0"/>
    <n v="0"/>
    <n v="0"/>
    <n v="0"/>
    <n v="0"/>
    <n v="0"/>
    <n v="0"/>
  </r>
  <r>
    <x v="2"/>
    <x v="12"/>
    <d v="2026-03-30T00:00:00"/>
    <s v="No Portfolio"/>
    <s v="USD"/>
    <x v="0"/>
    <s v="phrase&amp;exact"/>
    <s v="Amazon"/>
    <s v="United States"/>
    <s v="snack tray for stroller"/>
    <s v="PHRASE"/>
    <x v="188"/>
    <n v="4"/>
    <n v="1"/>
    <n v="0.25"/>
    <n v="0.12"/>
    <n v="0.12"/>
    <n v="0"/>
    <m/>
    <n v="0"/>
    <n v="0"/>
    <n v="0"/>
    <n v="0"/>
    <n v="0"/>
    <n v="0"/>
    <n v="0"/>
    <n v="0"/>
  </r>
  <r>
    <x v="2"/>
    <x v="12"/>
    <d v="2026-03-31T00:00:00"/>
    <s v="No Portfolio"/>
    <s v="USD"/>
    <x v="0"/>
    <s v="broad组"/>
    <s v="Amazon"/>
    <s v="United States"/>
    <s v="stroller snack tray"/>
    <s v="BROAD"/>
    <x v="863"/>
    <n v="4"/>
    <n v="1"/>
    <n v="0.25"/>
    <n v="0.21"/>
    <n v="0.21"/>
    <n v="17.09"/>
    <n v="1.2287887653598594E-2"/>
    <n v="81.38095238095238"/>
    <n v="1"/>
    <n v="1"/>
    <n v="1"/>
    <n v="1"/>
    <n v="0"/>
    <n v="17.09"/>
    <n v="0"/>
  </r>
  <r>
    <x v="2"/>
    <x v="12"/>
    <d v="2026-03-31T00:00:00"/>
    <s v="No Portfolio"/>
    <s v="USD"/>
    <x v="0"/>
    <s v="broad组"/>
    <s v="Amazon"/>
    <s v="United States"/>
    <s v="snack tray for stroller"/>
    <s v="BROAD"/>
    <x v="741"/>
    <n v="1"/>
    <n v="1"/>
    <n v="1"/>
    <n v="0.21"/>
    <n v="0.21"/>
    <n v="18.989999999999998"/>
    <n v="1.1058451816745656E-2"/>
    <n v="90.428571428571431"/>
    <n v="1"/>
    <n v="1"/>
    <n v="1"/>
    <n v="1"/>
    <n v="0"/>
    <n v="18.989999999999998"/>
    <n v="0"/>
  </r>
  <r>
    <x v="2"/>
    <x v="13"/>
    <d v="2026-03-25T00:00:00"/>
    <s v="No Portfolio"/>
    <s v="USD"/>
    <x v="4"/>
    <s v="stroller tray"/>
    <s v="Amazon"/>
    <s v="United States"/>
    <s v="loose-match"/>
    <s v="-"/>
    <x v="864"/>
    <n v="5"/>
    <n v="1"/>
    <n v="0.2"/>
    <n v="0.5"/>
    <n v="0.5"/>
    <n v="0"/>
    <m/>
    <n v="0"/>
    <n v="0"/>
    <n v="0"/>
    <n v="0"/>
    <n v="0"/>
    <n v="0"/>
    <n v="0"/>
    <n v="0"/>
  </r>
  <r>
    <x v="2"/>
    <x v="13"/>
    <d v="2026-03-28T00:00:00"/>
    <s v="No Portfolio"/>
    <s v="USD"/>
    <x v="0"/>
    <s v="broad组"/>
    <s v="Amazon"/>
    <s v="United States"/>
    <s v="stroller snack tray"/>
    <s v="BROAD"/>
    <x v="864"/>
    <n v="2"/>
    <n v="1"/>
    <n v="0.5"/>
    <n v="0.08"/>
    <n v="0.08"/>
    <n v="0"/>
    <m/>
    <n v="0"/>
    <n v="0"/>
    <n v="0"/>
    <n v="0"/>
    <n v="0"/>
    <n v="0"/>
    <n v="0"/>
    <n v="0"/>
  </r>
  <r>
    <x v="2"/>
    <x v="13"/>
    <d v="2026-03-24T00:00:00"/>
    <s v="No Portfolio"/>
    <s v="USD"/>
    <x v="0"/>
    <s v="phrase&amp;exact"/>
    <s v="Amazon"/>
    <s v="United States"/>
    <s v="snack tray for stroller"/>
    <s v="PHRASE"/>
    <x v="865"/>
    <n v="2"/>
    <n v="1"/>
    <n v="0.5"/>
    <n v="0.12"/>
    <n v="0.12"/>
    <n v="17.09"/>
    <n v="7.0216500877706258E-3"/>
    <n v="142.41666666666666"/>
    <n v="1"/>
    <n v="1"/>
    <n v="1"/>
    <n v="0"/>
    <n v="1"/>
    <n v="0"/>
    <n v="17.09"/>
  </r>
  <r>
    <x v="2"/>
    <x v="13"/>
    <d v="2026-03-25T00:00:00"/>
    <s v="No Portfolio"/>
    <s v="USD"/>
    <x v="4"/>
    <s v="stroller tray"/>
    <s v="Amazon"/>
    <s v="United States"/>
    <s v="loose-match"/>
    <s v="-"/>
    <x v="866"/>
    <n v="1"/>
    <n v="1"/>
    <n v="1"/>
    <n v="0.61"/>
    <n v="0.61"/>
    <n v="0"/>
    <m/>
    <n v="0"/>
    <n v="0"/>
    <n v="0"/>
    <n v="0"/>
    <n v="0"/>
    <n v="0"/>
    <n v="0"/>
    <n v="0"/>
  </r>
  <r>
    <x v="2"/>
    <x v="13"/>
    <d v="2026-03-23T00:00:00"/>
    <s v="No Portfolio"/>
    <s v="USD"/>
    <x v="4"/>
    <s v="stroller tray"/>
    <s v="Amazon"/>
    <s v="United States"/>
    <s v="loose-match"/>
    <s v="-"/>
    <x v="867"/>
    <n v="2"/>
    <n v="1"/>
    <n v="0.5"/>
    <n v="0.65"/>
    <n v="0.65"/>
    <n v="0"/>
    <m/>
    <n v="0"/>
    <n v="0"/>
    <n v="0"/>
    <n v="0"/>
    <n v="0"/>
    <n v="0"/>
    <n v="0"/>
    <n v="0"/>
  </r>
  <r>
    <x v="2"/>
    <x v="13"/>
    <d v="2026-03-24T00:00:00"/>
    <s v="No Portfolio"/>
    <s v="USD"/>
    <x v="0"/>
    <s v="phrase&amp;exact"/>
    <s v="Amazon"/>
    <s v="United States"/>
    <s v="stroller accessories"/>
    <s v="EXACT"/>
    <x v="192"/>
    <n v="18"/>
    <n v="1"/>
    <n v="5.5555555555555552E-2"/>
    <n v="0.21"/>
    <n v="0.21"/>
    <n v="0"/>
    <m/>
    <n v="0"/>
    <n v="0"/>
    <n v="0"/>
    <n v="0"/>
    <n v="0"/>
    <n v="0"/>
    <n v="0"/>
    <n v="0"/>
  </r>
  <r>
    <x v="2"/>
    <x v="13"/>
    <d v="2026-03-25T00:00:00"/>
    <s v="No Portfolio"/>
    <s v="USD"/>
    <x v="0"/>
    <s v="phrase&amp;exact"/>
    <s v="Amazon"/>
    <s v="United States"/>
    <s v="stroller accessories"/>
    <s v="EXACT"/>
    <x v="192"/>
    <n v="16"/>
    <n v="1"/>
    <n v="6.25E-2"/>
    <n v="0.21"/>
    <n v="0.21"/>
    <n v="0"/>
    <m/>
    <n v="0"/>
    <n v="0"/>
    <n v="0"/>
    <n v="0"/>
    <n v="0"/>
    <n v="0"/>
    <n v="0"/>
    <n v="0"/>
  </r>
  <r>
    <x v="2"/>
    <x v="12"/>
    <d v="2026-03-29T00:00:00"/>
    <s v="No Portfolio"/>
    <s v="USD"/>
    <x v="0"/>
    <s v="phrase&amp;exact"/>
    <s v="Amazon"/>
    <s v="United States"/>
    <s v="stroller accessories"/>
    <s v="EXACT"/>
    <x v="192"/>
    <n v="11"/>
    <n v="1"/>
    <n v="9.0909090909090925E-2"/>
    <n v="0.21"/>
    <n v="0.21"/>
    <n v="0"/>
    <m/>
    <n v="0"/>
    <n v="0"/>
    <n v="0"/>
    <n v="0"/>
    <n v="0"/>
    <n v="0"/>
    <n v="0"/>
    <n v="0"/>
  </r>
  <r>
    <x v="2"/>
    <x v="12"/>
    <d v="2026-03-31T00:00:00"/>
    <s v="No Portfolio"/>
    <s v="USD"/>
    <x v="0"/>
    <s v="phrase&amp;exact"/>
    <s v="Amazon"/>
    <s v="United States"/>
    <s v="stroller accessories"/>
    <s v="EXACT"/>
    <x v="192"/>
    <n v="3"/>
    <n v="1"/>
    <n v="0.33333333333333331"/>
    <n v="0.21"/>
    <n v="0.21"/>
    <n v="0"/>
    <m/>
    <n v="0"/>
    <n v="0"/>
    <n v="0"/>
    <n v="0"/>
    <n v="0"/>
    <n v="0"/>
    <n v="0"/>
    <n v="0"/>
  </r>
  <r>
    <x v="2"/>
    <x v="13"/>
    <d v="2026-03-28T00:00:00"/>
    <s v="No Portfolio"/>
    <s v="USD"/>
    <x v="0"/>
    <s v="broad组"/>
    <s v="Amazon"/>
    <s v="United States"/>
    <s v="stroller accessories"/>
    <s v="BROAD"/>
    <x v="868"/>
    <n v="1"/>
    <n v="1"/>
    <n v="1"/>
    <n v="0.16"/>
    <n v="0.16"/>
    <n v="0"/>
    <m/>
    <n v="0"/>
    <n v="0"/>
    <n v="0"/>
    <n v="0"/>
    <n v="0"/>
    <n v="0"/>
    <n v="0"/>
    <n v="0"/>
  </r>
  <r>
    <x v="2"/>
    <x v="12"/>
    <d v="2026-03-30T00:00:00"/>
    <s v="No Portfolio"/>
    <s v="USD"/>
    <x v="4"/>
    <s v="stroller tray"/>
    <s v="Amazon"/>
    <s v="United States"/>
    <s v="loose-match"/>
    <s v="-"/>
    <x v="869"/>
    <n v="2"/>
    <n v="1"/>
    <n v="0.5"/>
    <n v="0.47"/>
    <n v="0.47"/>
    <n v="0"/>
    <m/>
    <n v="0"/>
    <n v="0"/>
    <n v="0"/>
    <n v="0"/>
    <n v="0"/>
    <n v="0"/>
    <n v="0"/>
    <n v="0"/>
  </r>
  <r>
    <x v="2"/>
    <x v="13"/>
    <d v="2026-03-23T00:00:00"/>
    <s v="No Portfolio"/>
    <s v="USD"/>
    <x v="0"/>
    <s v="broad组"/>
    <s v="Amazon"/>
    <s v="United States"/>
    <s v="stroller attachment"/>
    <s v="BROAD"/>
    <x v="870"/>
    <n v="1"/>
    <n v="1"/>
    <n v="1"/>
    <n v="0.2"/>
    <n v="0.2"/>
    <n v="0"/>
    <m/>
    <n v="0"/>
    <n v="0"/>
    <n v="0"/>
    <n v="0"/>
    <n v="0"/>
    <n v="0"/>
    <n v="0"/>
    <n v="0"/>
  </r>
  <r>
    <x v="2"/>
    <x v="13"/>
    <d v="2026-03-23T00:00:00"/>
    <s v="No Portfolio"/>
    <s v="USD"/>
    <x v="4"/>
    <s v="stroller tray"/>
    <s v="Amazon"/>
    <s v="United States"/>
    <s v="loose-match"/>
    <s v="-"/>
    <x v="871"/>
    <n v="1"/>
    <n v="1"/>
    <n v="1"/>
    <n v="0.65"/>
    <n v="0.65"/>
    <n v="0"/>
    <m/>
    <n v="0"/>
    <n v="0"/>
    <n v="0"/>
    <n v="0"/>
    <n v="0"/>
    <n v="0"/>
    <n v="0"/>
    <n v="0"/>
  </r>
  <r>
    <x v="2"/>
    <x v="13"/>
    <d v="2026-03-22T00:00:00"/>
    <s v="No Portfolio"/>
    <s v="USD"/>
    <x v="0"/>
    <s v="broad组"/>
    <s v="Amazon"/>
    <s v="United States"/>
    <s v="stroller clip on tray"/>
    <s v="BROAD"/>
    <x v="468"/>
    <n v="3"/>
    <n v="1"/>
    <n v="0.33333333333333331"/>
    <n v="0.21"/>
    <n v="0.21"/>
    <n v="0"/>
    <m/>
    <n v="0"/>
    <n v="0"/>
    <n v="0"/>
    <n v="0"/>
    <n v="0"/>
    <n v="0"/>
    <n v="0"/>
    <n v="0"/>
  </r>
  <r>
    <x v="2"/>
    <x v="12"/>
    <d v="2026-03-29T00:00:00"/>
    <s v="No Portfolio"/>
    <s v="USD"/>
    <x v="4"/>
    <s v="stroller tray"/>
    <s v="Amazon"/>
    <s v="United States"/>
    <s v="close-match"/>
    <s v="-"/>
    <x v="198"/>
    <n v="14"/>
    <n v="1"/>
    <n v="7.1428571428571425E-2"/>
    <n v="0.65"/>
    <n v="0.65"/>
    <n v="0"/>
    <m/>
    <n v="0"/>
    <n v="0"/>
    <n v="0"/>
    <n v="0"/>
    <n v="0"/>
    <n v="0"/>
    <n v="0"/>
    <n v="0"/>
  </r>
  <r>
    <x v="2"/>
    <x v="13"/>
    <d v="2026-03-24T00:00:00"/>
    <s v="No Portfolio"/>
    <s v="USD"/>
    <x v="0"/>
    <s v="broad组"/>
    <s v="Amazon"/>
    <s v="United States"/>
    <s v="stroller cup holder"/>
    <s v="BROAD"/>
    <x v="198"/>
    <n v="5"/>
    <n v="1"/>
    <n v="0.2"/>
    <n v="0.2"/>
    <n v="0.2"/>
    <n v="0"/>
    <m/>
    <n v="0"/>
    <n v="0"/>
    <n v="0"/>
    <n v="0"/>
    <n v="0"/>
    <n v="0"/>
    <n v="0"/>
    <n v="0"/>
  </r>
  <r>
    <x v="2"/>
    <x v="13"/>
    <d v="2026-03-22T00:00:00"/>
    <s v="No Portfolio"/>
    <s v="USD"/>
    <x v="0"/>
    <s v="phrase&amp;exact"/>
    <s v="Amazon"/>
    <s v="United States"/>
    <s v="stroller cup holder"/>
    <s v="PHRASE"/>
    <x v="198"/>
    <n v="16"/>
    <n v="1"/>
    <n v="6.25E-2"/>
    <n v="0.21"/>
    <n v="0.21"/>
    <n v="0"/>
    <m/>
    <n v="0"/>
    <n v="0"/>
    <n v="0"/>
    <n v="0"/>
    <n v="0"/>
    <n v="0"/>
    <n v="0"/>
    <n v="0"/>
  </r>
  <r>
    <x v="2"/>
    <x v="13"/>
    <d v="2026-03-23T00:00:00"/>
    <s v="No Portfolio"/>
    <s v="USD"/>
    <x v="0"/>
    <s v="phrase&amp;exact"/>
    <s v="Amazon"/>
    <s v="United States"/>
    <s v="stroller cup holder"/>
    <s v="PHRASE"/>
    <x v="198"/>
    <n v="15"/>
    <n v="1"/>
    <n v="6.6666666666666666E-2"/>
    <n v="0.2"/>
    <n v="0.2"/>
    <n v="0"/>
    <m/>
    <n v="0"/>
    <n v="0"/>
    <n v="0"/>
    <n v="0"/>
    <n v="0"/>
    <n v="0"/>
    <n v="0"/>
    <n v="0"/>
  </r>
  <r>
    <x v="2"/>
    <x v="13"/>
    <d v="2026-03-24T00:00:00"/>
    <s v="No Portfolio"/>
    <s v="USD"/>
    <x v="0"/>
    <s v="phrase&amp;exact"/>
    <s v="Amazon"/>
    <s v="United States"/>
    <s v="stroller cup holder"/>
    <s v="PHRASE"/>
    <x v="198"/>
    <n v="29"/>
    <n v="1"/>
    <n v="3.4482758620689655E-2"/>
    <n v="0.2"/>
    <n v="0.2"/>
    <n v="0"/>
    <m/>
    <n v="0"/>
    <n v="0"/>
    <n v="0"/>
    <n v="0"/>
    <n v="0"/>
    <n v="0"/>
    <n v="0"/>
    <n v="0"/>
  </r>
  <r>
    <x v="2"/>
    <x v="13"/>
    <d v="2026-03-28T00:00:00"/>
    <s v="No Portfolio"/>
    <s v="USD"/>
    <x v="0"/>
    <s v="phrase&amp;exact"/>
    <s v="Amazon"/>
    <s v="United States"/>
    <s v="stroller cup holder"/>
    <s v="PHRASE"/>
    <x v="198"/>
    <n v="16"/>
    <n v="1"/>
    <n v="6.25E-2"/>
    <n v="0.2"/>
    <n v="0.2"/>
    <n v="0"/>
    <m/>
    <n v="0"/>
    <n v="0"/>
    <n v="0"/>
    <n v="0"/>
    <n v="0"/>
    <n v="0"/>
    <n v="0"/>
    <n v="0"/>
  </r>
  <r>
    <x v="2"/>
    <x v="12"/>
    <d v="2026-03-29T00:00:00"/>
    <s v="No Portfolio"/>
    <s v="USD"/>
    <x v="0"/>
    <s v="phrase&amp;exact"/>
    <s v="Amazon"/>
    <s v="United States"/>
    <s v="stroller cup holder"/>
    <s v="PHRASE"/>
    <x v="198"/>
    <n v="27"/>
    <n v="1"/>
    <n v="3.7037037037037035E-2"/>
    <n v="0.2"/>
    <n v="0.2"/>
    <n v="0"/>
    <m/>
    <n v="0"/>
    <n v="0"/>
    <n v="0"/>
    <n v="0"/>
    <n v="0"/>
    <n v="0"/>
    <n v="0"/>
    <n v="0"/>
  </r>
  <r>
    <x v="2"/>
    <x v="13"/>
    <d v="2026-03-28T00:00:00"/>
    <s v="No Portfolio"/>
    <s v="USD"/>
    <x v="0"/>
    <s v="phrase&amp;exact"/>
    <s v="Amazon"/>
    <s v="United States"/>
    <s v="stroller cup holder"/>
    <s v="EXACT"/>
    <x v="198"/>
    <n v="2"/>
    <n v="1"/>
    <n v="0.5"/>
    <n v="0.21"/>
    <n v="0.21"/>
    <n v="0"/>
    <m/>
    <n v="0"/>
    <n v="0"/>
    <n v="0"/>
    <n v="0"/>
    <n v="0"/>
    <n v="0"/>
    <n v="0"/>
    <n v="0"/>
  </r>
  <r>
    <x v="2"/>
    <x v="12"/>
    <d v="2026-03-31T00:00:00"/>
    <s v="No Portfolio"/>
    <s v="USD"/>
    <x v="4"/>
    <s v="stroller tray"/>
    <s v="Amazon"/>
    <s v="United States"/>
    <s v="close-match"/>
    <s v="-"/>
    <x v="199"/>
    <n v="6"/>
    <n v="1"/>
    <n v="0.16666666666666663"/>
    <n v="0.65"/>
    <n v="0.65"/>
    <n v="0"/>
    <m/>
    <n v="0"/>
    <n v="0"/>
    <n v="0"/>
    <n v="0"/>
    <n v="0"/>
    <n v="0"/>
    <n v="0"/>
    <n v="0"/>
  </r>
  <r>
    <x v="2"/>
    <x v="13"/>
    <d v="2026-03-28T00:00:00"/>
    <s v="No Portfolio"/>
    <s v="USD"/>
    <x v="0"/>
    <s v="broad组"/>
    <s v="Amazon"/>
    <s v="United States"/>
    <s v="cup holder for stroller"/>
    <s v="BROAD"/>
    <x v="199"/>
    <n v="1"/>
    <n v="1"/>
    <n v="1"/>
    <n v="0.2"/>
    <n v="0.2"/>
    <n v="0"/>
    <m/>
    <n v="0"/>
    <n v="0"/>
    <n v="0"/>
    <n v="0"/>
    <n v="0"/>
    <n v="0"/>
    <n v="0"/>
    <n v="0"/>
  </r>
  <r>
    <x v="2"/>
    <x v="13"/>
    <d v="2026-03-28T00:00:00"/>
    <s v="No Portfolio"/>
    <s v="USD"/>
    <x v="0"/>
    <s v="phrase&amp;exact"/>
    <s v="Amazon"/>
    <s v="United States"/>
    <s v="stroller cup holder"/>
    <s v="PHRASE"/>
    <x v="872"/>
    <n v="2"/>
    <n v="1"/>
    <n v="0.5"/>
    <n v="0.4"/>
    <n v="0.4"/>
    <n v="0"/>
    <m/>
    <n v="0"/>
    <n v="0"/>
    <n v="0"/>
    <n v="0"/>
    <n v="0"/>
    <n v="0"/>
    <n v="0"/>
    <n v="0"/>
  </r>
  <r>
    <x v="2"/>
    <x v="12"/>
    <d v="2026-03-31T00:00:00"/>
    <s v="No Portfolio"/>
    <s v="USD"/>
    <x v="0"/>
    <s v="broad组"/>
    <s v="Amazon"/>
    <s v="United States"/>
    <s v="stroller cup holder"/>
    <s v="BROAD"/>
    <x v="873"/>
    <n v="1"/>
    <n v="1"/>
    <n v="1"/>
    <n v="0.21"/>
    <n v="0.21"/>
    <n v="0"/>
    <m/>
    <n v="0"/>
    <n v="0"/>
    <n v="0"/>
    <n v="0"/>
    <n v="0"/>
    <n v="0"/>
    <n v="0"/>
    <n v="0"/>
  </r>
  <r>
    <x v="2"/>
    <x v="13"/>
    <d v="2026-03-27T00:00:00"/>
    <s v="No Portfolio"/>
    <s v="USD"/>
    <x v="4"/>
    <s v="stroller tray"/>
    <s v="Amazon"/>
    <s v="United States"/>
    <s v="loose-match"/>
    <s v="-"/>
    <x v="874"/>
    <n v="3"/>
    <n v="1"/>
    <n v="0.33333333333333331"/>
    <n v="0.47"/>
    <n v="0.47"/>
    <n v="0"/>
    <m/>
    <n v="0"/>
    <n v="0"/>
    <n v="0"/>
    <n v="0"/>
    <n v="0"/>
    <n v="0"/>
    <n v="0"/>
    <n v="0"/>
  </r>
  <r>
    <x v="2"/>
    <x v="13"/>
    <d v="2026-03-25T00:00:00"/>
    <s v="No Portfolio"/>
    <s v="USD"/>
    <x v="4"/>
    <s v="stroller tray"/>
    <s v="Amazon"/>
    <s v="United States"/>
    <s v="loose-match"/>
    <s v="-"/>
    <x v="875"/>
    <n v="1"/>
    <n v="1"/>
    <n v="1"/>
    <n v="0.62"/>
    <n v="0.62"/>
    <n v="0"/>
    <m/>
    <n v="0"/>
    <n v="0"/>
    <n v="0"/>
    <n v="0"/>
    <n v="0"/>
    <n v="0"/>
    <n v="0"/>
    <n v="0"/>
  </r>
  <r>
    <x v="2"/>
    <x v="13"/>
    <d v="2026-03-22T00:00:00"/>
    <s v="No Portfolio"/>
    <s v="USD"/>
    <x v="0"/>
    <s v="broad组"/>
    <s v="Amazon"/>
    <s v="United States"/>
    <s v="cup holder for stroller"/>
    <s v="BROAD"/>
    <x v="876"/>
    <n v="1"/>
    <n v="1"/>
    <n v="1"/>
    <n v="0.21"/>
    <n v="0.21"/>
    <n v="0"/>
    <m/>
    <n v="0"/>
    <n v="0"/>
    <n v="0"/>
    <n v="0"/>
    <n v="0"/>
    <n v="0"/>
    <n v="0"/>
    <n v="0"/>
  </r>
  <r>
    <x v="2"/>
    <x v="13"/>
    <d v="2026-03-26T00:00:00"/>
    <s v="No Portfolio"/>
    <s v="USD"/>
    <x v="4"/>
    <s v="stroller tray"/>
    <s v="Amazon"/>
    <s v="United States"/>
    <s v="loose-match"/>
    <s v="-"/>
    <x v="877"/>
    <n v="1"/>
    <n v="1"/>
    <n v="1"/>
    <n v="0.43"/>
    <n v="0.43"/>
    <n v="0"/>
    <m/>
    <n v="0"/>
    <n v="0"/>
    <n v="0"/>
    <n v="0"/>
    <n v="0"/>
    <n v="0"/>
    <n v="0"/>
    <n v="0"/>
  </r>
  <r>
    <x v="2"/>
    <x v="13"/>
    <d v="2026-03-25T00:00:00"/>
    <s v="No Portfolio"/>
    <s v="USD"/>
    <x v="0"/>
    <s v="broad组"/>
    <s v="Amazon"/>
    <s v="United States"/>
    <s v="universal snack tray for stroller"/>
    <s v="BROAD"/>
    <x v="878"/>
    <n v="2"/>
    <n v="1"/>
    <n v="0.5"/>
    <n v="0.21"/>
    <n v="0.21"/>
    <n v="0"/>
    <m/>
    <n v="0"/>
    <n v="0"/>
    <n v="0"/>
    <n v="0"/>
    <n v="0"/>
    <n v="0"/>
    <n v="0"/>
    <n v="0"/>
  </r>
  <r>
    <x v="2"/>
    <x v="13"/>
    <d v="2026-03-22T00:00:00"/>
    <s v="No Portfolio"/>
    <s v="USD"/>
    <x v="4"/>
    <s v="stroller tray"/>
    <s v="Amazon"/>
    <s v="United States"/>
    <s v="close-match"/>
    <s v="-"/>
    <x v="205"/>
    <n v="24"/>
    <n v="1"/>
    <n v="4.1666666666666657E-2"/>
    <n v="0.95"/>
    <n v="0.95"/>
    <n v="18.989999999999998"/>
    <n v="5.0026329647182732E-2"/>
    <n v="19.989473684210527"/>
    <n v="1"/>
    <n v="1"/>
    <n v="1"/>
    <n v="1"/>
    <n v="0"/>
    <n v="18.989999999999998"/>
    <n v="0"/>
  </r>
  <r>
    <x v="2"/>
    <x v="13"/>
    <d v="2026-03-26T00:00:00"/>
    <s v="No Portfolio"/>
    <s v="USD"/>
    <x v="4"/>
    <s v="stroller tray"/>
    <s v="Amazon"/>
    <s v="United States"/>
    <s v="close-match"/>
    <s v="-"/>
    <x v="205"/>
    <n v="35"/>
    <n v="1"/>
    <n v="2.8571428571428571E-2"/>
    <n v="0.75"/>
    <n v="0.75"/>
    <n v="0"/>
    <m/>
    <n v="0"/>
    <n v="0"/>
    <n v="0"/>
    <n v="0"/>
    <n v="0"/>
    <n v="0"/>
    <n v="0"/>
    <n v="0"/>
  </r>
  <r>
    <x v="2"/>
    <x v="13"/>
    <d v="2026-03-22T00:00:00"/>
    <s v="No Portfolio"/>
    <s v="USD"/>
    <x v="0"/>
    <s v="phrase&amp;exact"/>
    <s v="Amazon"/>
    <s v="United States"/>
    <s v="stroller snack tray"/>
    <s v="PHRASE"/>
    <x v="205"/>
    <n v="33"/>
    <n v="1"/>
    <n v="3.0303030303030304E-2"/>
    <n v="0.2"/>
    <n v="0.2"/>
    <n v="18.989999999999998"/>
    <n v="1.0531858873091103E-2"/>
    <n v="94.949999999999989"/>
    <n v="1"/>
    <n v="1"/>
    <n v="1"/>
    <n v="1"/>
    <n v="0"/>
    <n v="18.989999999999998"/>
    <n v="0"/>
  </r>
  <r>
    <x v="2"/>
    <x v="13"/>
    <d v="2026-03-25T00:00:00"/>
    <s v="No Portfolio"/>
    <s v="USD"/>
    <x v="0"/>
    <s v="phrase&amp;exact"/>
    <s v="Amazon"/>
    <s v="United States"/>
    <s v="stroller snack tray"/>
    <s v="PHRASE"/>
    <x v="205"/>
    <n v="15"/>
    <n v="1"/>
    <n v="6.6666666666666666E-2"/>
    <n v="0.2"/>
    <n v="0.2"/>
    <n v="0"/>
    <m/>
    <n v="0"/>
    <n v="0"/>
    <n v="0"/>
    <n v="0"/>
    <n v="0"/>
    <n v="0"/>
    <n v="0"/>
    <n v="0"/>
  </r>
  <r>
    <x v="2"/>
    <x v="12"/>
    <d v="2026-03-29T00:00:00"/>
    <s v="No Portfolio"/>
    <s v="USD"/>
    <x v="0"/>
    <s v="phrase&amp;exact"/>
    <s v="Amazon"/>
    <s v="United States"/>
    <s v="stroller snack tray"/>
    <s v="PHRASE"/>
    <x v="205"/>
    <n v="27"/>
    <n v="1"/>
    <n v="3.7037037037037035E-2"/>
    <n v="0.2"/>
    <n v="0.2"/>
    <n v="0"/>
    <m/>
    <n v="0"/>
    <n v="0"/>
    <n v="0"/>
    <n v="0"/>
    <n v="0"/>
    <n v="0"/>
    <n v="0"/>
    <n v="0"/>
  </r>
  <r>
    <x v="2"/>
    <x v="13"/>
    <d v="2026-03-24T00:00:00"/>
    <s v="No Portfolio"/>
    <s v="USD"/>
    <x v="0"/>
    <s v="phrase&amp;exact"/>
    <s v="Amazon"/>
    <s v="United States"/>
    <s v="stroller snack tray"/>
    <s v="EXACT"/>
    <x v="205"/>
    <n v="20"/>
    <n v="1"/>
    <n v="0.05"/>
    <n v="0.2"/>
    <n v="0.2"/>
    <n v="0"/>
    <m/>
    <n v="0"/>
    <n v="0"/>
    <n v="0"/>
    <n v="0"/>
    <n v="0"/>
    <n v="0"/>
    <n v="0"/>
    <n v="0"/>
  </r>
  <r>
    <x v="2"/>
    <x v="13"/>
    <d v="2026-03-28T00:00:00"/>
    <s v="No Portfolio"/>
    <s v="USD"/>
    <x v="0"/>
    <s v="phrase&amp;exact"/>
    <s v="Amazon"/>
    <s v="United States"/>
    <s v="stroller snack tray"/>
    <s v="EXACT"/>
    <x v="205"/>
    <n v="9"/>
    <n v="2"/>
    <n v="0.22222222222222221"/>
    <n v="0.2"/>
    <n v="0.4"/>
    <n v="0"/>
    <m/>
    <n v="0"/>
    <n v="0"/>
    <n v="0"/>
    <n v="0"/>
    <n v="0"/>
    <n v="0"/>
    <n v="0"/>
    <n v="0"/>
  </r>
  <r>
    <x v="2"/>
    <x v="12"/>
    <d v="2026-03-29T00:00:00"/>
    <s v="No Portfolio"/>
    <s v="USD"/>
    <x v="0"/>
    <s v="phrase&amp;exact"/>
    <s v="Amazon"/>
    <s v="United States"/>
    <s v="stroller snack tray"/>
    <s v="EXACT"/>
    <x v="205"/>
    <n v="3"/>
    <n v="1"/>
    <n v="0.33333333333333331"/>
    <n v="0.21"/>
    <n v="0.21"/>
    <n v="0"/>
    <m/>
    <n v="0"/>
    <n v="0"/>
    <n v="0"/>
    <n v="0"/>
    <n v="0"/>
    <n v="0"/>
    <n v="0"/>
    <n v="0"/>
  </r>
  <r>
    <x v="2"/>
    <x v="12"/>
    <d v="2026-03-29T00:00:00"/>
    <s v="No Portfolio"/>
    <s v="USD"/>
    <x v="4"/>
    <s v="stroller tray"/>
    <s v="Amazon"/>
    <s v="United States"/>
    <s v="close-match"/>
    <s v="-"/>
    <x v="206"/>
    <n v="11"/>
    <n v="1"/>
    <n v="9.0909090909090925E-2"/>
    <n v="0.79"/>
    <n v="0.79"/>
    <n v="0"/>
    <m/>
    <n v="0"/>
    <n v="0"/>
    <n v="0"/>
    <n v="0"/>
    <n v="0"/>
    <n v="0"/>
    <n v="0"/>
    <n v="0"/>
  </r>
  <r>
    <x v="2"/>
    <x v="13"/>
    <d v="2026-03-23T00:00:00"/>
    <s v="No Portfolio"/>
    <s v="USD"/>
    <x v="0"/>
    <s v="phrase&amp;exact"/>
    <s v="Amazon"/>
    <s v="United States"/>
    <s v="stroller snack tray"/>
    <s v="PHRASE"/>
    <x v="206"/>
    <n v="8"/>
    <n v="1"/>
    <n v="0.125"/>
    <n v="0.2"/>
    <n v="0.2"/>
    <n v="0"/>
    <m/>
    <n v="0"/>
    <n v="0"/>
    <n v="0"/>
    <n v="0"/>
    <n v="0"/>
    <n v="0"/>
    <n v="0"/>
    <n v="0"/>
  </r>
  <r>
    <x v="2"/>
    <x v="13"/>
    <d v="2026-03-25T00:00:00"/>
    <s v="No Portfolio"/>
    <s v="USD"/>
    <x v="0"/>
    <s v="broad组"/>
    <s v="Amazon"/>
    <s v="United States"/>
    <s v="stroller snack tray attachment"/>
    <s v="BROAD"/>
    <x v="762"/>
    <n v="2"/>
    <n v="1"/>
    <n v="0.5"/>
    <n v="0.2"/>
    <n v="0.2"/>
    <n v="0"/>
    <m/>
    <n v="0"/>
    <n v="0"/>
    <n v="0"/>
    <n v="0"/>
    <n v="0"/>
    <n v="0"/>
    <n v="0"/>
    <n v="0"/>
  </r>
  <r>
    <x v="2"/>
    <x v="13"/>
    <d v="2026-03-22T00:00:00"/>
    <s v="No Portfolio"/>
    <s v="USD"/>
    <x v="0"/>
    <s v="phrase&amp;exact"/>
    <s v="Amazon"/>
    <s v="United States"/>
    <s v="stroller snack tray"/>
    <s v="PHRASE"/>
    <x v="879"/>
    <n v="2"/>
    <n v="1"/>
    <n v="0.5"/>
    <n v="0.21"/>
    <n v="0.21"/>
    <n v="0"/>
    <m/>
    <n v="0"/>
    <n v="0"/>
    <n v="0"/>
    <n v="0"/>
    <n v="0"/>
    <n v="0"/>
    <n v="0"/>
    <n v="0"/>
  </r>
  <r>
    <x v="2"/>
    <x v="12"/>
    <d v="2026-03-31T00:00:00"/>
    <s v="No Portfolio"/>
    <s v="USD"/>
    <x v="4"/>
    <s v="stroller tray"/>
    <s v="Amazon"/>
    <s v="United States"/>
    <s v="close-match"/>
    <s v="-"/>
    <x v="208"/>
    <n v="6"/>
    <n v="1"/>
    <n v="0.16666666666666663"/>
    <n v="0.65"/>
    <n v="0.65"/>
    <n v="0"/>
    <m/>
    <n v="0"/>
    <n v="0"/>
    <n v="0"/>
    <n v="0"/>
    <n v="0"/>
    <n v="0"/>
    <n v="0"/>
    <n v="0"/>
  </r>
  <r>
    <x v="2"/>
    <x v="13"/>
    <d v="2026-03-27T00:00:00"/>
    <s v="No Portfolio"/>
    <s v="USD"/>
    <x v="0"/>
    <s v="phrase&amp;exact"/>
    <s v="Amazon"/>
    <s v="United States"/>
    <s v="stroller tray attachment"/>
    <s v="PHRASE"/>
    <x v="209"/>
    <n v="8"/>
    <n v="1"/>
    <n v="0.125"/>
    <n v="0.2"/>
    <n v="0.2"/>
    <n v="0"/>
    <m/>
    <n v="0"/>
    <n v="0"/>
    <n v="0"/>
    <n v="0"/>
    <n v="0"/>
    <n v="0"/>
    <n v="0"/>
    <n v="0"/>
  </r>
  <r>
    <x v="2"/>
    <x v="13"/>
    <d v="2026-03-28T00:00:00"/>
    <s v="No Portfolio"/>
    <s v="USD"/>
    <x v="0"/>
    <s v="broad组"/>
    <s v="Amazon"/>
    <s v="United States"/>
    <s v="stroller tray"/>
    <s v="BROAD"/>
    <x v="880"/>
    <n v="5"/>
    <n v="1"/>
    <n v="0.2"/>
    <n v="0.21"/>
    <n v="0.21"/>
    <n v="0"/>
    <m/>
    <n v="0"/>
    <n v="0"/>
    <n v="0"/>
    <n v="0"/>
    <n v="0"/>
    <n v="0"/>
    <n v="0"/>
    <n v="0"/>
  </r>
  <r>
    <x v="2"/>
    <x v="13"/>
    <d v="2026-03-23T00:00:00"/>
    <s v="No Portfolio"/>
    <s v="USD"/>
    <x v="0"/>
    <s v="broad组"/>
    <s v="Amazon"/>
    <s v="United States"/>
    <s v="stroller tray"/>
    <s v="BROAD"/>
    <x v="881"/>
    <n v="6"/>
    <n v="1"/>
    <n v="0.16666666666666663"/>
    <n v="0.21"/>
    <n v="0.21"/>
    <n v="0"/>
    <m/>
    <n v="0"/>
    <n v="0"/>
    <n v="0"/>
    <n v="0"/>
    <n v="0"/>
    <n v="0"/>
    <n v="0"/>
    <n v="0"/>
  </r>
  <r>
    <x v="2"/>
    <x v="13"/>
    <d v="2026-03-22T00:00:00"/>
    <s v="No Portfolio"/>
    <s v="USD"/>
    <x v="0"/>
    <s v="broad组"/>
    <s v="Amazon"/>
    <s v="United States"/>
    <s v="stroller tray"/>
    <s v="BROAD"/>
    <x v="214"/>
    <n v="1"/>
    <n v="1"/>
    <n v="1"/>
    <n v="0.2"/>
    <n v="0.2"/>
    <n v="0"/>
    <m/>
    <n v="0"/>
    <n v="0"/>
    <n v="0"/>
    <n v="0"/>
    <n v="0"/>
    <n v="0"/>
    <n v="0"/>
    <n v="0"/>
  </r>
  <r>
    <x v="2"/>
    <x v="13"/>
    <d v="2026-03-24T00:00:00"/>
    <s v="No Portfolio"/>
    <s v="USD"/>
    <x v="4"/>
    <s v="stroller tray"/>
    <s v="Amazon"/>
    <s v="United States"/>
    <s v="close-match"/>
    <s v="-"/>
    <x v="882"/>
    <n v="5"/>
    <n v="1"/>
    <n v="0.2"/>
    <n v="0.74"/>
    <n v="0.74"/>
    <n v="0"/>
    <m/>
    <n v="0"/>
    <n v="0"/>
    <n v="0"/>
    <n v="0"/>
    <n v="0"/>
    <n v="0"/>
    <n v="0"/>
    <n v="0"/>
  </r>
  <r>
    <x v="2"/>
    <x v="13"/>
    <d v="2026-03-24T00:00:00"/>
    <s v="No Portfolio"/>
    <s v="USD"/>
    <x v="4"/>
    <s v="stroller tray"/>
    <s v="Amazon"/>
    <s v="United States"/>
    <s v="loose-match"/>
    <s v="-"/>
    <x v="883"/>
    <n v="2"/>
    <n v="1"/>
    <n v="0.5"/>
    <n v="0.42"/>
    <n v="0.42"/>
    <n v="0"/>
    <m/>
    <n v="0"/>
    <n v="0"/>
    <n v="0"/>
    <n v="0"/>
    <n v="0"/>
    <n v="0"/>
    <n v="0"/>
    <n v="0"/>
  </r>
  <r>
    <x v="2"/>
    <x v="13"/>
    <d v="2026-03-27T00:00:00"/>
    <s v="No Portfolio"/>
    <s v="USD"/>
    <x v="6"/>
    <s v="ENC"/>
    <s v="Amazon"/>
    <s v="United States"/>
    <s v="loose-match"/>
    <s v="-"/>
    <x v="884"/>
    <n v="17"/>
    <n v="1"/>
    <n v="5.8823529411764698E-2"/>
    <n v="1.1499999999999999"/>
    <n v="1.1499999999999999"/>
    <n v="0"/>
    <m/>
    <n v="0"/>
    <n v="0"/>
    <n v="0"/>
    <n v="0"/>
    <n v="0"/>
    <n v="0"/>
    <n v="0"/>
    <n v="0"/>
  </r>
  <r>
    <x v="2"/>
    <x v="13"/>
    <d v="2026-03-28T00:00:00"/>
    <s v="No Portfolio"/>
    <s v="USD"/>
    <x v="0"/>
    <s v="broad组"/>
    <s v="Amazon"/>
    <s v="United States"/>
    <s v="stroller accessories"/>
    <s v="BROAD"/>
    <x v="885"/>
    <n v="6"/>
    <n v="1"/>
    <n v="0.16666666666666663"/>
    <n v="0.16"/>
    <n v="0.16"/>
    <n v="18.989999999999998"/>
    <n v="8.4254870984728815E-3"/>
    <n v="118.68749999999999"/>
    <n v="1"/>
    <n v="1"/>
    <n v="1"/>
    <n v="1"/>
    <n v="0"/>
    <n v="18.989999999999998"/>
    <n v="0"/>
  </r>
  <r>
    <x v="2"/>
    <x v="13"/>
    <d v="2026-03-28T00:00:00"/>
    <s v="No Portfolio"/>
    <s v="USD"/>
    <x v="6"/>
    <s v="ENC"/>
    <s v="Amazon"/>
    <s v="United States"/>
    <s v="loose-match"/>
    <s v="-"/>
    <x v="886"/>
    <n v="3"/>
    <n v="1"/>
    <n v="0.33333333333333331"/>
    <n v="1.2"/>
    <n v="1.2"/>
    <n v="0"/>
    <m/>
    <n v="0"/>
    <n v="0"/>
    <n v="0"/>
    <n v="0"/>
    <n v="0"/>
    <n v="0"/>
    <n v="0"/>
    <n v="0"/>
  </r>
  <r>
    <x v="2"/>
    <x v="13"/>
    <d v="2026-03-22T00:00:00"/>
    <s v="No Portfolio"/>
    <s v="USD"/>
    <x v="6"/>
    <s v="ENC"/>
    <s v="Amazon"/>
    <s v="United States"/>
    <s v="loose-match"/>
    <s v="-"/>
    <x v="586"/>
    <n v="1"/>
    <n v="1"/>
    <n v="1"/>
    <n v="1.63"/>
    <n v="1.63"/>
    <n v="0"/>
    <m/>
    <n v="0"/>
    <n v="0"/>
    <n v="0"/>
    <n v="0"/>
    <n v="0"/>
    <n v="0"/>
    <n v="0"/>
    <n v="0"/>
  </r>
  <r>
    <x v="2"/>
    <x v="12"/>
    <d v="2026-03-29T00:00:00"/>
    <s v="No Portfolio"/>
    <s v="USD"/>
    <x v="0"/>
    <s v="broad组"/>
    <s v="Amazon"/>
    <s v="United States"/>
    <s v="stroller accessories"/>
    <s v="BROAD"/>
    <x v="887"/>
    <n v="1"/>
    <n v="1"/>
    <n v="1"/>
    <n v="0.16"/>
    <n v="0.16"/>
    <n v="0"/>
    <m/>
    <n v="0"/>
    <n v="0"/>
    <n v="0"/>
    <n v="0"/>
    <n v="0"/>
    <n v="0"/>
    <n v="0"/>
    <n v="0"/>
  </r>
  <r>
    <x v="2"/>
    <x v="12"/>
    <d v="2026-03-29T00:00:00"/>
    <s v="No Portfolio"/>
    <s v="USD"/>
    <x v="0"/>
    <s v="broad组"/>
    <s v="Amazon"/>
    <s v="United States"/>
    <s v="stroller tray attachment"/>
    <s v="BROAD"/>
    <x v="888"/>
    <n v="1"/>
    <n v="1"/>
    <n v="1"/>
    <n v="0.08"/>
    <n v="0.08"/>
    <n v="0"/>
    <m/>
    <n v="0"/>
    <n v="0"/>
    <n v="0"/>
    <n v="0"/>
    <n v="0"/>
    <n v="0"/>
    <n v="0"/>
    <n v="0"/>
  </r>
  <r>
    <x v="2"/>
    <x v="13"/>
    <d v="2026-03-27T00:00:00"/>
    <s v="No Portfolio"/>
    <s v="USD"/>
    <x v="0"/>
    <s v="broad组"/>
    <s v="Amazon"/>
    <s v="United States"/>
    <s v="clip on snack tray"/>
    <s v="BROAD"/>
    <x v="889"/>
    <n v="1"/>
    <n v="1"/>
    <n v="1"/>
    <n v="0.21"/>
    <n v="0.21"/>
    <n v="0"/>
    <m/>
    <n v="0"/>
    <n v="0"/>
    <n v="0"/>
    <n v="0"/>
    <n v="0"/>
    <n v="0"/>
    <n v="0"/>
    <n v="0"/>
  </r>
  <r>
    <x v="2"/>
    <x v="12"/>
    <d v="2026-03-31T00:00:00"/>
    <s v="No Portfolio"/>
    <s v="USD"/>
    <x v="4"/>
    <s v="stroller tray"/>
    <s v="Amazon"/>
    <s v="United States"/>
    <s v="close-match"/>
    <s v="-"/>
    <x v="222"/>
    <n v="2"/>
    <n v="1"/>
    <n v="0.5"/>
    <n v="0.65"/>
    <n v="0.65"/>
    <n v="0"/>
    <m/>
    <n v="0"/>
    <n v="0"/>
    <n v="0"/>
    <n v="0"/>
    <n v="0"/>
    <n v="0"/>
    <n v="0"/>
    <n v="0"/>
  </r>
  <r>
    <x v="2"/>
    <x v="13"/>
    <d v="2026-03-22T00:00:00"/>
    <s v="No Portfolio"/>
    <s v="USD"/>
    <x v="0"/>
    <s v="broad组"/>
    <s v="Amazon"/>
    <s v="United States"/>
    <s v="stroller tray"/>
    <s v="BROAD"/>
    <x v="890"/>
    <n v="3"/>
    <n v="1"/>
    <n v="0.33333333333333331"/>
    <n v="0.08"/>
    <n v="0.08"/>
    <n v="0"/>
    <m/>
    <n v="0"/>
    <n v="0"/>
    <n v="0"/>
    <n v="0"/>
    <n v="0"/>
    <n v="0"/>
    <n v="0"/>
    <n v="0"/>
  </r>
  <r>
    <x v="2"/>
    <x v="13"/>
    <d v="2026-03-24T00:00:00"/>
    <s v="No Portfolio"/>
    <s v="USD"/>
    <x v="4"/>
    <s v="stroller tray"/>
    <s v="Amazon"/>
    <s v="United States"/>
    <s v="loose-match"/>
    <s v="-"/>
    <x v="891"/>
    <n v="1"/>
    <n v="1"/>
    <n v="1"/>
    <n v="0.63"/>
    <n v="0.63"/>
    <n v="0"/>
    <m/>
    <n v="0"/>
    <n v="0"/>
    <n v="0"/>
    <n v="0"/>
    <n v="0"/>
    <n v="0"/>
    <n v="0"/>
    <n v="0"/>
  </r>
  <r>
    <x v="2"/>
    <x v="13"/>
    <d v="2026-03-27T00:00:00"/>
    <s v="No Portfolio"/>
    <s v="USD"/>
    <x v="2"/>
    <s v="Tray"/>
    <s v="Amazon"/>
    <s v="United States"/>
    <s v="asin=&quot;B0DH98H2G4&quot;"/>
    <s v="-"/>
    <x v="316"/>
    <n v="1"/>
    <n v="1"/>
    <n v="1"/>
    <n v="0.61"/>
    <n v="0.61"/>
    <n v="0"/>
    <m/>
    <n v="0"/>
    <n v="0"/>
    <n v="0"/>
    <n v="0"/>
    <n v="0"/>
    <n v="0"/>
    <n v="0"/>
    <n v="0"/>
  </r>
  <r>
    <x v="2"/>
    <x v="12"/>
    <d v="2026-03-29T00:00:00"/>
    <s v="No Portfolio"/>
    <s v="USD"/>
    <x v="0"/>
    <s v="broad组"/>
    <s v="Amazon"/>
    <s v="United States"/>
    <s v="stroller snack tray attachment"/>
    <s v="BROAD"/>
    <x v="230"/>
    <n v="1"/>
    <n v="1"/>
    <n v="1"/>
    <n v="0.4"/>
    <n v="0.4"/>
    <n v="0"/>
    <m/>
    <n v="0"/>
    <n v="0"/>
    <n v="0"/>
    <n v="0"/>
    <n v="0"/>
    <n v="0"/>
    <n v="0"/>
    <n v="0"/>
  </r>
  <r>
    <x v="2"/>
    <x v="13"/>
    <d v="2026-03-24T00:00:00"/>
    <s v="No Portfolio"/>
    <s v="USD"/>
    <x v="0"/>
    <s v="phrase&amp;exact"/>
    <s v="Amazon"/>
    <s v="United States"/>
    <s v="stroller snack tray"/>
    <s v="PHRASE"/>
    <x v="892"/>
    <n v="1"/>
    <n v="1"/>
    <n v="1"/>
    <n v="0.4"/>
    <n v="0.4"/>
    <n v="0"/>
    <m/>
    <n v="0"/>
    <n v="0"/>
    <n v="0"/>
    <n v="0"/>
    <n v="0"/>
    <n v="0"/>
    <n v="0"/>
    <n v="0"/>
  </r>
  <r>
    <x v="2"/>
    <x v="13"/>
    <d v="2026-03-22T00:00:00"/>
    <s v="No Portfolio"/>
    <s v="USD"/>
    <x v="4"/>
    <s v="stroller tray"/>
    <s v="Amazon"/>
    <s v="United States"/>
    <s v="close-match"/>
    <s v="-"/>
    <x v="782"/>
    <n v="1"/>
    <n v="1"/>
    <n v="1"/>
    <n v="0.95"/>
    <n v="0.95"/>
    <n v="0"/>
    <m/>
    <n v="0"/>
    <n v="0"/>
    <n v="0"/>
    <n v="0"/>
    <n v="0"/>
    <n v="0"/>
    <n v="0"/>
    <n v="0"/>
  </r>
  <r>
    <x v="2"/>
    <x v="13"/>
    <d v="2026-03-23T00:00:00"/>
    <s v="No Portfolio"/>
    <s v="USD"/>
    <x v="0"/>
    <s v="broad组"/>
    <s v="Amazon"/>
    <s v="United States"/>
    <s v="cup holder for stroller"/>
    <s v="BROAD"/>
    <x v="893"/>
    <n v="1"/>
    <n v="1"/>
    <n v="1"/>
    <n v="0.2"/>
    <n v="0.2"/>
    <n v="18.989999999999998"/>
    <n v="1.0531858873091103E-2"/>
    <n v="94.949999999999989"/>
    <n v="1"/>
    <n v="1"/>
    <n v="1"/>
    <n v="1"/>
    <n v="0"/>
    <n v="18.989999999999998"/>
    <n v="0"/>
  </r>
  <r>
    <x v="2"/>
    <x v="13"/>
    <d v="2026-03-22T00:00:00"/>
    <s v="No Portfolio"/>
    <s v="USD"/>
    <x v="0"/>
    <s v="phrase&amp;exact"/>
    <s v="Amazon"/>
    <s v="United States"/>
    <s v="universal snack tray"/>
    <s v="EXACT"/>
    <x v="233"/>
    <n v="1"/>
    <n v="1"/>
    <n v="1"/>
    <n v="0.21"/>
    <n v="0.21"/>
    <n v="0"/>
    <m/>
    <n v="0"/>
    <n v="0"/>
    <n v="0"/>
    <n v="0"/>
    <n v="0"/>
    <n v="0"/>
    <n v="0"/>
    <n v="0"/>
  </r>
  <r>
    <x v="2"/>
    <x v="12"/>
    <d v="2026-03-30T00:00:00"/>
    <s v="No Portfolio"/>
    <s v="USD"/>
    <x v="4"/>
    <s v="stroller tray"/>
    <s v="Amazon"/>
    <s v="United States"/>
    <s v="close-match"/>
    <s v="-"/>
    <x v="235"/>
    <n v="17"/>
    <n v="1"/>
    <n v="5.8823529411764698E-2"/>
    <n v="0.65"/>
    <n v="0.65"/>
    <n v="37.979999999999997"/>
    <n v="1.7114270668773041E-2"/>
    <n v="58.430769230769222"/>
    <n v="1"/>
    <n v="2"/>
    <n v="1"/>
    <n v="2"/>
    <n v="0"/>
    <n v="37.979999999999997"/>
    <n v="0"/>
  </r>
  <r>
    <x v="2"/>
    <x v="13"/>
    <d v="2026-03-28T00:00:00"/>
    <s v="No Portfolio"/>
    <s v="USD"/>
    <x v="0"/>
    <s v="phrase&amp;exact"/>
    <s v="Amazon"/>
    <s v="United States"/>
    <s v="snack tray for stroller"/>
    <s v="PHRASE"/>
    <x v="235"/>
    <n v="15"/>
    <n v="1"/>
    <n v="6.6666666666666666E-2"/>
    <n v="0.2"/>
    <n v="0.2"/>
    <n v="0"/>
    <m/>
    <n v="0"/>
    <n v="0"/>
    <n v="0"/>
    <n v="0"/>
    <n v="0"/>
    <n v="0"/>
    <n v="0"/>
    <n v="0"/>
  </r>
  <r>
    <x v="2"/>
    <x v="13"/>
    <d v="2026-03-24T00:00:00"/>
    <s v="No Portfolio"/>
    <s v="USD"/>
    <x v="0"/>
    <s v="phrase&amp;exact"/>
    <s v="Amazon"/>
    <s v="United States"/>
    <s v="universal snack tray for stroller"/>
    <s v="PHRASE"/>
    <x v="235"/>
    <n v="1"/>
    <n v="1"/>
    <n v="1"/>
    <n v="0.21"/>
    <n v="0.21"/>
    <n v="0"/>
    <m/>
    <n v="0"/>
    <n v="0"/>
    <n v="0"/>
    <n v="0"/>
    <n v="0"/>
    <n v="0"/>
    <n v="0"/>
    <n v="0"/>
  </r>
  <r>
    <x v="2"/>
    <x v="13"/>
    <d v="2026-03-25T00:00:00"/>
    <s v="No Portfolio"/>
    <s v="USD"/>
    <x v="0"/>
    <s v="phrase&amp;exact"/>
    <s v="Amazon"/>
    <s v="United States"/>
    <s v="universal snack tray for stroller"/>
    <s v="PHRASE"/>
    <x v="235"/>
    <n v="4"/>
    <n v="1"/>
    <n v="0.25"/>
    <n v="0.21"/>
    <n v="0.21"/>
    <n v="0"/>
    <m/>
    <n v="0"/>
    <n v="0"/>
    <n v="0"/>
    <n v="0"/>
    <n v="0"/>
    <n v="0"/>
    <n v="0"/>
    <n v="0"/>
  </r>
  <r>
    <x v="2"/>
    <x v="13"/>
    <d v="2026-03-26T00:00:00"/>
    <s v="No Portfolio"/>
    <s v="USD"/>
    <x v="4"/>
    <s v="stroller tray"/>
    <s v="Amazon"/>
    <s v="United States"/>
    <s v="close-match"/>
    <s v="-"/>
    <x v="237"/>
    <n v="7"/>
    <n v="1"/>
    <n v="0.14285714285714285"/>
    <n v="0.75"/>
    <n v="0.75"/>
    <n v="0"/>
    <m/>
    <n v="0"/>
    <n v="0"/>
    <n v="0"/>
    <n v="0"/>
    <n v="0"/>
    <n v="0"/>
    <n v="0"/>
    <n v="0"/>
  </r>
  <r>
    <x v="2"/>
    <x v="12"/>
    <d v="2026-03-29T00:00:00"/>
    <s v="No Portfolio"/>
    <s v="USD"/>
    <x v="0"/>
    <s v="broad组"/>
    <s v="Amazon"/>
    <s v="United States"/>
    <s v="baby stroller parent cup holders"/>
    <s v="BROAD"/>
    <x v="894"/>
    <n v="1"/>
    <n v="1"/>
    <n v="1"/>
    <n v="0.4"/>
    <n v="0.4"/>
    <n v="0"/>
    <m/>
    <n v="0"/>
    <n v="0"/>
    <n v="0"/>
    <n v="0"/>
    <n v="0"/>
    <n v="0"/>
    <n v="0"/>
    <n v="0"/>
  </r>
  <r>
    <x v="2"/>
    <x v="13"/>
    <d v="2026-03-22T00:00:00"/>
    <s v="No Portfolio"/>
    <s v="USD"/>
    <x v="0"/>
    <s v="broad组"/>
    <s v="Amazon"/>
    <s v="United States"/>
    <s v="stroller tray"/>
    <s v="BROAD"/>
    <x v="895"/>
    <n v="2"/>
    <n v="1"/>
    <n v="0.5"/>
    <n v="0.21"/>
    <n v="0.21"/>
    <n v="0"/>
    <m/>
    <n v="0"/>
    <n v="0"/>
    <n v="0"/>
    <n v="0"/>
    <n v="0"/>
    <n v="0"/>
    <n v="0"/>
    <n v="0"/>
  </r>
  <r>
    <x v="2"/>
    <x v="13"/>
    <d v="2026-03-27T00:00:00"/>
    <s v="No Portfolio"/>
    <s v="USD"/>
    <x v="4"/>
    <s v="stroller tray"/>
    <s v="Amazon"/>
    <s v="United States"/>
    <s v="close-match"/>
    <s v="-"/>
    <x v="238"/>
    <n v="12"/>
    <n v="1"/>
    <n v="8.3333333333333315E-2"/>
    <n v="0.75"/>
    <n v="0.75"/>
    <n v="0"/>
    <m/>
    <n v="0"/>
    <n v="0"/>
    <n v="0"/>
    <n v="0"/>
    <n v="0"/>
    <n v="0"/>
    <n v="0"/>
    <n v="0"/>
  </r>
  <r>
    <x v="2"/>
    <x v="13"/>
    <d v="2026-03-28T00:00:00"/>
    <s v="No Portfolio"/>
    <s v="USD"/>
    <x v="4"/>
    <s v="stroller tray"/>
    <s v="Amazon"/>
    <s v="United States"/>
    <s v="close-match"/>
    <s v="-"/>
    <x v="238"/>
    <n v="15"/>
    <n v="1"/>
    <n v="6.6666666666666666E-2"/>
    <n v="0.65"/>
    <n v="0.65"/>
    <n v="0"/>
    <m/>
    <n v="0"/>
    <n v="0"/>
    <n v="0"/>
    <n v="0"/>
    <n v="0"/>
    <n v="0"/>
    <n v="0"/>
    <n v="0"/>
  </r>
  <r>
    <x v="2"/>
    <x v="13"/>
    <d v="2026-03-23T00:00:00"/>
    <s v="No Portfolio"/>
    <s v="USD"/>
    <x v="0"/>
    <s v="phrase&amp;exact"/>
    <s v="Amazon"/>
    <s v="United States"/>
    <s v="universal stroller snack tray"/>
    <s v="EXACT"/>
    <x v="238"/>
    <n v="10"/>
    <n v="1"/>
    <n v="0.1"/>
    <n v="0.2"/>
    <n v="0.2"/>
    <n v="0"/>
    <m/>
    <n v="0"/>
    <n v="0"/>
    <n v="0"/>
    <n v="0"/>
    <n v="0"/>
    <n v="0"/>
    <n v="0"/>
    <n v="0"/>
  </r>
  <r>
    <x v="2"/>
    <x v="13"/>
    <d v="2026-03-23T00:00:00"/>
    <s v="No Portfolio"/>
    <s v="USD"/>
    <x v="0"/>
    <s v="broad组"/>
    <s v="Amazon"/>
    <s v="United States"/>
    <s v="jeep double stroller snack tray"/>
    <s v="BROAD"/>
    <x v="238"/>
    <n v="2"/>
    <n v="1"/>
    <n v="0.5"/>
    <n v="0.2"/>
    <n v="0.2"/>
    <n v="0"/>
    <m/>
    <n v="0"/>
    <n v="0"/>
    <n v="0"/>
    <n v="0"/>
    <n v="0"/>
    <n v="0"/>
    <n v="0"/>
    <n v="0"/>
  </r>
  <r>
    <x v="2"/>
    <x v="13"/>
    <d v="2026-03-28T00:00:00"/>
    <s v="No Portfolio"/>
    <s v="USD"/>
    <x v="0"/>
    <s v="phrase&amp;exact"/>
    <s v="Amazon"/>
    <s v="United States"/>
    <s v="universal stroller tray"/>
    <s v="PHRASE"/>
    <x v="241"/>
    <n v="15"/>
    <n v="1"/>
    <n v="6.6666666666666666E-2"/>
    <n v="0.2"/>
    <n v="0.2"/>
    <n v="0"/>
    <m/>
    <n v="0"/>
    <n v="0"/>
    <n v="0"/>
    <n v="0"/>
    <n v="0"/>
    <n v="0"/>
    <n v="0"/>
    <n v="0"/>
  </r>
  <r>
    <x v="2"/>
    <x v="13"/>
    <d v="2026-03-28T00:00:00"/>
    <s v="No Portfolio"/>
    <s v="USD"/>
    <x v="0"/>
    <s v="broad组"/>
    <s v="Amazon"/>
    <s v="United States"/>
    <s v="universal stroller tray"/>
    <s v="BROAD"/>
    <x v="896"/>
    <n v="2"/>
    <n v="1"/>
    <n v="0.5"/>
    <n v="0.4"/>
    <n v="0.4"/>
    <n v="0"/>
    <m/>
    <n v="0"/>
    <n v="0"/>
    <n v="0"/>
    <n v="0"/>
    <n v="0"/>
    <n v="0"/>
    <n v="0"/>
    <n v="0"/>
  </r>
  <r>
    <x v="2"/>
    <x v="12"/>
    <d v="2026-03-31T00:00:00"/>
    <s v="No Portfolio"/>
    <s v="USD"/>
    <x v="0"/>
    <s v="phrase&amp;exact"/>
    <s v="Amazon"/>
    <s v="United States"/>
    <s v="stroller snack tray"/>
    <s v="PHRASE"/>
    <x v="516"/>
    <n v="2"/>
    <n v="1"/>
    <n v="0.5"/>
    <n v="0.4"/>
    <n v="0.4"/>
    <n v="18.989999999999998"/>
    <n v="2.1063717746182205E-2"/>
    <n v="47.474999999999994"/>
    <n v="1"/>
    <n v="1"/>
    <n v="1"/>
    <n v="1"/>
    <n v="0"/>
    <n v="18.989999999999998"/>
    <n v="0"/>
  </r>
  <r>
    <x v="2"/>
    <x v="13"/>
    <d v="2026-03-22T00:00:00"/>
    <s v="No Portfolio"/>
    <s v="USD"/>
    <x v="6"/>
    <s v="ENC"/>
    <s v="Amazon"/>
    <s v="United States"/>
    <s v="loose-match"/>
    <s v="-"/>
    <x v="897"/>
    <n v="1"/>
    <n v="1"/>
    <n v="1"/>
    <n v="1.62"/>
    <n v="1.62"/>
    <n v="0"/>
    <m/>
    <n v="0"/>
    <n v="0"/>
    <n v="0"/>
    <n v="0"/>
    <n v="0"/>
    <n v="0"/>
    <n v="0"/>
    <n v="0"/>
  </r>
  <r>
    <x v="2"/>
    <x v="13"/>
    <d v="2026-03-27T00:00:00"/>
    <s v="No Portfolio"/>
    <s v="USD"/>
    <x v="0"/>
    <s v="broad组"/>
    <s v="Amazon"/>
    <s v="United States"/>
    <s v="universal stroller snack tray"/>
    <s v="BROAD"/>
    <x v="898"/>
    <n v="4"/>
    <n v="1"/>
    <n v="0.25"/>
    <n v="0.2"/>
    <n v="0.2"/>
    <n v="0"/>
    <m/>
    <n v="0"/>
    <n v="0"/>
    <n v="0"/>
    <n v="0"/>
    <n v="0"/>
    <n v="0"/>
    <n v="0"/>
    <n v="0"/>
  </r>
  <r>
    <x v="2"/>
    <x v="13"/>
    <d v="2026-03-28T00:00:00"/>
    <s v="No Portfolio"/>
    <s v="USD"/>
    <x v="0"/>
    <s v="broad组"/>
    <s v="Amazon"/>
    <s v="United States"/>
    <s v="snack cup for stroller"/>
    <s v="BROAD"/>
    <x v="899"/>
    <n v="1"/>
    <n v="1"/>
    <n v="1"/>
    <n v="0.21"/>
    <n v="0.21"/>
    <n v="0"/>
    <m/>
    <n v="0"/>
    <n v="0"/>
    <n v="0"/>
    <n v="0"/>
    <n v="0"/>
    <n v="0"/>
    <n v="0"/>
    <n v="0"/>
  </r>
  <r>
    <x v="2"/>
    <x v="13"/>
    <d v="2026-03-24T00:00:00"/>
    <s v="No Portfolio"/>
    <s v="USD"/>
    <x v="6"/>
    <s v="ENC"/>
    <s v="Amazon"/>
    <s v="United States"/>
    <s v="loose-match"/>
    <s v="-"/>
    <x v="900"/>
    <n v="1"/>
    <n v="1"/>
    <n v="1"/>
    <n v="1.25"/>
    <n v="1.25"/>
    <n v="0"/>
    <m/>
    <n v="0"/>
    <n v="0"/>
    <n v="0"/>
    <n v="0"/>
    <n v="0"/>
    <n v="0"/>
    <n v="0"/>
    <n v="0"/>
  </r>
  <r>
    <x v="2"/>
    <x v="13"/>
    <d v="2026-03-22T00:00:00"/>
    <s v="No Portfolio"/>
    <s v="USD"/>
    <x v="9"/>
    <s v="BNF"/>
    <s v="Amazon"/>
    <s v="United States"/>
    <s v="baby nail buffer"/>
    <s v="BROAD"/>
    <x v="901"/>
    <n v="1"/>
    <n v="1"/>
    <n v="1"/>
    <n v="0.48"/>
    <n v="0.48"/>
    <n v="0"/>
    <m/>
    <n v="0"/>
    <n v="0"/>
    <n v="0"/>
    <n v="0"/>
    <n v="0"/>
    <n v="0"/>
    <n v="0"/>
    <n v="0"/>
  </r>
  <r>
    <x v="2"/>
    <x v="13"/>
    <d v="2026-03-27T00:00:00"/>
    <s v="No Portfolio"/>
    <s v="USD"/>
    <x v="6"/>
    <s v="ENC"/>
    <s v="Amazon"/>
    <s v="United States"/>
    <s v="close-match"/>
    <s v="-"/>
    <x v="902"/>
    <n v="1"/>
    <n v="1"/>
    <n v="1"/>
    <n v="1.18"/>
    <n v="1.18"/>
    <n v="29.69"/>
    <n v="3.9744021556079485E-2"/>
    <n v="25.161016949152543"/>
    <n v="1"/>
    <n v="1"/>
    <n v="1"/>
    <n v="1"/>
    <n v="0"/>
    <n v="29.69"/>
    <n v="0"/>
  </r>
  <r>
    <x v="2"/>
    <x v="13"/>
    <d v="2026-03-22T00:00:00"/>
    <s v="No Portfolio"/>
    <s v="USD"/>
    <x v="0"/>
    <s v="phrase&amp;exact"/>
    <s v="Amazon"/>
    <s v="United States"/>
    <s v="universal stroller snack tray"/>
    <s v="EXACT"/>
    <x v="903"/>
    <n v="3"/>
    <n v="1"/>
    <n v="0.33333333333333331"/>
    <n v="0.21"/>
    <n v="0.21"/>
    <n v="18.989999999999998"/>
    <n v="1.1058451816745656E-2"/>
    <n v="90.428571428571431"/>
    <n v="1"/>
    <n v="1"/>
    <n v="1"/>
    <n v="1"/>
    <n v="0"/>
    <n v="18.989999999999998"/>
    <n v="0"/>
  </r>
  <r>
    <x v="2"/>
    <x v="13"/>
    <d v="2026-03-22T00:00:00"/>
    <s v="No Portfolio"/>
    <s v="USD"/>
    <x v="0"/>
    <s v="phrase&amp;exact"/>
    <s v="Amazon"/>
    <s v="United States"/>
    <s v="stroller snack tray"/>
    <s v="PHRASE"/>
    <x v="903"/>
    <n v="2"/>
    <n v="1"/>
    <n v="0.5"/>
    <n v="0.21"/>
    <n v="0.21"/>
    <n v="0"/>
    <m/>
    <n v="0"/>
    <n v="0"/>
    <n v="0"/>
    <n v="0"/>
    <n v="0"/>
    <n v="0"/>
    <n v="0"/>
    <n v="0"/>
  </r>
  <r>
    <x v="3"/>
    <x v="14"/>
    <d v="2026-04-25T00:00:00"/>
    <d v="2026-04-25T00:00:00"/>
    <s v="USD"/>
    <x v="3"/>
    <s v="ENC Grey"/>
    <s v="Amazon"/>
    <s v="United States"/>
    <s v="loose-match"/>
    <s v="-"/>
    <x v="904"/>
    <n v="1"/>
    <n v="1"/>
    <n v="1"/>
    <n v="0.46"/>
    <n v="0.46"/>
    <n v="0"/>
    <m/>
    <n v="0"/>
    <n v="0"/>
    <n v="0"/>
    <n v="0"/>
    <n v="0"/>
    <n v="0"/>
    <n v="0"/>
    <n v="0"/>
  </r>
  <r>
    <x v="3"/>
    <x v="15"/>
    <d v="2026-04-09T00:00:00"/>
    <d v="2026-04-09T00:00:00"/>
    <s v="USD"/>
    <x v="0"/>
    <s v="broad组"/>
    <s v="Amazon"/>
    <s v="United States"/>
    <s v="stroller cup holder"/>
    <s v="BROAD"/>
    <x v="905"/>
    <n v="1"/>
    <n v="1"/>
    <n v="1"/>
    <n v="0.21"/>
    <n v="0.21"/>
    <n v="0"/>
    <m/>
    <n v="0"/>
    <n v="0"/>
    <n v="0"/>
    <n v="0"/>
    <n v="0"/>
    <n v="0"/>
    <n v="0"/>
    <n v="0"/>
  </r>
  <r>
    <x v="3"/>
    <x v="14"/>
    <d v="2026-04-24T00:00:00"/>
    <d v="2026-04-24T00:00:00"/>
    <s v="USD"/>
    <x v="0"/>
    <s v="broad组"/>
    <s v="Amazon"/>
    <s v="United States"/>
    <s v="stroller cup holder"/>
    <s v="BROAD"/>
    <x v="906"/>
    <n v="1"/>
    <n v="1"/>
    <n v="1"/>
    <n v="0.21"/>
    <n v="0.21"/>
    <n v="0"/>
    <m/>
    <n v="0"/>
    <n v="0"/>
    <n v="0"/>
    <n v="0"/>
    <n v="0"/>
    <n v="0"/>
    <n v="0"/>
    <n v="0"/>
  </r>
  <r>
    <x v="3"/>
    <x v="12"/>
    <d v="2026-04-04T00:00:00"/>
    <d v="2026-04-04T00:00:00"/>
    <s v="USD"/>
    <x v="0"/>
    <s v="phrase&amp;exact"/>
    <s v="Amazon"/>
    <s v="United States"/>
    <s v="stroller snack tray"/>
    <s v="PHRASE"/>
    <x v="907"/>
    <n v="0"/>
    <n v="1"/>
    <m/>
    <n v="0.2"/>
    <n v="0.2"/>
    <n v="0"/>
    <m/>
    <n v="0"/>
    <n v="0"/>
    <n v="0"/>
    <n v="0"/>
    <n v="0"/>
    <n v="0"/>
    <n v="0"/>
    <n v="0"/>
  </r>
  <r>
    <x v="3"/>
    <x v="15"/>
    <d v="2026-04-07T00:00:00"/>
    <d v="2026-04-07T00:00:00"/>
    <s v="USD"/>
    <x v="0"/>
    <s v="broad组"/>
    <s v="Amazon"/>
    <s v="United States"/>
    <s v="stroller snack tray attachment"/>
    <s v="BROAD"/>
    <x v="908"/>
    <n v="1"/>
    <n v="1"/>
    <n v="1"/>
    <n v="0.2"/>
    <n v="0.2"/>
    <n v="0"/>
    <m/>
    <n v="0"/>
    <n v="0"/>
    <n v="0"/>
    <n v="0"/>
    <n v="0"/>
    <n v="0"/>
    <n v="0"/>
    <n v="0"/>
  </r>
  <r>
    <x v="3"/>
    <x v="16"/>
    <d v="2026-04-30T00:00:00"/>
    <d v="2026-04-30T00:00:00"/>
    <s v="USD"/>
    <x v="0"/>
    <s v="broad组"/>
    <s v="Amazon"/>
    <s v="United States"/>
    <s v="stroller tray"/>
    <s v="BROAD"/>
    <x v="909"/>
    <n v="1"/>
    <n v="1"/>
    <n v="1"/>
    <n v="0.4"/>
    <n v="0.4"/>
    <n v="0"/>
    <m/>
    <n v="0"/>
    <n v="0"/>
    <n v="0"/>
    <n v="0"/>
    <n v="0"/>
    <n v="0"/>
    <n v="0"/>
    <n v="0"/>
  </r>
  <r>
    <x v="3"/>
    <x v="12"/>
    <d v="2026-04-03T00:00:00"/>
    <d v="2026-04-03T00:00:00"/>
    <s v="USD"/>
    <x v="4"/>
    <s v="stroller tray"/>
    <s v="Amazon"/>
    <s v="United States"/>
    <s v="loose-match"/>
    <s v="-"/>
    <x v="910"/>
    <n v="1"/>
    <n v="1"/>
    <n v="1"/>
    <n v="0.5"/>
    <n v="0.5"/>
    <n v="18.989999999999998"/>
    <n v="2.6329999999999999E-2"/>
    <n v="37.979999999999997"/>
    <n v="1"/>
    <n v="1"/>
    <n v="1"/>
    <n v="1"/>
    <n v="0"/>
    <n v="18.989999999999998"/>
    <n v="0"/>
  </r>
  <r>
    <x v="3"/>
    <x v="17"/>
    <d v="2026-04-17T00:00:00"/>
    <d v="2026-04-17T00:00:00"/>
    <s v="USD"/>
    <x v="0"/>
    <s v="phrase&amp;exact"/>
    <s v="Amazon"/>
    <s v="United States"/>
    <s v="snack cup for stroller"/>
    <s v="PHRASE"/>
    <x v="911"/>
    <n v="1"/>
    <n v="1"/>
    <n v="1"/>
    <n v="0.4"/>
    <n v="0.4"/>
    <n v="0"/>
    <m/>
    <n v="0"/>
    <n v="0"/>
    <n v="0"/>
    <n v="0"/>
    <n v="0"/>
    <n v="0"/>
    <n v="0"/>
    <n v="0"/>
  </r>
  <r>
    <x v="3"/>
    <x v="12"/>
    <d v="2026-04-01T00:00:00"/>
    <d v="2026-04-01T00:00:00"/>
    <s v="USD"/>
    <x v="4"/>
    <s v="stroller tray"/>
    <s v="Amazon"/>
    <s v="United States"/>
    <s v="substitutes"/>
    <s v="-"/>
    <x v="330"/>
    <n v="2"/>
    <n v="1"/>
    <n v="0.5"/>
    <n v="0.08"/>
    <n v="0.08"/>
    <n v="0"/>
    <m/>
    <n v="0"/>
    <n v="0"/>
    <n v="0"/>
    <n v="0"/>
    <n v="0"/>
    <n v="0"/>
    <n v="0"/>
    <n v="0"/>
  </r>
  <r>
    <x v="3"/>
    <x v="16"/>
    <d v="2026-04-28T00:00:00"/>
    <d v="2026-04-28T00:00:00"/>
    <s v="USD"/>
    <x v="4"/>
    <s v="stroller tray"/>
    <s v="Amazon"/>
    <s v="United States"/>
    <s v="substitutes"/>
    <s v="-"/>
    <x v="912"/>
    <n v="1"/>
    <n v="1"/>
    <n v="1"/>
    <n v="0.78"/>
    <n v="0.78"/>
    <n v="0"/>
    <m/>
    <n v="0"/>
    <n v="0"/>
    <n v="0"/>
    <n v="0"/>
    <n v="0"/>
    <n v="0"/>
    <n v="0"/>
    <n v="0"/>
  </r>
  <r>
    <x v="3"/>
    <x v="17"/>
    <d v="2026-04-13T00:00:00"/>
    <d v="2026-04-13T00:00:00"/>
    <s v="USD"/>
    <x v="4"/>
    <s v="stroller tray"/>
    <s v="Amazon"/>
    <s v="United States"/>
    <s v="substitutes"/>
    <s v="-"/>
    <x v="913"/>
    <n v="1"/>
    <n v="1"/>
    <n v="1"/>
    <n v="0.7"/>
    <n v="0.7"/>
    <n v="0"/>
    <m/>
    <n v="0"/>
    <n v="0"/>
    <n v="0"/>
    <n v="0"/>
    <n v="0"/>
    <n v="0"/>
    <n v="0"/>
    <n v="0"/>
  </r>
  <r>
    <x v="3"/>
    <x v="14"/>
    <d v="2026-04-20T00:00:00"/>
    <d v="2026-04-20T00:00:00"/>
    <s v="USD"/>
    <x v="4"/>
    <s v="stroller tray"/>
    <s v="Amazon"/>
    <s v="United States"/>
    <s v="substitutes"/>
    <s v="-"/>
    <x v="914"/>
    <n v="2"/>
    <n v="1"/>
    <n v="0.5"/>
    <n v="0.1"/>
    <n v="0.1"/>
    <n v="0"/>
    <m/>
    <n v="0"/>
    <n v="0"/>
    <n v="0"/>
    <n v="0"/>
    <n v="0"/>
    <n v="0"/>
    <n v="0"/>
    <n v="0"/>
  </r>
  <r>
    <x v="3"/>
    <x v="14"/>
    <d v="2026-04-20T00:00:00"/>
    <d v="2026-04-20T00:00:00"/>
    <s v="USD"/>
    <x v="4"/>
    <s v="stroller tray"/>
    <s v="Amazon"/>
    <s v="United States"/>
    <s v="substitutes"/>
    <s v="-"/>
    <x v="253"/>
    <n v="2"/>
    <n v="1"/>
    <n v="0.5"/>
    <n v="0.55000000000000004"/>
    <n v="0.55000000000000004"/>
    <n v="0"/>
    <m/>
    <n v="0"/>
    <n v="0"/>
    <n v="0"/>
    <n v="0"/>
    <n v="0"/>
    <n v="0"/>
    <n v="0"/>
    <n v="0"/>
  </r>
  <r>
    <x v="3"/>
    <x v="17"/>
    <d v="2026-04-14T00:00:00"/>
    <d v="2026-04-14T00:00:00"/>
    <s v="USD"/>
    <x v="4"/>
    <s v="stroller tray"/>
    <s v="Amazon"/>
    <s v="United States"/>
    <s v="substitutes"/>
    <s v="-"/>
    <x v="915"/>
    <n v="1"/>
    <n v="1"/>
    <n v="1"/>
    <n v="0.7"/>
    <n v="0.7"/>
    <n v="0"/>
    <m/>
    <n v="0"/>
    <n v="0"/>
    <n v="0"/>
    <n v="0"/>
    <n v="0"/>
    <n v="0"/>
    <n v="0"/>
    <n v="0"/>
  </r>
  <r>
    <x v="3"/>
    <x v="12"/>
    <d v="2026-04-03T00:00:00"/>
    <d v="2026-04-03T00:00:00"/>
    <s v="USD"/>
    <x v="10"/>
    <s v="ENC Yellow"/>
    <s v="Amazon"/>
    <s v="United States"/>
    <s v="substitutes"/>
    <s v="-"/>
    <x v="916"/>
    <n v="2"/>
    <n v="1"/>
    <n v="0.5"/>
    <n v="0.39"/>
    <n v="0.39"/>
    <n v="0"/>
    <m/>
    <n v="0"/>
    <n v="0"/>
    <n v="0"/>
    <n v="0"/>
    <n v="0"/>
    <n v="0"/>
    <n v="0"/>
    <n v="0"/>
  </r>
  <r>
    <x v="3"/>
    <x v="12"/>
    <d v="2026-04-01T00:00:00"/>
    <d v="2026-04-27T00:00:00"/>
    <s v="USD"/>
    <x v="4"/>
    <s v="stroller tray"/>
    <s v="Amazon"/>
    <s v="United States"/>
    <s v="substitutes"/>
    <s v="-"/>
    <x v="917"/>
    <n v="26"/>
    <n v="3"/>
    <n v="0.115385"/>
    <n v="0.79"/>
    <n v="2.38"/>
    <n v="0"/>
    <m/>
    <n v="0"/>
    <n v="0"/>
    <n v="0"/>
    <n v="0"/>
    <n v="0"/>
    <n v="0"/>
    <n v="0"/>
    <n v="0"/>
  </r>
  <r>
    <x v="3"/>
    <x v="16"/>
    <d v="2026-04-30T00:00:00"/>
    <d v="2026-04-30T00:00:00"/>
    <s v="USD"/>
    <x v="4"/>
    <s v="stroller tray"/>
    <s v="Amazon"/>
    <s v="United States"/>
    <s v="substitutes"/>
    <s v="-"/>
    <x v="918"/>
    <n v="1"/>
    <n v="1"/>
    <n v="1"/>
    <n v="1"/>
    <n v="1"/>
    <n v="0"/>
    <m/>
    <n v="0"/>
    <n v="0"/>
    <n v="0"/>
    <n v="0"/>
    <n v="0"/>
    <n v="0"/>
    <n v="0"/>
    <n v="0"/>
  </r>
  <r>
    <x v="3"/>
    <x v="14"/>
    <d v="2026-04-23T00:00:00"/>
    <d v="2026-04-23T00:00:00"/>
    <s v="USD"/>
    <x v="4"/>
    <s v="stroller tray"/>
    <s v="Amazon"/>
    <s v="United States"/>
    <s v="substitutes"/>
    <s v="-"/>
    <x v="12"/>
    <n v="1"/>
    <n v="1"/>
    <n v="1"/>
    <n v="0.53"/>
    <n v="0.53"/>
    <n v="0"/>
    <m/>
    <n v="0"/>
    <n v="0"/>
    <n v="0"/>
    <n v="0"/>
    <n v="0"/>
    <n v="0"/>
    <n v="0"/>
    <n v="0"/>
  </r>
  <r>
    <x v="3"/>
    <x v="14"/>
    <d v="2026-04-24T00:00:00"/>
    <d v="2026-04-30T00:00:00"/>
    <s v="USD"/>
    <x v="2"/>
    <s v="Tray"/>
    <s v="Amazon"/>
    <s v="United States"/>
    <s v="asin=&quot;B0C1G4985Z&quot;"/>
    <s v="-"/>
    <x v="13"/>
    <n v="544"/>
    <n v="12"/>
    <n v="2.2058999999999999E-2"/>
    <n v="0.64"/>
    <n v="7.62"/>
    <n v="52.98"/>
    <n v="0.14382800000000001"/>
    <n v="6.95"/>
    <n v="2"/>
    <n v="3"/>
    <n v="0.16666700000000001"/>
    <n v="3"/>
    <n v="0"/>
    <n v="52.98"/>
    <n v="0"/>
  </r>
  <r>
    <x v="3"/>
    <x v="12"/>
    <d v="2026-04-03T00:00:00"/>
    <d v="2026-04-03T00:00:00"/>
    <s v="USD"/>
    <x v="4"/>
    <s v="stroller tray"/>
    <s v="Amazon"/>
    <s v="United States"/>
    <s v="substitutes"/>
    <s v="-"/>
    <x v="919"/>
    <n v="2"/>
    <n v="1"/>
    <n v="0.5"/>
    <n v="0.56999999999999995"/>
    <n v="0.56999999999999995"/>
    <n v="0"/>
    <m/>
    <n v="0"/>
    <n v="0"/>
    <n v="0"/>
    <n v="0"/>
    <n v="0"/>
    <n v="0"/>
    <n v="0"/>
    <n v="0"/>
  </r>
  <r>
    <x v="3"/>
    <x v="14"/>
    <d v="2026-04-24T00:00:00"/>
    <d v="2026-04-24T00:00:00"/>
    <s v="USD"/>
    <x v="4"/>
    <s v="stroller tray"/>
    <s v="Amazon"/>
    <s v="United States"/>
    <s v="substitutes"/>
    <s v="-"/>
    <x v="920"/>
    <n v="1"/>
    <n v="1"/>
    <n v="1"/>
    <n v="0.6"/>
    <n v="0.6"/>
    <n v="0"/>
    <m/>
    <n v="0"/>
    <n v="0"/>
    <n v="0"/>
    <n v="0"/>
    <n v="0"/>
    <n v="0"/>
    <n v="0"/>
    <n v="0"/>
  </r>
  <r>
    <x v="3"/>
    <x v="14"/>
    <d v="2026-04-25T00:00:00"/>
    <d v="2026-04-25T00:00:00"/>
    <s v="USD"/>
    <x v="4"/>
    <s v="stroller tray"/>
    <s v="Amazon"/>
    <s v="United States"/>
    <s v="substitutes"/>
    <s v="-"/>
    <x v="254"/>
    <n v="2"/>
    <n v="1"/>
    <n v="0.5"/>
    <n v="0.6"/>
    <n v="0.6"/>
    <n v="0"/>
    <m/>
    <n v="0"/>
    <n v="0"/>
    <n v="0"/>
    <n v="0"/>
    <n v="0"/>
    <n v="0"/>
    <n v="0"/>
    <n v="0"/>
  </r>
  <r>
    <x v="3"/>
    <x v="16"/>
    <d v="2026-04-30T00:00:00"/>
    <d v="2026-04-30T00:00:00"/>
    <s v="USD"/>
    <x v="4"/>
    <s v="stroller tray"/>
    <s v="Amazon"/>
    <s v="United States"/>
    <s v="substitutes"/>
    <s v="-"/>
    <x v="921"/>
    <n v="2"/>
    <n v="1"/>
    <n v="0.5"/>
    <n v="0.67"/>
    <n v="0.67"/>
    <n v="0"/>
    <m/>
    <n v="0"/>
    <n v="0"/>
    <n v="0"/>
    <n v="0"/>
    <n v="0"/>
    <n v="0"/>
    <n v="0"/>
    <n v="0"/>
  </r>
  <r>
    <x v="3"/>
    <x v="15"/>
    <d v="2026-04-06T00:00:00"/>
    <d v="2026-04-06T00:00:00"/>
    <s v="USD"/>
    <x v="4"/>
    <s v="stroller tray"/>
    <s v="Amazon"/>
    <s v="United States"/>
    <s v="substitutes"/>
    <s v="-"/>
    <x v="622"/>
    <n v="10"/>
    <n v="1"/>
    <n v="0.1"/>
    <n v="0.52"/>
    <n v="0.52"/>
    <n v="0"/>
    <m/>
    <n v="0"/>
    <n v="0"/>
    <n v="0"/>
    <n v="0"/>
    <n v="0"/>
    <n v="0"/>
    <n v="0"/>
    <n v="0"/>
  </r>
  <r>
    <x v="3"/>
    <x v="14"/>
    <d v="2026-04-19T00:00:00"/>
    <d v="2026-04-19T00:00:00"/>
    <s v="USD"/>
    <x v="6"/>
    <s v="ENC"/>
    <s v="Amazon"/>
    <s v="United States"/>
    <s v="substitutes"/>
    <s v="-"/>
    <x v="922"/>
    <n v="1"/>
    <n v="1"/>
    <n v="1"/>
    <n v="1.33"/>
    <n v="1.33"/>
    <n v="0"/>
    <m/>
    <n v="0"/>
    <n v="0"/>
    <n v="0"/>
    <n v="0"/>
    <n v="0"/>
    <n v="0"/>
    <n v="0"/>
    <n v="0"/>
  </r>
  <r>
    <x v="3"/>
    <x v="16"/>
    <d v="2026-04-30T00:00:00"/>
    <d v="2026-04-30T00:00:00"/>
    <s v="USD"/>
    <x v="4"/>
    <s v="stroller tray"/>
    <s v="Amazon"/>
    <s v="United States"/>
    <s v="substitutes"/>
    <s v="-"/>
    <x v="16"/>
    <n v="2"/>
    <n v="1"/>
    <n v="0.5"/>
    <n v="0.91"/>
    <n v="0.91"/>
    <n v="0"/>
    <m/>
    <n v="0"/>
    <n v="0"/>
    <n v="0"/>
    <n v="0"/>
    <n v="0"/>
    <n v="0"/>
    <n v="0"/>
    <n v="0"/>
  </r>
  <r>
    <x v="3"/>
    <x v="15"/>
    <d v="2026-04-05T00:00:00"/>
    <d v="2026-04-05T00:00:00"/>
    <s v="USD"/>
    <x v="2"/>
    <s v="Tray"/>
    <s v="Amazon"/>
    <s v="United States"/>
    <s v="asin=&quot;B0DDP2FVG5&quot;"/>
    <s v="-"/>
    <x v="923"/>
    <n v="5"/>
    <n v="1"/>
    <n v="0.2"/>
    <n v="0.75"/>
    <n v="0.75"/>
    <n v="0"/>
    <m/>
    <n v="0"/>
    <n v="0"/>
    <n v="0"/>
    <n v="0"/>
    <n v="0"/>
    <n v="0"/>
    <n v="0"/>
    <n v="0"/>
  </r>
  <r>
    <x v="3"/>
    <x v="15"/>
    <d v="2026-04-05T00:00:00"/>
    <d v="2026-04-28T00:00:00"/>
    <s v="USD"/>
    <x v="4"/>
    <s v="stroller tray"/>
    <s v="Amazon"/>
    <s v="United States"/>
    <s v="substitutes"/>
    <s v="-"/>
    <x v="18"/>
    <n v="39"/>
    <n v="2"/>
    <n v="5.1282000000000001E-2"/>
    <n v="0.89"/>
    <n v="1.77"/>
    <n v="0"/>
    <m/>
    <n v="0"/>
    <n v="0"/>
    <n v="0"/>
    <n v="0"/>
    <n v="0"/>
    <n v="0"/>
    <n v="0"/>
    <n v="0"/>
  </r>
  <r>
    <x v="3"/>
    <x v="12"/>
    <d v="2026-04-01T00:00:00"/>
    <d v="2026-04-30T00:00:00"/>
    <s v="USD"/>
    <x v="2"/>
    <s v="Tray"/>
    <s v="Amazon"/>
    <s v="United States"/>
    <s v="asin=&quot;B0DH98H2G4&quot;"/>
    <s v="-"/>
    <x v="18"/>
    <n v="3754"/>
    <n v="49"/>
    <n v="1.3053E-2"/>
    <n v="0.61"/>
    <n v="30.1"/>
    <n v="36.08"/>
    <n v="0.83425700000000003"/>
    <n v="1.2"/>
    <n v="2"/>
    <n v="2"/>
    <n v="4.0815999999999998E-2"/>
    <n v="2"/>
    <n v="0"/>
    <n v="36.08"/>
    <n v="0"/>
  </r>
  <r>
    <x v="3"/>
    <x v="17"/>
    <d v="2026-04-17T00:00:00"/>
    <d v="2026-04-17T00:00:00"/>
    <s v="USD"/>
    <x v="4"/>
    <s v="stroller tray"/>
    <s v="Amazon"/>
    <s v="United States"/>
    <s v="substitutes"/>
    <s v="-"/>
    <x v="628"/>
    <n v="3"/>
    <n v="1"/>
    <n v="0.33333299999999999"/>
    <n v="0.63"/>
    <n v="0.63"/>
    <n v="0"/>
    <m/>
    <n v="0"/>
    <n v="0"/>
    <n v="0"/>
    <n v="0"/>
    <n v="0"/>
    <n v="0"/>
    <n v="0"/>
    <n v="0"/>
  </r>
  <r>
    <x v="3"/>
    <x v="15"/>
    <d v="2026-04-06T00:00:00"/>
    <d v="2026-04-06T00:00:00"/>
    <s v="USD"/>
    <x v="4"/>
    <s v="stroller tray"/>
    <s v="Amazon"/>
    <s v="United States"/>
    <s v="substitutes"/>
    <s v="-"/>
    <x v="924"/>
    <n v="1"/>
    <n v="1"/>
    <n v="1"/>
    <n v="0.56000000000000005"/>
    <n v="0.56000000000000005"/>
    <n v="0"/>
    <m/>
    <n v="0"/>
    <n v="0"/>
    <n v="0"/>
    <n v="0"/>
    <n v="0"/>
    <n v="0"/>
    <n v="0"/>
    <n v="0"/>
  </r>
  <r>
    <x v="3"/>
    <x v="14"/>
    <d v="2026-04-21T00:00:00"/>
    <d v="2026-04-22T00:00:00"/>
    <s v="USD"/>
    <x v="6"/>
    <s v="ENC"/>
    <s v="Amazon"/>
    <s v="United States"/>
    <s v="loose-match"/>
    <s v="-"/>
    <x v="925"/>
    <n v="323"/>
    <n v="2"/>
    <n v="6.1919999999999996E-3"/>
    <n v="1.25"/>
    <n v="2.5"/>
    <n v="0"/>
    <m/>
    <n v="0"/>
    <n v="0"/>
    <n v="0"/>
    <n v="0"/>
    <n v="0"/>
    <n v="0"/>
    <n v="0"/>
    <n v="0"/>
  </r>
  <r>
    <x v="3"/>
    <x v="14"/>
    <d v="2026-04-21T00:00:00"/>
    <d v="2026-04-22T00:00:00"/>
    <s v="USD"/>
    <x v="3"/>
    <s v="ENC Grey"/>
    <s v="Amazon"/>
    <s v="United States"/>
    <s v="close-match"/>
    <s v="-"/>
    <x v="925"/>
    <n v="312"/>
    <n v="2"/>
    <n v="6.4099999999999999E-3"/>
    <n v="0.34"/>
    <n v="0.68"/>
    <n v="0"/>
    <m/>
    <n v="0"/>
    <n v="0"/>
    <n v="0"/>
    <n v="0"/>
    <n v="0"/>
    <n v="0"/>
    <n v="0"/>
    <n v="0"/>
  </r>
  <r>
    <x v="3"/>
    <x v="17"/>
    <d v="2026-04-18T00:00:00"/>
    <d v="2026-04-18T00:00:00"/>
    <s v="USD"/>
    <x v="6"/>
    <s v="ENC"/>
    <s v="Amazon"/>
    <s v="United States"/>
    <s v="substitutes"/>
    <s v="-"/>
    <x v="926"/>
    <n v="1"/>
    <n v="1"/>
    <n v="1"/>
    <n v="1.4"/>
    <n v="1.4"/>
    <n v="0"/>
    <m/>
    <n v="0"/>
    <n v="0"/>
    <n v="0"/>
    <n v="0"/>
    <n v="0"/>
    <n v="0"/>
    <n v="0"/>
    <n v="0"/>
  </r>
  <r>
    <x v="3"/>
    <x v="14"/>
    <d v="2026-04-22T00:00:00"/>
    <d v="2026-04-22T00:00:00"/>
    <s v="USD"/>
    <x v="6"/>
    <s v="ENC"/>
    <s v="Amazon"/>
    <s v="United States"/>
    <s v="substitutes"/>
    <s v="-"/>
    <x v="927"/>
    <n v="1"/>
    <n v="1"/>
    <n v="1"/>
    <n v="1.2"/>
    <n v="1.2"/>
    <n v="0"/>
    <m/>
    <n v="0"/>
    <n v="0"/>
    <n v="0"/>
    <n v="0"/>
    <n v="0"/>
    <n v="0"/>
    <n v="0"/>
    <n v="0"/>
  </r>
  <r>
    <x v="3"/>
    <x v="12"/>
    <d v="2026-04-01T00:00:00"/>
    <d v="2026-04-29T00:00:00"/>
    <s v="USD"/>
    <x v="2"/>
    <s v="Tray"/>
    <s v="Amazon"/>
    <s v="United States"/>
    <s v="asin=&quot;B0F4KJN2VC&quot;"/>
    <s v="-"/>
    <x v="24"/>
    <n v="1431"/>
    <n v="30"/>
    <n v="2.0964E-2"/>
    <n v="0.56000000000000005"/>
    <n v="16.66"/>
    <n v="37.03"/>
    <n v="0.449905"/>
    <n v="2.2200000000000002"/>
    <n v="2"/>
    <n v="2"/>
    <n v="6.6667000000000004E-2"/>
    <n v="2"/>
    <n v="0"/>
    <n v="37.03"/>
    <n v="0"/>
  </r>
  <r>
    <x v="3"/>
    <x v="14"/>
    <d v="2026-04-20T00:00:00"/>
    <d v="2026-04-20T00:00:00"/>
    <s v="USD"/>
    <x v="4"/>
    <s v="stroller tray"/>
    <s v="Amazon"/>
    <s v="United States"/>
    <s v="substitutes"/>
    <s v="-"/>
    <x v="928"/>
    <n v="4"/>
    <n v="1"/>
    <n v="0.25"/>
    <n v="0.69"/>
    <n v="0.69"/>
    <n v="0"/>
    <m/>
    <n v="0"/>
    <n v="0"/>
    <n v="0"/>
    <n v="0"/>
    <n v="0"/>
    <n v="0"/>
    <n v="0"/>
    <n v="0"/>
  </r>
  <r>
    <x v="3"/>
    <x v="15"/>
    <d v="2026-04-06T00:00:00"/>
    <d v="2026-04-06T00:00:00"/>
    <s v="USD"/>
    <x v="4"/>
    <s v="stroller tray"/>
    <s v="Amazon"/>
    <s v="United States"/>
    <s v="substitutes"/>
    <s v="-"/>
    <x v="929"/>
    <n v="1"/>
    <n v="1"/>
    <n v="1"/>
    <n v="0.1"/>
    <n v="0.1"/>
    <n v="0"/>
    <m/>
    <n v="0"/>
    <n v="0"/>
    <n v="0"/>
    <n v="0"/>
    <n v="0"/>
    <n v="0"/>
    <n v="0"/>
    <n v="0"/>
  </r>
  <r>
    <x v="3"/>
    <x v="17"/>
    <d v="2026-04-15T00:00:00"/>
    <d v="2026-04-15T00:00:00"/>
    <s v="USD"/>
    <x v="4"/>
    <s v="stroller tray"/>
    <s v="Amazon"/>
    <s v="United States"/>
    <s v="substitutes"/>
    <s v="-"/>
    <x v="930"/>
    <n v="4"/>
    <n v="1"/>
    <n v="0.25"/>
    <n v="0.7"/>
    <n v="0.7"/>
    <n v="0"/>
    <m/>
    <n v="0"/>
    <n v="0"/>
    <n v="0"/>
    <n v="0"/>
    <n v="0"/>
    <n v="0"/>
    <n v="0"/>
    <n v="0"/>
  </r>
  <r>
    <x v="3"/>
    <x v="17"/>
    <d v="2026-04-18T00:00:00"/>
    <d v="2026-04-26T00:00:00"/>
    <s v="USD"/>
    <x v="4"/>
    <s v="stroller tray"/>
    <s v="Amazon"/>
    <s v="United States"/>
    <s v="substitutes"/>
    <s v="-"/>
    <x v="931"/>
    <n v="4"/>
    <n v="2"/>
    <n v="0.5"/>
    <n v="0.65"/>
    <n v="1.29"/>
    <n v="0"/>
    <m/>
    <n v="0"/>
    <n v="0"/>
    <n v="0"/>
    <n v="0"/>
    <n v="0"/>
    <n v="0"/>
    <n v="0"/>
    <n v="0"/>
  </r>
  <r>
    <x v="3"/>
    <x v="17"/>
    <d v="2026-04-17T00:00:00"/>
    <d v="2026-04-17T00:00:00"/>
    <s v="USD"/>
    <x v="4"/>
    <s v="stroller tray"/>
    <s v="Amazon"/>
    <s v="United States"/>
    <s v="substitutes"/>
    <s v="-"/>
    <x v="258"/>
    <n v="63"/>
    <n v="1"/>
    <n v="1.5873000000000002E-2"/>
    <n v="0.71"/>
    <n v="0.71"/>
    <n v="0"/>
    <m/>
    <n v="0"/>
    <n v="0"/>
    <n v="0"/>
    <n v="0"/>
    <n v="0"/>
    <n v="0"/>
    <n v="0"/>
    <n v="0"/>
  </r>
  <r>
    <x v="3"/>
    <x v="15"/>
    <d v="2026-04-09T00:00:00"/>
    <d v="2026-04-09T00:00:00"/>
    <s v="USD"/>
    <x v="4"/>
    <s v="stroller tray"/>
    <s v="Amazon"/>
    <s v="United States"/>
    <s v="substitutes"/>
    <s v="-"/>
    <x v="932"/>
    <n v="1"/>
    <n v="1"/>
    <n v="1"/>
    <n v="0.1"/>
    <n v="0.1"/>
    <n v="0"/>
    <m/>
    <n v="0"/>
    <n v="0"/>
    <n v="0"/>
    <n v="0"/>
    <n v="0"/>
    <n v="0"/>
    <n v="0"/>
    <n v="0"/>
  </r>
  <r>
    <x v="3"/>
    <x v="14"/>
    <d v="2026-04-24T00:00:00"/>
    <d v="2026-04-24T00:00:00"/>
    <s v="USD"/>
    <x v="4"/>
    <s v="stroller tray"/>
    <s v="Amazon"/>
    <s v="United States"/>
    <s v="substitutes"/>
    <s v="-"/>
    <x v="933"/>
    <n v="2"/>
    <n v="1"/>
    <n v="0.5"/>
    <n v="0.66"/>
    <n v="0.66"/>
    <n v="18.04"/>
    <n v="3.6584999999999999E-2"/>
    <n v="27.33"/>
    <n v="1"/>
    <n v="1"/>
    <n v="1"/>
    <n v="1"/>
    <n v="0"/>
    <n v="18.04"/>
    <n v="0"/>
  </r>
  <r>
    <x v="3"/>
    <x v="17"/>
    <d v="2026-04-15T00:00:00"/>
    <d v="2026-04-15T00:00:00"/>
    <s v="USD"/>
    <x v="4"/>
    <s v="stroller tray"/>
    <s v="Amazon"/>
    <s v="United States"/>
    <s v="substitutes"/>
    <s v="-"/>
    <x v="934"/>
    <n v="1"/>
    <n v="1"/>
    <n v="1"/>
    <n v="0.7"/>
    <n v="0.7"/>
    <n v="0"/>
    <m/>
    <n v="0"/>
    <n v="0"/>
    <n v="0"/>
    <n v="0"/>
    <n v="0"/>
    <n v="0"/>
    <n v="0"/>
    <n v="0"/>
  </r>
  <r>
    <x v="3"/>
    <x v="16"/>
    <d v="2026-04-29T00:00:00"/>
    <d v="2026-04-29T00:00:00"/>
    <s v="USD"/>
    <x v="4"/>
    <s v="stroller tray"/>
    <s v="Amazon"/>
    <s v="United States"/>
    <s v="substitutes"/>
    <s v="-"/>
    <x v="935"/>
    <n v="1"/>
    <n v="1"/>
    <n v="1"/>
    <n v="0.92"/>
    <n v="0.92"/>
    <n v="0"/>
    <m/>
    <n v="0"/>
    <n v="0"/>
    <n v="0"/>
    <n v="0"/>
    <n v="0"/>
    <n v="0"/>
    <n v="0"/>
    <n v="0"/>
  </r>
  <r>
    <x v="3"/>
    <x v="16"/>
    <d v="2026-04-27T00:00:00"/>
    <d v="2026-04-27T00:00:00"/>
    <s v="USD"/>
    <x v="4"/>
    <s v="stroller tray"/>
    <s v="Amazon"/>
    <s v="United States"/>
    <s v="substitutes"/>
    <s v="-"/>
    <x v="936"/>
    <n v="2"/>
    <n v="1"/>
    <n v="0.5"/>
    <n v="1"/>
    <n v="1"/>
    <n v="0"/>
    <m/>
    <n v="0"/>
    <n v="0"/>
    <n v="0"/>
    <n v="0"/>
    <n v="0"/>
    <n v="0"/>
    <n v="0"/>
    <n v="0"/>
  </r>
  <r>
    <x v="3"/>
    <x v="15"/>
    <d v="2026-04-08T00:00:00"/>
    <d v="2026-04-08T00:00:00"/>
    <s v="USD"/>
    <x v="6"/>
    <s v="ENC"/>
    <s v="Amazon"/>
    <s v="United States"/>
    <s v="loose-match"/>
    <s v="-"/>
    <x v="937"/>
    <n v="41"/>
    <n v="1"/>
    <n v="2.4389999999999998E-2"/>
    <n v="1.27"/>
    <n v="1.27"/>
    <n v="0"/>
    <m/>
    <n v="0"/>
    <n v="0"/>
    <n v="0"/>
    <n v="0"/>
    <n v="0"/>
    <n v="0"/>
    <n v="0"/>
    <n v="0"/>
  </r>
  <r>
    <x v="3"/>
    <x v="15"/>
    <d v="2026-04-06T00:00:00"/>
    <d v="2026-04-06T00:00:00"/>
    <s v="USD"/>
    <x v="6"/>
    <s v="ENC"/>
    <s v="Amazon"/>
    <s v="United States"/>
    <s v="loose-match"/>
    <s v="-"/>
    <x v="938"/>
    <n v="30"/>
    <n v="1"/>
    <n v="3.3333000000000002E-2"/>
    <n v="0.39"/>
    <n v="0.39"/>
    <n v="0"/>
    <m/>
    <n v="0"/>
    <n v="0"/>
    <n v="0"/>
    <n v="0"/>
    <n v="0"/>
    <n v="0"/>
    <n v="0"/>
    <n v="0"/>
  </r>
  <r>
    <x v="3"/>
    <x v="16"/>
    <d v="2026-04-29T00:00:00"/>
    <d v="2026-04-29T00:00:00"/>
    <s v="USD"/>
    <x v="6"/>
    <s v="ENC"/>
    <s v="Amazon"/>
    <s v="United States"/>
    <s v="loose-match"/>
    <s v="-"/>
    <x v="939"/>
    <n v="4"/>
    <n v="1"/>
    <n v="0.25"/>
    <n v="1.34"/>
    <n v="1.34"/>
    <n v="0"/>
    <m/>
    <n v="0"/>
    <n v="0"/>
    <n v="0"/>
    <n v="0"/>
    <n v="0"/>
    <n v="0"/>
    <n v="0"/>
    <n v="0"/>
  </r>
  <r>
    <x v="3"/>
    <x v="15"/>
    <d v="2026-04-06T00:00:00"/>
    <d v="2026-04-06T00:00:00"/>
    <s v="USD"/>
    <x v="10"/>
    <s v="ENC Yellow"/>
    <s v="Amazon"/>
    <s v="United States"/>
    <s v="loose-match"/>
    <s v="-"/>
    <x v="940"/>
    <n v="1"/>
    <n v="1"/>
    <n v="1"/>
    <n v="0.41"/>
    <n v="0.41"/>
    <n v="0"/>
    <m/>
    <n v="0"/>
    <n v="0"/>
    <n v="0"/>
    <n v="0"/>
    <n v="0"/>
    <n v="0"/>
    <n v="0"/>
    <n v="0"/>
  </r>
  <r>
    <x v="3"/>
    <x v="14"/>
    <d v="2026-04-23T00:00:00"/>
    <d v="2026-04-26T00:00:00"/>
    <s v="USD"/>
    <x v="9"/>
    <s v="BNF"/>
    <s v="Amazon"/>
    <s v="United States"/>
    <s v="newborn nail file electric"/>
    <s v="BROAD"/>
    <x v="37"/>
    <n v="227"/>
    <n v="3"/>
    <n v="1.3216E-2"/>
    <n v="2.89"/>
    <n v="8.67"/>
    <n v="0"/>
    <m/>
    <n v="0"/>
    <n v="0"/>
    <n v="0"/>
    <n v="0"/>
    <n v="0"/>
    <n v="0"/>
    <n v="0"/>
    <n v="0"/>
  </r>
  <r>
    <x v="3"/>
    <x v="15"/>
    <d v="2026-04-07T00:00:00"/>
    <d v="2026-04-21T00:00:00"/>
    <s v="USD"/>
    <x v="10"/>
    <s v="ENC Yellow"/>
    <s v="Amazon"/>
    <s v="United States"/>
    <s v="close-match"/>
    <s v="-"/>
    <x v="37"/>
    <n v="19"/>
    <n v="3"/>
    <n v="0.15789500000000001"/>
    <n v="0.5"/>
    <n v="1.5"/>
    <n v="0"/>
    <m/>
    <n v="0"/>
    <n v="0"/>
    <n v="0"/>
    <n v="0"/>
    <n v="0"/>
    <n v="0"/>
    <n v="0"/>
    <n v="0"/>
  </r>
  <r>
    <x v="3"/>
    <x v="12"/>
    <d v="2026-04-01T00:00:00"/>
    <d v="2026-04-13T00:00:00"/>
    <s v="USD"/>
    <x v="6"/>
    <s v="ENC"/>
    <s v="Amazon"/>
    <s v="United States"/>
    <s v="loose-match"/>
    <s v="-"/>
    <x v="941"/>
    <n v="19"/>
    <n v="2"/>
    <n v="0.105263"/>
    <n v="1.1200000000000001"/>
    <n v="2.23"/>
    <n v="0"/>
    <m/>
    <n v="0"/>
    <n v="0"/>
    <n v="0"/>
    <n v="0"/>
    <n v="0"/>
    <n v="0"/>
    <n v="0"/>
    <n v="0"/>
  </r>
  <r>
    <x v="3"/>
    <x v="14"/>
    <d v="2026-04-22T00:00:00"/>
    <d v="2026-04-22T00:00:00"/>
    <s v="USD"/>
    <x v="9"/>
    <s v="BNF"/>
    <s v="Amazon"/>
    <s v="United States"/>
    <s v="baby nail file"/>
    <s v="BROAD"/>
    <x v="942"/>
    <n v="1"/>
    <n v="1"/>
    <n v="1"/>
    <n v="3.45"/>
    <n v="3.45"/>
    <n v="0"/>
    <m/>
    <n v="0"/>
    <n v="0"/>
    <n v="0"/>
    <n v="0"/>
    <n v="0"/>
    <n v="0"/>
    <n v="0"/>
    <n v="0"/>
  </r>
  <r>
    <x v="3"/>
    <x v="17"/>
    <d v="2026-04-14T00:00:00"/>
    <d v="2026-04-14T00:00:00"/>
    <s v="USD"/>
    <x v="6"/>
    <s v="ENC"/>
    <s v="Amazon"/>
    <s v="United States"/>
    <s v="loose-match"/>
    <s v="-"/>
    <x v="943"/>
    <n v="1"/>
    <n v="1"/>
    <n v="1"/>
    <n v="1.67"/>
    <n v="1.67"/>
    <n v="0"/>
    <m/>
    <n v="0"/>
    <n v="0"/>
    <n v="0"/>
    <n v="0"/>
    <n v="0"/>
    <n v="0"/>
    <n v="0"/>
    <n v="0"/>
  </r>
  <r>
    <x v="3"/>
    <x v="17"/>
    <d v="2026-04-17T00:00:00"/>
    <d v="2026-04-17T00:00:00"/>
    <s v="USD"/>
    <x v="6"/>
    <s v="ENC"/>
    <s v="Amazon"/>
    <s v="United States"/>
    <s v="substitutes"/>
    <s v="-"/>
    <x v="943"/>
    <n v="1"/>
    <n v="1"/>
    <n v="1"/>
    <n v="0.28000000000000003"/>
    <n v="0.28000000000000003"/>
    <n v="0"/>
    <m/>
    <n v="0"/>
    <n v="0"/>
    <n v="0"/>
    <n v="0"/>
    <n v="0"/>
    <n v="0"/>
    <n v="0"/>
    <n v="0"/>
  </r>
  <r>
    <x v="3"/>
    <x v="16"/>
    <d v="2026-04-26T00:00:00"/>
    <d v="2026-04-26T00:00:00"/>
    <s v="USD"/>
    <x v="4"/>
    <s v="stroller tray"/>
    <s v="Amazon"/>
    <s v="United States"/>
    <s v="loose-match"/>
    <s v="-"/>
    <x v="944"/>
    <n v="1"/>
    <n v="1"/>
    <n v="1"/>
    <n v="0.6"/>
    <n v="0.6"/>
    <n v="0"/>
    <m/>
    <n v="0"/>
    <n v="0"/>
    <n v="0"/>
    <n v="0"/>
    <n v="0"/>
    <n v="0"/>
    <n v="0"/>
    <n v="0"/>
  </r>
  <r>
    <x v="3"/>
    <x v="14"/>
    <d v="2026-04-22T00:00:00"/>
    <d v="2026-04-22T00:00:00"/>
    <s v="USD"/>
    <x v="4"/>
    <s v="stroller tray"/>
    <s v="Amazon"/>
    <s v="United States"/>
    <s v="loose-match"/>
    <s v="-"/>
    <x v="945"/>
    <n v="1"/>
    <n v="1"/>
    <n v="1"/>
    <n v="0.57999999999999996"/>
    <n v="0.57999999999999996"/>
    <n v="0"/>
    <m/>
    <n v="0"/>
    <n v="0"/>
    <n v="0"/>
    <n v="0"/>
    <n v="0"/>
    <n v="0"/>
    <n v="0"/>
    <n v="0"/>
  </r>
  <r>
    <x v="3"/>
    <x v="12"/>
    <d v="2026-04-03T00:00:00"/>
    <d v="2026-04-03T00:00:00"/>
    <s v="USD"/>
    <x v="0"/>
    <s v="broad组"/>
    <s v="Amazon"/>
    <s v="United States"/>
    <s v="snack holder for stroller"/>
    <s v="BROAD"/>
    <x v="808"/>
    <n v="4"/>
    <n v="1"/>
    <n v="0.25"/>
    <n v="0.21"/>
    <n v="0.21"/>
    <n v="0"/>
    <m/>
    <n v="0"/>
    <n v="0"/>
    <n v="0"/>
    <n v="0"/>
    <n v="0"/>
    <n v="0"/>
    <n v="0"/>
    <n v="0"/>
  </r>
  <r>
    <x v="3"/>
    <x v="14"/>
    <d v="2026-04-19T00:00:00"/>
    <d v="2026-04-19T00:00:00"/>
    <s v="USD"/>
    <x v="10"/>
    <s v="ENC Yellow"/>
    <s v="Amazon"/>
    <s v="United States"/>
    <s v="close-match"/>
    <s v="-"/>
    <x v="43"/>
    <n v="65"/>
    <n v="1"/>
    <n v="1.5384999999999999E-2"/>
    <n v="0.5"/>
    <n v="0.5"/>
    <n v="0"/>
    <m/>
    <n v="0"/>
    <n v="0"/>
    <n v="0"/>
    <n v="0"/>
    <n v="0"/>
    <n v="0"/>
    <n v="0"/>
    <n v="0"/>
  </r>
  <r>
    <x v="3"/>
    <x v="12"/>
    <d v="2026-04-03T00:00:00"/>
    <d v="2026-04-03T00:00:00"/>
    <s v="USD"/>
    <x v="3"/>
    <s v="ENC Grey"/>
    <s v="Amazon"/>
    <s v="United States"/>
    <s v="loose-match"/>
    <s v="-"/>
    <x v="44"/>
    <n v="2"/>
    <n v="1"/>
    <n v="0.5"/>
    <n v="0.46"/>
    <n v="0.46"/>
    <n v="0"/>
    <m/>
    <n v="0"/>
    <n v="0"/>
    <n v="0"/>
    <n v="0"/>
    <n v="0"/>
    <n v="0"/>
    <n v="0"/>
    <n v="0"/>
  </r>
  <r>
    <x v="3"/>
    <x v="14"/>
    <d v="2026-04-24T00:00:00"/>
    <d v="2026-04-24T00:00:00"/>
    <s v="USD"/>
    <x v="6"/>
    <s v="ENC"/>
    <s v="Amazon"/>
    <s v="United States"/>
    <s v="loose-match"/>
    <s v="-"/>
    <x v="46"/>
    <n v="1"/>
    <n v="1"/>
    <n v="1"/>
    <n v="1.03"/>
    <n v="1.03"/>
    <n v="0"/>
    <m/>
    <n v="0"/>
    <n v="0"/>
    <n v="0"/>
    <n v="0"/>
    <n v="0"/>
    <n v="0"/>
    <n v="0"/>
    <n v="0"/>
  </r>
  <r>
    <x v="3"/>
    <x v="17"/>
    <d v="2026-04-12T00:00:00"/>
    <d v="2026-04-12T00:00:00"/>
    <s v="USD"/>
    <x v="10"/>
    <s v="ENC Yellow"/>
    <s v="Amazon"/>
    <s v="United States"/>
    <s v="close-match"/>
    <s v="-"/>
    <x v="46"/>
    <n v="5"/>
    <n v="1"/>
    <n v="0.2"/>
    <n v="0.5"/>
    <n v="0.5"/>
    <n v="0"/>
    <m/>
    <n v="0"/>
    <n v="0"/>
    <n v="0"/>
    <n v="0"/>
    <n v="0"/>
    <n v="0"/>
    <n v="0"/>
    <n v="0"/>
  </r>
  <r>
    <x v="3"/>
    <x v="14"/>
    <d v="2026-04-23T00:00:00"/>
    <d v="2026-04-26T00:00:00"/>
    <s v="USD"/>
    <x v="9"/>
    <s v="BNF"/>
    <s v="Amazon"/>
    <s v="United States"/>
    <s v="newborn nail file electric"/>
    <s v="BROAD"/>
    <x v="47"/>
    <n v="57"/>
    <n v="2"/>
    <n v="3.5088000000000001E-2"/>
    <n v="2.16"/>
    <n v="4.32"/>
    <n v="0"/>
    <m/>
    <n v="0"/>
    <n v="0"/>
    <n v="0"/>
    <n v="0"/>
    <n v="0"/>
    <n v="0"/>
    <n v="0"/>
    <n v="0"/>
  </r>
  <r>
    <x v="3"/>
    <x v="14"/>
    <d v="2026-04-21T00:00:00"/>
    <d v="2026-04-27T00:00:00"/>
    <s v="USD"/>
    <x v="9"/>
    <s v="BNF"/>
    <s v="Amazon"/>
    <s v="United States"/>
    <s v="baby nail file"/>
    <s v="PHRASE"/>
    <x v="47"/>
    <n v="887"/>
    <n v="3"/>
    <n v="3.382E-3"/>
    <n v="2.08"/>
    <n v="6.25"/>
    <n v="0"/>
    <m/>
    <n v="0"/>
    <n v="0"/>
    <n v="0"/>
    <n v="0"/>
    <n v="0"/>
    <n v="0"/>
    <n v="0"/>
    <n v="0"/>
  </r>
  <r>
    <x v="3"/>
    <x v="15"/>
    <d v="2026-04-09T00:00:00"/>
    <d v="2026-04-26T00:00:00"/>
    <s v="USD"/>
    <x v="10"/>
    <s v="ENC Yellow"/>
    <s v="Amazon"/>
    <s v="United States"/>
    <s v="close-match"/>
    <s v="-"/>
    <x v="47"/>
    <n v="27"/>
    <n v="4"/>
    <n v="0.148148"/>
    <n v="0.54"/>
    <n v="2.15"/>
    <n v="18.04"/>
    <n v="0.11917999999999999"/>
    <n v="8.39"/>
    <n v="1"/>
    <n v="1"/>
    <n v="0.25"/>
    <n v="0"/>
    <n v="1"/>
    <n v="0"/>
    <n v="18.04"/>
  </r>
  <r>
    <x v="3"/>
    <x v="14"/>
    <d v="2026-04-20T00:00:00"/>
    <d v="2026-04-20T00:00:00"/>
    <s v="USD"/>
    <x v="9"/>
    <s v="BNF"/>
    <s v="Amazon"/>
    <s v="United States"/>
    <s v="newborn nail file electric"/>
    <s v="BROAD"/>
    <x v="645"/>
    <n v="6"/>
    <n v="1"/>
    <n v="0.16666700000000001"/>
    <n v="3.62"/>
    <n v="3.62"/>
    <n v="0"/>
    <m/>
    <n v="0"/>
    <n v="0"/>
    <n v="0"/>
    <n v="0"/>
    <n v="0"/>
    <n v="0"/>
    <n v="0"/>
    <n v="0"/>
  </r>
  <r>
    <x v="3"/>
    <x v="16"/>
    <d v="2026-04-30T00:00:00"/>
    <d v="2026-04-30T00:00:00"/>
    <s v="USD"/>
    <x v="9"/>
    <s v="BNF"/>
    <s v="Amazon"/>
    <s v="United States"/>
    <s v="baby nail file"/>
    <s v="BROAD"/>
    <x v="48"/>
    <n v="49"/>
    <n v="1"/>
    <n v="2.0407999999999999E-2"/>
    <n v="1.79"/>
    <n v="1.79"/>
    <n v="0"/>
    <m/>
    <n v="0"/>
    <n v="0"/>
    <n v="0"/>
    <n v="0"/>
    <n v="0"/>
    <n v="0"/>
    <n v="0"/>
    <n v="0"/>
  </r>
  <r>
    <x v="3"/>
    <x v="16"/>
    <d v="2026-04-28T00:00:00"/>
    <d v="2026-04-28T00:00:00"/>
    <s v="USD"/>
    <x v="9"/>
    <s v="BNF"/>
    <s v="Amazon"/>
    <s v="United States"/>
    <s v="newborn nail file electric"/>
    <s v="BROAD"/>
    <x v="357"/>
    <n v="19"/>
    <n v="1"/>
    <n v="5.2631999999999998E-2"/>
    <n v="2.21"/>
    <n v="2.21"/>
    <n v="0"/>
    <m/>
    <n v="0"/>
    <n v="0"/>
    <n v="0"/>
    <n v="0"/>
    <n v="0"/>
    <n v="0"/>
    <n v="0"/>
    <n v="0"/>
  </r>
  <r>
    <x v="3"/>
    <x v="12"/>
    <d v="2026-04-01T00:00:00"/>
    <d v="2026-04-30T00:00:00"/>
    <s v="USD"/>
    <x v="10"/>
    <s v="ENC Yellow"/>
    <s v="Amazon"/>
    <s v="United States"/>
    <s v="close-match"/>
    <s v="-"/>
    <x v="357"/>
    <n v="39"/>
    <n v="6"/>
    <n v="0.15384600000000001"/>
    <n v="0.52"/>
    <n v="3.1"/>
    <n v="0"/>
    <m/>
    <n v="0"/>
    <n v="0"/>
    <n v="0"/>
    <n v="0"/>
    <n v="0"/>
    <n v="0"/>
    <n v="0"/>
    <n v="0"/>
  </r>
  <r>
    <x v="3"/>
    <x v="15"/>
    <d v="2026-04-06T00:00:00"/>
    <d v="2026-04-06T00:00:00"/>
    <s v="USD"/>
    <x v="10"/>
    <s v="ENC Yellow"/>
    <s v="Amazon"/>
    <s v="United States"/>
    <s v="close-match"/>
    <s v="-"/>
    <x v="49"/>
    <n v="4"/>
    <n v="1"/>
    <n v="0.25"/>
    <n v="0.65"/>
    <n v="0.65"/>
    <n v="0"/>
    <m/>
    <n v="0"/>
    <n v="0"/>
    <n v="0"/>
    <n v="0"/>
    <n v="0"/>
    <n v="0"/>
    <n v="0"/>
    <n v="0"/>
  </r>
  <r>
    <x v="3"/>
    <x v="15"/>
    <d v="2026-04-09T00:00:00"/>
    <d v="2026-04-09T00:00:00"/>
    <s v="USD"/>
    <x v="9"/>
    <s v="BNF"/>
    <s v="Amazon"/>
    <s v="United States"/>
    <s v="baby nail trimmer"/>
    <s v="BROAD"/>
    <x v="946"/>
    <n v="1"/>
    <n v="1"/>
    <n v="1"/>
    <n v="0.45"/>
    <n v="0.45"/>
    <n v="0"/>
    <m/>
    <n v="0"/>
    <n v="0"/>
    <n v="0"/>
    <n v="0"/>
    <n v="0"/>
    <n v="0"/>
    <n v="0"/>
    <n v="0"/>
  </r>
  <r>
    <x v="3"/>
    <x v="14"/>
    <d v="2026-04-22T00:00:00"/>
    <d v="2026-04-22T00:00:00"/>
    <s v="USD"/>
    <x v="0"/>
    <s v="broad组"/>
    <s v="Amazon"/>
    <s v="United States"/>
    <s v="snack holder for stroller"/>
    <s v="BROAD"/>
    <x v="947"/>
    <n v="2"/>
    <n v="1"/>
    <n v="0.5"/>
    <n v="0.21"/>
    <n v="0.21"/>
    <n v="0"/>
    <m/>
    <n v="0"/>
    <n v="0"/>
    <n v="0"/>
    <n v="0"/>
    <n v="0"/>
    <n v="0"/>
    <n v="0"/>
    <n v="0"/>
  </r>
  <r>
    <x v="3"/>
    <x v="12"/>
    <d v="2026-04-02T00:00:00"/>
    <d v="2026-04-02T00:00:00"/>
    <s v="USD"/>
    <x v="0"/>
    <s v="phrase&amp;exact"/>
    <s v="Amazon"/>
    <s v="United States"/>
    <s v="stroller tray attachment"/>
    <s v="PHRASE"/>
    <x v="948"/>
    <n v="7"/>
    <n v="1"/>
    <n v="0.14285700000000001"/>
    <n v="0.21"/>
    <n v="0.21"/>
    <n v="0"/>
    <m/>
    <n v="0"/>
    <n v="0"/>
    <n v="0"/>
    <n v="0"/>
    <n v="0"/>
    <n v="0"/>
    <n v="0"/>
    <n v="0"/>
  </r>
  <r>
    <x v="3"/>
    <x v="16"/>
    <d v="2026-04-28T00:00:00"/>
    <d v="2026-04-28T00:00:00"/>
    <s v="USD"/>
    <x v="6"/>
    <s v="ENC"/>
    <s v="Amazon"/>
    <s v="United States"/>
    <s v="loose-match"/>
    <s v="-"/>
    <x v="812"/>
    <n v="2"/>
    <n v="1"/>
    <n v="0.5"/>
    <n v="1.53"/>
    <n v="1.53"/>
    <n v="0"/>
    <m/>
    <n v="0"/>
    <n v="0"/>
    <n v="0"/>
    <n v="0"/>
    <n v="0"/>
    <n v="0"/>
    <n v="0"/>
    <n v="0"/>
  </r>
  <r>
    <x v="3"/>
    <x v="12"/>
    <d v="2026-04-01T00:00:00"/>
    <d v="2026-04-01T00:00:00"/>
    <s v="USD"/>
    <x v="0"/>
    <s v="broad组"/>
    <s v="Amazon"/>
    <s v="United States"/>
    <s v="stroller tray"/>
    <s v="BROAD"/>
    <x v="949"/>
    <n v="2"/>
    <n v="1"/>
    <n v="0.5"/>
    <n v="0.4"/>
    <n v="0.4"/>
    <n v="0"/>
    <m/>
    <n v="0"/>
    <n v="0"/>
    <n v="0"/>
    <n v="0"/>
    <n v="0"/>
    <n v="0"/>
    <n v="0"/>
    <n v="0"/>
  </r>
  <r>
    <x v="3"/>
    <x v="17"/>
    <d v="2026-04-17T00:00:00"/>
    <d v="2026-04-17T00:00:00"/>
    <s v="USD"/>
    <x v="0"/>
    <s v="broad组"/>
    <s v="Amazon"/>
    <s v="United States"/>
    <s v="stroller attachment"/>
    <s v="BROAD"/>
    <x v="950"/>
    <n v="2"/>
    <n v="1"/>
    <n v="0.5"/>
    <n v="0.23"/>
    <n v="0.23"/>
    <n v="0"/>
    <m/>
    <n v="0"/>
    <n v="0"/>
    <n v="0"/>
    <n v="0"/>
    <n v="0"/>
    <n v="0"/>
    <n v="0"/>
    <n v="0"/>
  </r>
  <r>
    <x v="3"/>
    <x v="16"/>
    <d v="2026-04-27T00:00:00"/>
    <d v="2026-04-27T00:00:00"/>
    <s v="USD"/>
    <x v="0"/>
    <s v="broad组"/>
    <s v="Amazon"/>
    <s v="United States"/>
    <s v="stroller snack tray"/>
    <s v="BROAD"/>
    <x v="951"/>
    <n v="5"/>
    <n v="1"/>
    <n v="0.2"/>
    <n v="0.12"/>
    <n v="0.12"/>
    <n v="0"/>
    <m/>
    <n v="0"/>
    <n v="0"/>
    <n v="0"/>
    <n v="0"/>
    <n v="0"/>
    <n v="0"/>
    <n v="0"/>
    <n v="0"/>
  </r>
  <r>
    <x v="3"/>
    <x v="12"/>
    <d v="2026-04-04T00:00:00"/>
    <d v="2026-04-04T00:00:00"/>
    <s v="USD"/>
    <x v="6"/>
    <s v="ENC"/>
    <s v="Amazon"/>
    <s v="United States"/>
    <s v="loose-match"/>
    <s v="-"/>
    <x v="952"/>
    <n v="14"/>
    <n v="1"/>
    <n v="7.1429000000000006E-2"/>
    <n v="1.63"/>
    <n v="1.63"/>
    <n v="0"/>
    <m/>
    <n v="0"/>
    <n v="0"/>
    <n v="0"/>
    <n v="0"/>
    <n v="0"/>
    <n v="0"/>
    <n v="0"/>
    <n v="0"/>
  </r>
  <r>
    <x v="3"/>
    <x v="17"/>
    <d v="2026-04-14T00:00:00"/>
    <d v="2026-04-14T00:00:00"/>
    <s v="USD"/>
    <x v="0"/>
    <s v="broad组"/>
    <s v="Amazon"/>
    <s v="United States"/>
    <s v="stroller tray"/>
    <s v="BROAD"/>
    <x v="953"/>
    <n v="2"/>
    <n v="1"/>
    <n v="0.5"/>
    <n v="0.23"/>
    <n v="0.23"/>
    <n v="0"/>
    <m/>
    <n v="0"/>
    <n v="0"/>
    <n v="0"/>
    <n v="0"/>
    <n v="0"/>
    <n v="0"/>
    <n v="0"/>
    <n v="0"/>
  </r>
  <r>
    <x v="3"/>
    <x v="14"/>
    <d v="2026-04-19T00:00:00"/>
    <d v="2026-04-19T00:00:00"/>
    <s v="USD"/>
    <x v="4"/>
    <s v="stroller tray"/>
    <s v="Amazon"/>
    <s v="United States"/>
    <s v="loose-match"/>
    <s v="-"/>
    <x v="954"/>
    <n v="1"/>
    <n v="1"/>
    <n v="1"/>
    <n v="0.54"/>
    <n v="0.54"/>
    <n v="0"/>
    <m/>
    <n v="0"/>
    <n v="0"/>
    <n v="0"/>
    <n v="0"/>
    <n v="0"/>
    <n v="0"/>
    <n v="0"/>
    <n v="0"/>
  </r>
  <r>
    <x v="3"/>
    <x v="16"/>
    <d v="2026-04-27T00:00:00"/>
    <d v="2026-04-27T00:00:00"/>
    <s v="USD"/>
    <x v="0"/>
    <s v="broad组"/>
    <s v="Amazon"/>
    <s v="United States"/>
    <s v="universal snack tray"/>
    <s v="BROAD"/>
    <x v="955"/>
    <n v="1"/>
    <n v="1"/>
    <n v="1"/>
    <n v="0.08"/>
    <n v="0.08"/>
    <n v="0"/>
    <m/>
    <n v="0"/>
    <n v="0"/>
    <n v="0"/>
    <n v="0"/>
    <n v="0"/>
    <n v="0"/>
    <n v="0"/>
    <n v="0"/>
  </r>
  <r>
    <x v="3"/>
    <x v="15"/>
    <d v="2026-04-06T00:00:00"/>
    <d v="2026-04-06T00:00:00"/>
    <s v="USD"/>
    <x v="0"/>
    <s v="broad组"/>
    <s v="Amazon"/>
    <s v="United States"/>
    <s v="snack tray for stroller"/>
    <s v="BROAD"/>
    <x v="956"/>
    <n v="3"/>
    <n v="1"/>
    <n v="0.33333299999999999"/>
    <n v="0.08"/>
    <n v="0.08"/>
    <n v="0"/>
    <m/>
    <n v="0"/>
    <n v="0"/>
    <n v="0"/>
    <n v="0"/>
    <n v="0"/>
    <n v="0"/>
    <n v="0"/>
    <n v="0"/>
  </r>
  <r>
    <x v="3"/>
    <x v="17"/>
    <d v="2026-04-14T00:00:00"/>
    <d v="2026-04-14T00:00:00"/>
    <s v="USD"/>
    <x v="0"/>
    <s v="phrase&amp;exact"/>
    <s v="Amazon"/>
    <s v="United States"/>
    <s v="stroller cup holder"/>
    <s v="PHRASE"/>
    <x v="957"/>
    <n v="1"/>
    <n v="1"/>
    <n v="1"/>
    <n v="0.4"/>
    <n v="0.4"/>
    <n v="0"/>
    <m/>
    <n v="0"/>
    <n v="0"/>
    <n v="0"/>
    <n v="0"/>
    <n v="0"/>
    <n v="0"/>
    <n v="0"/>
    <n v="0"/>
  </r>
  <r>
    <x v="3"/>
    <x v="14"/>
    <d v="2026-04-21T00:00:00"/>
    <d v="2026-04-21T00:00:00"/>
    <s v="USD"/>
    <x v="4"/>
    <s v="stroller tray"/>
    <s v="Amazon"/>
    <s v="United States"/>
    <s v="loose-match"/>
    <s v="-"/>
    <x v="958"/>
    <n v="1"/>
    <n v="1"/>
    <n v="1"/>
    <n v="0.63"/>
    <n v="0.63"/>
    <n v="0"/>
    <m/>
    <n v="0"/>
    <n v="0"/>
    <n v="0"/>
    <n v="0"/>
    <n v="0"/>
    <n v="0"/>
    <n v="0"/>
    <n v="0"/>
  </r>
  <r>
    <x v="3"/>
    <x v="12"/>
    <d v="2026-04-01T00:00:00"/>
    <d v="2026-04-01T00:00:00"/>
    <s v="USD"/>
    <x v="0"/>
    <s v="broad组"/>
    <s v="Amazon"/>
    <s v="United States"/>
    <s v="snack tray for stroller"/>
    <s v="BROAD"/>
    <x v="372"/>
    <n v="6"/>
    <n v="1"/>
    <n v="0.16666700000000001"/>
    <n v="0.21"/>
    <n v="0.21"/>
    <n v="0"/>
    <m/>
    <n v="0"/>
    <n v="0"/>
    <n v="0"/>
    <n v="0"/>
    <n v="0"/>
    <n v="0"/>
    <n v="0"/>
    <n v="0"/>
  </r>
  <r>
    <x v="3"/>
    <x v="15"/>
    <d v="2026-04-10T00:00:00"/>
    <d v="2026-04-10T00:00:00"/>
    <s v="USD"/>
    <x v="6"/>
    <s v="ENC"/>
    <s v="Amazon"/>
    <s v="United States"/>
    <s v="close-match"/>
    <s v="-"/>
    <x v="959"/>
    <n v="1"/>
    <n v="1"/>
    <n v="1"/>
    <n v="1.74"/>
    <n v="1.74"/>
    <n v="0"/>
    <m/>
    <n v="0"/>
    <n v="0"/>
    <n v="0"/>
    <n v="0"/>
    <n v="0"/>
    <n v="0"/>
    <n v="0"/>
    <n v="0"/>
  </r>
  <r>
    <x v="3"/>
    <x v="12"/>
    <d v="2026-04-01T00:00:00"/>
    <d v="2026-04-01T00:00:00"/>
    <s v="USD"/>
    <x v="0"/>
    <s v="broad组"/>
    <s v="Amazon"/>
    <s v="United States"/>
    <s v="stroller cup holder"/>
    <s v="BROAD"/>
    <x v="960"/>
    <n v="4"/>
    <n v="1"/>
    <n v="0.25"/>
    <n v="0.21"/>
    <n v="0.21"/>
    <n v="0"/>
    <m/>
    <n v="0"/>
    <n v="0"/>
    <n v="0"/>
    <n v="0"/>
    <n v="0"/>
    <n v="0"/>
    <n v="0"/>
    <n v="0"/>
  </r>
  <r>
    <x v="3"/>
    <x v="14"/>
    <d v="2026-04-21T00:00:00"/>
    <d v="2026-04-21T00:00:00"/>
    <s v="USD"/>
    <x v="2"/>
    <s v="Tray"/>
    <s v="Amazon"/>
    <s v="United States"/>
    <s v="asin=&quot;B0DH98H2G4&quot;"/>
    <s v="-"/>
    <x v="816"/>
    <n v="2"/>
    <n v="1"/>
    <n v="0.5"/>
    <n v="0.42"/>
    <n v="0.42"/>
    <n v="0"/>
    <m/>
    <n v="0"/>
    <n v="0"/>
    <n v="0"/>
    <n v="0"/>
    <n v="0"/>
    <n v="0"/>
    <n v="0"/>
    <n v="0"/>
  </r>
  <r>
    <x v="3"/>
    <x v="16"/>
    <d v="2026-04-30T00:00:00"/>
    <d v="2026-04-30T00:00:00"/>
    <s v="USD"/>
    <x v="0"/>
    <s v="phrase&amp;exact"/>
    <s v="Amazon"/>
    <s v="United States"/>
    <s v="stroller snack tray"/>
    <s v="PHRASE"/>
    <x v="961"/>
    <n v="3"/>
    <n v="1"/>
    <n v="0.33333299999999999"/>
    <n v="0.23"/>
    <n v="0.23"/>
    <n v="0"/>
    <m/>
    <n v="0"/>
    <n v="0"/>
    <n v="0"/>
    <n v="0"/>
    <n v="0"/>
    <n v="0"/>
    <n v="0"/>
    <n v="0"/>
  </r>
  <r>
    <x v="3"/>
    <x v="17"/>
    <d v="2026-04-13T00:00:00"/>
    <d v="2026-04-13T00:00:00"/>
    <s v="USD"/>
    <x v="0"/>
    <s v="broad组"/>
    <s v="Amazon"/>
    <s v="United States"/>
    <s v="stroller accessories"/>
    <s v="BROAD"/>
    <x v="962"/>
    <n v="1"/>
    <n v="1"/>
    <n v="1"/>
    <n v="0.15"/>
    <n v="0.15"/>
    <n v="0"/>
    <m/>
    <n v="0"/>
    <n v="0"/>
    <n v="0"/>
    <n v="0"/>
    <n v="0"/>
    <n v="0"/>
    <n v="0"/>
    <n v="0"/>
  </r>
  <r>
    <x v="3"/>
    <x v="12"/>
    <d v="2026-04-03T00:00:00"/>
    <d v="2026-04-03T00:00:00"/>
    <s v="USD"/>
    <x v="0"/>
    <s v="broad组"/>
    <s v="Amazon"/>
    <s v="United States"/>
    <s v="stroller cup holder"/>
    <s v="BROAD"/>
    <x v="963"/>
    <n v="1"/>
    <n v="1"/>
    <n v="1"/>
    <n v="0.2"/>
    <n v="0.2"/>
    <n v="0"/>
    <m/>
    <n v="0"/>
    <n v="0"/>
    <n v="0"/>
    <n v="0"/>
    <n v="0"/>
    <n v="0"/>
    <n v="0"/>
    <n v="0"/>
  </r>
  <r>
    <x v="3"/>
    <x v="12"/>
    <d v="2026-04-01T00:00:00"/>
    <d v="2026-04-01T00:00:00"/>
    <s v="USD"/>
    <x v="0"/>
    <s v="broad组"/>
    <s v="Amazon"/>
    <s v="United States"/>
    <s v="clip on snack tray"/>
    <s v="BROAD"/>
    <x v="964"/>
    <n v="1"/>
    <n v="1"/>
    <n v="1"/>
    <n v="0.21"/>
    <n v="0.21"/>
    <n v="0"/>
    <m/>
    <n v="0"/>
    <n v="0"/>
    <n v="0"/>
    <n v="0"/>
    <n v="0"/>
    <n v="0"/>
    <n v="0"/>
    <n v="0"/>
  </r>
  <r>
    <x v="3"/>
    <x v="16"/>
    <d v="2026-04-30T00:00:00"/>
    <d v="2026-04-30T00:00:00"/>
    <s v="USD"/>
    <x v="0"/>
    <s v="broad组"/>
    <s v="Amazon"/>
    <s v="United States"/>
    <s v="stroller snack tray"/>
    <s v="BROAD"/>
    <x v="67"/>
    <n v="4"/>
    <n v="1"/>
    <n v="0.25"/>
    <n v="0.21"/>
    <n v="0.21"/>
    <n v="0"/>
    <m/>
    <n v="0"/>
    <n v="0"/>
    <n v="0"/>
    <n v="0"/>
    <n v="0"/>
    <n v="0"/>
    <n v="0"/>
    <n v="0"/>
  </r>
  <r>
    <x v="3"/>
    <x v="17"/>
    <d v="2026-04-14T00:00:00"/>
    <d v="2026-04-14T00:00:00"/>
    <s v="USD"/>
    <x v="0"/>
    <s v="broad组"/>
    <s v="Amazon"/>
    <s v="United States"/>
    <s v="stroller attachment"/>
    <s v="BROAD"/>
    <x v="965"/>
    <n v="1"/>
    <n v="1"/>
    <n v="1"/>
    <n v="0.4"/>
    <n v="0.4"/>
    <n v="0"/>
    <m/>
    <n v="0"/>
    <n v="0"/>
    <n v="0"/>
    <n v="0"/>
    <n v="0"/>
    <n v="0"/>
    <n v="0"/>
    <n v="0"/>
  </r>
  <r>
    <x v="3"/>
    <x v="12"/>
    <d v="2026-04-04T00:00:00"/>
    <d v="2026-04-04T00:00:00"/>
    <s v="USD"/>
    <x v="10"/>
    <s v="ENC Yellow"/>
    <s v="Amazon"/>
    <s v="United States"/>
    <s v="loose-match"/>
    <s v="-"/>
    <x v="966"/>
    <n v="1"/>
    <n v="1"/>
    <n v="1"/>
    <n v="0.45"/>
    <n v="0.45"/>
    <n v="0"/>
    <m/>
    <n v="0"/>
    <n v="0"/>
    <n v="0"/>
    <n v="0"/>
    <n v="0"/>
    <n v="0"/>
    <n v="0"/>
    <n v="0"/>
  </r>
  <r>
    <x v="3"/>
    <x v="17"/>
    <d v="2026-04-13T00:00:00"/>
    <d v="2026-04-13T00:00:00"/>
    <s v="USD"/>
    <x v="0"/>
    <s v="broad组"/>
    <s v="Amazon"/>
    <s v="United States"/>
    <s v="stroller tray"/>
    <s v="BROAD"/>
    <x v="967"/>
    <n v="1"/>
    <n v="1"/>
    <n v="1"/>
    <n v="0.21"/>
    <n v="0.21"/>
    <n v="0"/>
    <m/>
    <n v="0"/>
    <n v="0"/>
    <n v="0"/>
    <n v="0"/>
    <n v="0"/>
    <n v="0"/>
    <n v="0"/>
    <n v="0"/>
  </r>
  <r>
    <x v="3"/>
    <x v="15"/>
    <d v="2026-04-06T00:00:00"/>
    <d v="2026-04-06T00:00:00"/>
    <s v="USD"/>
    <x v="0"/>
    <s v="broad组"/>
    <s v="Amazon"/>
    <s v="United States"/>
    <s v="stroller tray"/>
    <s v="BROAD"/>
    <x v="968"/>
    <n v="1"/>
    <n v="1"/>
    <n v="1"/>
    <n v="0.21"/>
    <n v="0.21"/>
    <n v="0"/>
    <m/>
    <n v="0"/>
    <n v="0"/>
    <n v="0"/>
    <n v="0"/>
    <n v="0"/>
    <n v="0"/>
    <n v="0"/>
    <n v="0"/>
  </r>
  <r>
    <x v="3"/>
    <x v="16"/>
    <d v="2026-04-29T00:00:00"/>
    <d v="2026-04-29T00:00:00"/>
    <s v="USD"/>
    <x v="0"/>
    <s v="broad组"/>
    <s v="Amazon"/>
    <s v="United States"/>
    <s v="stroller accessories"/>
    <s v="BROAD"/>
    <x v="378"/>
    <n v="1"/>
    <n v="1"/>
    <n v="1"/>
    <n v="0.16"/>
    <n v="0.16"/>
    <n v="0"/>
    <m/>
    <n v="0"/>
    <n v="0"/>
    <n v="0"/>
    <n v="0"/>
    <n v="0"/>
    <n v="0"/>
    <n v="0"/>
    <n v="0"/>
  </r>
  <r>
    <x v="3"/>
    <x v="12"/>
    <d v="2026-04-02T00:00:00"/>
    <d v="2026-04-02T00:00:00"/>
    <s v="USD"/>
    <x v="0"/>
    <s v="broad组"/>
    <s v="Amazon"/>
    <s v="United States"/>
    <s v="stroller accessories"/>
    <s v="BROAD"/>
    <x v="969"/>
    <n v="2"/>
    <n v="1"/>
    <n v="0.5"/>
    <n v="0.16"/>
    <n v="0.16"/>
    <n v="0"/>
    <m/>
    <n v="0"/>
    <n v="0"/>
    <n v="0"/>
    <n v="0"/>
    <n v="0"/>
    <n v="0"/>
    <n v="0"/>
    <n v="0"/>
  </r>
  <r>
    <x v="3"/>
    <x v="16"/>
    <d v="2026-04-29T00:00:00"/>
    <d v="2026-04-29T00:00:00"/>
    <s v="USD"/>
    <x v="4"/>
    <s v="stroller tray"/>
    <s v="Amazon"/>
    <s v="United States"/>
    <s v="loose-match"/>
    <s v="-"/>
    <x v="970"/>
    <n v="2"/>
    <n v="1"/>
    <n v="0.5"/>
    <n v="0.56999999999999995"/>
    <n v="0.56999999999999995"/>
    <n v="0"/>
    <m/>
    <n v="0"/>
    <n v="0"/>
    <n v="0"/>
    <n v="0"/>
    <n v="0"/>
    <n v="0"/>
    <n v="0"/>
    <n v="0"/>
  </r>
  <r>
    <x v="3"/>
    <x v="17"/>
    <d v="2026-04-12T00:00:00"/>
    <d v="2026-04-12T00:00:00"/>
    <s v="USD"/>
    <x v="4"/>
    <s v="stroller tray"/>
    <s v="Amazon"/>
    <s v="United States"/>
    <s v="loose-match"/>
    <s v="-"/>
    <x v="971"/>
    <n v="1"/>
    <n v="1"/>
    <n v="1"/>
    <n v="0.72"/>
    <n v="0.72"/>
    <n v="0"/>
    <m/>
    <n v="0"/>
    <n v="0"/>
    <n v="0"/>
    <n v="0"/>
    <n v="0"/>
    <n v="0"/>
    <n v="0"/>
    <n v="0"/>
  </r>
  <r>
    <x v="3"/>
    <x v="14"/>
    <d v="2026-04-21T00:00:00"/>
    <d v="2026-04-21T00:00:00"/>
    <s v="USD"/>
    <x v="3"/>
    <s v="ENC Grey"/>
    <s v="Amazon"/>
    <s v="United States"/>
    <s v="loose-match"/>
    <s v="-"/>
    <x v="972"/>
    <n v="1"/>
    <n v="1"/>
    <n v="1"/>
    <n v="0.46"/>
    <n v="0.46"/>
    <n v="0"/>
    <m/>
    <n v="0"/>
    <n v="0"/>
    <n v="0"/>
    <n v="0"/>
    <n v="0"/>
    <n v="0"/>
    <n v="0"/>
    <n v="0"/>
  </r>
  <r>
    <x v="3"/>
    <x v="15"/>
    <d v="2026-04-05T00:00:00"/>
    <d v="2026-04-05T00:00:00"/>
    <s v="USD"/>
    <x v="0"/>
    <s v="broad组"/>
    <s v="Amazon"/>
    <s v="United States"/>
    <s v="stroller clip on tray"/>
    <s v="BROAD"/>
    <x v="973"/>
    <n v="3"/>
    <n v="1"/>
    <n v="0.33333299999999999"/>
    <n v="0.21"/>
    <n v="0.21"/>
    <n v="0"/>
    <m/>
    <n v="0"/>
    <n v="0"/>
    <n v="0"/>
    <n v="0"/>
    <n v="0"/>
    <n v="0"/>
    <n v="0"/>
    <n v="0"/>
  </r>
  <r>
    <x v="3"/>
    <x v="12"/>
    <d v="2026-04-03T00:00:00"/>
    <d v="2026-04-03T00:00:00"/>
    <s v="USD"/>
    <x v="0"/>
    <s v="broad组"/>
    <s v="Amazon"/>
    <s v="United States"/>
    <s v="stroller tray"/>
    <s v="BROAD"/>
    <x v="662"/>
    <n v="1"/>
    <n v="1"/>
    <n v="1"/>
    <n v="0.21"/>
    <n v="0.21"/>
    <n v="0"/>
    <m/>
    <n v="0"/>
    <n v="0"/>
    <n v="0"/>
    <n v="0"/>
    <n v="0"/>
    <n v="0"/>
    <n v="0"/>
    <n v="0"/>
  </r>
  <r>
    <x v="3"/>
    <x v="17"/>
    <d v="2026-04-14T00:00:00"/>
    <d v="2026-04-14T00:00:00"/>
    <s v="USD"/>
    <x v="0"/>
    <s v="phrase&amp;exact"/>
    <s v="Amazon"/>
    <s v="United States"/>
    <s v="clip on snack tray"/>
    <s v="PHRASE"/>
    <x v="662"/>
    <n v="6"/>
    <n v="1"/>
    <n v="0.16666700000000001"/>
    <n v="0.4"/>
    <n v="0.4"/>
    <n v="0"/>
    <m/>
    <n v="0"/>
    <n v="0"/>
    <n v="0"/>
    <n v="0"/>
    <n v="0"/>
    <n v="0"/>
    <n v="0"/>
    <n v="0"/>
  </r>
  <r>
    <x v="3"/>
    <x v="17"/>
    <d v="2026-04-17T00:00:00"/>
    <d v="2026-04-17T00:00:00"/>
    <s v="USD"/>
    <x v="4"/>
    <s v="stroller tray"/>
    <s v="Amazon"/>
    <s v="United States"/>
    <s v="loose-match"/>
    <s v="-"/>
    <x v="78"/>
    <n v="1"/>
    <n v="1"/>
    <n v="1"/>
    <n v="0.54"/>
    <n v="0.54"/>
    <n v="0"/>
    <m/>
    <n v="0"/>
    <n v="0"/>
    <n v="0"/>
    <n v="0"/>
    <n v="0"/>
    <n v="0"/>
    <n v="0"/>
    <n v="0"/>
  </r>
  <r>
    <x v="3"/>
    <x v="15"/>
    <d v="2026-04-10T00:00:00"/>
    <d v="2026-04-10T00:00:00"/>
    <s v="USD"/>
    <x v="0"/>
    <s v="broad组"/>
    <s v="Amazon"/>
    <s v="United States"/>
    <s v="stroller tray"/>
    <s v="BROAD"/>
    <x v="382"/>
    <n v="1"/>
    <n v="1"/>
    <n v="1"/>
    <n v="0.4"/>
    <n v="0.4"/>
    <n v="0"/>
    <m/>
    <n v="0"/>
    <n v="0"/>
    <n v="0"/>
    <n v="0"/>
    <n v="0"/>
    <n v="0"/>
    <n v="0"/>
    <n v="0"/>
  </r>
  <r>
    <x v="3"/>
    <x v="14"/>
    <d v="2026-04-20T00:00:00"/>
    <d v="2026-04-20T00:00:00"/>
    <s v="USD"/>
    <x v="0"/>
    <s v="broad组"/>
    <s v="Amazon"/>
    <s v="United States"/>
    <s v="stroller accessories"/>
    <s v="BROAD"/>
    <x v="974"/>
    <n v="1"/>
    <n v="1"/>
    <n v="1"/>
    <n v="0.16"/>
    <n v="0.16"/>
    <n v="0"/>
    <m/>
    <n v="0"/>
    <n v="0"/>
    <n v="0"/>
    <n v="0"/>
    <n v="0"/>
    <n v="0"/>
    <n v="0"/>
    <n v="0"/>
  </r>
  <r>
    <x v="3"/>
    <x v="16"/>
    <d v="2026-04-29T00:00:00"/>
    <d v="2026-04-29T00:00:00"/>
    <s v="USD"/>
    <x v="6"/>
    <s v="ENC"/>
    <s v="Amazon"/>
    <s v="United States"/>
    <s v="close-match"/>
    <s v="-"/>
    <x v="975"/>
    <n v="1"/>
    <n v="1"/>
    <n v="1"/>
    <n v="1.55"/>
    <n v="1.55"/>
    <n v="0"/>
    <m/>
    <n v="0"/>
    <n v="0"/>
    <n v="0"/>
    <n v="0"/>
    <n v="0"/>
    <n v="0"/>
    <n v="0"/>
    <n v="0"/>
  </r>
  <r>
    <x v="3"/>
    <x v="12"/>
    <d v="2026-04-01T00:00:00"/>
    <d v="2026-04-01T00:00:00"/>
    <s v="USD"/>
    <x v="10"/>
    <s v="ENC Yellow"/>
    <s v="Amazon"/>
    <s v="United States"/>
    <s v="close-match"/>
    <s v="-"/>
    <x v="976"/>
    <n v="1"/>
    <n v="1"/>
    <n v="1"/>
    <n v="0.5"/>
    <n v="0.5"/>
    <n v="0"/>
    <m/>
    <n v="0"/>
    <n v="0"/>
    <n v="0"/>
    <n v="0"/>
    <n v="0"/>
    <n v="0"/>
    <n v="0"/>
    <n v="0"/>
  </r>
  <r>
    <x v="3"/>
    <x v="12"/>
    <d v="2026-04-04T00:00:00"/>
    <d v="2026-04-04T00:00:00"/>
    <s v="USD"/>
    <x v="4"/>
    <s v="stroller tray"/>
    <s v="Amazon"/>
    <s v="United States"/>
    <s v="loose-match"/>
    <s v="-"/>
    <x v="977"/>
    <n v="1"/>
    <n v="1"/>
    <n v="1"/>
    <n v="0.54"/>
    <n v="0.54"/>
    <n v="0"/>
    <m/>
    <n v="0"/>
    <n v="0"/>
    <n v="0"/>
    <n v="0"/>
    <n v="0"/>
    <n v="0"/>
    <n v="0"/>
    <n v="0"/>
  </r>
  <r>
    <x v="3"/>
    <x v="14"/>
    <d v="2026-04-21T00:00:00"/>
    <d v="2026-04-21T00:00:00"/>
    <s v="USD"/>
    <x v="0"/>
    <s v="broad组"/>
    <s v="Amazon"/>
    <s v="United States"/>
    <s v="stroller cup holder"/>
    <s v="BROAD"/>
    <x v="978"/>
    <n v="1"/>
    <n v="1"/>
    <n v="1"/>
    <n v="0.44"/>
    <n v="0.44"/>
    <n v="0"/>
    <m/>
    <n v="0"/>
    <n v="0"/>
    <n v="0"/>
    <n v="0"/>
    <n v="0"/>
    <n v="0"/>
    <n v="0"/>
    <n v="0"/>
  </r>
  <r>
    <x v="3"/>
    <x v="16"/>
    <d v="2026-04-27T00:00:00"/>
    <d v="2026-04-27T00:00:00"/>
    <s v="USD"/>
    <x v="0"/>
    <s v="broad组"/>
    <s v="Amazon"/>
    <s v="United States"/>
    <s v="stroller cup holder"/>
    <s v="BROAD"/>
    <x v="979"/>
    <n v="1"/>
    <n v="1"/>
    <n v="1"/>
    <n v="0.4"/>
    <n v="0.4"/>
    <n v="0"/>
    <m/>
    <n v="0"/>
    <n v="0"/>
    <n v="0"/>
    <n v="0"/>
    <n v="0"/>
    <n v="0"/>
    <n v="0"/>
    <n v="0"/>
  </r>
  <r>
    <x v="3"/>
    <x v="15"/>
    <d v="2026-04-10T00:00:00"/>
    <d v="2026-04-10T00:00:00"/>
    <s v="USD"/>
    <x v="0"/>
    <s v="broad组"/>
    <s v="Amazon"/>
    <s v="United States"/>
    <s v="stroller cup holder"/>
    <s v="BROAD"/>
    <x v="81"/>
    <n v="1"/>
    <n v="1"/>
    <n v="1"/>
    <n v="0.23"/>
    <n v="0.23"/>
    <n v="0"/>
    <m/>
    <n v="0"/>
    <n v="0"/>
    <n v="0"/>
    <n v="0"/>
    <n v="0"/>
    <n v="0"/>
    <n v="0"/>
    <n v="0"/>
  </r>
  <r>
    <x v="3"/>
    <x v="15"/>
    <d v="2026-04-10T00:00:00"/>
    <d v="2026-04-10T00:00:00"/>
    <s v="USD"/>
    <x v="0"/>
    <s v="broad组"/>
    <s v="Amazon"/>
    <s v="United States"/>
    <s v="stroller cup holder"/>
    <s v="BROAD"/>
    <x v="980"/>
    <n v="1"/>
    <n v="1"/>
    <n v="1"/>
    <n v="0.23"/>
    <n v="0.23"/>
    <n v="0"/>
    <m/>
    <n v="0"/>
    <n v="0"/>
    <n v="0"/>
    <n v="0"/>
    <n v="0"/>
    <n v="0"/>
    <n v="0"/>
    <n v="0"/>
  </r>
  <r>
    <x v="3"/>
    <x v="15"/>
    <d v="2026-04-06T00:00:00"/>
    <d v="2026-04-06T00:00:00"/>
    <s v="USD"/>
    <x v="0"/>
    <s v="broad组"/>
    <s v="Amazon"/>
    <s v="United States"/>
    <s v="stroller cup holder"/>
    <s v="BROAD"/>
    <x v="981"/>
    <n v="2"/>
    <n v="1"/>
    <n v="0.5"/>
    <n v="0.21"/>
    <n v="0.21"/>
    <n v="0"/>
    <m/>
    <n v="0"/>
    <n v="0"/>
    <n v="0"/>
    <n v="0"/>
    <n v="0"/>
    <n v="0"/>
    <n v="0"/>
    <n v="0"/>
  </r>
  <r>
    <x v="3"/>
    <x v="17"/>
    <d v="2026-04-13T00:00:00"/>
    <d v="2026-04-13T00:00:00"/>
    <s v="USD"/>
    <x v="4"/>
    <s v="stroller tray"/>
    <s v="Amazon"/>
    <s v="United States"/>
    <s v="close-match"/>
    <s v="-"/>
    <x v="84"/>
    <n v="1"/>
    <n v="1"/>
    <n v="1"/>
    <n v="0.77"/>
    <n v="0.77"/>
    <n v="0"/>
    <m/>
    <n v="0"/>
    <n v="0"/>
    <n v="0"/>
    <n v="0"/>
    <n v="0"/>
    <n v="0"/>
    <n v="0"/>
    <n v="0"/>
  </r>
  <r>
    <x v="3"/>
    <x v="17"/>
    <d v="2026-04-12T00:00:00"/>
    <d v="2026-04-12T00:00:00"/>
    <s v="USD"/>
    <x v="0"/>
    <s v="broad组"/>
    <s v="Amazon"/>
    <s v="United States"/>
    <s v="cup holder for stroller"/>
    <s v="BROAD"/>
    <x v="84"/>
    <n v="1"/>
    <n v="1"/>
    <n v="1"/>
    <n v="0.4"/>
    <n v="0.4"/>
    <n v="0"/>
    <m/>
    <n v="0"/>
    <n v="0"/>
    <n v="0"/>
    <n v="0"/>
    <n v="0"/>
    <n v="0"/>
    <n v="0"/>
    <n v="0"/>
  </r>
  <r>
    <x v="3"/>
    <x v="14"/>
    <d v="2026-04-24T00:00:00"/>
    <d v="2026-04-24T00:00:00"/>
    <s v="USD"/>
    <x v="4"/>
    <s v="stroller tray"/>
    <s v="Amazon"/>
    <s v="United States"/>
    <s v="close-match"/>
    <s v="-"/>
    <x v="982"/>
    <n v="1"/>
    <n v="1"/>
    <n v="1"/>
    <n v="1"/>
    <n v="1"/>
    <n v="0"/>
    <m/>
    <n v="0"/>
    <n v="0"/>
    <n v="0"/>
    <n v="0"/>
    <n v="0"/>
    <n v="0"/>
    <n v="0"/>
    <n v="0"/>
  </r>
  <r>
    <x v="3"/>
    <x v="17"/>
    <d v="2026-04-18T00:00:00"/>
    <d v="2026-04-18T00:00:00"/>
    <s v="USD"/>
    <x v="4"/>
    <s v="stroller tray"/>
    <s v="Amazon"/>
    <s v="United States"/>
    <s v="close-match"/>
    <s v="-"/>
    <x v="983"/>
    <n v="4"/>
    <n v="1"/>
    <n v="0.25"/>
    <n v="0.72"/>
    <n v="0.72"/>
    <n v="0"/>
    <m/>
    <n v="0"/>
    <n v="0"/>
    <n v="0"/>
    <n v="0"/>
    <n v="0"/>
    <n v="0"/>
    <n v="0"/>
    <n v="0"/>
  </r>
  <r>
    <x v="3"/>
    <x v="17"/>
    <d v="2026-04-12T00:00:00"/>
    <d v="2026-04-12T00:00:00"/>
    <s v="USD"/>
    <x v="0"/>
    <s v="phrase&amp;exact"/>
    <s v="Amazon"/>
    <s v="United States"/>
    <s v="cup holder and tray for stroller"/>
    <s v="PHRASE"/>
    <x v="984"/>
    <n v="1"/>
    <n v="1"/>
    <n v="1"/>
    <n v="0.4"/>
    <n v="0.4"/>
    <n v="0"/>
    <m/>
    <n v="0"/>
    <n v="0"/>
    <n v="0"/>
    <n v="0"/>
    <n v="0"/>
    <n v="0"/>
    <n v="0"/>
    <n v="0"/>
  </r>
  <r>
    <x v="3"/>
    <x v="17"/>
    <d v="2026-04-16T00:00:00"/>
    <d v="2026-04-16T00:00:00"/>
    <s v="USD"/>
    <x v="0"/>
    <s v="broad组"/>
    <s v="Amazon"/>
    <s v="United States"/>
    <s v="stroller cup holder"/>
    <s v="BROAD"/>
    <x v="985"/>
    <n v="3"/>
    <n v="1"/>
    <n v="0.33333299999999999"/>
    <n v="0.4"/>
    <n v="0.4"/>
    <n v="34.18"/>
    <n v="1.1703E-2"/>
    <n v="85.45"/>
    <n v="1"/>
    <n v="2"/>
    <n v="1"/>
    <n v="0"/>
    <n v="2"/>
    <n v="0"/>
    <n v="34.18"/>
  </r>
  <r>
    <x v="3"/>
    <x v="15"/>
    <d v="2026-04-06T00:00:00"/>
    <d v="2026-04-06T00:00:00"/>
    <s v="USD"/>
    <x v="0"/>
    <s v="phrase&amp;exact"/>
    <s v="Amazon"/>
    <s v="United States"/>
    <s v="snack holder for stroller"/>
    <s v="PHRASE"/>
    <x v="986"/>
    <n v="1"/>
    <n v="1"/>
    <n v="1"/>
    <n v="0.4"/>
    <n v="0.4"/>
    <n v="0"/>
    <m/>
    <n v="0"/>
    <n v="0"/>
    <n v="0"/>
    <n v="0"/>
    <n v="0"/>
    <n v="0"/>
    <n v="0"/>
    <n v="0"/>
  </r>
  <r>
    <x v="3"/>
    <x v="12"/>
    <d v="2026-04-02T00:00:00"/>
    <d v="2026-04-02T00:00:00"/>
    <s v="USD"/>
    <x v="0"/>
    <s v="broad组"/>
    <s v="Amazon"/>
    <s v="United States"/>
    <s v="wagon cup holder"/>
    <s v="BROAD"/>
    <x v="987"/>
    <n v="1"/>
    <n v="1"/>
    <n v="1"/>
    <n v="0.28999999999999998"/>
    <n v="0.28999999999999998"/>
    <n v="0"/>
    <m/>
    <n v="0"/>
    <n v="0"/>
    <n v="0"/>
    <n v="0"/>
    <n v="0"/>
    <n v="0"/>
    <n v="0"/>
    <n v="0"/>
  </r>
  <r>
    <x v="3"/>
    <x v="17"/>
    <d v="2026-04-16T00:00:00"/>
    <d v="2026-04-16T00:00:00"/>
    <s v="USD"/>
    <x v="0"/>
    <s v="broad组"/>
    <s v="Amazon"/>
    <s v="United States"/>
    <s v="stroller accessories"/>
    <s v="BROAD"/>
    <x v="988"/>
    <n v="2"/>
    <n v="1"/>
    <n v="0.5"/>
    <n v="0.16"/>
    <n v="0.16"/>
    <n v="0"/>
    <m/>
    <n v="0"/>
    <n v="0"/>
    <n v="0"/>
    <n v="0"/>
    <n v="0"/>
    <n v="0"/>
    <n v="0"/>
    <n v="0"/>
  </r>
  <r>
    <x v="3"/>
    <x v="17"/>
    <d v="2026-04-18T00:00:00"/>
    <d v="2026-04-18T00:00:00"/>
    <s v="USD"/>
    <x v="10"/>
    <s v="ENC Yellow"/>
    <s v="Amazon"/>
    <s v="United States"/>
    <s v="loose-match"/>
    <s v="-"/>
    <x v="989"/>
    <n v="1"/>
    <n v="1"/>
    <n v="1"/>
    <n v="0.11"/>
    <n v="0.11"/>
    <n v="0"/>
    <m/>
    <n v="0"/>
    <n v="0"/>
    <n v="0"/>
    <n v="0"/>
    <n v="0"/>
    <n v="0"/>
    <n v="0"/>
    <n v="0"/>
  </r>
  <r>
    <x v="3"/>
    <x v="15"/>
    <d v="2026-04-11T00:00:00"/>
    <d v="2026-04-17T00:00:00"/>
    <s v="USD"/>
    <x v="0"/>
    <s v="broad组"/>
    <s v="Amazon"/>
    <s v="United States"/>
    <s v="stroller accessories"/>
    <s v="BROAD"/>
    <x v="990"/>
    <n v="4"/>
    <n v="2"/>
    <n v="0.5"/>
    <n v="0.16"/>
    <n v="0.31"/>
    <n v="0"/>
    <m/>
    <n v="0"/>
    <n v="0"/>
    <n v="0"/>
    <n v="0"/>
    <n v="0"/>
    <n v="0"/>
    <n v="0"/>
    <n v="0"/>
  </r>
  <r>
    <x v="3"/>
    <x v="15"/>
    <d v="2026-04-08T00:00:00"/>
    <d v="2026-04-08T00:00:00"/>
    <s v="USD"/>
    <x v="6"/>
    <s v="ENC"/>
    <s v="Amazon"/>
    <s v="United States"/>
    <s v="loose-match"/>
    <s v="-"/>
    <x v="991"/>
    <n v="2"/>
    <n v="1"/>
    <n v="0.5"/>
    <n v="1.55"/>
    <n v="1.55"/>
    <n v="0"/>
    <m/>
    <n v="0"/>
    <n v="0"/>
    <n v="0"/>
    <n v="0"/>
    <n v="0"/>
    <n v="0"/>
    <n v="0"/>
    <n v="0"/>
  </r>
  <r>
    <x v="3"/>
    <x v="17"/>
    <d v="2026-04-12T00:00:00"/>
    <d v="2026-04-12T00:00:00"/>
    <s v="USD"/>
    <x v="6"/>
    <s v="ENC"/>
    <s v="Amazon"/>
    <s v="United States"/>
    <s v="loose-match"/>
    <s v="-"/>
    <x v="992"/>
    <n v="3"/>
    <n v="1"/>
    <n v="0.33333299999999999"/>
    <n v="1.42"/>
    <n v="1.42"/>
    <n v="0"/>
    <m/>
    <n v="0"/>
    <n v="0"/>
    <n v="0"/>
    <n v="0"/>
    <n v="0"/>
    <n v="0"/>
    <n v="0"/>
    <n v="0"/>
  </r>
  <r>
    <x v="3"/>
    <x v="16"/>
    <d v="2026-04-29T00:00:00"/>
    <d v="2026-04-29T00:00:00"/>
    <s v="USD"/>
    <x v="0"/>
    <s v="broad组"/>
    <s v="Amazon"/>
    <s v="United States"/>
    <s v="stroller cup holder"/>
    <s v="BROAD"/>
    <x v="993"/>
    <n v="4"/>
    <n v="1"/>
    <n v="0.25"/>
    <n v="0.21"/>
    <n v="0.21"/>
    <n v="0"/>
    <m/>
    <n v="0"/>
    <n v="0"/>
    <n v="0"/>
    <n v="0"/>
    <n v="0"/>
    <n v="0"/>
    <n v="0"/>
    <n v="0"/>
  </r>
  <r>
    <x v="3"/>
    <x v="17"/>
    <d v="2026-04-12T00:00:00"/>
    <d v="2026-04-21T00:00:00"/>
    <s v="USD"/>
    <x v="0"/>
    <s v="broad组"/>
    <s v="Amazon"/>
    <s v="United States"/>
    <s v="stroller cup holder"/>
    <s v="BROAD"/>
    <x v="994"/>
    <n v="2"/>
    <n v="2"/>
    <n v="1"/>
    <n v="0.21"/>
    <n v="0.41"/>
    <n v="0"/>
    <m/>
    <n v="0"/>
    <n v="0"/>
    <n v="0"/>
    <n v="0"/>
    <n v="0"/>
    <n v="0"/>
    <n v="0"/>
    <n v="0"/>
  </r>
  <r>
    <x v="3"/>
    <x v="17"/>
    <d v="2026-04-13T00:00:00"/>
    <d v="2026-04-13T00:00:00"/>
    <s v="USD"/>
    <x v="6"/>
    <s v="ENC"/>
    <s v="Amazon"/>
    <s v="United States"/>
    <s v="loose-match"/>
    <s v="-"/>
    <x v="995"/>
    <n v="1"/>
    <n v="1"/>
    <n v="1"/>
    <n v="1.67"/>
    <n v="1.67"/>
    <n v="0"/>
    <m/>
    <n v="0"/>
    <n v="0"/>
    <n v="0"/>
    <n v="0"/>
    <n v="0"/>
    <n v="0"/>
    <n v="0"/>
    <n v="0"/>
  </r>
  <r>
    <x v="3"/>
    <x v="12"/>
    <d v="2026-04-01T00:00:00"/>
    <d v="2026-04-29T00:00:00"/>
    <s v="USD"/>
    <x v="0"/>
    <s v="broad组"/>
    <s v="Amazon"/>
    <s v="United States"/>
    <s v="stroller accessories"/>
    <s v="BROAD"/>
    <x v="93"/>
    <n v="3"/>
    <n v="2"/>
    <n v="0.66666700000000001"/>
    <n v="0.16"/>
    <n v="0.32"/>
    <n v="0"/>
    <m/>
    <n v="0"/>
    <n v="0"/>
    <n v="0"/>
    <n v="0"/>
    <n v="0"/>
    <n v="0"/>
    <n v="0"/>
    <n v="0"/>
  </r>
  <r>
    <x v="3"/>
    <x v="12"/>
    <d v="2026-04-04T00:00:00"/>
    <d v="2026-04-04T00:00:00"/>
    <s v="USD"/>
    <x v="0"/>
    <s v="broad组"/>
    <s v="Amazon"/>
    <s v="United States"/>
    <s v="stroller attachment"/>
    <s v="BROAD"/>
    <x v="996"/>
    <n v="1"/>
    <n v="1"/>
    <n v="1"/>
    <n v="0.2"/>
    <n v="0.2"/>
    <n v="0"/>
    <m/>
    <n v="0"/>
    <n v="0"/>
    <n v="0"/>
    <n v="0"/>
    <n v="0"/>
    <n v="0"/>
    <n v="0"/>
    <n v="0"/>
  </r>
  <r>
    <x v="3"/>
    <x v="14"/>
    <d v="2026-04-25T00:00:00"/>
    <d v="2026-04-25T00:00:00"/>
    <s v="USD"/>
    <x v="0"/>
    <s v="phrase&amp;exact"/>
    <s v="Amazon"/>
    <s v="United States"/>
    <s v="stroller snack tray"/>
    <s v="PHRASE"/>
    <x v="997"/>
    <n v="1"/>
    <n v="1"/>
    <n v="1"/>
    <n v="0.21"/>
    <n v="0.21"/>
    <n v="0"/>
    <m/>
    <n v="0"/>
    <n v="0"/>
    <n v="0"/>
    <n v="0"/>
    <n v="0"/>
    <n v="0"/>
    <n v="0"/>
    <n v="0"/>
  </r>
  <r>
    <x v="3"/>
    <x v="14"/>
    <d v="2026-04-22T00:00:00"/>
    <d v="2026-04-22T00:00:00"/>
    <s v="USD"/>
    <x v="0"/>
    <s v="broad组"/>
    <s v="Amazon"/>
    <s v="United States"/>
    <s v="stroller cup holder"/>
    <s v="BROAD"/>
    <x v="998"/>
    <n v="1"/>
    <n v="1"/>
    <n v="1"/>
    <n v="0.21"/>
    <n v="0.21"/>
    <n v="0"/>
    <m/>
    <n v="0"/>
    <n v="0"/>
    <n v="0"/>
    <n v="0"/>
    <n v="0"/>
    <n v="0"/>
    <n v="0"/>
    <n v="0"/>
  </r>
  <r>
    <x v="3"/>
    <x v="14"/>
    <d v="2026-04-23T00:00:00"/>
    <d v="2026-04-23T00:00:00"/>
    <s v="USD"/>
    <x v="4"/>
    <s v="stroller tray"/>
    <s v="Amazon"/>
    <s v="United States"/>
    <s v="loose-match"/>
    <s v="-"/>
    <x v="835"/>
    <n v="1"/>
    <n v="1"/>
    <n v="1"/>
    <n v="0.51"/>
    <n v="0.51"/>
    <n v="0"/>
    <m/>
    <n v="0"/>
    <n v="0"/>
    <n v="0"/>
    <n v="0"/>
    <n v="0"/>
    <n v="0"/>
    <n v="0"/>
    <n v="0"/>
  </r>
  <r>
    <x v="3"/>
    <x v="17"/>
    <d v="2026-04-16T00:00:00"/>
    <d v="2026-04-19T00:00:00"/>
    <s v="USD"/>
    <x v="0"/>
    <s v="broad组"/>
    <s v="Amazon"/>
    <s v="United States"/>
    <s v="stroller accessories"/>
    <s v="BROAD"/>
    <x v="401"/>
    <n v="4"/>
    <n v="2"/>
    <n v="0.5"/>
    <n v="0.16"/>
    <n v="0.32"/>
    <n v="0"/>
    <m/>
    <n v="0"/>
    <n v="0"/>
    <n v="0"/>
    <n v="0"/>
    <n v="0"/>
    <n v="0"/>
    <n v="0"/>
    <n v="0"/>
  </r>
  <r>
    <x v="3"/>
    <x v="15"/>
    <d v="2026-04-06T00:00:00"/>
    <d v="2026-04-06T00:00:00"/>
    <s v="USD"/>
    <x v="0"/>
    <s v="phrase&amp;exact"/>
    <s v="Amazon"/>
    <s v="United States"/>
    <s v="snack holder for stroller"/>
    <s v="PHRASE"/>
    <x v="999"/>
    <n v="3"/>
    <n v="1"/>
    <n v="0.33333299999999999"/>
    <n v="0.2"/>
    <n v="0.2"/>
    <n v="0"/>
    <m/>
    <n v="0"/>
    <n v="0"/>
    <n v="0"/>
    <n v="0"/>
    <n v="0"/>
    <n v="0"/>
    <n v="0"/>
    <n v="0"/>
  </r>
  <r>
    <x v="3"/>
    <x v="17"/>
    <d v="2026-04-18T00:00:00"/>
    <d v="2026-04-18T00:00:00"/>
    <s v="USD"/>
    <x v="0"/>
    <s v="broad组"/>
    <s v="Amazon"/>
    <s v="United States"/>
    <s v="stroller tray"/>
    <s v="BROAD"/>
    <x v="1000"/>
    <n v="1"/>
    <n v="1"/>
    <n v="1"/>
    <n v="0.4"/>
    <n v="0.4"/>
    <n v="0"/>
    <m/>
    <n v="0"/>
    <n v="0"/>
    <n v="0"/>
    <n v="0"/>
    <n v="0"/>
    <n v="0"/>
    <n v="0"/>
    <n v="0"/>
  </r>
  <r>
    <x v="3"/>
    <x v="12"/>
    <d v="2026-04-04T00:00:00"/>
    <d v="2026-04-04T00:00:00"/>
    <s v="USD"/>
    <x v="9"/>
    <s v="ENC"/>
    <s v="Amazon"/>
    <s v="United States"/>
    <s v="electric nail clipper"/>
    <s v="BROAD"/>
    <x v="101"/>
    <n v="1"/>
    <n v="1"/>
    <n v="1"/>
    <n v="0.08"/>
    <n v="0.08"/>
    <n v="0"/>
    <m/>
    <n v="0"/>
    <n v="0"/>
    <n v="0"/>
    <n v="0"/>
    <n v="0"/>
    <n v="0"/>
    <n v="0"/>
    <n v="0"/>
  </r>
  <r>
    <x v="3"/>
    <x v="16"/>
    <d v="2026-04-27T00:00:00"/>
    <d v="2026-04-27T00:00:00"/>
    <s v="USD"/>
    <x v="6"/>
    <s v="ENC"/>
    <s v="Amazon"/>
    <s v="United States"/>
    <s v="loose-match"/>
    <s v="-"/>
    <x v="1001"/>
    <n v="2"/>
    <n v="1"/>
    <n v="0.5"/>
    <n v="1.56"/>
    <n v="1.56"/>
    <n v="0"/>
    <m/>
    <n v="0"/>
    <n v="0"/>
    <n v="0"/>
    <n v="0"/>
    <n v="0"/>
    <n v="0"/>
    <n v="0"/>
    <n v="0"/>
  </r>
  <r>
    <x v="3"/>
    <x v="17"/>
    <d v="2026-04-15T00:00:00"/>
    <d v="2026-04-15T00:00:00"/>
    <s v="USD"/>
    <x v="6"/>
    <s v="ENC"/>
    <s v="Amazon"/>
    <s v="United States"/>
    <s v="close-match"/>
    <s v="-"/>
    <x v="1002"/>
    <n v="1"/>
    <n v="1"/>
    <n v="1"/>
    <n v="1.79"/>
    <n v="1.79"/>
    <n v="0"/>
    <m/>
    <n v="0"/>
    <n v="0"/>
    <n v="0"/>
    <n v="0"/>
    <n v="0"/>
    <n v="0"/>
    <n v="0"/>
    <n v="0"/>
  </r>
  <r>
    <x v="3"/>
    <x v="15"/>
    <d v="2026-04-09T00:00:00"/>
    <d v="2026-04-09T00:00:00"/>
    <s v="USD"/>
    <x v="6"/>
    <s v="ENC"/>
    <s v="Amazon"/>
    <s v="United States"/>
    <s v="close-match"/>
    <s v="-"/>
    <x v="113"/>
    <n v="7"/>
    <n v="1"/>
    <n v="0.14285700000000001"/>
    <n v="1.81"/>
    <n v="1.81"/>
    <n v="0"/>
    <m/>
    <n v="0"/>
    <n v="0"/>
    <n v="0"/>
    <n v="0"/>
    <n v="0"/>
    <n v="0"/>
    <n v="0"/>
    <n v="0"/>
  </r>
  <r>
    <x v="3"/>
    <x v="15"/>
    <d v="2026-04-09T00:00:00"/>
    <d v="2026-04-09T00:00:00"/>
    <s v="USD"/>
    <x v="6"/>
    <s v="ENC"/>
    <s v="Amazon"/>
    <s v="United States"/>
    <s v="loose-match"/>
    <s v="-"/>
    <x v="1003"/>
    <n v="2"/>
    <n v="1"/>
    <n v="0.5"/>
    <n v="1.26"/>
    <n v="1.26"/>
    <n v="0"/>
    <m/>
    <n v="0"/>
    <n v="0"/>
    <n v="0"/>
    <n v="0"/>
    <n v="0"/>
    <n v="0"/>
    <n v="0"/>
    <n v="0"/>
  </r>
  <r>
    <x v="3"/>
    <x v="15"/>
    <d v="2026-04-06T00:00:00"/>
    <d v="2026-04-06T00:00:00"/>
    <s v="USD"/>
    <x v="10"/>
    <s v="ENC Yellow"/>
    <s v="Amazon"/>
    <s v="United States"/>
    <s v="close-match"/>
    <s v="-"/>
    <x v="1004"/>
    <n v="1"/>
    <n v="1"/>
    <n v="1"/>
    <n v="0.65"/>
    <n v="0.65"/>
    <n v="0"/>
    <m/>
    <n v="0"/>
    <n v="0"/>
    <n v="0"/>
    <n v="0"/>
    <n v="0"/>
    <n v="0"/>
    <n v="0"/>
    <n v="0"/>
  </r>
  <r>
    <x v="3"/>
    <x v="14"/>
    <d v="2026-04-24T00:00:00"/>
    <d v="2026-04-24T00:00:00"/>
    <s v="USD"/>
    <x v="9"/>
    <s v="BNF"/>
    <s v="Amazon"/>
    <s v="United States"/>
    <s v="electric baby nail file"/>
    <s v="BROAD"/>
    <x v="1005"/>
    <n v="1"/>
    <n v="1"/>
    <n v="1"/>
    <n v="2.34"/>
    <n v="2.34"/>
    <n v="0"/>
    <m/>
    <n v="0"/>
    <n v="0"/>
    <n v="0"/>
    <n v="0"/>
    <n v="0"/>
    <n v="0"/>
    <n v="0"/>
    <n v="0"/>
  </r>
  <r>
    <x v="3"/>
    <x v="14"/>
    <d v="2026-04-21T00:00:00"/>
    <d v="2026-04-21T00:00:00"/>
    <s v="USD"/>
    <x v="9"/>
    <s v="BNF"/>
    <s v="Amazon"/>
    <s v="United States"/>
    <s v="electric baby nail file"/>
    <s v="BROAD"/>
    <x v="1006"/>
    <n v="7"/>
    <n v="1"/>
    <n v="0.14285700000000001"/>
    <n v="2.0099999999999998"/>
    <n v="2.0099999999999998"/>
    <n v="0"/>
    <m/>
    <n v="0"/>
    <n v="0"/>
    <n v="0"/>
    <n v="0"/>
    <n v="0"/>
    <n v="0"/>
    <n v="0"/>
    <n v="0"/>
  </r>
  <r>
    <x v="3"/>
    <x v="12"/>
    <d v="2026-04-02T00:00:00"/>
    <d v="2026-04-02T00:00:00"/>
    <s v="USD"/>
    <x v="10"/>
    <s v="ENC Yellow"/>
    <s v="Amazon"/>
    <s v="United States"/>
    <s v="close-match"/>
    <s v="-"/>
    <x v="1007"/>
    <n v="1"/>
    <n v="1"/>
    <n v="1"/>
    <n v="0.9"/>
    <n v="0.9"/>
    <n v="0"/>
    <m/>
    <n v="0"/>
    <n v="0"/>
    <n v="0"/>
    <n v="0"/>
    <n v="0"/>
    <n v="0"/>
    <n v="0"/>
    <n v="0"/>
  </r>
  <r>
    <x v="3"/>
    <x v="14"/>
    <d v="2026-04-19T00:00:00"/>
    <d v="2026-04-19T00:00:00"/>
    <s v="USD"/>
    <x v="10"/>
    <s v="ENC Yellow"/>
    <s v="Amazon"/>
    <s v="United States"/>
    <s v="close-match"/>
    <s v="-"/>
    <x v="1008"/>
    <n v="1"/>
    <n v="1"/>
    <n v="1"/>
    <n v="0.65"/>
    <n v="0.65"/>
    <n v="0"/>
    <m/>
    <n v="0"/>
    <n v="0"/>
    <n v="0"/>
    <n v="0"/>
    <n v="0"/>
    <n v="0"/>
    <n v="0"/>
    <n v="0"/>
  </r>
  <r>
    <x v="3"/>
    <x v="14"/>
    <d v="2026-04-20T00:00:00"/>
    <d v="2026-04-20T00:00:00"/>
    <s v="USD"/>
    <x v="6"/>
    <s v="ENC"/>
    <s v="Amazon"/>
    <s v="United States"/>
    <s v="close-match"/>
    <s v="-"/>
    <x v="1009"/>
    <n v="1"/>
    <n v="1"/>
    <n v="1"/>
    <n v="1.62"/>
    <n v="1.62"/>
    <n v="0"/>
    <m/>
    <n v="0"/>
    <n v="0"/>
    <n v="0"/>
    <n v="0"/>
    <n v="0"/>
    <n v="0"/>
    <n v="0"/>
    <n v="0"/>
  </r>
  <r>
    <x v="3"/>
    <x v="15"/>
    <d v="2026-04-10T00:00:00"/>
    <d v="2026-04-10T00:00:00"/>
    <s v="USD"/>
    <x v="2"/>
    <s v="Tray"/>
    <s v="Amazon"/>
    <s v="United States"/>
    <s v="asin=&quot;B0DH98H2G4&quot;"/>
    <s v="-"/>
    <x v="1010"/>
    <n v="1"/>
    <n v="1"/>
    <n v="1"/>
    <n v="0.67"/>
    <n v="0.67"/>
    <n v="0"/>
    <m/>
    <n v="0"/>
    <n v="0"/>
    <n v="0"/>
    <n v="0"/>
    <n v="0"/>
    <n v="0"/>
    <n v="0"/>
    <n v="0"/>
  </r>
  <r>
    <x v="3"/>
    <x v="16"/>
    <d v="2026-04-26T00:00:00"/>
    <d v="2026-04-26T00:00:00"/>
    <s v="USD"/>
    <x v="6"/>
    <s v="ENC"/>
    <s v="Amazon"/>
    <s v="United States"/>
    <s v="close-match"/>
    <s v="-"/>
    <x v="1011"/>
    <n v="3"/>
    <n v="1"/>
    <n v="0.33333299999999999"/>
    <n v="1.55"/>
    <n v="1.55"/>
    <n v="0"/>
    <m/>
    <n v="0"/>
    <n v="0"/>
    <n v="0"/>
    <n v="0"/>
    <n v="0"/>
    <n v="0"/>
    <n v="0"/>
    <n v="0"/>
  </r>
  <r>
    <x v="3"/>
    <x v="12"/>
    <d v="2026-04-03T00:00:00"/>
    <d v="2026-04-03T00:00:00"/>
    <s v="USD"/>
    <x v="0"/>
    <s v="broad组"/>
    <s v="Amazon"/>
    <s v="United States"/>
    <s v="stroller tray"/>
    <s v="BROAD"/>
    <x v="1012"/>
    <n v="2"/>
    <n v="1"/>
    <n v="0.5"/>
    <n v="0.21"/>
    <n v="0.21"/>
    <n v="0"/>
    <m/>
    <n v="0"/>
    <n v="0"/>
    <n v="0"/>
    <n v="0"/>
    <n v="0"/>
    <n v="0"/>
    <n v="0"/>
    <n v="0"/>
  </r>
  <r>
    <x v="3"/>
    <x v="12"/>
    <d v="2026-04-04T00:00:00"/>
    <d v="2026-04-04T00:00:00"/>
    <s v="USD"/>
    <x v="0"/>
    <s v="broad组"/>
    <s v="Amazon"/>
    <s v="United States"/>
    <s v="stroller tray"/>
    <s v="BROAD"/>
    <x v="1013"/>
    <n v="1"/>
    <n v="1"/>
    <n v="1"/>
    <n v="0.21"/>
    <n v="0.21"/>
    <n v="0"/>
    <m/>
    <n v="0"/>
    <n v="0"/>
    <n v="0"/>
    <n v="0"/>
    <n v="0"/>
    <n v="0"/>
    <n v="0"/>
    <n v="0"/>
  </r>
  <r>
    <x v="3"/>
    <x v="17"/>
    <d v="2026-04-18T00:00:00"/>
    <d v="2026-04-18T00:00:00"/>
    <s v="USD"/>
    <x v="0"/>
    <s v="broad组"/>
    <s v="Amazon"/>
    <s v="United States"/>
    <s v="snack tray for stroller"/>
    <s v="BROAD"/>
    <x v="1014"/>
    <n v="1"/>
    <n v="1"/>
    <n v="1"/>
    <n v="0.21"/>
    <n v="0.21"/>
    <n v="0"/>
    <m/>
    <n v="0"/>
    <n v="0"/>
    <n v="0"/>
    <n v="0"/>
    <n v="0"/>
    <n v="0"/>
    <n v="0"/>
    <n v="0"/>
  </r>
  <r>
    <x v="3"/>
    <x v="15"/>
    <d v="2026-04-11T00:00:00"/>
    <d v="2026-04-11T00:00:00"/>
    <s v="USD"/>
    <x v="0"/>
    <s v="phrase&amp;exact"/>
    <s v="Amazon"/>
    <s v="United States"/>
    <s v="stroller snack tray"/>
    <s v="PHRASE"/>
    <x v="133"/>
    <n v="1"/>
    <n v="1"/>
    <n v="1"/>
    <n v="0.4"/>
    <n v="0.4"/>
    <n v="0"/>
    <m/>
    <n v="0"/>
    <n v="0"/>
    <n v="0"/>
    <n v="0"/>
    <n v="0"/>
    <n v="0"/>
    <n v="0"/>
    <n v="0"/>
  </r>
  <r>
    <x v="3"/>
    <x v="16"/>
    <d v="2026-04-30T00:00:00"/>
    <d v="2026-04-30T00:00:00"/>
    <s v="USD"/>
    <x v="6"/>
    <s v="ENC"/>
    <s v="Amazon"/>
    <s v="United States"/>
    <s v="loose-match"/>
    <s v="-"/>
    <x v="1015"/>
    <n v="37"/>
    <n v="1"/>
    <n v="2.7026999999999999E-2"/>
    <n v="1.51"/>
    <n v="1.51"/>
    <n v="0"/>
    <m/>
    <n v="0"/>
    <n v="0"/>
    <n v="0"/>
    <n v="0"/>
    <n v="0"/>
    <n v="0"/>
    <n v="0"/>
    <n v="0"/>
  </r>
  <r>
    <x v="3"/>
    <x v="16"/>
    <d v="2026-04-30T00:00:00"/>
    <d v="2026-04-30T00:00:00"/>
    <s v="USD"/>
    <x v="0"/>
    <s v="broad组"/>
    <s v="Amazon"/>
    <s v="United States"/>
    <s v="stroller accessories"/>
    <s v="BROAD"/>
    <x v="1016"/>
    <n v="4"/>
    <n v="1"/>
    <n v="0.25"/>
    <n v="0.16"/>
    <n v="0.16"/>
    <n v="0"/>
    <m/>
    <n v="0"/>
    <n v="0"/>
    <n v="0"/>
    <n v="0"/>
    <n v="0"/>
    <n v="0"/>
    <n v="0"/>
    <n v="0"/>
  </r>
  <r>
    <x v="3"/>
    <x v="14"/>
    <d v="2026-04-25T00:00:00"/>
    <d v="2026-04-25T00:00:00"/>
    <s v="USD"/>
    <x v="0"/>
    <s v="broad组"/>
    <s v="Amazon"/>
    <s v="United States"/>
    <s v="stroller accessories"/>
    <s v="BROAD"/>
    <x v="1017"/>
    <n v="2"/>
    <n v="1"/>
    <n v="0.5"/>
    <n v="0.16"/>
    <n v="0.16"/>
    <n v="0"/>
    <m/>
    <n v="0"/>
    <n v="0"/>
    <n v="0"/>
    <n v="0"/>
    <n v="0"/>
    <n v="0"/>
    <n v="0"/>
    <n v="0"/>
  </r>
  <r>
    <x v="3"/>
    <x v="14"/>
    <d v="2026-04-19T00:00:00"/>
    <d v="2026-04-19T00:00:00"/>
    <s v="USD"/>
    <x v="0"/>
    <s v="broad组"/>
    <s v="Amazon"/>
    <s v="United States"/>
    <s v="stroller snack tray"/>
    <s v="BROAD"/>
    <x v="1018"/>
    <n v="2"/>
    <n v="1"/>
    <n v="0.5"/>
    <n v="0.21"/>
    <n v="0.21"/>
    <n v="0"/>
    <m/>
    <n v="0"/>
    <n v="0"/>
    <n v="0"/>
    <n v="0"/>
    <n v="0"/>
    <n v="0"/>
    <n v="0"/>
    <n v="0"/>
  </r>
  <r>
    <x v="3"/>
    <x v="12"/>
    <d v="2026-04-04T00:00:00"/>
    <d v="2026-04-04T00:00:00"/>
    <s v="USD"/>
    <x v="0"/>
    <s v="broad组"/>
    <s v="Amazon"/>
    <s v="United States"/>
    <s v="stroller attachment"/>
    <s v="BROAD"/>
    <x v="1019"/>
    <n v="2"/>
    <n v="1"/>
    <n v="0.5"/>
    <n v="0.21"/>
    <n v="0.21"/>
    <n v="0"/>
    <m/>
    <n v="0"/>
    <n v="0"/>
    <n v="0"/>
    <n v="0"/>
    <n v="0"/>
    <n v="0"/>
    <n v="0"/>
    <n v="0"/>
  </r>
  <r>
    <x v="3"/>
    <x v="15"/>
    <d v="2026-04-07T00:00:00"/>
    <d v="2026-04-07T00:00:00"/>
    <s v="USD"/>
    <x v="0"/>
    <s v="phrase&amp;exact"/>
    <s v="Amazon"/>
    <s v="United States"/>
    <s v="stroller cup holder"/>
    <s v="PHRASE"/>
    <x v="1020"/>
    <n v="4"/>
    <n v="3"/>
    <n v="0.75"/>
    <n v="0.21"/>
    <n v="0.63"/>
    <n v="0"/>
    <m/>
    <n v="0"/>
    <n v="0"/>
    <n v="0"/>
    <n v="0"/>
    <n v="0"/>
    <n v="0"/>
    <n v="0"/>
    <n v="0"/>
  </r>
  <r>
    <x v="3"/>
    <x v="17"/>
    <d v="2026-04-17T00:00:00"/>
    <d v="2026-04-17T00:00:00"/>
    <s v="USD"/>
    <x v="2"/>
    <s v="Tray"/>
    <s v="Amazon"/>
    <s v="United States"/>
    <s v="asin=&quot;B0DDP2FVG5&quot;"/>
    <s v="-"/>
    <x v="135"/>
    <n v="6"/>
    <n v="1"/>
    <n v="0.16666700000000001"/>
    <n v="0.82"/>
    <n v="0.82"/>
    <n v="0"/>
    <m/>
    <n v="0"/>
    <n v="0"/>
    <n v="0"/>
    <n v="0"/>
    <n v="0"/>
    <n v="0"/>
    <n v="0"/>
    <n v="0"/>
  </r>
  <r>
    <x v="3"/>
    <x v="16"/>
    <d v="2026-04-29T00:00:00"/>
    <d v="2026-04-29T00:00:00"/>
    <s v="USD"/>
    <x v="0"/>
    <s v="broad组"/>
    <s v="Amazon"/>
    <s v="United States"/>
    <s v="stroller tray"/>
    <s v="BROAD"/>
    <x v="1021"/>
    <n v="1"/>
    <n v="1"/>
    <n v="1"/>
    <n v="0.21"/>
    <n v="0.21"/>
    <n v="0"/>
    <m/>
    <n v="0"/>
    <n v="0"/>
    <n v="0"/>
    <n v="0"/>
    <n v="0"/>
    <n v="0"/>
    <n v="0"/>
    <n v="0"/>
  </r>
  <r>
    <x v="3"/>
    <x v="17"/>
    <d v="2026-04-18T00:00:00"/>
    <d v="2026-04-18T00:00:00"/>
    <s v="USD"/>
    <x v="0"/>
    <s v="broad组"/>
    <s v="Amazon"/>
    <s v="United States"/>
    <s v="stroller cup holder"/>
    <s v="BROAD"/>
    <x v="1022"/>
    <n v="2"/>
    <n v="1"/>
    <n v="0.5"/>
    <n v="0.21"/>
    <n v="0.21"/>
    <n v="0"/>
    <m/>
    <n v="0"/>
    <n v="0"/>
    <n v="0"/>
    <n v="0"/>
    <n v="0"/>
    <n v="0"/>
    <n v="0"/>
    <n v="0"/>
  </r>
  <r>
    <x v="3"/>
    <x v="15"/>
    <d v="2026-04-05T00:00:00"/>
    <d v="2026-04-05T00:00:00"/>
    <s v="USD"/>
    <x v="0"/>
    <s v="broad组"/>
    <s v="Amazon"/>
    <s v="United States"/>
    <s v="stroller cup holder"/>
    <s v="BROAD"/>
    <x v="1023"/>
    <n v="1"/>
    <n v="1"/>
    <n v="1"/>
    <n v="0.4"/>
    <n v="0.4"/>
    <n v="0"/>
    <m/>
    <n v="0"/>
    <n v="0"/>
    <n v="0"/>
    <n v="0"/>
    <n v="0"/>
    <n v="0"/>
    <n v="0"/>
    <n v="0"/>
  </r>
  <r>
    <x v="3"/>
    <x v="14"/>
    <d v="2026-04-23T00:00:00"/>
    <d v="2026-04-23T00:00:00"/>
    <s v="USD"/>
    <x v="0"/>
    <s v="phrase&amp;exact"/>
    <s v="Amazon"/>
    <s v="United States"/>
    <s v="stroller cup holder attachment"/>
    <s v="PHRASE"/>
    <x v="1024"/>
    <n v="1"/>
    <n v="1"/>
    <n v="1"/>
    <n v="0.4"/>
    <n v="0.4"/>
    <n v="0"/>
    <m/>
    <n v="0"/>
    <n v="0"/>
    <n v="0"/>
    <n v="0"/>
    <n v="0"/>
    <n v="0"/>
    <n v="0"/>
    <n v="0"/>
  </r>
  <r>
    <x v="3"/>
    <x v="15"/>
    <d v="2026-04-06T00:00:00"/>
    <d v="2026-04-06T00:00:00"/>
    <s v="USD"/>
    <x v="0"/>
    <s v="broad组"/>
    <s v="Amazon"/>
    <s v="United States"/>
    <s v="stroller tray"/>
    <s v="BROAD"/>
    <x v="1025"/>
    <n v="5"/>
    <n v="1"/>
    <n v="0.2"/>
    <n v="0.21"/>
    <n v="0.21"/>
    <n v="0"/>
    <m/>
    <n v="0"/>
    <n v="0"/>
    <n v="0"/>
    <n v="0"/>
    <n v="0"/>
    <n v="0"/>
    <n v="0"/>
    <n v="0"/>
  </r>
  <r>
    <x v="3"/>
    <x v="15"/>
    <d v="2026-04-08T00:00:00"/>
    <d v="2026-04-08T00:00:00"/>
    <s v="USD"/>
    <x v="4"/>
    <s v="stroller tray"/>
    <s v="Amazon"/>
    <s v="United States"/>
    <s v="loose-match"/>
    <s v="-"/>
    <x v="1026"/>
    <n v="1"/>
    <n v="1"/>
    <n v="1"/>
    <n v="0.5"/>
    <n v="0.5"/>
    <n v="0"/>
    <m/>
    <n v="0"/>
    <n v="0"/>
    <n v="0"/>
    <n v="0"/>
    <n v="0"/>
    <n v="0"/>
    <n v="0"/>
    <n v="0"/>
  </r>
  <r>
    <x v="3"/>
    <x v="14"/>
    <d v="2026-04-22T00:00:00"/>
    <d v="2026-04-22T00:00:00"/>
    <s v="USD"/>
    <x v="0"/>
    <s v="broad组"/>
    <s v="Amazon"/>
    <s v="United States"/>
    <s v="stroller tray"/>
    <s v="BROAD"/>
    <x v="1027"/>
    <n v="1"/>
    <n v="1"/>
    <n v="1"/>
    <n v="0.21"/>
    <n v="0.21"/>
    <n v="0"/>
    <m/>
    <n v="0"/>
    <n v="0"/>
    <n v="0"/>
    <n v="0"/>
    <n v="0"/>
    <n v="0"/>
    <n v="0"/>
    <n v="0"/>
  </r>
  <r>
    <x v="3"/>
    <x v="16"/>
    <d v="2026-04-30T00:00:00"/>
    <d v="2026-04-30T00:00:00"/>
    <s v="USD"/>
    <x v="0"/>
    <s v="broad组"/>
    <s v="Amazon"/>
    <s v="United States"/>
    <s v="stroller accessories"/>
    <s v="BROAD"/>
    <x v="1028"/>
    <n v="3"/>
    <n v="1"/>
    <n v="0.33333299999999999"/>
    <n v="0.08"/>
    <n v="0.08"/>
    <n v="0"/>
    <m/>
    <n v="0"/>
    <n v="0"/>
    <n v="0"/>
    <n v="0"/>
    <n v="0"/>
    <n v="0"/>
    <n v="0"/>
    <n v="0"/>
  </r>
  <r>
    <x v="3"/>
    <x v="16"/>
    <d v="2026-04-29T00:00:00"/>
    <d v="2026-04-29T00:00:00"/>
    <s v="USD"/>
    <x v="0"/>
    <s v="phrase&amp;exact"/>
    <s v="Amazon"/>
    <s v="United States"/>
    <s v="stroller cup holder"/>
    <s v="PHRASE"/>
    <x v="1029"/>
    <n v="2"/>
    <n v="1"/>
    <n v="0.5"/>
    <n v="0.23"/>
    <n v="0.23"/>
    <n v="0"/>
    <m/>
    <n v="0"/>
    <n v="0"/>
    <n v="0"/>
    <n v="0"/>
    <n v="0"/>
    <n v="0"/>
    <n v="0"/>
    <n v="0"/>
  </r>
  <r>
    <x v="3"/>
    <x v="16"/>
    <d v="2026-04-29T00:00:00"/>
    <d v="2026-04-29T00:00:00"/>
    <s v="USD"/>
    <x v="0"/>
    <s v="phrase&amp;exact"/>
    <s v="Amazon"/>
    <s v="United States"/>
    <s v="stroller cup holder"/>
    <s v="PHRASE"/>
    <x v="1030"/>
    <n v="1"/>
    <n v="1"/>
    <n v="1"/>
    <n v="0.44"/>
    <n v="0.44"/>
    <n v="17.47"/>
    <n v="2.5186E-2"/>
    <n v="39.700000000000003"/>
    <n v="1"/>
    <n v="1"/>
    <n v="1"/>
    <n v="1"/>
    <n v="0"/>
    <n v="17.47"/>
    <n v="0"/>
  </r>
  <r>
    <x v="3"/>
    <x v="15"/>
    <d v="2026-04-09T00:00:00"/>
    <d v="2026-04-09T00:00:00"/>
    <s v="USD"/>
    <x v="0"/>
    <s v="broad组"/>
    <s v="Amazon"/>
    <s v="United States"/>
    <s v="stroller snack tray attachment"/>
    <s v="BROAD"/>
    <x v="1031"/>
    <n v="1"/>
    <n v="1"/>
    <n v="1"/>
    <n v="0.21"/>
    <n v="0.21"/>
    <n v="0"/>
    <m/>
    <n v="0"/>
    <n v="0"/>
    <n v="0"/>
    <n v="0"/>
    <n v="0"/>
    <n v="0"/>
    <n v="0"/>
    <n v="0"/>
  </r>
  <r>
    <x v="3"/>
    <x v="17"/>
    <d v="2026-04-15T00:00:00"/>
    <d v="2026-04-15T00:00:00"/>
    <s v="USD"/>
    <x v="0"/>
    <s v="phrase&amp;exact"/>
    <s v="Amazon"/>
    <s v="United States"/>
    <s v="stroller snack tray"/>
    <s v="PHRASE"/>
    <x v="700"/>
    <n v="1"/>
    <n v="1"/>
    <n v="1"/>
    <n v="0.4"/>
    <n v="0.4"/>
    <n v="0"/>
    <m/>
    <n v="0"/>
    <n v="0"/>
    <n v="0"/>
    <n v="0"/>
    <n v="0"/>
    <n v="0"/>
    <n v="0"/>
    <n v="0"/>
  </r>
  <r>
    <x v="3"/>
    <x v="14"/>
    <d v="2026-04-19T00:00:00"/>
    <d v="2026-04-19T00:00:00"/>
    <s v="USD"/>
    <x v="0"/>
    <s v="broad组"/>
    <s v="Amazon"/>
    <s v="United States"/>
    <s v="stroller tray"/>
    <s v="BROAD"/>
    <x v="1032"/>
    <n v="2"/>
    <n v="2"/>
    <n v="1"/>
    <n v="0.22"/>
    <n v="0.44"/>
    <n v="0"/>
    <m/>
    <n v="0"/>
    <n v="0"/>
    <n v="0"/>
    <n v="0"/>
    <n v="0"/>
    <n v="0"/>
    <n v="0"/>
    <n v="0"/>
  </r>
  <r>
    <x v="3"/>
    <x v="12"/>
    <d v="2026-04-01T00:00:00"/>
    <d v="2026-04-01T00:00:00"/>
    <s v="USD"/>
    <x v="0"/>
    <s v="broad组"/>
    <s v="Amazon"/>
    <s v="United States"/>
    <s v="stroller cup holder"/>
    <s v="BROAD"/>
    <x v="1033"/>
    <n v="2"/>
    <n v="1"/>
    <n v="0.5"/>
    <n v="0.21"/>
    <n v="0.21"/>
    <n v="0"/>
    <m/>
    <n v="0"/>
    <n v="0"/>
    <n v="0"/>
    <n v="0"/>
    <n v="0"/>
    <n v="0"/>
    <n v="0"/>
    <n v="0"/>
  </r>
  <r>
    <x v="3"/>
    <x v="12"/>
    <d v="2026-04-03T00:00:00"/>
    <d v="2026-04-03T00:00:00"/>
    <s v="USD"/>
    <x v="0"/>
    <s v="broad组"/>
    <s v="Amazon"/>
    <s v="United States"/>
    <s v="stroller tray"/>
    <s v="BROAD"/>
    <x v="1034"/>
    <n v="1"/>
    <n v="1"/>
    <n v="1"/>
    <n v="0.08"/>
    <n v="0.08"/>
    <n v="0"/>
    <m/>
    <n v="0"/>
    <n v="0"/>
    <n v="0"/>
    <n v="0"/>
    <n v="0"/>
    <n v="0"/>
    <n v="0"/>
    <n v="0"/>
  </r>
  <r>
    <x v="3"/>
    <x v="17"/>
    <d v="2026-04-16T00:00:00"/>
    <d v="2026-04-16T00:00:00"/>
    <s v="USD"/>
    <x v="4"/>
    <s v="stroller tray"/>
    <s v="Amazon"/>
    <s v="United States"/>
    <s v="loose-match"/>
    <s v="-"/>
    <x v="421"/>
    <n v="3"/>
    <n v="1"/>
    <n v="0.33333299999999999"/>
    <n v="0.53"/>
    <n v="0.53"/>
    <n v="0"/>
    <m/>
    <n v="0"/>
    <n v="0"/>
    <n v="0"/>
    <n v="0"/>
    <n v="0"/>
    <n v="0"/>
    <n v="0"/>
    <n v="0"/>
  </r>
  <r>
    <x v="3"/>
    <x v="17"/>
    <d v="2026-04-17T00:00:00"/>
    <d v="2026-04-17T00:00:00"/>
    <s v="USD"/>
    <x v="0"/>
    <s v="broad组"/>
    <s v="Amazon"/>
    <s v="United States"/>
    <s v="stroller snack tray attachment"/>
    <s v="BROAD"/>
    <x v="1035"/>
    <n v="1"/>
    <n v="1"/>
    <n v="1"/>
    <n v="0.21"/>
    <n v="0.21"/>
    <n v="0"/>
    <m/>
    <n v="0"/>
    <n v="0"/>
    <n v="0"/>
    <n v="0"/>
    <n v="0"/>
    <n v="0"/>
    <n v="0"/>
    <n v="0"/>
  </r>
  <r>
    <x v="3"/>
    <x v="15"/>
    <d v="2026-04-05T00:00:00"/>
    <d v="2026-04-05T00:00:00"/>
    <s v="USD"/>
    <x v="0"/>
    <s v="broad组"/>
    <s v="Amazon"/>
    <s v="United States"/>
    <s v="stroller attachment"/>
    <s v="BROAD"/>
    <x v="140"/>
    <n v="1"/>
    <n v="1"/>
    <n v="1"/>
    <n v="0.21"/>
    <n v="0.21"/>
    <n v="0"/>
    <m/>
    <n v="0"/>
    <n v="0"/>
    <n v="0"/>
    <n v="0"/>
    <n v="0"/>
    <n v="0"/>
    <n v="0"/>
    <n v="0"/>
  </r>
  <r>
    <x v="3"/>
    <x v="16"/>
    <d v="2026-04-28T00:00:00"/>
    <d v="2026-04-28T00:00:00"/>
    <s v="USD"/>
    <x v="0"/>
    <s v="broad组"/>
    <s v="Amazon"/>
    <s v="United States"/>
    <s v="stroller accessories"/>
    <s v="BROAD"/>
    <x v="1036"/>
    <n v="3"/>
    <n v="1"/>
    <n v="0.33333299999999999"/>
    <n v="0.16"/>
    <n v="0.16"/>
    <n v="0"/>
    <m/>
    <n v="0"/>
    <n v="0"/>
    <n v="0"/>
    <n v="0"/>
    <n v="0"/>
    <n v="0"/>
    <n v="0"/>
    <n v="0"/>
  </r>
  <r>
    <x v="3"/>
    <x v="14"/>
    <d v="2026-04-19T00:00:00"/>
    <d v="2026-04-19T00:00:00"/>
    <s v="USD"/>
    <x v="0"/>
    <s v="broad组"/>
    <s v="Amazon"/>
    <s v="United States"/>
    <s v="stroller cup holder"/>
    <s v="BROAD"/>
    <x v="1037"/>
    <n v="2"/>
    <n v="1"/>
    <n v="0.5"/>
    <n v="0.21"/>
    <n v="0.21"/>
    <n v="0"/>
    <m/>
    <n v="0"/>
    <n v="0"/>
    <n v="0"/>
    <n v="0"/>
    <n v="0"/>
    <n v="0"/>
    <n v="0"/>
    <n v="0"/>
  </r>
  <r>
    <x v="3"/>
    <x v="12"/>
    <d v="2026-04-01T00:00:00"/>
    <d v="2026-04-01T00:00:00"/>
    <s v="USD"/>
    <x v="0"/>
    <s v="broad组"/>
    <s v="Amazon"/>
    <s v="United States"/>
    <s v="stroller tray"/>
    <s v="BROAD"/>
    <x v="1038"/>
    <n v="1"/>
    <n v="1"/>
    <n v="1"/>
    <n v="0.2"/>
    <n v="0.2"/>
    <n v="0"/>
    <m/>
    <n v="0"/>
    <n v="0"/>
    <n v="0"/>
    <n v="0"/>
    <n v="0"/>
    <n v="0"/>
    <n v="0"/>
    <n v="0"/>
  </r>
  <r>
    <x v="3"/>
    <x v="12"/>
    <d v="2026-04-04T00:00:00"/>
    <d v="2026-04-04T00:00:00"/>
    <s v="USD"/>
    <x v="0"/>
    <s v="phrase&amp;exact"/>
    <s v="Amazon"/>
    <s v="United States"/>
    <s v="stroller cup holder"/>
    <s v="PHRASE"/>
    <x v="1039"/>
    <n v="14"/>
    <n v="1"/>
    <n v="7.1429000000000006E-2"/>
    <n v="0.2"/>
    <n v="0.2"/>
    <n v="0"/>
    <m/>
    <n v="0"/>
    <n v="0"/>
    <n v="0"/>
    <n v="0"/>
    <n v="0"/>
    <n v="0"/>
    <n v="0"/>
    <n v="0"/>
  </r>
  <r>
    <x v="3"/>
    <x v="12"/>
    <d v="2026-04-01T00:00:00"/>
    <d v="2026-04-29T00:00:00"/>
    <s v="USD"/>
    <x v="0"/>
    <s v="phrase&amp;exact"/>
    <s v="Amazon"/>
    <s v="United States"/>
    <s v="stroller snack tray"/>
    <s v="PHRASE"/>
    <x v="142"/>
    <n v="21"/>
    <n v="3"/>
    <n v="0.14285700000000001"/>
    <n v="0.22"/>
    <n v="0.66"/>
    <n v="0"/>
    <m/>
    <n v="0"/>
    <n v="0"/>
    <n v="0"/>
    <n v="0"/>
    <n v="0"/>
    <n v="0"/>
    <n v="0"/>
    <n v="0"/>
  </r>
  <r>
    <x v="3"/>
    <x v="16"/>
    <d v="2026-04-27T00:00:00"/>
    <d v="2026-04-27T00:00:00"/>
    <s v="USD"/>
    <x v="0"/>
    <s v="broad组"/>
    <s v="Amazon"/>
    <s v="United States"/>
    <s v="stroller snack tray"/>
    <s v="BROAD"/>
    <x v="1040"/>
    <n v="4"/>
    <n v="1"/>
    <n v="0.25"/>
    <n v="0.21"/>
    <n v="0.21"/>
    <n v="0"/>
    <m/>
    <n v="0"/>
    <n v="0"/>
    <n v="0"/>
    <n v="0"/>
    <n v="0"/>
    <n v="0"/>
    <n v="0"/>
    <n v="0"/>
  </r>
  <r>
    <x v="3"/>
    <x v="16"/>
    <d v="2026-04-28T00:00:00"/>
    <d v="2026-04-28T00:00:00"/>
    <s v="USD"/>
    <x v="0"/>
    <s v="broad组"/>
    <s v="Amazon"/>
    <s v="United States"/>
    <s v="stroller snack tray"/>
    <s v="BROAD"/>
    <x v="1041"/>
    <n v="1"/>
    <n v="1"/>
    <n v="1"/>
    <n v="0.21"/>
    <n v="0.21"/>
    <n v="0"/>
    <m/>
    <n v="0"/>
    <n v="0"/>
    <n v="0"/>
    <n v="0"/>
    <n v="0"/>
    <n v="0"/>
    <n v="0"/>
    <n v="0"/>
  </r>
  <r>
    <x v="3"/>
    <x v="14"/>
    <d v="2026-04-21T00:00:00"/>
    <d v="2026-04-21T00:00:00"/>
    <s v="USD"/>
    <x v="0"/>
    <s v="broad组"/>
    <s v="Amazon"/>
    <s v="United States"/>
    <s v="stroller snack tray"/>
    <s v="BROAD"/>
    <x v="1042"/>
    <n v="1"/>
    <n v="1"/>
    <n v="1"/>
    <n v="0.21"/>
    <n v="0.21"/>
    <n v="0"/>
    <m/>
    <n v="0"/>
    <n v="0"/>
    <n v="0"/>
    <n v="0"/>
    <n v="0"/>
    <n v="0"/>
    <n v="0"/>
    <n v="0"/>
  </r>
  <r>
    <x v="3"/>
    <x v="15"/>
    <d v="2026-04-06T00:00:00"/>
    <d v="2026-04-06T00:00:00"/>
    <s v="USD"/>
    <x v="4"/>
    <s v="stroller tray"/>
    <s v="Amazon"/>
    <s v="United States"/>
    <s v="close-match"/>
    <s v="-"/>
    <x v="1043"/>
    <n v="2"/>
    <n v="1"/>
    <n v="0.5"/>
    <n v="0.78"/>
    <n v="0.78"/>
    <n v="37.979999999999997"/>
    <n v="2.0537E-2"/>
    <n v="48.69"/>
    <n v="1"/>
    <n v="2"/>
    <n v="1"/>
    <n v="0"/>
    <n v="2"/>
    <n v="0"/>
    <n v="37.979999999999997"/>
  </r>
  <r>
    <x v="3"/>
    <x v="17"/>
    <d v="2026-04-15T00:00:00"/>
    <d v="2026-04-15T00:00:00"/>
    <s v="USD"/>
    <x v="10"/>
    <s v="ENC Yellow"/>
    <s v="Amazon"/>
    <s v="United States"/>
    <s v="close-match"/>
    <s v="-"/>
    <x v="1044"/>
    <n v="9"/>
    <n v="1"/>
    <n v="0.111111"/>
    <n v="0.5"/>
    <n v="0.5"/>
    <n v="0"/>
    <m/>
    <n v="0"/>
    <n v="0"/>
    <n v="0"/>
    <n v="0"/>
    <n v="0"/>
    <n v="0"/>
    <n v="0"/>
    <n v="0"/>
  </r>
  <r>
    <x v="3"/>
    <x v="17"/>
    <d v="2026-04-18T00:00:00"/>
    <d v="2026-04-18T00:00:00"/>
    <s v="USD"/>
    <x v="6"/>
    <s v="ENC"/>
    <s v="Amazon"/>
    <s v="United States"/>
    <s v="loose-match"/>
    <s v="-"/>
    <x v="1045"/>
    <n v="1"/>
    <n v="1"/>
    <n v="1"/>
    <n v="1.5"/>
    <n v="1.5"/>
    <n v="0"/>
    <m/>
    <n v="0"/>
    <n v="0"/>
    <n v="0"/>
    <n v="0"/>
    <n v="0"/>
    <n v="0"/>
    <n v="0"/>
    <n v="0"/>
  </r>
  <r>
    <x v="3"/>
    <x v="14"/>
    <d v="2026-04-23T00:00:00"/>
    <d v="2026-04-23T00:00:00"/>
    <s v="USD"/>
    <x v="0"/>
    <s v="phrase&amp;exact"/>
    <s v="Amazon"/>
    <s v="United States"/>
    <s v="stroller snack tray"/>
    <s v="PHRASE"/>
    <x v="1046"/>
    <n v="1"/>
    <n v="1"/>
    <n v="1"/>
    <n v="0.44"/>
    <n v="0.44"/>
    <n v="0"/>
    <m/>
    <n v="0"/>
    <n v="0"/>
    <n v="0"/>
    <n v="0"/>
    <n v="0"/>
    <n v="0"/>
    <n v="0"/>
    <n v="0"/>
  </r>
  <r>
    <x v="3"/>
    <x v="17"/>
    <d v="2026-04-12T00:00:00"/>
    <d v="2026-04-12T00:00:00"/>
    <s v="USD"/>
    <x v="4"/>
    <s v="stroller tray"/>
    <s v="Amazon"/>
    <s v="United States"/>
    <s v="loose-match"/>
    <s v="-"/>
    <x v="1047"/>
    <n v="2"/>
    <n v="1"/>
    <n v="0.5"/>
    <n v="0.52"/>
    <n v="0.52"/>
    <n v="0"/>
    <m/>
    <n v="0"/>
    <n v="0"/>
    <n v="0"/>
    <n v="0"/>
    <n v="0"/>
    <n v="0"/>
    <n v="0"/>
    <n v="0"/>
  </r>
  <r>
    <x v="3"/>
    <x v="12"/>
    <d v="2026-04-01T00:00:00"/>
    <d v="2026-04-01T00:00:00"/>
    <s v="USD"/>
    <x v="0"/>
    <s v="broad组"/>
    <s v="Amazon"/>
    <s v="United States"/>
    <s v="stroller tray"/>
    <s v="BROAD"/>
    <x v="1048"/>
    <n v="1"/>
    <n v="1"/>
    <n v="1"/>
    <n v="0.08"/>
    <n v="0.08"/>
    <n v="0"/>
    <m/>
    <n v="0"/>
    <n v="0"/>
    <n v="0"/>
    <n v="0"/>
    <n v="0"/>
    <n v="0"/>
    <n v="0"/>
    <n v="0"/>
  </r>
  <r>
    <x v="3"/>
    <x v="15"/>
    <d v="2026-04-11T00:00:00"/>
    <d v="2026-04-11T00:00:00"/>
    <s v="USD"/>
    <x v="6"/>
    <s v="ENC"/>
    <s v="Amazon"/>
    <s v="United States"/>
    <s v="loose-match"/>
    <s v="-"/>
    <x v="1049"/>
    <n v="2"/>
    <n v="1"/>
    <n v="0.5"/>
    <n v="1.6"/>
    <n v="1.6"/>
    <n v="0"/>
    <m/>
    <n v="0"/>
    <n v="0"/>
    <n v="0"/>
    <n v="0"/>
    <n v="0"/>
    <n v="0"/>
    <n v="0"/>
    <n v="0"/>
  </r>
  <r>
    <x v="3"/>
    <x v="17"/>
    <d v="2026-04-13T00:00:00"/>
    <d v="2026-04-27T00:00:00"/>
    <s v="USD"/>
    <x v="0"/>
    <s v="phrase&amp;exact"/>
    <s v="Amazon"/>
    <s v="United States"/>
    <s v="snack tray for stroller"/>
    <s v="PHRASE"/>
    <x v="1050"/>
    <n v="27"/>
    <n v="4"/>
    <n v="0.148148"/>
    <n v="0.2"/>
    <n v="0.8"/>
    <n v="0"/>
    <m/>
    <n v="0"/>
    <n v="0"/>
    <n v="0"/>
    <n v="0"/>
    <n v="0"/>
    <n v="0"/>
    <n v="0"/>
    <n v="0"/>
  </r>
  <r>
    <x v="3"/>
    <x v="14"/>
    <d v="2026-04-19T00:00:00"/>
    <d v="2026-04-19T00:00:00"/>
    <s v="USD"/>
    <x v="0"/>
    <s v="broad组"/>
    <s v="Amazon"/>
    <s v="United States"/>
    <s v="liuliuby universal stroller snack tray"/>
    <s v="BROAD"/>
    <x v="708"/>
    <n v="1"/>
    <n v="1"/>
    <n v="1"/>
    <n v="0.21"/>
    <n v="0.21"/>
    <n v="0"/>
    <m/>
    <n v="0"/>
    <n v="0"/>
    <n v="0"/>
    <n v="0"/>
    <n v="0"/>
    <n v="0"/>
    <n v="0"/>
    <n v="0"/>
  </r>
  <r>
    <x v="3"/>
    <x v="14"/>
    <d v="2026-04-20T00:00:00"/>
    <d v="2026-04-20T00:00:00"/>
    <s v="USD"/>
    <x v="10"/>
    <s v="ENC Yellow"/>
    <s v="Amazon"/>
    <s v="United States"/>
    <s v="loose-match"/>
    <s v="-"/>
    <x v="1051"/>
    <n v="1"/>
    <n v="1"/>
    <n v="1"/>
    <n v="0.63"/>
    <n v="0.63"/>
    <n v="0"/>
    <m/>
    <n v="0"/>
    <n v="0"/>
    <n v="0"/>
    <n v="0"/>
    <n v="0"/>
    <n v="0"/>
    <n v="0"/>
    <n v="0"/>
  </r>
  <r>
    <x v="3"/>
    <x v="17"/>
    <d v="2026-04-17T00:00:00"/>
    <d v="2026-04-17T00:00:00"/>
    <s v="USD"/>
    <x v="6"/>
    <s v="ENC"/>
    <s v="Amazon"/>
    <s v="United States"/>
    <s v="loose-match"/>
    <s v="-"/>
    <x v="1052"/>
    <n v="1"/>
    <n v="1"/>
    <n v="1"/>
    <n v="1.62"/>
    <n v="1.62"/>
    <n v="0"/>
    <m/>
    <n v="0"/>
    <n v="0"/>
    <n v="0"/>
    <n v="0"/>
    <n v="0"/>
    <n v="0"/>
    <n v="0"/>
    <n v="0"/>
  </r>
  <r>
    <x v="3"/>
    <x v="17"/>
    <d v="2026-04-17T00:00:00"/>
    <d v="2026-04-17T00:00:00"/>
    <s v="USD"/>
    <x v="0"/>
    <s v="broad组"/>
    <s v="Amazon"/>
    <s v="United States"/>
    <s v="stroller snack tray"/>
    <s v="BROAD"/>
    <x v="1053"/>
    <n v="1"/>
    <n v="1"/>
    <n v="1"/>
    <n v="0.4"/>
    <n v="0.4"/>
    <n v="0"/>
    <m/>
    <n v="0"/>
    <n v="0"/>
    <n v="0"/>
    <n v="0"/>
    <n v="0"/>
    <n v="0"/>
    <n v="0"/>
    <n v="0"/>
  </r>
  <r>
    <x v="3"/>
    <x v="14"/>
    <d v="2026-04-21T00:00:00"/>
    <d v="2026-04-21T00:00:00"/>
    <s v="USD"/>
    <x v="4"/>
    <s v="stroller tray"/>
    <s v="Amazon"/>
    <s v="United States"/>
    <s v="loose-match"/>
    <s v="-"/>
    <x v="1054"/>
    <n v="2"/>
    <n v="1"/>
    <n v="0.5"/>
    <n v="0.52"/>
    <n v="0.52"/>
    <n v="0"/>
    <m/>
    <n v="0"/>
    <n v="0"/>
    <n v="0"/>
    <n v="0"/>
    <n v="0"/>
    <n v="0"/>
    <n v="0"/>
    <n v="0"/>
  </r>
  <r>
    <x v="3"/>
    <x v="15"/>
    <d v="2026-04-05T00:00:00"/>
    <d v="2026-04-05T00:00:00"/>
    <s v="USD"/>
    <x v="0"/>
    <s v="broad组"/>
    <s v="Amazon"/>
    <s v="United States"/>
    <s v="stroller accessories"/>
    <s v="BROAD"/>
    <x v="1055"/>
    <n v="1"/>
    <n v="1"/>
    <n v="1"/>
    <n v="0.3"/>
    <n v="0.3"/>
    <n v="0"/>
    <m/>
    <n v="0"/>
    <n v="0"/>
    <n v="0"/>
    <n v="0"/>
    <n v="0"/>
    <n v="0"/>
    <n v="0"/>
    <n v="0"/>
  </r>
  <r>
    <x v="3"/>
    <x v="15"/>
    <d v="2026-04-07T00:00:00"/>
    <d v="2026-04-07T00:00:00"/>
    <s v="USD"/>
    <x v="6"/>
    <s v="ENC"/>
    <s v="Amazon"/>
    <s v="United States"/>
    <s v="loose-match"/>
    <s v="-"/>
    <x v="1056"/>
    <n v="3"/>
    <n v="1"/>
    <n v="0.33333299999999999"/>
    <n v="1.69"/>
    <n v="1.69"/>
    <n v="0"/>
    <m/>
    <n v="0"/>
    <n v="0"/>
    <n v="0"/>
    <n v="0"/>
    <n v="0"/>
    <n v="0"/>
    <n v="0"/>
    <n v="0"/>
  </r>
  <r>
    <x v="3"/>
    <x v="14"/>
    <d v="2026-04-20T00:00:00"/>
    <d v="2026-04-20T00:00:00"/>
    <s v="USD"/>
    <x v="0"/>
    <s v="broad组"/>
    <s v="Amazon"/>
    <s v="United States"/>
    <s v="stroller cup holder"/>
    <s v="BROAD"/>
    <x v="1057"/>
    <n v="1"/>
    <n v="1"/>
    <n v="1"/>
    <n v="0.21"/>
    <n v="0.21"/>
    <n v="0"/>
    <m/>
    <n v="0"/>
    <n v="0"/>
    <n v="0"/>
    <n v="0"/>
    <n v="0"/>
    <n v="0"/>
    <n v="0"/>
    <n v="0"/>
  </r>
  <r>
    <x v="3"/>
    <x v="15"/>
    <d v="2026-04-09T00:00:00"/>
    <d v="2026-04-09T00:00:00"/>
    <s v="USD"/>
    <x v="3"/>
    <s v="ENC Grey"/>
    <s v="Amazon"/>
    <s v="United States"/>
    <s v="loose-match"/>
    <s v="-"/>
    <x v="852"/>
    <n v="1"/>
    <n v="1"/>
    <n v="1"/>
    <n v="0.62"/>
    <n v="0.62"/>
    <n v="0"/>
    <m/>
    <n v="0"/>
    <n v="0"/>
    <n v="0"/>
    <n v="0"/>
    <n v="0"/>
    <n v="0"/>
    <n v="0"/>
    <n v="0"/>
  </r>
  <r>
    <x v="3"/>
    <x v="15"/>
    <d v="2026-04-10T00:00:00"/>
    <d v="2026-04-10T00:00:00"/>
    <s v="USD"/>
    <x v="10"/>
    <s v="ENC Yellow"/>
    <s v="Amazon"/>
    <s v="United States"/>
    <s v="loose-match"/>
    <s v="-"/>
    <x v="156"/>
    <n v="1"/>
    <n v="1"/>
    <n v="1"/>
    <n v="0.63"/>
    <n v="0.63"/>
    <n v="0"/>
    <m/>
    <n v="0"/>
    <n v="0"/>
    <n v="0"/>
    <n v="0"/>
    <n v="0"/>
    <n v="0"/>
    <n v="0"/>
    <n v="0"/>
  </r>
  <r>
    <x v="3"/>
    <x v="15"/>
    <d v="2026-04-09T00:00:00"/>
    <d v="2026-04-09T00:00:00"/>
    <s v="USD"/>
    <x v="10"/>
    <s v="ENC Yellow"/>
    <s v="Amazon"/>
    <s v="United States"/>
    <s v="close-match"/>
    <s v="-"/>
    <x v="711"/>
    <n v="2"/>
    <n v="1"/>
    <n v="0.5"/>
    <n v="0.5"/>
    <n v="0.5"/>
    <n v="0"/>
    <m/>
    <n v="0"/>
    <n v="0"/>
    <n v="0"/>
    <n v="0"/>
    <n v="0"/>
    <n v="0"/>
    <n v="0"/>
    <n v="0"/>
  </r>
  <r>
    <x v="3"/>
    <x v="12"/>
    <d v="2026-04-02T00:00:00"/>
    <d v="2026-04-02T00:00:00"/>
    <s v="USD"/>
    <x v="6"/>
    <s v="ENC"/>
    <s v="Amazon"/>
    <s v="United States"/>
    <s v="close-match"/>
    <s v="-"/>
    <x v="1058"/>
    <n v="2"/>
    <n v="1"/>
    <n v="0.5"/>
    <n v="2.04"/>
    <n v="2.04"/>
    <n v="0"/>
    <m/>
    <n v="0"/>
    <n v="0"/>
    <n v="0"/>
    <n v="0"/>
    <n v="0"/>
    <n v="0"/>
    <n v="0"/>
    <n v="0"/>
  </r>
  <r>
    <x v="3"/>
    <x v="12"/>
    <d v="2026-04-03T00:00:00"/>
    <d v="2026-04-03T00:00:00"/>
    <s v="USD"/>
    <x v="6"/>
    <s v="ENC"/>
    <s v="Amazon"/>
    <s v="United States"/>
    <s v="close-match"/>
    <s v="-"/>
    <x v="1059"/>
    <n v="8"/>
    <n v="1"/>
    <n v="0.125"/>
    <n v="1.94"/>
    <n v="1.94"/>
    <n v="0"/>
    <m/>
    <n v="0"/>
    <n v="0"/>
    <n v="0"/>
    <n v="0"/>
    <n v="0"/>
    <n v="0"/>
    <n v="0"/>
    <n v="0"/>
  </r>
  <r>
    <x v="3"/>
    <x v="17"/>
    <d v="2026-04-18T00:00:00"/>
    <d v="2026-04-18T00:00:00"/>
    <s v="USD"/>
    <x v="10"/>
    <s v="ENC Yellow"/>
    <s v="Amazon"/>
    <s v="United States"/>
    <s v="close-match"/>
    <s v="-"/>
    <x v="1059"/>
    <n v="1"/>
    <n v="1"/>
    <n v="1"/>
    <n v="0.65"/>
    <n v="0.65"/>
    <n v="0"/>
    <m/>
    <n v="0"/>
    <n v="0"/>
    <n v="0"/>
    <n v="0"/>
    <n v="0"/>
    <n v="0"/>
    <n v="0"/>
    <n v="0"/>
  </r>
  <r>
    <x v="3"/>
    <x v="15"/>
    <d v="2026-04-05T00:00:00"/>
    <d v="2026-04-10T00:00:00"/>
    <s v="USD"/>
    <x v="6"/>
    <s v="ENC"/>
    <s v="Amazon"/>
    <s v="United States"/>
    <s v="close-match"/>
    <s v="-"/>
    <x v="159"/>
    <n v="94"/>
    <n v="3"/>
    <n v="3.1914999999999999E-2"/>
    <n v="1.76"/>
    <n v="5.27"/>
    <n v="0"/>
    <m/>
    <n v="0"/>
    <n v="0"/>
    <n v="0"/>
    <n v="0"/>
    <n v="0"/>
    <n v="0"/>
    <n v="0"/>
    <n v="0"/>
  </r>
  <r>
    <x v="3"/>
    <x v="16"/>
    <d v="2026-04-26T00:00:00"/>
    <d v="2026-04-27T00:00:00"/>
    <s v="USD"/>
    <x v="6"/>
    <s v="ENC"/>
    <s v="Amazon"/>
    <s v="United States"/>
    <s v="loose-match"/>
    <s v="-"/>
    <x v="159"/>
    <n v="269"/>
    <n v="2"/>
    <n v="7.4349999999999998E-3"/>
    <n v="1.43"/>
    <n v="2.86"/>
    <n v="0"/>
    <m/>
    <n v="0"/>
    <n v="0"/>
    <n v="0"/>
    <n v="0"/>
    <n v="0"/>
    <n v="0"/>
    <n v="0"/>
    <n v="0"/>
  </r>
  <r>
    <x v="3"/>
    <x v="16"/>
    <d v="2026-04-26T00:00:00"/>
    <d v="2026-04-27T00:00:00"/>
    <s v="USD"/>
    <x v="3"/>
    <s v="ENC Grey"/>
    <s v="Amazon"/>
    <s v="United States"/>
    <s v="close-match"/>
    <s v="-"/>
    <x v="159"/>
    <n v="258"/>
    <n v="2"/>
    <n v="7.7520000000000002E-3"/>
    <n v="0.34"/>
    <n v="0.68"/>
    <n v="0"/>
    <m/>
    <n v="0"/>
    <n v="0"/>
    <n v="0"/>
    <n v="0"/>
    <n v="0"/>
    <n v="0"/>
    <n v="0"/>
    <n v="0"/>
  </r>
  <r>
    <x v="3"/>
    <x v="16"/>
    <d v="2026-04-28T00:00:00"/>
    <d v="2026-04-29T00:00:00"/>
    <s v="USD"/>
    <x v="9"/>
    <s v="BNF"/>
    <s v="Amazon"/>
    <s v="United States"/>
    <s v="newborn nail file electric"/>
    <s v="BROAD"/>
    <x v="1060"/>
    <n v="44"/>
    <n v="2"/>
    <n v="4.5455000000000002E-2"/>
    <n v="2.21"/>
    <n v="4.42"/>
    <n v="0"/>
    <m/>
    <n v="0"/>
    <n v="0"/>
    <n v="0"/>
    <n v="0"/>
    <n v="0"/>
    <n v="0"/>
    <n v="0"/>
    <n v="0"/>
  </r>
  <r>
    <x v="3"/>
    <x v="14"/>
    <d v="2026-04-24T00:00:00"/>
    <d v="2026-04-24T00:00:00"/>
    <s v="USD"/>
    <x v="9"/>
    <s v="BNF"/>
    <s v="Amazon"/>
    <s v="United States"/>
    <s v="baby nail file"/>
    <s v="BROAD"/>
    <x v="1061"/>
    <n v="2"/>
    <n v="1"/>
    <n v="0.5"/>
    <n v="3.45"/>
    <n v="3.45"/>
    <n v="0"/>
    <m/>
    <n v="0"/>
    <n v="0"/>
    <n v="0"/>
    <n v="0"/>
    <n v="0"/>
    <n v="0"/>
    <n v="0"/>
    <n v="0"/>
  </r>
  <r>
    <x v="3"/>
    <x v="17"/>
    <d v="2026-04-17T00:00:00"/>
    <d v="2026-04-17T00:00:00"/>
    <s v="USD"/>
    <x v="3"/>
    <s v="ENC Grey"/>
    <s v="Amazon"/>
    <s v="United States"/>
    <s v="loose-match"/>
    <s v="-"/>
    <x v="1062"/>
    <n v="1"/>
    <n v="1"/>
    <n v="1"/>
    <n v="0.46"/>
    <n v="0.46"/>
    <n v="0"/>
    <m/>
    <n v="0"/>
    <n v="0"/>
    <n v="0"/>
    <n v="0"/>
    <n v="0"/>
    <n v="0"/>
    <n v="0"/>
    <n v="0"/>
  </r>
  <r>
    <x v="3"/>
    <x v="17"/>
    <d v="2026-04-12T00:00:00"/>
    <d v="2026-04-12T00:00:00"/>
    <s v="USD"/>
    <x v="6"/>
    <s v="ENC"/>
    <s v="Amazon"/>
    <s v="United States"/>
    <s v="loose-match"/>
    <s v="-"/>
    <x v="1063"/>
    <n v="8"/>
    <n v="1"/>
    <n v="0.125"/>
    <n v="1.21"/>
    <n v="1.21"/>
    <n v="0"/>
    <m/>
    <n v="0"/>
    <n v="0"/>
    <n v="0"/>
    <n v="0"/>
    <n v="0"/>
    <n v="0"/>
    <n v="0"/>
    <n v="0"/>
  </r>
  <r>
    <x v="3"/>
    <x v="16"/>
    <d v="2026-04-30T00:00:00"/>
    <d v="2026-04-30T00:00:00"/>
    <s v="USD"/>
    <x v="9"/>
    <s v="BNF"/>
    <s v="Amazon"/>
    <s v="United States"/>
    <s v="baby nail file"/>
    <s v="BROAD"/>
    <x v="1064"/>
    <n v="1"/>
    <n v="1"/>
    <n v="1"/>
    <n v="3.12"/>
    <n v="3.12"/>
    <n v="0"/>
    <m/>
    <n v="0"/>
    <n v="0"/>
    <n v="0"/>
    <n v="0"/>
    <n v="0"/>
    <n v="0"/>
    <n v="0"/>
    <n v="0"/>
  </r>
  <r>
    <x v="3"/>
    <x v="12"/>
    <d v="2026-04-02T00:00:00"/>
    <d v="2026-04-02T00:00:00"/>
    <s v="USD"/>
    <x v="10"/>
    <s v="ENC Yellow"/>
    <s v="Amazon"/>
    <s v="United States"/>
    <s v="loose-match"/>
    <s v="-"/>
    <x v="1065"/>
    <n v="1"/>
    <n v="1"/>
    <n v="1"/>
    <n v="0.35"/>
    <n v="0.35"/>
    <n v="0"/>
    <m/>
    <n v="0"/>
    <n v="0"/>
    <n v="0"/>
    <n v="0"/>
    <n v="0"/>
    <n v="0"/>
    <n v="0"/>
    <n v="0"/>
  </r>
  <r>
    <x v="3"/>
    <x v="12"/>
    <d v="2026-04-01T00:00:00"/>
    <d v="2026-04-19T00:00:00"/>
    <s v="USD"/>
    <x v="6"/>
    <s v="ENC"/>
    <s v="Amazon"/>
    <s v="United States"/>
    <s v="loose-match"/>
    <s v="-"/>
    <x v="855"/>
    <n v="378"/>
    <n v="4"/>
    <n v="1.0581999999999999E-2"/>
    <n v="1.39"/>
    <n v="5.54"/>
    <n v="0"/>
    <m/>
    <n v="0"/>
    <n v="0"/>
    <n v="0"/>
    <n v="0"/>
    <n v="0"/>
    <n v="0"/>
    <n v="0"/>
    <n v="0"/>
  </r>
  <r>
    <x v="3"/>
    <x v="17"/>
    <d v="2026-04-17T00:00:00"/>
    <d v="2026-04-19T00:00:00"/>
    <s v="USD"/>
    <x v="3"/>
    <s v="ENC Grey"/>
    <s v="Amazon"/>
    <s v="United States"/>
    <s v="close-match"/>
    <s v="-"/>
    <x v="855"/>
    <n v="526"/>
    <n v="3"/>
    <n v="5.7029999999999997E-3"/>
    <n v="0.34"/>
    <n v="1.02"/>
    <n v="0"/>
    <m/>
    <n v="0"/>
    <n v="0"/>
    <n v="0"/>
    <n v="0"/>
    <n v="0"/>
    <n v="0"/>
    <n v="0"/>
    <n v="0"/>
  </r>
  <r>
    <x v="3"/>
    <x v="15"/>
    <d v="2026-04-07T00:00:00"/>
    <d v="2026-04-14T00:00:00"/>
    <s v="USD"/>
    <x v="6"/>
    <s v="ENC"/>
    <s v="Amazon"/>
    <s v="United States"/>
    <s v="loose-match"/>
    <s v="-"/>
    <x v="163"/>
    <n v="66"/>
    <n v="2"/>
    <n v="3.0303E-2"/>
    <n v="1.76"/>
    <n v="3.51"/>
    <n v="0"/>
    <m/>
    <n v="0"/>
    <n v="0"/>
    <n v="0"/>
    <n v="0"/>
    <n v="0"/>
    <n v="0"/>
    <n v="0"/>
    <n v="0"/>
  </r>
  <r>
    <x v="3"/>
    <x v="16"/>
    <d v="2026-04-29T00:00:00"/>
    <d v="2026-04-29T00:00:00"/>
    <s v="USD"/>
    <x v="9"/>
    <s v="BNF"/>
    <s v="Amazon"/>
    <s v="United States"/>
    <s v="newborn nail file electric"/>
    <s v="BROAD"/>
    <x v="439"/>
    <n v="19"/>
    <n v="1"/>
    <n v="5.2631999999999998E-2"/>
    <n v="2.21"/>
    <n v="2.21"/>
    <n v="0"/>
    <m/>
    <n v="0"/>
    <n v="0"/>
    <n v="0"/>
    <n v="0"/>
    <n v="0"/>
    <n v="0"/>
    <n v="0"/>
    <n v="0"/>
  </r>
  <r>
    <x v="3"/>
    <x v="15"/>
    <d v="2026-04-10T00:00:00"/>
    <d v="2026-04-10T00:00:00"/>
    <s v="USD"/>
    <x v="4"/>
    <s v="stroller tray"/>
    <s v="Amazon"/>
    <s v="United States"/>
    <s v="loose-match"/>
    <s v="-"/>
    <x v="1066"/>
    <n v="1"/>
    <n v="1"/>
    <n v="1"/>
    <n v="0.61"/>
    <n v="0.61"/>
    <n v="17.09"/>
    <n v="3.5693000000000003E-2"/>
    <n v="28.02"/>
    <n v="1"/>
    <n v="1"/>
    <n v="1"/>
    <n v="0"/>
    <n v="1"/>
    <n v="0"/>
    <n v="17.09"/>
  </r>
  <r>
    <x v="3"/>
    <x v="12"/>
    <d v="2026-04-01T00:00:00"/>
    <d v="2026-04-01T00:00:00"/>
    <s v="USD"/>
    <x v="0"/>
    <s v="broad组"/>
    <s v="Amazon"/>
    <s v="United States"/>
    <s v="nuna snack tray for stroller"/>
    <s v="BROAD"/>
    <x v="168"/>
    <n v="2"/>
    <n v="1"/>
    <n v="0.5"/>
    <n v="0.2"/>
    <n v="0.2"/>
    <n v="0"/>
    <m/>
    <n v="0"/>
    <n v="0"/>
    <n v="0"/>
    <n v="0"/>
    <n v="0"/>
    <n v="0"/>
    <n v="0"/>
    <n v="0"/>
  </r>
  <r>
    <x v="3"/>
    <x v="17"/>
    <d v="2026-04-15T00:00:00"/>
    <d v="2026-04-15T00:00:00"/>
    <s v="USD"/>
    <x v="0"/>
    <s v="broad组"/>
    <s v="Amazon"/>
    <s v="United States"/>
    <s v="stroller tray"/>
    <s v="BROAD"/>
    <x v="1067"/>
    <n v="1"/>
    <n v="1"/>
    <n v="1"/>
    <n v="0.21"/>
    <n v="0.21"/>
    <n v="0"/>
    <m/>
    <n v="0"/>
    <n v="0"/>
    <n v="0"/>
    <n v="0"/>
    <n v="0"/>
    <n v="0"/>
    <n v="0"/>
    <n v="0"/>
  </r>
  <r>
    <x v="3"/>
    <x v="15"/>
    <d v="2026-04-10T00:00:00"/>
    <d v="2026-04-10T00:00:00"/>
    <s v="USD"/>
    <x v="2"/>
    <s v="Tray"/>
    <s v="Amazon"/>
    <s v="United States"/>
    <s v="asin=&quot;B0F4KJN2VC&quot;"/>
    <s v="-"/>
    <x v="1068"/>
    <n v="2"/>
    <n v="1"/>
    <n v="0.5"/>
    <n v="0.52"/>
    <n v="0.52"/>
    <n v="0"/>
    <m/>
    <n v="0"/>
    <n v="0"/>
    <n v="0"/>
    <n v="0"/>
    <n v="0"/>
    <n v="0"/>
    <n v="0"/>
    <n v="0"/>
  </r>
  <r>
    <x v="3"/>
    <x v="15"/>
    <d v="2026-04-10T00:00:00"/>
    <d v="2026-04-10T00:00:00"/>
    <s v="USD"/>
    <x v="0"/>
    <s v="broad组"/>
    <s v="Amazon"/>
    <s v="United States"/>
    <s v="snack tray for stroller"/>
    <s v="BROAD"/>
    <x v="1069"/>
    <n v="1"/>
    <n v="1"/>
    <n v="1"/>
    <n v="0.22"/>
    <n v="0.22"/>
    <n v="0"/>
    <m/>
    <n v="0"/>
    <n v="0"/>
    <n v="0"/>
    <n v="0"/>
    <n v="0"/>
    <n v="0"/>
    <n v="0"/>
    <n v="0"/>
  </r>
  <r>
    <x v="3"/>
    <x v="17"/>
    <d v="2026-04-15T00:00:00"/>
    <d v="2026-04-15T00:00:00"/>
    <s v="USD"/>
    <x v="6"/>
    <s v="ENC"/>
    <s v="Amazon"/>
    <s v="United States"/>
    <s v="loose-match"/>
    <s v="-"/>
    <x v="1070"/>
    <n v="1"/>
    <n v="1"/>
    <n v="1"/>
    <n v="1.67"/>
    <n v="1.67"/>
    <n v="0"/>
    <m/>
    <n v="0"/>
    <n v="0"/>
    <n v="0"/>
    <n v="0"/>
    <n v="0"/>
    <n v="0"/>
    <n v="0"/>
    <n v="0"/>
  </r>
  <r>
    <x v="3"/>
    <x v="16"/>
    <d v="2026-04-29T00:00:00"/>
    <d v="2026-04-29T00:00:00"/>
    <s v="USD"/>
    <x v="0"/>
    <s v="broad组"/>
    <s v="Amazon"/>
    <s v="United States"/>
    <s v="stroller cup holder"/>
    <s v="BROAD"/>
    <x v="1071"/>
    <n v="2"/>
    <n v="1"/>
    <n v="0.5"/>
    <n v="0.21"/>
    <n v="0.21"/>
    <n v="0"/>
    <m/>
    <n v="0"/>
    <n v="0"/>
    <n v="0"/>
    <n v="0"/>
    <n v="0"/>
    <n v="0"/>
    <n v="0"/>
    <n v="0"/>
  </r>
  <r>
    <x v="3"/>
    <x v="17"/>
    <d v="2026-04-18T00:00:00"/>
    <d v="2026-04-18T00:00:00"/>
    <s v="USD"/>
    <x v="4"/>
    <s v="stroller tray"/>
    <s v="Amazon"/>
    <s v="United States"/>
    <s v="loose-match"/>
    <s v="-"/>
    <x v="1072"/>
    <n v="2"/>
    <n v="1"/>
    <n v="0.5"/>
    <n v="0.54"/>
    <n v="0.54"/>
    <n v="0"/>
    <m/>
    <n v="0"/>
    <n v="0"/>
    <n v="0"/>
    <n v="0"/>
    <n v="0"/>
    <n v="0"/>
    <n v="0"/>
    <n v="0"/>
  </r>
  <r>
    <x v="3"/>
    <x v="17"/>
    <d v="2026-04-16T00:00:00"/>
    <d v="2026-04-16T00:00:00"/>
    <s v="USD"/>
    <x v="0"/>
    <s v="broad组"/>
    <s v="Amazon"/>
    <s v="United States"/>
    <s v="stroller cup holder"/>
    <s v="BROAD"/>
    <x v="1073"/>
    <n v="3"/>
    <n v="1"/>
    <n v="0.33333299999999999"/>
    <n v="0.2"/>
    <n v="0.2"/>
    <n v="0"/>
    <m/>
    <n v="0"/>
    <n v="0"/>
    <n v="0"/>
    <n v="0"/>
    <n v="0"/>
    <n v="0"/>
    <n v="0"/>
    <n v="0"/>
  </r>
  <r>
    <x v="3"/>
    <x v="14"/>
    <d v="2026-04-25T00:00:00"/>
    <d v="2026-04-25T00:00:00"/>
    <s v="USD"/>
    <x v="6"/>
    <s v="ENC"/>
    <s v="Amazon"/>
    <s v="United States"/>
    <s v="close-match"/>
    <s v="-"/>
    <x v="1074"/>
    <n v="1"/>
    <n v="1"/>
    <n v="1"/>
    <n v="1.63"/>
    <n v="1.63"/>
    <n v="0"/>
    <m/>
    <n v="0"/>
    <n v="0"/>
    <n v="0"/>
    <n v="0"/>
    <n v="0"/>
    <n v="0"/>
    <n v="0"/>
    <n v="0"/>
  </r>
  <r>
    <x v="3"/>
    <x v="16"/>
    <d v="2026-04-26T00:00:00"/>
    <d v="2026-04-26T00:00:00"/>
    <s v="USD"/>
    <x v="0"/>
    <s v="broad组"/>
    <s v="Amazon"/>
    <s v="United States"/>
    <s v="clip on snack tray"/>
    <s v="BROAD"/>
    <x v="1075"/>
    <n v="1"/>
    <n v="1"/>
    <n v="1"/>
    <n v="0.21"/>
    <n v="0.21"/>
    <n v="0"/>
    <m/>
    <n v="0"/>
    <n v="0"/>
    <n v="0"/>
    <n v="0"/>
    <n v="0"/>
    <n v="0"/>
    <n v="0"/>
    <n v="0"/>
  </r>
  <r>
    <x v="3"/>
    <x v="16"/>
    <d v="2026-04-30T00:00:00"/>
    <d v="2026-04-30T00:00:00"/>
    <s v="USD"/>
    <x v="6"/>
    <s v="ENC"/>
    <s v="Amazon"/>
    <s v="United States"/>
    <s v="loose-match"/>
    <s v="-"/>
    <x v="1076"/>
    <n v="3"/>
    <n v="1"/>
    <n v="0.33333299999999999"/>
    <n v="1.51"/>
    <n v="1.51"/>
    <n v="0"/>
    <m/>
    <n v="0"/>
    <n v="0"/>
    <n v="0"/>
    <n v="0"/>
    <n v="0"/>
    <n v="0"/>
    <n v="0"/>
    <n v="0"/>
  </r>
  <r>
    <x v="3"/>
    <x v="14"/>
    <d v="2026-04-20T00:00:00"/>
    <d v="2026-04-20T00:00:00"/>
    <s v="USD"/>
    <x v="9"/>
    <s v="BNF"/>
    <s v="Amazon"/>
    <s v="United States"/>
    <s v="electric baby nail file"/>
    <s v="BROAD"/>
    <x v="1077"/>
    <n v="1"/>
    <n v="1"/>
    <n v="1"/>
    <n v="2.23"/>
    <n v="2.23"/>
    <n v="0"/>
    <m/>
    <n v="0"/>
    <n v="0"/>
    <n v="0"/>
    <n v="0"/>
    <n v="0"/>
    <n v="0"/>
    <n v="0"/>
    <n v="0"/>
  </r>
  <r>
    <x v="3"/>
    <x v="14"/>
    <d v="2026-04-25T00:00:00"/>
    <d v="2026-04-25T00:00:00"/>
    <s v="USD"/>
    <x v="0"/>
    <s v="broad组"/>
    <s v="Amazon"/>
    <s v="United States"/>
    <s v="universal snack tray"/>
    <s v="BROAD"/>
    <x v="1078"/>
    <n v="2"/>
    <n v="1"/>
    <n v="0.5"/>
    <n v="0.21"/>
    <n v="0.21"/>
    <n v="0"/>
    <m/>
    <n v="0"/>
    <n v="0"/>
    <n v="0"/>
    <n v="0"/>
    <n v="0"/>
    <n v="0"/>
    <n v="0"/>
    <n v="0"/>
  </r>
  <r>
    <x v="3"/>
    <x v="16"/>
    <d v="2026-04-27T00:00:00"/>
    <d v="2026-04-27T00:00:00"/>
    <s v="USD"/>
    <x v="0"/>
    <s v="broad组"/>
    <s v="Amazon"/>
    <s v="United States"/>
    <s v="clip on snack tray"/>
    <s v="BROAD"/>
    <x v="1079"/>
    <n v="2"/>
    <n v="1"/>
    <n v="0.5"/>
    <n v="0.4"/>
    <n v="0.4"/>
    <n v="0"/>
    <m/>
    <n v="0"/>
    <n v="0"/>
    <n v="0"/>
    <n v="0"/>
    <n v="0"/>
    <n v="0"/>
    <n v="0"/>
    <n v="0"/>
  </r>
  <r>
    <x v="3"/>
    <x v="14"/>
    <d v="2026-04-21T00:00:00"/>
    <d v="2026-04-21T00:00:00"/>
    <s v="USD"/>
    <x v="0"/>
    <s v="broad组"/>
    <s v="Amazon"/>
    <s v="United States"/>
    <s v="stroller tray"/>
    <s v="BROAD"/>
    <x v="1080"/>
    <n v="1"/>
    <n v="1"/>
    <n v="1"/>
    <n v="0.21"/>
    <n v="0.21"/>
    <n v="0"/>
    <m/>
    <n v="0"/>
    <n v="0"/>
    <n v="0"/>
    <n v="0"/>
    <n v="0"/>
    <n v="0"/>
    <n v="0"/>
    <n v="0"/>
  </r>
  <r>
    <x v="3"/>
    <x v="17"/>
    <d v="2026-04-14T00:00:00"/>
    <d v="2026-04-14T00:00:00"/>
    <s v="USD"/>
    <x v="2"/>
    <s v="Tray"/>
    <s v="Amazon"/>
    <s v="United States"/>
    <s v="asin=&quot;B0DH98H2G4&quot;"/>
    <s v="-"/>
    <x v="1081"/>
    <n v="2"/>
    <n v="1"/>
    <n v="0.5"/>
    <n v="0.67"/>
    <n v="0.67"/>
    <n v="0"/>
    <m/>
    <n v="0"/>
    <n v="0"/>
    <n v="0"/>
    <n v="0"/>
    <n v="0"/>
    <n v="0"/>
    <n v="0"/>
    <n v="0"/>
  </r>
  <r>
    <x v="3"/>
    <x v="16"/>
    <d v="2026-04-28T00:00:00"/>
    <d v="2026-04-28T00:00:00"/>
    <s v="USD"/>
    <x v="3"/>
    <s v="ENC Grey"/>
    <s v="Amazon"/>
    <s v="United States"/>
    <s v="loose-match"/>
    <s v="-"/>
    <x v="1082"/>
    <n v="1"/>
    <n v="1"/>
    <n v="1"/>
    <n v="0.36"/>
    <n v="0.36"/>
    <n v="0"/>
    <m/>
    <n v="0"/>
    <n v="0"/>
    <n v="0"/>
    <n v="0"/>
    <n v="0"/>
    <n v="0"/>
    <n v="0"/>
    <n v="0"/>
  </r>
  <r>
    <x v="3"/>
    <x v="17"/>
    <d v="2026-04-14T00:00:00"/>
    <d v="2026-04-14T00:00:00"/>
    <s v="USD"/>
    <x v="0"/>
    <s v="broad组"/>
    <s v="Amazon"/>
    <s v="United States"/>
    <s v="stroller tray"/>
    <s v="BROAD"/>
    <x v="1083"/>
    <n v="1"/>
    <n v="1"/>
    <n v="1"/>
    <n v="0.21"/>
    <n v="0.21"/>
    <n v="0"/>
    <m/>
    <n v="0"/>
    <n v="0"/>
    <n v="0"/>
    <n v="0"/>
    <n v="0"/>
    <n v="0"/>
    <n v="0"/>
    <n v="0"/>
  </r>
  <r>
    <x v="3"/>
    <x v="16"/>
    <d v="2026-04-26T00:00:00"/>
    <d v="2026-04-26T00:00:00"/>
    <s v="USD"/>
    <x v="0"/>
    <s v="broad组"/>
    <s v="Amazon"/>
    <s v="United States"/>
    <s v="snack tray for stroller"/>
    <s v="BROAD"/>
    <x v="1084"/>
    <n v="2"/>
    <n v="1"/>
    <n v="0.5"/>
    <n v="0.21"/>
    <n v="0.21"/>
    <n v="17.47"/>
    <n v="1.2021E-2"/>
    <n v="83.19"/>
    <n v="1"/>
    <n v="1"/>
    <n v="1"/>
    <n v="1"/>
    <n v="0"/>
    <n v="17.47"/>
    <n v="0"/>
  </r>
  <r>
    <x v="3"/>
    <x v="16"/>
    <d v="2026-04-27T00:00:00"/>
    <d v="2026-04-27T00:00:00"/>
    <s v="USD"/>
    <x v="0"/>
    <s v="broad组"/>
    <s v="Amazon"/>
    <s v="United States"/>
    <s v="snack holder for stroller"/>
    <s v="BROAD"/>
    <x v="1085"/>
    <n v="5"/>
    <n v="1"/>
    <n v="0.2"/>
    <n v="0.2"/>
    <n v="0.2"/>
    <n v="0"/>
    <m/>
    <n v="0"/>
    <n v="0"/>
    <n v="0"/>
    <n v="0"/>
    <n v="0"/>
    <n v="0"/>
    <n v="0"/>
    <n v="0"/>
  </r>
  <r>
    <x v="3"/>
    <x v="16"/>
    <d v="2026-04-27T00:00:00"/>
    <d v="2026-04-27T00:00:00"/>
    <s v="USD"/>
    <x v="0"/>
    <s v="broad组"/>
    <s v="Amazon"/>
    <s v="United States"/>
    <s v="stroller cup holder"/>
    <s v="BROAD"/>
    <x v="1086"/>
    <n v="3"/>
    <n v="2"/>
    <n v="0.66666700000000001"/>
    <n v="0.31"/>
    <n v="0.61"/>
    <n v="0"/>
    <m/>
    <n v="0"/>
    <n v="0"/>
    <n v="0"/>
    <n v="0"/>
    <n v="0"/>
    <n v="0"/>
    <n v="0"/>
    <n v="0"/>
  </r>
  <r>
    <x v="3"/>
    <x v="14"/>
    <d v="2026-04-19T00:00:00"/>
    <d v="2026-04-19T00:00:00"/>
    <s v="USD"/>
    <x v="0"/>
    <s v="broad组"/>
    <s v="Amazon"/>
    <s v="United States"/>
    <s v="stroller attachment"/>
    <s v="BROAD"/>
    <x v="450"/>
    <n v="1"/>
    <n v="1"/>
    <n v="1"/>
    <n v="0.21"/>
    <n v="0.21"/>
    <n v="18.04"/>
    <n v="1.1641E-2"/>
    <n v="85.9"/>
    <n v="1"/>
    <n v="1"/>
    <n v="1"/>
    <n v="1"/>
    <n v="0"/>
    <n v="18.04"/>
    <n v="0"/>
  </r>
  <r>
    <x v="3"/>
    <x v="17"/>
    <d v="2026-04-18T00:00:00"/>
    <d v="2026-04-18T00:00:00"/>
    <s v="USD"/>
    <x v="0"/>
    <s v="broad组"/>
    <s v="Amazon"/>
    <s v="United States"/>
    <s v="snack cup for stroller"/>
    <s v="BROAD"/>
    <x v="1087"/>
    <n v="1"/>
    <n v="1"/>
    <n v="1"/>
    <n v="0.21"/>
    <n v="0.21"/>
    <n v="0"/>
    <m/>
    <n v="0"/>
    <n v="0"/>
    <n v="0"/>
    <n v="0"/>
    <n v="0"/>
    <n v="0"/>
    <n v="0"/>
    <n v="0"/>
  </r>
  <r>
    <x v="3"/>
    <x v="17"/>
    <d v="2026-04-14T00:00:00"/>
    <d v="2026-04-14T00:00:00"/>
    <s v="USD"/>
    <x v="2"/>
    <s v="Tray"/>
    <s v="Amazon"/>
    <s v="United States"/>
    <s v="asin=&quot;B0DH98H2G4&quot;"/>
    <s v="-"/>
    <x v="1088"/>
    <n v="2"/>
    <n v="1"/>
    <n v="0.5"/>
    <n v="0.67"/>
    <n v="0.67"/>
    <n v="0"/>
    <m/>
    <n v="0"/>
    <n v="0"/>
    <n v="0"/>
    <n v="0"/>
    <n v="0"/>
    <n v="0"/>
    <n v="0"/>
    <n v="0"/>
  </r>
  <r>
    <x v="3"/>
    <x v="17"/>
    <d v="2026-04-12T00:00:00"/>
    <d v="2026-04-12T00:00:00"/>
    <s v="USD"/>
    <x v="0"/>
    <s v="broad组"/>
    <s v="Amazon"/>
    <s v="United States"/>
    <s v="clip on snack tray"/>
    <s v="BROAD"/>
    <x v="1089"/>
    <n v="1"/>
    <n v="1"/>
    <n v="1"/>
    <n v="0.4"/>
    <n v="0.4"/>
    <n v="0"/>
    <m/>
    <n v="0"/>
    <n v="0"/>
    <n v="0"/>
    <n v="0"/>
    <n v="0"/>
    <n v="0"/>
    <n v="0"/>
    <n v="0"/>
  </r>
  <r>
    <x v="3"/>
    <x v="15"/>
    <d v="2026-04-10T00:00:00"/>
    <d v="2026-04-10T00:00:00"/>
    <s v="USD"/>
    <x v="4"/>
    <s v="stroller tray"/>
    <s v="Amazon"/>
    <s v="United States"/>
    <s v="loose-match"/>
    <s v="-"/>
    <x v="1090"/>
    <n v="2"/>
    <n v="1"/>
    <n v="0.5"/>
    <n v="0.61"/>
    <n v="0.61"/>
    <n v="0"/>
    <m/>
    <n v="0"/>
    <n v="0"/>
    <n v="0"/>
    <n v="0"/>
    <n v="0"/>
    <n v="0"/>
    <n v="0"/>
    <n v="0"/>
  </r>
  <r>
    <x v="3"/>
    <x v="17"/>
    <d v="2026-04-18T00:00:00"/>
    <d v="2026-04-18T00:00:00"/>
    <s v="USD"/>
    <x v="0"/>
    <s v="broad组"/>
    <s v="Amazon"/>
    <s v="United States"/>
    <s v="universal snack tray"/>
    <s v="BROAD"/>
    <x v="1091"/>
    <n v="1"/>
    <n v="1"/>
    <n v="1"/>
    <n v="0.21"/>
    <n v="0.21"/>
    <n v="0"/>
    <m/>
    <n v="0"/>
    <n v="0"/>
    <n v="0"/>
    <n v="0"/>
    <n v="0"/>
    <n v="0"/>
    <n v="0"/>
    <n v="0"/>
  </r>
  <r>
    <x v="3"/>
    <x v="14"/>
    <d v="2026-04-20T00:00:00"/>
    <d v="2026-04-20T00:00:00"/>
    <s v="USD"/>
    <x v="0"/>
    <s v="broad组"/>
    <s v="Amazon"/>
    <s v="United States"/>
    <s v="clip on snack tray"/>
    <s v="BROAD"/>
    <x v="1092"/>
    <n v="1"/>
    <n v="1"/>
    <n v="1"/>
    <n v="0.21"/>
    <n v="0.21"/>
    <n v="0"/>
    <m/>
    <n v="0"/>
    <n v="0"/>
    <n v="0"/>
    <n v="0"/>
    <n v="0"/>
    <n v="0"/>
    <n v="0"/>
    <n v="0"/>
  </r>
  <r>
    <x v="3"/>
    <x v="12"/>
    <d v="2026-04-01T00:00:00"/>
    <d v="2026-04-01T00:00:00"/>
    <s v="USD"/>
    <x v="0"/>
    <s v="broad组"/>
    <s v="Amazon"/>
    <s v="United States"/>
    <s v="clip on snack tray"/>
    <s v="BROAD"/>
    <x v="1093"/>
    <n v="2"/>
    <n v="1"/>
    <n v="0.5"/>
    <n v="0.21"/>
    <n v="0.21"/>
    <n v="37.979999999999997"/>
    <n v="5.5290000000000001E-3"/>
    <n v="180.86"/>
    <n v="1"/>
    <n v="2"/>
    <n v="1"/>
    <n v="2"/>
    <n v="0"/>
    <n v="37.979999999999997"/>
    <n v="0"/>
  </r>
  <r>
    <x v="3"/>
    <x v="16"/>
    <d v="2026-04-27T00:00:00"/>
    <d v="2026-04-27T00:00:00"/>
    <s v="USD"/>
    <x v="0"/>
    <s v="broad组"/>
    <s v="Amazon"/>
    <s v="United States"/>
    <s v="clip on snack tray"/>
    <s v="BROAD"/>
    <x v="1094"/>
    <n v="1"/>
    <n v="1"/>
    <n v="1"/>
    <n v="0.21"/>
    <n v="0.21"/>
    <n v="0"/>
    <m/>
    <n v="0"/>
    <n v="0"/>
    <n v="0"/>
    <n v="0"/>
    <n v="0"/>
    <n v="0"/>
    <n v="0"/>
    <n v="0"/>
  </r>
  <r>
    <x v="3"/>
    <x v="15"/>
    <d v="2026-04-06T00:00:00"/>
    <d v="2026-04-06T00:00:00"/>
    <s v="USD"/>
    <x v="0"/>
    <s v="broad组"/>
    <s v="Amazon"/>
    <s v="United States"/>
    <s v="nuna snack tray for stroller"/>
    <s v="BROAD"/>
    <x v="1095"/>
    <n v="3"/>
    <n v="1"/>
    <n v="0.33333299999999999"/>
    <n v="0.08"/>
    <n v="0.08"/>
    <n v="0"/>
    <m/>
    <n v="0"/>
    <n v="0"/>
    <n v="0"/>
    <n v="0"/>
    <n v="0"/>
    <n v="0"/>
    <n v="0"/>
    <n v="0"/>
  </r>
  <r>
    <x v="3"/>
    <x v="15"/>
    <d v="2026-04-05T00:00:00"/>
    <d v="2026-04-26T00:00:00"/>
    <s v="USD"/>
    <x v="4"/>
    <s v="stroller tray"/>
    <s v="Amazon"/>
    <s v="United States"/>
    <s v="close-match"/>
    <s v="-"/>
    <x v="187"/>
    <n v="115"/>
    <n v="4"/>
    <n v="3.4783000000000001E-2"/>
    <n v="0.79"/>
    <n v="3.15"/>
    <n v="36.08"/>
    <n v="8.7305999999999995E-2"/>
    <n v="11.45"/>
    <n v="1"/>
    <n v="2"/>
    <n v="0.25"/>
    <n v="2"/>
    <n v="0"/>
    <n v="36.08"/>
    <n v="0"/>
  </r>
  <r>
    <x v="3"/>
    <x v="16"/>
    <d v="2026-04-27T00:00:00"/>
    <d v="2026-04-29T00:00:00"/>
    <s v="USD"/>
    <x v="0"/>
    <s v="broad组"/>
    <s v="Amazon"/>
    <s v="United States"/>
    <s v="stroller tray"/>
    <s v="BROAD"/>
    <x v="187"/>
    <n v="4"/>
    <n v="2"/>
    <n v="0.5"/>
    <n v="0.22"/>
    <n v="0.44"/>
    <n v="0"/>
    <m/>
    <n v="0"/>
    <n v="0"/>
    <n v="0"/>
    <n v="0"/>
    <n v="0"/>
    <n v="0"/>
    <n v="0"/>
    <n v="0"/>
  </r>
  <r>
    <x v="3"/>
    <x v="15"/>
    <d v="2026-04-06T00:00:00"/>
    <d v="2026-04-19T00:00:00"/>
    <s v="USD"/>
    <x v="0"/>
    <s v="phrase&amp;exact"/>
    <s v="Amazon"/>
    <s v="United States"/>
    <s v="snack tray for stroller"/>
    <s v="PHRASE"/>
    <x v="187"/>
    <n v="52"/>
    <n v="4"/>
    <n v="7.6923000000000005E-2"/>
    <n v="0.2"/>
    <n v="0.8"/>
    <n v="0"/>
    <m/>
    <n v="0"/>
    <n v="0"/>
    <n v="0"/>
    <n v="0"/>
    <n v="0"/>
    <n v="0"/>
    <n v="0"/>
    <n v="0"/>
  </r>
  <r>
    <x v="3"/>
    <x v="17"/>
    <d v="2026-04-15T00:00:00"/>
    <d v="2026-04-30T00:00:00"/>
    <s v="USD"/>
    <x v="0"/>
    <s v="phrase&amp;exact"/>
    <s v="Amazon"/>
    <s v="United States"/>
    <s v="snack tray for stroller"/>
    <s v="EXACT"/>
    <x v="187"/>
    <n v="42"/>
    <n v="4"/>
    <n v="9.5238000000000003E-2"/>
    <n v="0.2"/>
    <n v="0.8"/>
    <n v="0"/>
    <m/>
    <n v="0"/>
    <n v="0"/>
    <n v="0"/>
    <n v="0"/>
    <n v="0"/>
    <n v="0"/>
    <n v="0"/>
    <n v="0"/>
  </r>
  <r>
    <x v="3"/>
    <x v="17"/>
    <d v="2026-04-15T00:00:00"/>
    <d v="2026-04-15T00:00:00"/>
    <s v="USD"/>
    <x v="2"/>
    <s v="Tray"/>
    <s v="Amazon"/>
    <s v="United States"/>
    <s v="asin=&quot;B0F4KJN2VC&quot;"/>
    <s v="-"/>
    <x v="187"/>
    <n v="8"/>
    <n v="1"/>
    <n v="0.125"/>
    <n v="0.56999999999999995"/>
    <n v="0.56999999999999995"/>
    <n v="0"/>
    <m/>
    <n v="0"/>
    <n v="0"/>
    <n v="0"/>
    <n v="0"/>
    <n v="0"/>
    <n v="0"/>
    <n v="0"/>
    <n v="0"/>
  </r>
  <r>
    <x v="3"/>
    <x v="17"/>
    <d v="2026-04-18T00:00:00"/>
    <d v="2026-04-18T00:00:00"/>
    <s v="USD"/>
    <x v="0"/>
    <s v="broad组"/>
    <s v="Amazon"/>
    <s v="United States"/>
    <s v="snack tray for stroller"/>
    <s v="BROAD"/>
    <x v="187"/>
    <n v="4"/>
    <n v="1"/>
    <n v="0.25"/>
    <n v="0.2"/>
    <n v="0.2"/>
    <n v="0"/>
    <m/>
    <n v="0"/>
    <n v="0"/>
    <n v="0"/>
    <n v="0"/>
    <n v="0"/>
    <n v="0"/>
    <n v="0"/>
    <n v="0"/>
  </r>
  <r>
    <x v="3"/>
    <x v="15"/>
    <d v="2026-04-10T00:00:00"/>
    <d v="2026-04-10T00:00:00"/>
    <s v="USD"/>
    <x v="0"/>
    <s v="broad组"/>
    <s v="Amazon"/>
    <s v="United States"/>
    <s v="universal snack tray for stroller"/>
    <s v="BROAD"/>
    <x v="187"/>
    <n v="1"/>
    <n v="1"/>
    <n v="1"/>
    <n v="0.2"/>
    <n v="0.2"/>
    <n v="0"/>
    <m/>
    <n v="0"/>
    <n v="0"/>
    <n v="0"/>
    <n v="0"/>
    <n v="0"/>
    <n v="0"/>
    <n v="0"/>
    <n v="0"/>
  </r>
  <r>
    <x v="3"/>
    <x v="15"/>
    <d v="2026-04-06T00:00:00"/>
    <d v="2026-04-06T00:00:00"/>
    <s v="USD"/>
    <x v="0"/>
    <s v="phrase&amp;exact"/>
    <s v="Amazon"/>
    <s v="United States"/>
    <s v="snack tray for stroller"/>
    <s v="PHRASE"/>
    <x v="1096"/>
    <n v="3"/>
    <n v="1"/>
    <n v="0.33333299999999999"/>
    <n v="0.08"/>
    <n v="0.08"/>
    <n v="0"/>
    <m/>
    <n v="0"/>
    <n v="0"/>
    <n v="0"/>
    <n v="0"/>
    <n v="0"/>
    <n v="0"/>
    <n v="0"/>
    <n v="0"/>
  </r>
  <r>
    <x v="3"/>
    <x v="17"/>
    <d v="2026-04-16T00:00:00"/>
    <d v="2026-04-16T00:00:00"/>
    <s v="USD"/>
    <x v="0"/>
    <s v="broad组"/>
    <s v="Amazon"/>
    <s v="United States"/>
    <s v="stroller tray"/>
    <s v="BROAD"/>
    <x v="188"/>
    <n v="1"/>
    <n v="1"/>
    <n v="1"/>
    <n v="0.21"/>
    <n v="0.21"/>
    <n v="0"/>
    <m/>
    <n v="0"/>
    <n v="0"/>
    <n v="0"/>
    <n v="0"/>
    <n v="0"/>
    <n v="0"/>
    <n v="0"/>
    <n v="0"/>
  </r>
  <r>
    <x v="3"/>
    <x v="15"/>
    <d v="2026-04-08T00:00:00"/>
    <d v="2026-04-08T00:00:00"/>
    <s v="USD"/>
    <x v="0"/>
    <s v="broad组"/>
    <s v="Amazon"/>
    <s v="United States"/>
    <s v="stroller tray"/>
    <s v="BROAD"/>
    <x v="740"/>
    <n v="1"/>
    <n v="1"/>
    <n v="1"/>
    <n v="0.21"/>
    <n v="0.21"/>
    <n v="0"/>
    <m/>
    <n v="0"/>
    <n v="0"/>
    <n v="0"/>
    <n v="0"/>
    <n v="0"/>
    <n v="0"/>
    <n v="0"/>
    <n v="0"/>
  </r>
  <r>
    <x v="3"/>
    <x v="16"/>
    <d v="2026-04-28T00:00:00"/>
    <d v="2026-04-28T00:00:00"/>
    <s v="USD"/>
    <x v="0"/>
    <s v="broad组"/>
    <s v="Amazon"/>
    <s v="United States"/>
    <s v="stroller snack tray"/>
    <s v="BROAD"/>
    <x v="740"/>
    <n v="2"/>
    <n v="1"/>
    <n v="0.5"/>
    <n v="0.08"/>
    <n v="0.08"/>
    <n v="0"/>
    <m/>
    <n v="0"/>
    <n v="0"/>
    <n v="0"/>
    <n v="0"/>
    <n v="0"/>
    <n v="0"/>
    <n v="0"/>
    <n v="0"/>
  </r>
  <r>
    <x v="3"/>
    <x v="17"/>
    <d v="2026-04-15T00:00:00"/>
    <d v="2026-04-15T00:00:00"/>
    <s v="USD"/>
    <x v="4"/>
    <s v="stroller tray"/>
    <s v="Amazon"/>
    <s v="United States"/>
    <s v="loose-match"/>
    <s v="-"/>
    <x v="1097"/>
    <n v="1"/>
    <n v="1"/>
    <n v="1"/>
    <n v="0.53"/>
    <n v="0.53"/>
    <n v="0"/>
    <m/>
    <n v="0"/>
    <n v="0"/>
    <n v="0"/>
    <n v="0"/>
    <n v="0"/>
    <n v="0"/>
    <n v="0"/>
    <n v="0"/>
  </r>
  <r>
    <x v="3"/>
    <x v="16"/>
    <d v="2026-04-30T00:00:00"/>
    <d v="2026-04-30T00:00:00"/>
    <s v="USD"/>
    <x v="0"/>
    <s v="broad组"/>
    <s v="Amazon"/>
    <s v="United States"/>
    <s v="snack tray for stroller"/>
    <s v="BROAD"/>
    <x v="864"/>
    <n v="3"/>
    <n v="1"/>
    <n v="0.33333299999999999"/>
    <n v="0.21"/>
    <n v="0.21"/>
    <n v="0"/>
    <m/>
    <n v="0"/>
    <n v="0"/>
    <n v="0"/>
    <n v="0"/>
    <n v="0"/>
    <n v="0"/>
    <n v="0"/>
    <n v="0"/>
  </r>
  <r>
    <x v="3"/>
    <x v="14"/>
    <d v="2026-04-21T00:00:00"/>
    <d v="2026-04-21T00:00:00"/>
    <s v="USD"/>
    <x v="2"/>
    <s v="Tray"/>
    <s v="Amazon"/>
    <s v="United States"/>
    <s v="asin=&quot;B0DH98H2G4&quot;"/>
    <s v="-"/>
    <x v="1098"/>
    <n v="1"/>
    <n v="1"/>
    <n v="1"/>
    <n v="0.42"/>
    <n v="0.42"/>
    <n v="0"/>
    <m/>
    <n v="0"/>
    <n v="0"/>
    <n v="0"/>
    <n v="0"/>
    <n v="0"/>
    <n v="0"/>
    <n v="0"/>
    <n v="0"/>
  </r>
  <r>
    <x v="3"/>
    <x v="16"/>
    <d v="2026-04-26T00:00:00"/>
    <d v="2026-04-26T00:00:00"/>
    <s v="USD"/>
    <x v="0"/>
    <s v="broad组"/>
    <s v="Amazon"/>
    <s v="United States"/>
    <s v="snack holder for stroller"/>
    <s v="BROAD"/>
    <x v="1099"/>
    <n v="1"/>
    <n v="1"/>
    <n v="1"/>
    <n v="0.21"/>
    <n v="0.21"/>
    <n v="0"/>
    <m/>
    <n v="0"/>
    <n v="0"/>
    <n v="0"/>
    <n v="0"/>
    <n v="0"/>
    <n v="0"/>
    <n v="0"/>
    <n v="0"/>
  </r>
  <r>
    <x v="3"/>
    <x v="14"/>
    <d v="2026-04-21T00:00:00"/>
    <d v="2026-04-21T00:00:00"/>
    <s v="USD"/>
    <x v="4"/>
    <s v="stroller tray"/>
    <s v="Amazon"/>
    <s v="United States"/>
    <s v="loose-match"/>
    <s v="-"/>
    <x v="1100"/>
    <n v="1"/>
    <n v="1"/>
    <n v="1"/>
    <n v="0.52"/>
    <n v="0.52"/>
    <n v="0"/>
    <m/>
    <n v="0"/>
    <n v="0"/>
    <n v="0"/>
    <n v="0"/>
    <n v="0"/>
    <n v="0"/>
    <n v="0"/>
    <n v="0"/>
  </r>
  <r>
    <x v="3"/>
    <x v="14"/>
    <d v="2026-04-25T00:00:00"/>
    <d v="2026-04-25T00:00:00"/>
    <s v="USD"/>
    <x v="0"/>
    <s v="broad组"/>
    <s v="Amazon"/>
    <s v="United States"/>
    <s v="snack tray for stroller"/>
    <s v="BROAD"/>
    <x v="1101"/>
    <n v="1"/>
    <n v="1"/>
    <n v="1"/>
    <n v="0.4"/>
    <n v="0.4"/>
    <n v="0"/>
    <m/>
    <n v="0"/>
    <n v="0"/>
    <n v="0"/>
    <n v="0"/>
    <n v="0"/>
    <n v="0"/>
    <n v="0"/>
    <n v="0"/>
  </r>
  <r>
    <x v="3"/>
    <x v="12"/>
    <d v="2026-04-04T00:00:00"/>
    <d v="2026-04-16T00:00:00"/>
    <s v="USD"/>
    <x v="0"/>
    <s v="phrase&amp;exact"/>
    <s v="Amazon"/>
    <s v="United States"/>
    <s v="stroller accessories"/>
    <s v="EXACT"/>
    <x v="192"/>
    <n v="26"/>
    <n v="4"/>
    <n v="0.15384600000000001"/>
    <n v="0.26"/>
    <n v="1.03"/>
    <n v="18.989999999999998"/>
    <n v="5.4239000000000002E-2"/>
    <n v="18.440000000000001"/>
    <n v="1"/>
    <n v="1"/>
    <n v="0.25"/>
    <n v="1"/>
    <n v="0"/>
    <n v="18.989999999999998"/>
    <n v="0"/>
  </r>
  <r>
    <x v="3"/>
    <x v="12"/>
    <d v="2026-04-02T00:00:00"/>
    <d v="2026-04-02T00:00:00"/>
    <s v="USD"/>
    <x v="0"/>
    <s v="broad组"/>
    <s v="Amazon"/>
    <s v="United States"/>
    <s v="stroller attachment"/>
    <s v="BROAD"/>
    <x v="1102"/>
    <n v="3"/>
    <n v="1"/>
    <n v="0.33333299999999999"/>
    <n v="0.4"/>
    <n v="0.4"/>
    <n v="0"/>
    <m/>
    <n v="0"/>
    <n v="0"/>
    <n v="0"/>
    <n v="0"/>
    <n v="0"/>
    <n v="0"/>
    <n v="0"/>
    <n v="0"/>
  </r>
  <r>
    <x v="3"/>
    <x v="16"/>
    <d v="2026-04-29T00:00:00"/>
    <d v="2026-04-29T00:00:00"/>
    <s v="USD"/>
    <x v="0"/>
    <s v="broad组"/>
    <s v="Amazon"/>
    <s v="United States"/>
    <s v="snack holder for stroller"/>
    <s v="BROAD"/>
    <x v="1103"/>
    <n v="1"/>
    <n v="1"/>
    <n v="1"/>
    <n v="0.21"/>
    <n v="0.21"/>
    <n v="0"/>
    <m/>
    <n v="0"/>
    <n v="0"/>
    <n v="0"/>
    <n v="0"/>
    <n v="0"/>
    <n v="0"/>
    <n v="0"/>
    <n v="0"/>
  </r>
  <r>
    <x v="3"/>
    <x v="12"/>
    <d v="2026-04-02T00:00:00"/>
    <d v="2026-04-02T00:00:00"/>
    <s v="USD"/>
    <x v="0"/>
    <s v="broad组"/>
    <s v="Amazon"/>
    <s v="United States"/>
    <s v="stroller attachment"/>
    <s v="BROAD"/>
    <x v="1104"/>
    <n v="1"/>
    <n v="1"/>
    <n v="1"/>
    <n v="0.2"/>
    <n v="0.2"/>
    <n v="0"/>
    <m/>
    <n v="0"/>
    <n v="0"/>
    <n v="0"/>
    <n v="0"/>
    <n v="0"/>
    <n v="0"/>
    <n v="0"/>
    <n v="0"/>
  </r>
  <r>
    <x v="3"/>
    <x v="17"/>
    <d v="2026-04-16T00:00:00"/>
    <d v="2026-04-16T00:00:00"/>
    <s v="USD"/>
    <x v="4"/>
    <s v="stroller tray"/>
    <s v="Amazon"/>
    <s v="United States"/>
    <s v="loose-match"/>
    <s v="-"/>
    <x v="1105"/>
    <n v="2"/>
    <n v="1"/>
    <n v="0.5"/>
    <n v="0.53"/>
    <n v="0.53"/>
    <n v="0"/>
    <m/>
    <n v="0"/>
    <n v="0"/>
    <n v="0"/>
    <n v="0"/>
    <n v="0"/>
    <n v="0"/>
    <n v="0"/>
    <n v="0"/>
  </r>
  <r>
    <x v="3"/>
    <x v="16"/>
    <d v="2026-04-27T00:00:00"/>
    <d v="2026-04-27T00:00:00"/>
    <s v="USD"/>
    <x v="0"/>
    <s v="broad组"/>
    <s v="Amazon"/>
    <s v="United States"/>
    <s v="cup holder for stroller"/>
    <s v="BROAD"/>
    <x v="302"/>
    <n v="2"/>
    <n v="1"/>
    <n v="0.5"/>
    <n v="0.21"/>
    <n v="0.21"/>
    <n v="0"/>
    <m/>
    <n v="0"/>
    <n v="0"/>
    <n v="0"/>
    <n v="0"/>
    <n v="0"/>
    <n v="0"/>
    <n v="0"/>
    <n v="0"/>
  </r>
  <r>
    <x v="3"/>
    <x v="15"/>
    <d v="2026-04-08T00:00:00"/>
    <d v="2026-04-08T00:00:00"/>
    <s v="USD"/>
    <x v="0"/>
    <s v="broad组"/>
    <s v="Amazon"/>
    <s v="United States"/>
    <s v="stroller cup holder"/>
    <s v="BROAD"/>
    <x v="1106"/>
    <n v="6"/>
    <n v="1"/>
    <n v="0.16666700000000001"/>
    <n v="0.21"/>
    <n v="0.21"/>
    <n v="0"/>
    <m/>
    <n v="0"/>
    <n v="0"/>
    <n v="0"/>
    <n v="0"/>
    <n v="0"/>
    <n v="0"/>
    <n v="0"/>
    <n v="0"/>
  </r>
  <r>
    <x v="3"/>
    <x v="17"/>
    <d v="2026-04-12T00:00:00"/>
    <d v="2026-04-12T00:00:00"/>
    <s v="USD"/>
    <x v="0"/>
    <s v="broad组"/>
    <s v="Amazon"/>
    <s v="United States"/>
    <s v="stroller tray"/>
    <s v="BROAD"/>
    <x v="1107"/>
    <n v="1"/>
    <n v="1"/>
    <n v="1"/>
    <n v="0.21"/>
    <n v="0.21"/>
    <n v="0"/>
    <m/>
    <n v="0"/>
    <n v="0"/>
    <n v="0"/>
    <n v="0"/>
    <n v="0"/>
    <n v="0"/>
    <n v="0"/>
    <n v="0"/>
  </r>
  <r>
    <x v="3"/>
    <x v="12"/>
    <d v="2026-04-04T00:00:00"/>
    <d v="2026-04-04T00:00:00"/>
    <s v="USD"/>
    <x v="0"/>
    <s v="broad组"/>
    <s v="Amazon"/>
    <s v="United States"/>
    <s v="stroller cup holder"/>
    <s v="BROAD"/>
    <x v="1108"/>
    <n v="1"/>
    <n v="1"/>
    <n v="1"/>
    <n v="0.21"/>
    <n v="0.21"/>
    <n v="18.989999999999998"/>
    <n v="1.1058E-2"/>
    <n v="90.43"/>
    <n v="1"/>
    <n v="1"/>
    <n v="1"/>
    <n v="1"/>
    <n v="0"/>
    <n v="18.989999999999998"/>
    <n v="0"/>
  </r>
  <r>
    <x v="3"/>
    <x v="16"/>
    <d v="2026-04-28T00:00:00"/>
    <d v="2026-04-28T00:00:00"/>
    <s v="USD"/>
    <x v="2"/>
    <s v="Tray"/>
    <s v="Amazon"/>
    <s v="United States"/>
    <s v="asin=&quot;B0C1G4985Z&quot;"/>
    <s v="-"/>
    <x v="468"/>
    <n v="2"/>
    <n v="1"/>
    <n v="0.5"/>
    <n v="0.64"/>
    <n v="0.64"/>
    <n v="0"/>
    <m/>
    <n v="0"/>
    <n v="0"/>
    <n v="0"/>
    <n v="0"/>
    <n v="0"/>
    <n v="0"/>
    <n v="0"/>
    <n v="0"/>
  </r>
  <r>
    <x v="3"/>
    <x v="14"/>
    <d v="2026-04-25T00:00:00"/>
    <d v="2026-04-25T00:00:00"/>
    <s v="USD"/>
    <x v="0"/>
    <s v="broad组"/>
    <s v="Amazon"/>
    <s v="United States"/>
    <s v="stroller tray"/>
    <s v="BROAD"/>
    <x v="1109"/>
    <n v="1"/>
    <n v="1"/>
    <n v="1"/>
    <n v="0.4"/>
    <n v="0.4"/>
    <n v="0"/>
    <m/>
    <n v="0"/>
    <n v="0"/>
    <n v="0"/>
    <n v="0"/>
    <n v="0"/>
    <n v="0"/>
    <n v="0"/>
    <n v="0"/>
  </r>
  <r>
    <x v="3"/>
    <x v="12"/>
    <d v="2026-04-02T00:00:00"/>
    <d v="2026-04-11T00:00:00"/>
    <s v="USD"/>
    <x v="4"/>
    <s v="stroller tray"/>
    <s v="Amazon"/>
    <s v="United States"/>
    <s v="close-match"/>
    <s v="-"/>
    <x v="198"/>
    <n v="97"/>
    <n v="4"/>
    <n v="4.1237000000000003E-2"/>
    <n v="0.78"/>
    <n v="3.13"/>
    <n v="0"/>
    <m/>
    <n v="0"/>
    <n v="0"/>
    <n v="0"/>
    <n v="0"/>
    <n v="0"/>
    <n v="0"/>
    <n v="0"/>
    <n v="0"/>
  </r>
  <r>
    <x v="3"/>
    <x v="17"/>
    <d v="2026-04-15T00:00:00"/>
    <d v="2026-04-15T00:00:00"/>
    <s v="USD"/>
    <x v="4"/>
    <s v="stroller tray"/>
    <s v="Amazon"/>
    <s v="United States"/>
    <s v="loose-match"/>
    <s v="-"/>
    <x v="198"/>
    <n v="2"/>
    <n v="1"/>
    <n v="0.5"/>
    <n v="0.53"/>
    <n v="0.53"/>
    <n v="0"/>
    <m/>
    <n v="0"/>
    <n v="0"/>
    <n v="0"/>
    <n v="0"/>
    <n v="0"/>
    <n v="0"/>
    <n v="0"/>
    <n v="0"/>
  </r>
  <r>
    <x v="3"/>
    <x v="17"/>
    <d v="2026-04-18T00:00:00"/>
    <d v="2026-04-18T00:00:00"/>
    <s v="USD"/>
    <x v="0"/>
    <s v="broad组"/>
    <s v="Amazon"/>
    <s v="United States"/>
    <s v="stroller cup holder"/>
    <s v="BROAD"/>
    <x v="198"/>
    <n v="10"/>
    <n v="2"/>
    <n v="0.2"/>
    <n v="0.21"/>
    <n v="0.42"/>
    <n v="0"/>
    <m/>
    <n v="0"/>
    <n v="0"/>
    <n v="0"/>
    <n v="0"/>
    <n v="0"/>
    <n v="0"/>
    <n v="0"/>
    <n v="0"/>
  </r>
  <r>
    <x v="3"/>
    <x v="12"/>
    <d v="2026-04-01T00:00:00"/>
    <d v="2026-04-30T00:00:00"/>
    <s v="USD"/>
    <x v="0"/>
    <s v="phrase&amp;exact"/>
    <s v="Amazon"/>
    <s v="United States"/>
    <s v="stroller cup holder"/>
    <s v="PHRASE"/>
    <x v="198"/>
    <n v="104"/>
    <n v="7"/>
    <n v="6.7308000000000007E-2"/>
    <n v="0.2"/>
    <n v="1.42"/>
    <n v="18.989999999999998"/>
    <n v="7.4775999999999995E-2"/>
    <n v="13.37"/>
    <n v="1"/>
    <n v="1"/>
    <n v="0.14285700000000001"/>
    <n v="1"/>
    <n v="0"/>
    <n v="18.989999999999998"/>
    <n v="0"/>
  </r>
  <r>
    <x v="3"/>
    <x v="16"/>
    <d v="2026-04-28T00:00:00"/>
    <d v="2026-04-28T00:00:00"/>
    <s v="USD"/>
    <x v="0"/>
    <s v="broad组"/>
    <s v="Amazon"/>
    <s v="United States"/>
    <s v="cup holder for stroller"/>
    <s v="BROAD"/>
    <x v="198"/>
    <n v="5"/>
    <n v="1"/>
    <n v="0.2"/>
    <n v="0.21"/>
    <n v="0.21"/>
    <n v="0"/>
    <m/>
    <n v="0"/>
    <n v="0"/>
    <n v="0"/>
    <n v="0"/>
    <n v="0"/>
    <n v="0"/>
    <n v="0"/>
    <n v="0"/>
  </r>
  <r>
    <x v="3"/>
    <x v="15"/>
    <d v="2026-04-06T00:00:00"/>
    <d v="2026-04-06T00:00:00"/>
    <s v="USD"/>
    <x v="0"/>
    <s v="broad组"/>
    <s v="Amazon"/>
    <s v="United States"/>
    <s v="stroller cup holder attachment"/>
    <s v="BROAD"/>
    <x v="198"/>
    <n v="2"/>
    <n v="1"/>
    <n v="0.5"/>
    <n v="0.21"/>
    <n v="0.21"/>
    <n v="0"/>
    <m/>
    <n v="0"/>
    <n v="0"/>
    <n v="0"/>
    <n v="0"/>
    <n v="0"/>
    <n v="0"/>
    <n v="0"/>
    <n v="0"/>
  </r>
  <r>
    <x v="3"/>
    <x v="17"/>
    <d v="2026-04-16T00:00:00"/>
    <d v="2026-04-16T00:00:00"/>
    <s v="USD"/>
    <x v="0"/>
    <s v="broad组"/>
    <s v="Amazon"/>
    <s v="United States"/>
    <s v="baby stroller parent cup holders"/>
    <s v="BROAD"/>
    <x v="198"/>
    <n v="1"/>
    <n v="1"/>
    <n v="1"/>
    <n v="0.2"/>
    <n v="0.2"/>
    <n v="0"/>
    <m/>
    <n v="0"/>
    <n v="0"/>
    <n v="0"/>
    <n v="0"/>
    <n v="0"/>
    <n v="0"/>
    <n v="0"/>
    <n v="0"/>
  </r>
  <r>
    <x v="3"/>
    <x v="15"/>
    <d v="2026-04-06T00:00:00"/>
    <d v="2026-04-06T00:00:00"/>
    <s v="USD"/>
    <x v="0"/>
    <s v="phrase&amp;exact"/>
    <s v="Amazon"/>
    <s v="United States"/>
    <s v="stroller cup holder"/>
    <s v="PHRASE"/>
    <x v="1110"/>
    <n v="1"/>
    <n v="1"/>
    <n v="1"/>
    <n v="0.44"/>
    <n v="0.44"/>
    <n v="0"/>
    <m/>
    <n v="0"/>
    <n v="0"/>
    <n v="0"/>
    <n v="0"/>
    <n v="0"/>
    <n v="0"/>
    <n v="0"/>
    <n v="0"/>
  </r>
  <r>
    <x v="3"/>
    <x v="12"/>
    <d v="2026-04-04T00:00:00"/>
    <d v="2026-04-19T00:00:00"/>
    <s v="USD"/>
    <x v="4"/>
    <s v="stroller tray"/>
    <s v="Amazon"/>
    <s v="United States"/>
    <s v="close-match"/>
    <s v="-"/>
    <x v="199"/>
    <n v="107"/>
    <n v="4"/>
    <n v="3.7383E-2"/>
    <n v="0.81"/>
    <n v="3.25"/>
    <n v="18.04"/>
    <n v="0.18015500000000001"/>
    <n v="5.55"/>
    <n v="1"/>
    <n v="1"/>
    <n v="0.25"/>
    <n v="1"/>
    <n v="0"/>
    <n v="18.04"/>
    <n v="0"/>
  </r>
  <r>
    <x v="3"/>
    <x v="16"/>
    <d v="2026-04-30T00:00:00"/>
    <d v="2026-04-30T00:00:00"/>
    <s v="USD"/>
    <x v="0"/>
    <s v="broad组"/>
    <s v="Amazon"/>
    <s v="United States"/>
    <s v="stroller cup holder"/>
    <s v="BROAD"/>
    <x v="199"/>
    <n v="1"/>
    <n v="1"/>
    <n v="1"/>
    <n v="0.21"/>
    <n v="0.21"/>
    <n v="0"/>
    <m/>
    <n v="0"/>
    <n v="0"/>
    <n v="0"/>
    <n v="0"/>
    <n v="0"/>
    <n v="0"/>
    <n v="0"/>
    <n v="0"/>
  </r>
  <r>
    <x v="3"/>
    <x v="17"/>
    <d v="2026-04-17T00:00:00"/>
    <d v="2026-04-21T00:00:00"/>
    <s v="USD"/>
    <x v="0"/>
    <s v="broad组"/>
    <s v="Amazon"/>
    <s v="United States"/>
    <s v="stroller cup holder attachment"/>
    <s v="BROAD"/>
    <x v="199"/>
    <n v="7"/>
    <n v="2"/>
    <n v="0.28571400000000002"/>
    <n v="0.21"/>
    <n v="0.41"/>
    <n v="0"/>
    <m/>
    <n v="0"/>
    <n v="0"/>
    <n v="0"/>
    <n v="0"/>
    <n v="0"/>
    <n v="0"/>
    <n v="0"/>
    <n v="0"/>
  </r>
  <r>
    <x v="3"/>
    <x v="15"/>
    <d v="2026-04-11T00:00:00"/>
    <d v="2026-04-11T00:00:00"/>
    <s v="USD"/>
    <x v="0"/>
    <s v="broad组"/>
    <s v="Amazon"/>
    <s v="United States"/>
    <s v="cup holder and tray for stroller"/>
    <s v="BROAD"/>
    <x v="199"/>
    <n v="2"/>
    <n v="1"/>
    <n v="0.5"/>
    <n v="0.2"/>
    <n v="0.2"/>
    <n v="0"/>
    <m/>
    <n v="0"/>
    <n v="0"/>
    <n v="0"/>
    <n v="0"/>
    <n v="0"/>
    <n v="0"/>
    <n v="0"/>
    <n v="0"/>
  </r>
  <r>
    <x v="3"/>
    <x v="17"/>
    <d v="2026-04-14T00:00:00"/>
    <d v="2026-04-14T00:00:00"/>
    <s v="USD"/>
    <x v="0"/>
    <s v="broad组"/>
    <s v="Amazon"/>
    <s v="United States"/>
    <s v="stroller cup holder attachment"/>
    <s v="BROAD"/>
    <x v="1111"/>
    <n v="1"/>
    <n v="1"/>
    <n v="1"/>
    <n v="0.2"/>
    <n v="0.2"/>
    <n v="0"/>
    <m/>
    <n v="0"/>
    <n v="0"/>
    <n v="0"/>
    <n v="0"/>
    <n v="0"/>
    <n v="0"/>
    <n v="0"/>
    <n v="0"/>
  </r>
  <r>
    <x v="3"/>
    <x v="15"/>
    <d v="2026-04-09T00:00:00"/>
    <d v="2026-04-09T00:00:00"/>
    <s v="USD"/>
    <x v="0"/>
    <s v="phrase&amp;exact"/>
    <s v="Amazon"/>
    <s v="United States"/>
    <s v="stroller cup holder"/>
    <s v="PHRASE"/>
    <x v="1112"/>
    <n v="1"/>
    <n v="1"/>
    <n v="1"/>
    <n v="0.39"/>
    <n v="0.39"/>
    <n v="0"/>
    <m/>
    <n v="0"/>
    <n v="0"/>
    <n v="0"/>
    <n v="0"/>
    <n v="0"/>
    <n v="0"/>
    <n v="0"/>
    <n v="0"/>
  </r>
  <r>
    <x v="3"/>
    <x v="17"/>
    <d v="2026-04-16T00:00:00"/>
    <d v="2026-04-16T00:00:00"/>
    <s v="USD"/>
    <x v="0"/>
    <s v="phrase&amp;exact"/>
    <s v="Amazon"/>
    <s v="United States"/>
    <s v="stroller cup holder"/>
    <s v="PHRASE"/>
    <x v="1113"/>
    <n v="1"/>
    <n v="1"/>
    <n v="1"/>
    <n v="0.35"/>
    <n v="0.35"/>
    <n v="0"/>
    <m/>
    <n v="0"/>
    <n v="0"/>
    <n v="0"/>
    <n v="0"/>
    <n v="0"/>
    <n v="0"/>
    <n v="0"/>
    <n v="0"/>
  </r>
  <r>
    <x v="3"/>
    <x v="12"/>
    <d v="2026-04-03T00:00:00"/>
    <d v="2026-04-03T00:00:00"/>
    <s v="USD"/>
    <x v="0"/>
    <s v="phrase&amp;exact"/>
    <s v="Amazon"/>
    <s v="United States"/>
    <s v="stroller cup holder"/>
    <s v="PHRASE"/>
    <x v="1114"/>
    <n v="2"/>
    <n v="1"/>
    <n v="0.5"/>
    <n v="0.4"/>
    <n v="0.4"/>
    <n v="0"/>
    <m/>
    <n v="0"/>
    <n v="0"/>
    <n v="0"/>
    <n v="0"/>
    <n v="0"/>
    <n v="0"/>
    <n v="0"/>
    <n v="0"/>
  </r>
  <r>
    <x v="3"/>
    <x v="16"/>
    <d v="2026-04-27T00:00:00"/>
    <d v="2026-04-27T00:00:00"/>
    <s v="USD"/>
    <x v="0"/>
    <s v="phrase&amp;exact"/>
    <s v="Amazon"/>
    <s v="United States"/>
    <s v="stroller cup holder"/>
    <s v="PHRASE"/>
    <x v="1115"/>
    <n v="2"/>
    <n v="1"/>
    <n v="0.5"/>
    <n v="0.2"/>
    <n v="0.2"/>
    <n v="0"/>
    <m/>
    <n v="0"/>
    <n v="0"/>
    <n v="0"/>
    <n v="0"/>
    <n v="0"/>
    <n v="0"/>
    <n v="0"/>
    <n v="0"/>
  </r>
  <r>
    <x v="3"/>
    <x v="16"/>
    <d v="2026-04-29T00:00:00"/>
    <d v="2026-04-29T00:00:00"/>
    <s v="USD"/>
    <x v="0"/>
    <s v="broad组"/>
    <s v="Amazon"/>
    <s v="United States"/>
    <s v="cup holder for stroller"/>
    <s v="BROAD"/>
    <x v="1116"/>
    <n v="1"/>
    <n v="1"/>
    <n v="1"/>
    <n v="0.21"/>
    <n v="0.21"/>
    <n v="0"/>
    <m/>
    <n v="0"/>
    <n v="0"/>
    <n v="0"/>
    <n v="0"/>
    <n v="0"/>
    <n v="0"/>
    <n v="0"/>
    <n v="0"/>
  </r>
  <r>
    <x v="3"/>
    <x v="17"/>
    <d v="2026-04-13T00:00:00"/>
    <d v="2026-04-13T00:00:00"/>
    <s v="USD"/>
    <x v="0"/>
    <s v="broad组"/>
    <s v="Amazon"/>
    <s v="United States"/>
    <s v="stroller attachment"/>
    <s v="BROAD"/>
    <x v="1117"/>
    <n v="2"/>
    <n v="1"/>
    <n v="0.5"/>
    <n v="0.19"/>
    <n v="0.19"/>
    <n v="0"/>
    <m/>
    <n v="0"/>
    <n v="0"/>
    <n v="0"/>
    <n v="0"/>
    <n v="0"/>
    <n v="0"/>
    <n v="0"/>
    <n v="0"/>
  </r>
  <r>
    <x v="3"/>
    <x v="17"/>
    <d v="2026-04-14T00:00:00"/>
    <d v="2026-04-14T00:00:00"/>
    <s v="USD"/>
    <x v="4"/>
    <s v="stroller tray"/>
    <s v="Amazon"/>
    <s v="United States"/>
    <s v="loose-match"/>
    <s v="-"/>
    <x v="1118"/>
    <n v="2"/>
    <n v="1"/>
    <n v="0.5"/>
    <n v="0.53"/>
    <n v="0.53"/>
    <n v="0"/>
    <m/>
    <n v="0"/>
    <n v="0"/>
    <n v="0"/>
    <n v="0"/>
    <n v="0"/>
    <n v="0"/>
    <n v="0"/>
    <n v="0"/>
  </r>
  <r>
    <x v="3"/>
    <x v="15"/>
    <d v="2026-04-10T00:00:00"/>
    <d v="2026-04-10T00:00:00"/>
    <s v="USD"/>
    <x v="0"/>
    <s v="broad组"/>
    <s v="Amazon"/>
    <s v="United States"/>
    <s v="stroller tray"/>
    <s v="BROAD"/>
    <x v="203"/>
    <n v="2"/>
    <n v="1"/>
    <n v="0.5"/>
    <n v="0.4"/>
    <n v="0.4"/>
    <n v="0"/>
    <m/>
    <n v="0"/>
    <n v="0"/>
    <n v="0"/>
    <n v="0"/>
    <n v="0"/>
    <n v="0"/>
    <n v="0"/>
    <n v="0"/>
  </r>
  <r>
    <x v="3"/>
    <x v="17"/>
    <d v="2026-04-17T00:00:00"/>
    <d v="2026-04-17T00:00:00"/>
    <s v="USD"/>
    <x v="0"/>
    <s v="broad组"/>
    <s v="Amazon"/>
    <s v="United States"/>
    <s v="snack holder for stroller"/>
    <s v="BROAD"/>
    <x v="475"/>
    <n v="1"/>
    <n v="1"/>
    <n v="1"/>
    <n v="0.4"/>
    <n v="0.4"/>
    <n v="0"/>
    <m/>
    <n v="0"/>
    <n v="0"/>
    <n v="0"/>
    <n v="0"/>
    <n v="0"/>
    <n v="0"/>
    <n v="0"/>
    <n v="0"/>
  </r>
  <r>
    <x v="3"/>
    <x v="16"/>
    <d v="2026-04-28T00:00:00"/>
    <d v="2026-04-28T00:00:00"/>
    <s v="USD"/>
    <x v="2"/>
    <s v="Tray"/>
    <s v="Amazon"/>
    <s v="United States"/>
    <s v="asin=&quot;B0C1G4985Z&quot;"/>
    <s v="-"/>
    <x v="205"/>
    <n v="31"/>
    <n v="1"/>
    <n v="3.2258000000000002E-2"/>
    <n v="0.45"/>
    <n v="0.45"/>
    <n v="0"/>
    <m/>
    <n v="0"/>
    <n v="0"/>
    <n v="0"/>
    <n v="0"/>
    <n v="0"/>
    <n v="0"/>
    <n v="0"/>
    <n v="0"/>
  </r>
  <r>
    <x v="3"/>
    <x v="12"/>
    <d v="2026-04-01T00:00:00"/>
    <d v="2026-04-16T00:00:00"/>
    <s v="USD"/>
    <x v="4"/>
    <s v="stroller tray"/>
    <s v="Amazon"/>
    <s v="United States"/>
    <s v="close-match"/>
    <s v="-"/>
    <x v="205"/>
    <n v="305"/>
    <n v="6"/>
    <n v="1.9671999999999999E-2"/>
    <n v="0.78"/>
    <n v="4.7"/>
    <n v="17.09"/>
    <n v="0.27501500000000001"/>
    <n v="3.64"/>
    <n v="1"/>
    <n v="1"/>
    <n v="0.16666700000000001"/>
    <n v="1"/>
    <n v="0"/>
    <n v="17.09"/>
    <n v="0"/>
  </r>
  <r>
    <x v="3"/>
    <x v="15"/>
    <d v="2026-04-07T00:00:00"/>
    <d v="2026-04-07T00:00:00"/>
    <s v="USD"/>
    <x v="0"/>
    <s v="broad组"/>
    <s v="Amazon"/>
    <s v="United States"/>
    <s v="stroller clip on tray"/>
    <s v="BROAD"/>
    <x v="205"/>
    <n v="2"/>
    <n v="1"/>
    <n v="0.5"/>
    <n v="0.22"/>
    <n v="0.22"/>
    <n v="0"/>
    <m/>
    <n v="0"/>
    <n v="0"/>
    <n v="0"/>
    <n v="0"/>
    <n v="0"/>
    <n v="0"/>
    <n v="0"/>
    <n v="0"/>
  </r>
  <r>
    <x v="3"/>
    <x v="16"/>
    <d v="2026-04-29T00:00:00"/>
    <d v="2026-04-29T00:00:00"/>
    <s v="USD"/>
    <x v="0"/>
    <s v="broad组"/>
    <s v="Amazon"/>
    <s v="United States"/>
    <s v="stroller tray"/>
    <s v="BROAD"/>
    <x v="205"/>
    <n v="7"/>
    <n v="1"/>
    <n v="0.14285700000000001"/>
    <n v="0.21"/>
    <n v="0.21"/>
    <n v="0"/>
    <m/>
    <n v="0"/>
    <n v="0"/>
    <n v="0"/>
    <n v="0"/>
    <n v="0"/>
    <n v="0"/>
    <n v="0"/>
    <n v="0"/>
  </r>
  <r>
    <x v="3"/>
    <x v="14"/>
    <d v="2026-04-25T00:00:00"/>
    <d v="2026-04-25T00:00:00"/>
    <s v="USD"/>
    <x v="0"/>
    <s v="broad组"/>
    <s v="Amazon"/>
    <s v="United States"/>
    <s v="stroller snack tray"/>
    <s v="BROAD"/>
    <x v="205"/>
    <n v="1"/>
    <n v="1"/>
    <n v="1"/>
    <n v="0.21"/>
    <n v="0.21"/>
    <n v="0"/>
    <m/>
    <n v="0"/>
    <n v="0"/>
    <n v="0"/>
    <n v="0"/>
    <n v="0"/>
    <n v="0"/>
    <n v="0"/>
    <n v="0"/>
  </r>
  <r>
    <x v="3"/>
    <x v="12"/>
    <d v="2026-04-03T00:00:00"/>
    <d v="2026-04-29T00:00:00"/>
    <s v="USD"/>
    <x v="0"/>
    <s v="phrase&amp;exact"/>
    <s v="Amazon"/>
    <s v="United States"/>
    <s v="stroller snack tray"/>
    <s v="PHRASE"/>
    <x v="205"/>
    <n v="161"/>
    <n v="7"/>
    <n v="4.3478000000000003E-2"/>
    <n v="0.2"/>
    <n v="1.4"/>
    <n v="0"/>
    <m/>
    <n v="0"/>
    <n v="0"/>
    <n v="0"/>
    <n v="0"/>
    <n v="0"/>
    <n v="0"/>
    <n v="0"/>
    <n v="0"/>
  </r>
  <r>
    <x v="3"/>
    <x v="17"/>
    <d v="2026-04-16T00:00:00"/>
    <d v="2026-04-20T00:00:00"/>
    <s v="USD"/>
    <x v="0"/>
    <s v="phrase&amp;exact"/>
    <s v="Amazon"/>
    <s v="United States"/>
    <s v="stroller snack tray"/>
    <s v="EXACT"/>
    <x v="205"/>
    <n v="20"/>
    <n v="3"/>
    <n v="0.15"/>
    <n v="0.2"/>
    <n v="0.6"/>
    <n v="18.04"/>
    <n v="3.3258999999999997E-2"/>
    <n v="30.07"/>
    <n v="1"/>
    <n v="1"/>
    <n v="0.33333299999999999"/>
    <n v="0"/>
    <n v="1"/>
    <n v="0"/>
    <n v="18.04"/>
  </r>
  <r>
    <x v="3"/>
    <x v="15"/>
    <d v="2026-04-07T00:00:00"/>
    <d v="2026-04-07T00:00:00"/>
    <s v="USD"/>
    <x v="2"/>
    <s v="Tray"/>
    <s v="Amazon"/>
    <s v="United States"/>
    <s v="asin=&quot;B0F4KJN2VC&quot;"/>
    <s v="-"/>
    <x v="205"/>
    <n v="11"/>
    <n v="1"/>
    <n v="9.0909000000000004E-2"/>
    <n v="0.4"/>
    <n v="0.4"/>
    <n v="0"/>
    <m/>
    <n v="0"/>
    <n v="0"/>
    <n v="0"/>
    <n v="0"/>
    <n v="0"/>
    <n v="0"/>
    <n v="0"/>
    <n v="0"/>
  </r>
  <r>
    <x v="3"/>
    <x v="15"/>
    <d v="2026-04-07T00:00:00"/>
    <d v="2026-04-28T00:00:00"/>
    <s v="USD"/>
    <x v="0"/>
    <s v="broad组"/>
    <s v="Amazon"/>
    <s v="United States"/>
    <s v="snack tray for stroller"/>
    <s v="BROAD"/>
    <x v="205"/>
    <n v="30"/>
    <n v="6"/>
    <n v="0.2"/>
    <n v="0.2"/>
    <n v="1.22"/>
    <n v="0"/>
    <m/>
    <n v="0"/>
    <n v="0"/>
    <n v="0"/>
    <n v="0"/>
    <n v="0"/>
    <n v="0"/>
    <n v="0"/>
    <n v="0"/>
  </r>
  <r>
    <x v="3"/>
    <x v="15"/>
    <d v="2026-04-09T00:00:00"/>
    <d v="2026-04-25T00:00:00"/>
    <s v="USD"/>
    <x v="4"/>
    <s v="stroller tray"/>
    <s v="Amazon"/>
    <s v="United States"/>
    <s v="close-match"/>
    <s v="-"/>
    <x v="206"/>
    <n v="180"/>
    <n v="5"/>
    <n v="2.7778000000000001E-2"/>
    <n v="0.82"/>
    <n v="4.0999999999999996"/>
    <n v="0"/>
    <m/>
    <n v="0"/>
    <n v="0"/>
    <n v="0"/>
    <n v="0"/>
    <n v="0"/>
    <n v="0"/>
    <n v="0"/>
    <n v="0"/>
  </r>
  <r>
    <x v="3"/>
    <x v="15"/>
    <d v="2026-04-10T00:00:00"/>
    <d v="2026-04-14T00:00:00"/>
    <s v="USD"/>
    <x v="0"/>
    <s v="broad组"/>
    <s v="Amazon"/>
    <s v="United States"/>
    <s v="stroller tray"/>
    <s v="BROAD"/>
    <x v="206"/>
    <n v="4"/>
    <n v="2"/>
    <n v="0.5"/>
    <n v="0.21"/>
    <n v="0.42"/>
    <n v="18.989999999999998"/>
    <n v="2.2117000000000001E-2"/>
    <n v="45.21"/>
    <n v="1"/>
    <n v="1"/>
    <n v="0.5"/>
    <n v="1"/>
    <n v="0"/>
    <n v="18.989999999999998"/>
    <n v="0"/>
  </r>
  <r>
    <x v="3"/>
    <x v="16"/>
    <d v="2026-04-29T00:00:00"/>
    <d v="2026-04-29T00:00:00"/>
    <s v="USD"/>
    <x v="0"/>
    <s v="broad组"/>
    <s v="Amazon"/>
    <s v="United States"/>
    <s v="stroller tray attachment"/>
    <s v="BROAD"/>
    <x v="206"/>
    <n v="12"/>
    <n v="1"/>
    <n v="8.3333000000000004E-2"/>
    <n v="0.2"/>
    <n v="0.2"/>
    <n v="0"/>
    <m/>
    <n v="0"/>
    <n v="0"/>
    <n v="0"/>
    <n v="0"/>
    <n v="0"/>
    <n v="0"/>
    <n v="0"/>
    <n v="0"/>
  </r>
  <r>
    <x v="3"/>
    <x v="15"/>
    <d v="2026-04-08T00:00:00"/>
    <d v="2026-04-26T00:00:00"/>
    <s v="USD"/>
    <x v="0"/>
    <s v="phrase&amp;exact"/>
    <s v="Amazon"/>
    <s v="United States"/>
    <s v="stroller snack tray"/>
    <s v="PHRASE"/>
    <x v="206"/>
    <n v="17"/>
    <n v="3"/>
    <n v="0.17647099999999999"/>
    <n v="0.16"/>
    <n v="0.48"/>
    <n v="0"/>
    <m/>
    <n v="0"/>
    <n v="0"/>
    <n v="0"/>
    <n v="0"/>
    <n v="0"/>
    <n v="0"/>
    <n v="0"/>
    <n v="0"/>
  </r>
  <r>
    <x v="3"/>
    <x v="15"/>
    <d v="2026-04-09T00:00:00"/>
    <d v="2026-04-13T00:00:00"/>
    <s v="USD"/>
    <x v="0"/>
    <s v="broad组"/>
    <s v="Amazon"/>
    <s v="United States"/>
    <s v="stroller attachment"/>
    <s v="BROAD"/>
    <x v="206"/>
    <n v="3"/>
    <n v="2"/>
    <n v="0.66666700000000001"/>
    <n v="0.21"/>
    <n v="0.42"/>
    <n v="18.04"/>
    <n v="2.3282000000000001E-2"/>
    <n v="42.95"/>
    <n v="1"/>
    <n v="1"/>
    <n v="0.5"/>
    <n v="1"/>
    <n v="0"/>
    <n v="18.04"/>
    <n v="0"/>
  </r>
  <r>
    <x v="3"/>
    <x v="12"/>
    <d v="2026-04-01T00:00:00"/>
    <d v="2026-04-01T00:00:00"/>
    <s v="USD"/>
    <x v="0"/>
    <s v="broad组"/>
    <s v="Amazon"/>
    <s v="United States"/>
    <s v="snack tray for stroller"/>
    <s v="BROAD"/>
    <x v="206"/>
    <n v="2"/>
    <n v="1"/>
    <n v="0.5"/>
    <n v="0.21"/>
    <n v="0.21"/>
    <n v="0"/>
    <m/>
    <n v="0"/>
    <n v="0"/>
    <n v="0"/>
    <n v="0"/>
    <n v="0"/>
    <n v="0"/>
    <n v="0"/>
    <n v="0"/>
  </r>
  <r>
    <x v="3"/>
    <x v="17"/>
    <d v="2026-04-12T00:00:00"/>
    <d v="2026-04-19T00:00:00"/>
    <s v="USD"/>
    <x v="0"/>
    <s v="broad组"/>
    <s v="Amazon"/>
    <s v="United States"/>
    <s v="stroller snack tray attachment"/>
    <s v="BROAD"/>
    <x v="206"/>
    <n v="11"/>
    <n v="2"/>
    <n v="0.18181800000000001"/>
    <n v="0.2"/>
    <n v="0.4"/>
    <n v="0"/>
    <m/>
    <n v="0"/>
    <n v="0"/>
    <n v="0"/>
    <n v="0"/>
    <n v="0"/>
    <n v="0"/>
    <n v="0"/>
    <n v="0"/>
  </r>
  <r>
    <x v="3"/>
    <x v="17"/>
    <d v="2026-04-12T00:00:00"/>
    <d v="2026-04-12T00:00:00"/>
    <s v="USD"/>
    <x v="0"/>
    <s v="broad组"/>
    <s v="Amazon"/>
    <s v="United States"/>
    <s v="stroller tray"/>
    <s v="BROAD"/>
    <x v="762"/>
    <n v="1"/>
    <n v="1"/>
    <n v="1"/>
    <n v="0.21"/>
    <n v="0.21"/>
    <n v="0"/>
    <m/>
    <n v="0"/>
    <n v="0"/>
    <n v="0"/>
    <n v="0"/>
    <n v="0"/>
    <n v="0"/>
    <n v="0"/>
    <n v="0"/>
  </r>
  <r>
    <x v="3"/>
    <x v="12"/>
    <d v="2026-04-04T00:00:00"/>
    <d v="2026-04-04T00:00:00"/>
    <s v="USD"/>
    <x v="0"/>
    <s v="broad组"/>
    <s v="Amazon"/>
    <s v="United States"/>
    <s v="snack holder for stroller"/>
    <s v="BROAD"/>
    <x v="762"/>
    <n v="3"/>
    <n v="1"/>
    <n v="0.33333299999999999"/>
    <n v="0.2"/>
    <n v="0.2"/>
    <n v="0"/>
    <m/>
    <n v="0"/>
    <n v="0"/>
    <n v="0"/>
    <n v="0"/>
    <n v="0"/>
    <n v="0"/>
    <n v="0"/>
    <n v="0"/>
  </r>
  <r>
    <x v="3"/>
    <x v="15"/>
    <d v="2026-04-11T00:00:00"/>
    <d v="2026-04-14T00:00:00"/>
    <s v="USD"/>
    <x v="2"/>
    <s v="Tray"/>
    <s v="Amazon"/>
    <s v="United States"/>
    <s v="asin=&quot;B0DH98H2G4&quot;"/>
    <s v="-"/>
    <x v="762"/>
    <n v="2"/>
    <n v="2"/>
    <n v="1"/>
    <n v="0.62"/>
    <n v="1.23"/>
    <n v="0"/>
    <m/>
    <n v="0"/>
    <n v="0"/>
    <n v="0"/>
    <n v="0"/>
    <n v="0"/>
    <n v="0"/>
    <n v="0"/>
    <n v="0"/>
  </r>
  <r>
    <x v="3"/>
    <x v="15"/>
    <d v="2026-04-11T00:00:00"/>
    <d v="2026-04-11T00:00:00"/>
    <s v="USD"/>
    <x v="0"/>
    <s v="phrase&amp;exact"/>
    <s v="Amazon"/>
    <s v="United States"/>
    <s v="stroller snack tray attachment"/>
    <s v="PHRASE"/>
    <x v="1119"/>
    <n v="1"/>
    <n v="1"/>
    <n v="1"/>
    <n v="0.4"/>
    <n v="0.4"/>
    <n v="0"/>
    <m/>
    <n v="0"/>
    <n v="0"/>
    <n v="0"/>
    <n v="0"/>
    <n v="0"/>
    <n v="0"/>
    <n v="0"/>
    <n v="0"/>
  </r>
  <r>
    <x v="3"/>
    <x v="15"/>
    <d v="2026-04-06T00:00:00"/>
    <d v="2026-04-06T00:00:00"/>
    <s v="USD"/>
    <x v="0"/>
    <s v="phrase&amp;exact"/>
    <s v="Amazon"/>
    <s v="United States"/>
    <s v="stroller snack tray"/>
    <s v="PHRASE"/>
    <x v="1120"/>
    <n v="3"/>
    <n v="1"/>
    <n v="0.33333299999999999"/>
    <n v="0.08"/>
    <n v="0.08"/>
    <n v="0"/>
    <m/>
    <n v="0"/>
    <n v="0"/>
    <n v="0"/>
    <n v="0"/>
    <n v="0"/>
    <n v="0"/>
    <n v="0"/>
    <n v="0"/>
  </r>
  <r>
    <x v="3"/>
    <x v="17"/>
    <d v="2026-04-15T00:00:00"/>
    <d v="2026-04-15T00:00:00"/>
    <s v="USD"/>
    <x v="0"/>
    <s v="phrase&amp;exact"/>
    <s v="Amazon"/>
    <s v="United States"/>
    <s v="stroller snack tray"/>
    <s v="PHRASE"/>
    <x v="1121"/>
    <n v="1"/>
    <n v="1"/>
    <n v="1"/>
    <n v="0.4"/>
    <n v="0.4"/>
    <n v="0"/>
    <m/>
    <n v="0"/>
    <n v="0"/>
    <n v="0"/>
    <n v="0"/>
    <n v="0"/>
    <n v="0"/>
    <n v="0"/>
    <n v="0"/>
  </r>
  <r>
    <x v="3"/>
    <x v="17"/>
    <d v="2026-04-16T00:00:00"/>
    <d v="2026-04-16T00:00:00"/>
    <s v="USD"/>
    <x v="0"/>
    <s v="broad组"/>
    <s v="Amazon"/>
    <s v="United States"/>
    <s v="universal stroller tray"/>
    <s v="BROAD"/>
    <x v="207"/>
    <n v="1"/>
    <n v="1"/>
    <n v="1"/>
    <n v="0.21"/>
    <n v="0.21"/>
    <n v="0"/>
    <m/>
    <n v="0"/>
    <n v="0"/>
    <n v="0"/>
    <n v="0"/>
    <n v="0"/>
    <n v="0"/>
    <n v="0"/>
    <n v="0"/>
  </r>
  <r>
    <x v="3"/>
    <x v="12"/>
    <d v="2026-04-04T00:00:00"/>
    <d v="2026-04-04T00:00:00"/>
    <s v="USD"/>
    <x v="0"/>
    <s v="broad组"/>
    <s v="Amazon"/>
    <s v="United States"/>
    <s v="snack tray for stroller"/>
    <s v="BROAD"/>
    <x v="1122"/>
    <n v="2"/>
    <n v="1"/>
    <n v="0.5"/>
    <n v="0.21"/>
    <n v="0.21"/>
    <n v="37.979999999999997"/>
    <n v="5.5290000000000001E-3"/>
    <n v="180.86"/>
    <n v="1"/>
    <n v="2"/>
    <n v="1"/>
    <n v="2"/>
    <n v="0"/>
    <n v="37.979999999999997"/>
    <n v="0"/>
  </r>
  <r>
    <x v="3"/>
    <x v="15"/>
    <d v="2026-04-09T00:00:00"/>
    <d v="2026-04-09T00:00:00"/>
    <s v="USD"/>
    <x v="4"/>
    <s v="stroller tray"/>
    <s v="Amazon"/>
    <s v="United States"/>
    <s v="close-match"/>
    <s v="-"/>
    <x v="1123"/>
    <n v="1"/>
    <n v="1"/>
    <n v="1"/>
    <n v="0.75"/>
    <n v="0.75"/>
    <n v="18.989999999999998"/>
    <n v="3.9494000000000001E-2"/>
    <n v="25.32"/>
    <n v="1"/>
    <n v="1"/>
    <n v="1"/>
    <n v="1"/>
    <n v="0"/>
    <n v="18.989999999999998"/>
    <n v="0"/>
  </r>
  <r>
    <x v="3"/>
    <x v="16"/>
    <d v="2026-04-26T00:00:00"/>
    <d v="2026-04-26T00:00:00"/>
    <s v="USD"/>
    <x v="0"/>
    <s v="broad组"/>
    <s v="Amazon"/>
    <s v="United States"/>
    <s v="stroller attachment"/>
    <s v="BROAD"/>
    <x v="1124"/>
    <n v="2"/>
    <n v="1"/>
    <n v="0.5"/>
    <n v="0.2"/>
    <n v="0.2"/>
    <n v="0"/>
    <m/>
    <n v="0"/>
    <n v="0"/>
    <n v="0"/>
    <n v="0"/>
    <n v="0"/>
    <n v="0"/>
    <n v="0"/>
    <n v="0"/>
  </r>
  <r>
    <x v="3"/>
    <x v="15"/>
    <d v="2026-04-09T00:00:00"/>
    <d v="2026-04-09T00:00:00"/>
    <s v="USD"/>
    <x v="0"/>
    <s v="broad组"/>
    <s v="Amazon"/>
    <s v="United States"/>
    <s v="stroller cup holder"/>
    <s v="BROAD"/>
    <x v="766"/>
    <n v="1"/>
    <n v="1"/>
    <n v="1"/>
    <n v="0.21"/>
    <n v="0.21"/>
    <n v="0"/>
    <m/>
    <n v="0"/>
    <n v="0"/>
    <n v="0"/>
    <n v="0"/>
    <n v="0"/>
    <n v="0"/>
    <n v="0"/>
    <n v="0"/>
  </r>
  <r>
    <x v="3"/>
    <x v="16"/>
    <d v="2026-04-29T00:00:00"/>
    <d v="2026-04-29T00:00:00"/>
    <s v="USD"/>
    <x v="4"/>
    <s v="stroller tray"/>
    <s v="Amazon"/>
    <s v="United States"/>
    <s v="close-match"/>
    <s v="-"/>
    <x v="208"/>
    <n v="2"/>
    <n v="1"/>
    <n v="0.5"/>
    <n v="1.1399999999999999"/>
    <n v="1.1399999999999999"/>
    <n v="0"/>
    <m/>
    <n v="0"/>
    <n v="0"/>
    <n v="0"/>
    <n v="0"/>
    <n v="0"/>
    <n v="0"/>
    <n v="0"/>
    <n v="0"/>
  </r>
  <r>
    <x v="3"/>
    <x v="15"/>
    <d v="2026-04-09T00:00:00"/>
    <d v="2026-04-27T00:00:00"/>
    <s v="USD"/>
    <x v="0"/>
    <s v="broad组"/>
    <s v="Amazon"/>
    <s v="United States"/>
    <s v="stroller tray"/>
    <s v="BROAD"/>
    <x v="208"/>
    <n v="30"/>
    <n v="2"/>
    <n v="6.6667000000000004E-2"/>
    <n v="0.21"/>
    <n v="0.42"/>
    <n v="0"/>
    <m/>
    <n v="0"/>
    <n v="0"/>
    <n v="0"/>
    <n v="0"/>
    <n v="0"/>
    <n v="0"/>
    <n v="0"/>
    <n v="0"/>
  </r>
  <r>
    <x v="3"/>
    <x v="15"/>
    <d v="2026-04-10T00:00:00"/>
    <d v="2026-04-21T00:00:00"/>
    <s v="USD"/>
    <x v="0"/>
    <s v="broad组"/>
    <s v="Amazon"/>
    <s v="United States"/>
    <s v="stroller tray attachment"/>
    <s v="BROAD"/>
    <x v="209"/>
    <n v="12"/>
    <n v="2"/>
    <n v="0.16666700000000001"/>
    <n v="0.21"/>
    <n v="0.41"/>
    <n v="0"/>
    <m/>
    <n v="0"/>
    <n v="0"/>
    <n v="0"/>
    <n v="0"/>
    <n v="0"/>
    <n v="0"/>
    <n v="0"/>
    <n v="0"/>
  </r>
  <r>
    <x v="3"/>
    <x v="15"/>
    <d v="2026-04-05T00:00:00"/>
    <d v="2026-04-29T00:00:00"/>
    <s v="USD"/>
    <x v="0"/>
    <s v="phrase&amp;exact"/>
    <s v="Amazon"/>
    <s v="United States"/>
    <s v="stroller tray attachment"/>
    <s v="PHRASE"/>
    <x v="209"/>
    <n v="53"/>
    <n v="6"/>
    <n v="0.113208"/>
    <n v="0.18"/>
    <n v="1.05"/>
    <n v="18.989999999999998"/>
    <n v="5.5292000000000001E-2"/>
    <n v="18.09"/>
    <n v="1"/>
    <n v="1"/>
    <n v="0.16666700000000001"/>
    <n v="1"/>
    <n v="0"/>
    <n v="18.989999999999998"/>
    <n v="0"/>
  </r>
  <r>
    <x v="3"/>
    <x v="16"/>
    <d v="2026-04-28T00:00:00"/>
    <d v="2026-04-28T00:00:00"/>
    <s v="USD"/>
    <x v="0"/>
    <s v="broad组"/>
    <s v="Amazon"/>
    <s v="United States"/>
    <s v="stroller tray"/>
    <s v="BROAD"/>
    <x v="1125"/>
    <n v="2"/>
    <n v="1"/>
    <n v="0.5"/>
    <n v="0.21"/>
    <n v="0.21"/>
    <n v="0"/>
    <m/>
    <n v="0"/>
    <n v="0"/>
    <n v="0"/>
    <n v="0"/>
    <n v="0"/>
    <n v="0"/>
    <n v="0"/>
    <n v="0"/>
  </r>
  <r>
    <x v="3"/>
    <x v="14"/>
    <d v="2026-04-23T00:00:00"/>
    <d v="2026-04-23T00:00:00"/>
    <s v="USD"/>
    <x v="4"/>
    <s v="stroller tray"/>
    <s v="Amazon"/>
    <s v="United States"/>
    <s v="loose-match"/>
    <s v="-"/>
    <x v="1126"/>
    <n v="1"/>
    <n v="1"/>
    <n v="1"/>
    <n v="0.6"/>
    <n v="0.6"/>
    <n v="0"/>
    <m/>
    <n v="0"/>
    <n v="0"/>
    <n v="0"/>
    <n v="0"/>
    <n v="0"/>
    <n v="0"/>
    <n v="0"/>
    <n v="0"/>
  </r>
  <r>
    <x v="3"/>
    <x v="15"/>
    <d v="2026-04-05T00:00:00"/>
    <d v="2026-04-05T00:00:00"/>
    <s v="USD"/>
    <x v="0"/>
    <s v="broad组"/>
    <s v="Amazon"/>
    <s v="United States"/>
    <s v="stroller tray"/>
    <s v="BROAD"/>
    <x v="1127"/>
    <n v="2"/>
    <n v="1"/>
    <n v="0.5"/>
    <n v="0.4"/>
    <n v="0.4"/>
    <n v="0"/>
    <m/>
    <n v="0"/>
    <n v="0"/>
    <n v="0"/>
    <n v="0"/>
    <n v="0"/>
    <n v="0"/>
    <n v="0"/>
    <n v="0"/>
  </r>
  <r>
    <x v="3"/>
    <x v="15"/>
    <d v="2026-04-08T00:00:00"/>
    <d v="2026-04-08T00:00:00"/>
    <s v="USD"/>
    <x v="0"/>
    <s v="broad组"/>
    <s v="Amazon"/>
    <s v="United States"/>
    <s v="stroller tray"/>
    <s v="BROAD"/>
    <x v="1128"/>
    <n v="1"/>
    <n v="1"/>
    <n v="1"/>
    <n v="0.4"/>
    <n v="0.4"/>
    <n v="0"/>
    <m/>
    <n v="0"/>
    <n v="0"/>
    <n v="0"/>
    <n v="0"/>
    <n v="0"/>
    <n v="0"/>
    <n v="0"/>
    <n v="0"/>
  </r>
  <r>
    <x v="3"/>
    <x v="12"/>
    <d v="2026-04-02T00:00:00"/>
    <d v="2026-04-02T00:00:00"/>
    <s v="USD"/>
    <x v="0"/>
    <s v="broad组"/>
    <s v="Amazon"/>
    <s v="United States"/>
    <s v="stroller tray"/>
    <s v="BROAD"/>
    <x v="1129"/>
    <n v="1"/>
    <n v="1"/>
    <n v="1"/>
    <n v="0.4"/>
    <n v="0.4"/>
    <n v="0"/>
    <m/>
    <n v="0"/>
    <n v="0"/>
    <n v="0"/>
    <n v="0"/>
    <n v="0"/>
    <n v="0"/>
    <n v="0"/>
    <n v="0"/>
  </r>
  <r>
    <x v="3"/>
    <x v="16"/>
    <d v="2026-04-26T00:00:00"/>
    <d v="2026-04-26T00:00:00"/>
    <s v="USD"/>
    <x v="0"/>
    <s v="broad组"/>
    <s v="Amazon"/>
    <s v="United States"/>
    <s v="stroller clip on tray"/>
    <s v="BROAD"/>
    <x v="1130"/>
    <n v="1"/>
    <n v="1"/>
    <n v="1"/>
    <n v="0.4"/>
    <n v="0.4"/>
    <n v="0"/>
    <m/>
    <n v="0"/>
    <n v="0"/>
    <n v="0"/>
    <n v="0"/>
    <n v="0"/>
    <n v="0"/>
    <n v="0"/>
    <n v="0"/>
  </r>
  <r>
    <x v="3"/>
    <x v="12"/>
    <d v="2026-04-03T00:00:00"/>
    <d v="2026-04-20T00:00:00"/>
    <s v="USD"/>
    <x v="0"/>
    <s v="broad组"/>
    <s v="Amazon"/>
    <s v="United States"/>
    <s v="stroller tray"/>
    <s v="BROAD"/>
    <x v="214"/>
    <n v="5"/>
    <n v="2"/>
    <n v="0.4"/>
    <n v="0.2"/>
    <n v="0.4"/>
    <n v="34.18"/>
    <n v="1.1703E-2"/>
    <n v="85.45"/>
    <n v="1"/>
    <n v="2"/>
    <n v="0.5"/>
    <n v="0"/>
    <n v="2"/>
    <n v="0"/>
    <n v="34.18"/>
  </r>
  <r>
    <x v="3"/>
    <x v="16"/>
    <d v="2026-04-30T00:00:00"/>
    <d v="2026-04-30T00:00:00"/>
    <s v="USD"/>
    <x v="0"/>
    <s v="broad组"/>
    <s v="Amazon"/>
    <s v="United States"/>
    <s v="cup holder for stroller"/>
    <s v="BROAD"/>
    <x v="1131"/>
    <n v="1"/>
    <n v="1"/>
    <n v="1"/>
    <n v="0.21"/>
    <n v="0.21"/>
    <n v="0"/>
    <m/>
    <n v="0"/>
    <n v="0"/>
    <n v="0"/>
    <n v="0"/>
    <n v="0"/>
    <n v="0"/>
    <n v="0"/>
    <n v="0"/>
  </r>
  <r>
    <x v="3"/>
    <x v="15"/>
    <d v="2026-04-08T00:00:00"/>
    <d v="2026-04-08T00:00:00"/>
    <s v="USD"/>
    <x v="4"/>
    <s v="stroller tray"/>
    <s v="Amazon"/>
    <s v="United States"/>
    <s v="close-match"/>
    <s v="-"/>
    <x v="882"/>
    <n v="2"/>
    <n v="1"/>
    <n v="0.5"/>
    <n v="0.78"/>
    <n v="0.78"/>
    <n v="0"/>
    <m/>
    <n v="0"/>
    <n v="0"/>
    <n v="0"/>
    <n v="0"/>
    <n v="0"/>
    <n v="0"/>
    <n v="0"/>
    <n v="0"/>
  </r>
  <r>
    <x v="3"/>
    <x v="14"/>
    <d v="2026-04-20T00:00:00"/>
    <d v="2026-04-20T00:00:00"/>
    <s v="USD"/>
    <x v="0"/>
    <s v="broad组"/>
    <s v="Amazon"/>
    <s v="United States"/>
    <s v="stroller attachment"/>
    <s v="BROAD"/>
    <x v="1132"/>
    <n v="1"/>
    <n v="1"/>
    <n v="1"/>
    <n v="0.21"/>
    <n v="0.21"/>
    <n v="0"/>
    <m/>
    <n v="0"/>
    <n v="0"/>
    <n v="0"/>
    <n v="0"/>
    <n v="0"/>
    <n v="0"/>
    <n v="0"/>
    <n v="0"/>
  </r>
  <r>
    <x v="3"/>
    <x v="15"/>
    <d v="2026-04-09T00:00:00"/>
    <d v="2026-04-09T00:00:00"/>
    <s v="USD"/>
    <x v="0"/>
    <s v="broad组"/>
    <s v="Amazon"/>
    <s v="United States"/>
    <s v="wagon cup holder"/>
    <s v="BROAD"/>
    <x v="1133"/>
    <n v="1"/>
    <n v="1"/>
    <n v="1"/>
    <n v="0.4"/>
    <n v="0.4"/>
    <n v="0"/>
    <m/>
    <n v="0"/>
    <n v="0"/>
    <n v="0"/>
    <n v="0"/>
    <n v="0"/>
    <n v="0"/>
    <n v="0"/>
    <n v="0"/>
  </r>
  <r>
    <x v="3"/>
    <x v="12"/>
    <d v="2026-04-03T00:00:00"/>
    <d v="2026-04-03T00:00:00"/>
    <s v="USD"/>
    <x v="0"/>
    <s v="phrase&amp;exact"/>
    <s v="Amazon"/>
    <s v="United States"/>
    <s v="stroller cup holder"/>
    <s v="PHRASE"/>
    <x v="1134"/>
    <n v="1"/>
    <n v="1"/>
    <n v="1"/>
    <n v="0.2"/>
    <n v="0.2"/>
    <n v="37.979999999999997"/>
    <n v="5.2659999999999998E-3"/>
    <n v="189.9"/>
    <n v="1"/>
    <n v="2"/>
    <n v="1"/>
    <n v="2"/>
    <n v="0"/>
    <n v="37.979999999999997"/>
    <n v="0"/>
  </r>
  <r>
    <x v="3"/>
    <x v="14"/>
    <d v="2026-04-23T00:00:00"/>
    <d v="2026-04-23T00:00:00"/>
    <s v="USD"/>
    <x v="6"/>
    <s v="ENC"/>
    <s v="Amazon"/>
    <s v="United States"/>
    <s v="loose-match"/>
    <s v="-"/>
    <x v="773"/>
    <n v="203"/>
    <n v="1"/>
    <n v="4.9259999999999998E-3"/>
    <n v="1.34"/>
    <n v="1.34"/>
    <n v="0"/>
    <m/>
    <n v="0"/>
    <n v="0"/>
    <n v="0"/>
    <n v="0"/>
    <n v="0"/>
    <n v="0"/>
    <n v="0"/>
    <n v="0"/>
  </r>
  <r>
    <x v="3"/>
    <x v="14"/>
    <d v="2026-04-25T00:00:00"/>
    <d v="2026-04-25T00:00:00"/>
    <s v="USD"/>
    <x v="6"/>
    <s v="ENC"/>
    <s v="Amazon"/>
    <s v="United States"/>
    <s v="substitutes"/>
    <s v="-"/>
    <x v="773"/>
    <n v="212"/>
    <n v="1"/>
    <n v="4.7169999999999998E-3"/>
    <n v="1.3"/>
    <n v="1.3"/>
    <n v="0"/>
    <m/>
    <n v="0"/>
    <n v="0"/>
    <n v="0"/>
    <n v="0"/>
    <n v="0"/>
    <n v="0"/>
    <n v="0"/>
    <n v="0"/>
  </r>
  <r>
    <x v="3"/>
    <x v="14"/>
    <d v="2026-04-23T00:00:00"/>
    <d v="2026-04-25T00:00:00"/>
    <s v="USD"/>
    <x v="3"/>
    <s v="ENC Grey"/>
    <s v="Amazon"/>
    <s v="United States"/>
    <s v="close-match"/>
    <s v="-"/>
    <x v="773"/>
    <n v="419"/>
    <n v="2"/>
    <n v="4.7730000000000003E-3"/>
    <n v="0.34"/>
    <n v="0.68"/>
    <n v="0"/>
    <m/>
    <n v="0"/>
    <n v="0"/>
    <n v="0"/>
    <n v="0"/>
    <n v="0"/>
    <n v="0"/>
    <n v="0"/>
    <n v="0"/>
  </r>
  <r>
    <x v="3"/>
    <x v="12"/>
    <d v="2026-04-04T00:00:00"/>
    <d v="2026-04-04T00:00:00"/>
    <s v="USD"/>
    <x v="0"/>
    <s v="broad组"/>
    <s v="Amazon"/>
    <s v="United States"/>
    <s v="snack tray for stroller"/>
    <s v="BROAD"/>
    <x v="1135"/>
    <n v="1"/>
    <n v="1"/>
    <n v="1"/>
    <n v="0.21"/>
    <n v="0.21"/>
    <n v="0"/>
    <m/>
    <n v="0"/>
    <n v="0"/>
    <n v="0"/>
    <n v="0"/>
    <n v="0"/>
    <n v="0"/>
    <n v="0"/>
    <n v="0"/>
  </r>
  <r>
    <x v="3"/>
    <x v="12"/>
    <d v="2026-04-04T00:00:00"/>
    <d v="2026-04-04T00:00:00"/>
    <s v="USD"/>
    <x v="0"/>
    <s v="broad组"/>
    <s v="Amazon"/>
    <s v="United States"/>
    <s v="stroller attachment"/>
    <s v="BROAD"/>
    <x v="1136"/>
    <n v="2"/>
    <n v="1"/>
    <n v="0.5"/>
    <n v="0.4"/>
    <n v="0.4"/>
    <n v="0"/>
    <m/>
    <n v="0"/>
    <n v="0"/>
    <n v="0"/>
    <n v="0"/>
    <n v="0"/>
    <n v="0"/>
    <n v="0"/>
    <n v="0"/>
  </r>
  <r>
    <x v="3"/>
    <x v="12"/>
    <d v="2026-04-02T00:00:00"/>
    <d v="2026-04-02T00:00:00"/>
    <s v="USD"/>
    <x v="0"/>
    <s v="broad组"/>
    <s v="Amazon"/>
    <s v="United States"/>
    <s v="stroller tray attachment"/>
    <s v="BROAD"/>
    <x v="1137"/>
    <n v="4"/>
    <n v="1"/>
    <n v="0.25"/>
    <n v="0.12"/>
    <n v="0.12"/>
    <n v="0"/>
    <m/>
    <n v="0"/>
    <n v="0"/>
    <n v="0"/>
    <n v="0"/>
    <n v="0"/>
    <n v="0"/>
    <n v="0"/>
    <n v="0"/>
  </r>
  <r>
    <x v="3"/>
    <x v="17"/>
    <d v="2026-04-15T00:00:00"/>
    <d v="2026-04-15T00:00:00"/>
    <s v="USD"/>
    <x v="0"/>
    <s v="broad组"/>
    <s v="Amazon"/>
    <s v="United States"/>
    <s v="stroller tray"/>
    <s v="BROAD"/>
    <x v="1138"/>
    <n v="1"/>
    <n v="1"/>
    <n v="1"/>
    <n v="0.21"/>
    <n v="0.21"/>
    <n v="0"/>
    <m/>
    <n v="0"/>
    <n v="0"/>
    <n v="0"/>
    <n v="0"/>
    <n v="0"/>
    <n v="0"/>
    <n v="0"/>
    <n v="0"/>
  </r>
  <r>
    <x v="3"/>
    <x v="15"/>
    <d v="2026-04-10T00:00:00"/>
    <d v="2026-04-10T00:00:00"/>
    <s v="USD"/>
    <x v="4"/>
    <s v="stroller tray"/>
    <s v="Amazon"/>
    <s v="United States"/>
    <s v="loose-match"/>
    <s v="-"/>
    <x v="1139"/>
    <n v="1"/>
    <n v="1"/>
    <n v="1"/>
    <n v="0.49"/>
    <n v="0.49"/>
    <n v="0"/>
    <m/>
    <n v="0"/>
    <n v="0"/>
    <n v="0"/>
    <n v="0"/>
    <n v="0"/>
    <n v="0"/>
    <n v="0"/>
    <n v="0"/>
  </r>
  <r>
    <x v="3"/>
    <x v="14"/>
    <d v="2026-04-23T00:00:00"/>
    <d v="2026-04-23T00:00:00"/>
    <s v="USD"/>
    <x v="0"/>
    <s v="broad组"/>
    <s v="Amazon"/>
    <s v="United States"/>
    <s v="stroller tray"/>
    <s v="BROAD"/>
    <x v="1140"/>
    <n v="1"/>
    <n v="1"/>
    <n v="1"/>
    <n v="0.4"/>
    <n v="0.4"/>
    <n v="0"/>
    <m/>
    <n v="0"/>
    <n v="0"/>
    <n v="0"/>
    <n v="0"/>
    <n v="0"/>
    <n v="0"/>
    <n v="0"/>
    <n v="0"/>
  </r>
  <r>
    <x v="3"/>
    <x v="14"/>
    <d v="2026-04-23T00:00:00"/>
    <d v="2026-04-25T00:00:00"/>
    <s v="USD"/>
    <x v="4"/>
    <s v="stroller tray"/>
    <s v="Amazon"/>
    <s v="United States"/>
    <s v="close-match"/>
    <s v="-"/>
    <x v="222"/>
    <n v="3"/>
    <n v="2"/>
    <n v="0.66666700000000001"/>
    <n v="1.1100000000000001"/>
    <n v="2.2200000000000002"/>
    <n v="0"/>
    <m/>
    <n v="0"/>
    <n v="0"/>
    <n v="0"/>
    <n v="0"/>
    <n v="0"/>
    <n v="0"/>
    <n v="0"/>
    <n v="0"/>
  </r>
  <r>
    <x v="3"/>
    <x v="14"/>
    <d v="2026-04-22T00:00:00"/>
    <d v="2026-04-22T00:00:00"/>
    <s v="USD"/>
    <x v="4"/>
    <s v="stroller tray"/>
    <s v="Amazon"/>
    <s v="United States"/>
    <s v="loose-match"/>
    <s v="-"/>
    <x v="1141"/>
    <n v="1"/>
    <n v="1"/>
    <n v="1"/>
    <n v="0.63"/>
    <n v="0.63"/>
    <n v="0"/>
    <m/>
    <n v="0"/>
    <n v="0"/>
    <n v="0"/>
    <n v="0"/>
    <n v="0"/>
    <n v="0"/>
    <n v="0"/>
    <n v="0"/>
  </r>
  <r>
    <x v="3"/>
    <x v="14"/>
    <d v="2026-04-21T00:00:00"/>
    <d v="2026-04-21T00:00:00"/>
    <s v="USD"/>
    <x v="0"/>
    <s v="broad组"/>
    <s v="Amazon"/>
    <s v="United States"/>
    <s v="stroller tray"/>
    <s v="BROAD"/>
    <x v="1142"/>
    <n v="3"/>
    <n v="1"/>
    <n v="0.33333299999999999"/>
    <n v="0.21"/>
    <n v="0.21"/>
    <n v="0"/>
    <m/>
    <n v="0"/>
    <n v="0"/>
    <n v="0"/>
    <n v="0"/>
    <n v="0"/>
    <n v="0"/>
    <n v="0"/>
    <n v="0"/>
  </r>
  <r>
    <x v="3"/>
    <x v="15"/>
    <d v="2026-04-05T00:00:00"/>
    <d v="2026-04-05T00:00:00"/>
    <s v="USD"/>
    <x v="0"/>
    <s v="broad组"/>
    <s v="Amazon"/>
    <s v="United States"/>
    <s v="stroller tray"/>
    <s v="BROAD"/>
    <x v="1143"/>
    <n v="2"/>
    <n v="1"/>
    <n v="0.5"/>
    <n v="0.21"/>
    <n v="0.21"/>
    <n v="0"/>
    <m/>
    <n v="0"/>
    <n v="0"/>
    <n v="0"/>
    <n v="0"/>
    <n v="0"/>
    <n v="0"/>
    <n v="0"/>
    <n v="0"/>
  </r>
  <r>
    <x v="3"/>
    <x v="15"/>
    <d v="2026-04-10T00:00:00"/>
    <d v="2026-04-10T00:00:00"/>
    <s v="USD"/>
    <x v="0"/>
    <s v="broad组"/>
    <s v="Amazon"/>
    <s v="United States"/>
    <s v="stroller tray"/>
    <s v="BROAD"/>
    <x v="1144"/>
    <n v="1"/>
    <n v="1"/>
    <n v="1"/>
    <n v="0.21"/>
    <n v="0.21"/>
    <n v="0"/>
    <m/>
    <n v="0"/>
    <n v="0"/>
    <n v="0"/>
    <n v="0"/>
    <n v="0"/>
    <n v="0"/>
    <n v="0"/>
    <n v="0"/>
  </r>
  <r>
    <x v="3"/>
    <x v="12"/>
    <d v="2026-04-03T00:00:00"/>
    <d v="2026-04-03T00:00:00"/>
    <s v="USD"/>
    <x v="0"/>
    <s v="broad组"/>
    <s v="Amazon"/>
    <s v="United States"/>
    <s v="stroller tray attachment"/>
    <s v="BROAD"/>
    <x v="1145"/>
    <n v="3"/>
    <n v="1"/>
    <n v="0.33333299999999999"/>
    <n v="0.21"/>
    <n v="0.21"/>
    <n v="0"/>
    <m/>
    <n v="0"/>
    <n v="0"/>
    <n v="0"/>
    <n v="0"/>
    <n v="0"/>
    <n v="0"/>
    <n v="0"/>
    <n v="0"/>
  </r>
  <r>
    <x v="3"/>
    <x v="14"/>
    <d v="2026-04-20T00:00:00"/>
    <d v="2026-04-20T00:00:00"/>
    <s v="USD"/>
    <x v="0"/>
    <s v="broad组"/>
    <s v="Amazon"/>
    <s v="United States"/>
    <s v="stroller tray"/>
    <s v="BROAD"/>
    <x v="1146"/>
    <n v="1"/>
    <n v="1"/>
    <n v="1"/>
    <n v="0.4"/>
    <n v="0.4"/>
    <n v="0"/>
    <m/>
    <n v="0"/>
    <n v="0"/>
    <n v="0"/>
    <n v="0"/>
    <n v="0"/>
    <n v="0"/>
    <n v="0"/>
    <n v="0"/>
  </r>
  <r>
    <x v="3"/>
    <x v="15"/>
    <d v="2026-04-10T00:00:00"/>
    <d v="2026-04-10T00:00:00"/>
    <s v="USD"/>
    <x v="0"/>
    <s v="broad组"/>
    <s v="Amazon"/>
    <s v="United States"/>
    <s v="stroller tray"/>
    <s v="BROAD"/>
    <x v="1147"/>
    <n v="1"/>
    <n v="1"/>
    <n v="1"/>
    <n v="0.4"/>
    <n v="0.4"/>
    <n v="0"/>
    <m/>
    <n v="0"/>
    <n v="0"/>
    <n v="0"/>
    <n v="0"/>
    <n v="0"/>
    <n v="0"/>
    <n v="0"/>
    <n v="0"/>
  </r>
  <r>
    <x v="3"/>
    <x v="15"/>
    <d v="2026-04-09T00:00:00"/>
    <d v="2026-04-09T00:00:00"/>
    <s v="USD"/>
    <x v="4"/>
    <s v="stroller tray"/>
    <s v="Amazon"/>
    <s v="United States"/>
    <s v="loose-match"/>
    <s v="-"/>
    <x v="503"/>
    <n v="3"/>
    <n v="1"/>
    <n v="0.33333299999999999"/>
    <n v="0.49"/>
    <n v="0.49"/>
    <n v="0"/>
    <m/>
    <n v="0"/>
    <n v="0"/>
    <n v="0"/>
    <n v="0"/>
    <n v="0"/>
    <n v="0"/>
    <n v="0"/>
    <n v="0"/>
  </r>
  <r>
    <x v="3"/>
    <x v="16"/>
    <d v="2026-04-27T00:00:00"/>
    <d v="2026-04-27T00:00:00"/>
    <s v="USD"/>
    <x v="0"/>
    <s v="broad组"/>
    <s v="Amazon"/>
    <s v="United States"/>
    <s v="stroller accessories"/>
    <s v="BROAD"/>
    <x v="503"/>
    <n v="1"/>
    <n v="1"/>
    <n v="1"/>
    <n v="0.16"/>
    <n v="0.16"/>
    <n v="0"/>
    <m/>
    <n v="0"/>
    <n v="0"/>
    <n v="0"/>
    <n v="0"/>
    <n v="0"/>
    <n v="0"/>
    <n v="0"/>
    <n v="0"/>
  </r>
  <r>
    <x v="3"/>
    <x v="17"/>
    <d v="2026-04-18T00:00:00"/>
    <d v="2026-04-18T00:00:00"/>
    <s v="USD"/>
    <x v="2"/>
    <s v="Tray"/>
    <s v="Amazon"/>
    <s v="United States"/>
    <s v="asin=&quot;B0DH98H2G4&quot;"/>
    <s v="-"/>
    <x v="316"/>
    <n v="2"/>
    <n v="1"/>
    <n v="0.5"/>
    <n v="0.56000000000000005"/>
    <n v="0.56000000000000005"/>
    <n v="18.04"/>
    <n v="3.1042E-2"/>
    <n v="32.21"/>
    <n v="1"/>
    <n v="1"/>
    <n v="1"/>
    <n v="0"/>
    <n v="1"/>
    <n v="0"/>
    <n v="18.04"/>
  </r>
  <r>
    <x v="3"/>
    <x v="17"/>
    <d v="2026-04-18T00:00:00"/>
    <d v="2026-04-18T00:00:00"/>
    <s v="USD"/>
    <x v="0"/>
    <s v="broad组"/>
    <s v="Amazon"/>
    <s v="United States"/>
    <s v="stroller attachment"/>
    <s v="BROAD"/>
    <x v="1148"/>
    <n v="2"/>
    <n v="1"/>
    <n v="0.5"/>
    <n v="0.21"/>
    <n v="0.21"/>
    <n v="0"/>
    <m/>
    <n v="0"/>
    <n v="0"/>
    <n v="0"/>
    <n v="0"/>
    <n v="0"/>
    <n v="0"/>
    <n v="0"/>
    <n v="0"/>
  </r>
  <r>
    <x v="3"/>
    <x v="17"/>
    <d v="2026-04-15T00:00:00"/>
    <d v="2026-04-15T00:00:00"/>
    <s v="USD"/>
    <x v="0"/>
    <s v="broad组"/>
    <s v="Amazon"/>
    <s v="United States"/>
    <s v="snack cup for stroller"/>
    <s v="BROAD"/>
    <x v="1149"/>
    <n v="1"/>
    <n v="1"/>
    <n v="1"/>
    <n v="0.44"/>
    <n v="0.44"/>
    <n v="0"/>
    <m/>
    <n v="0"/>
    <n v="0"/>
    <n v="0"/>
    <n v="0"/>
    <n v="0"/>
    <n v="0"/>
    <n v="0"/>
    <n v="0"/>
  </r>
  <r>
    <x v="3"/>
    <x v="12"/>
    <d v="2026-04-04T00:00:00"/>
    <d v="2026-04-04T00:00:00"/>
    <s v="USD"/>
    <x v="4"/>
    <s v="stroller tray"/>
    <s v="Amazon"/>
    <s v="United States"/>
    <s v="loose-match"/>
    <s v="-"/>
    <x v="230"/>
    <n v="1"/>
    <n v="1"/>
    <n v="1"/>
    <n v="0.54"/>
    <n v="0.54"/>
    <n v="0"/>
    <m/>
    <n v="0"/>
    <n v="0"/>
    <n v="0"/>
    <n v="0"/>
    <n v="0"/>
    <n v="0"/>
    <n v="0"/>
    <n v="0"/>
  </r>
  <r>
    <x v="3"/>
    <x v="16"/>
    <d v="2026-04-27T00:00:00"/>
    <d v="2026-04-27T00:00:00"/>
    <s v="USD"/>
    <x v="2"/>
    <s v="Tray"/>
    <s v="Amazon"/>
    <s v="United States"/>
    <s v="asin=&quot;B0C1G4985Z&quot;"/>
    <s v="-"/>
    <x v="231"/>
    <n v="6"/>
    <n v="1"/>
    <n v="0.16666700000000001"/>
    <n v="0"/>
    <n v="0"/>
    <n v="0"/>
    <m/>
    <m/>
    <n v="0"/>
    <n v="0"/>
    <n v="0"/>
    <n v="0"/>
    <n v="0"/>
    <n v="0"/>
    <n v="0"/>
  </r>
  <r>
    <x v="3"/>
    <x v="15"/>
    <d v="2026-04-10T00:00:00"/>
    <d v="2026-04-15T00:00:00"/>
    <s v="USD"/>
    <x v="0"/>
    <s v="broad组"/>
    <s v="Amazon"/>
    <s v="United States"/>
    <s v="stroller tray"/>
    <s v="BROAD"/>
    <x v="231"/>
    <n v="2"/>
    <n v="2"/>
    <n v="1"/>
    <n v="0.21"/>
    <n v="0.41"/>
    <n v="0"/>
    <m/>
    <n v="0"/>
    <n v="0"/>
    <n v="0"/>
    <n v="0"/>
    <n v="0"/>
    <n v="0"/>
    <n v="0"/>
    <n v="0"/>
  </r>
  <r>
    <x v="3"/>
    <x v="15"/>
    <d v="2026-04-07T00:00:00"/>
    <d v="2026-04-07T00:00:00"/>
    <s v="USD"/>
    <x v="0"/>
    <s v="phrase&amp;exact"/>
    <s v="Amazon"/>
    <s v="United States"/>
    <s v="stroller tray attachment"/>
    <s v="PHRASE"/>
    <x v="504"/>
    <n v="3"/>
    <n v="1"/>
    <n v="0.33333299999999999"/>
    <n v="0.4"/>
    <n v="0.4"/>
    <n v="0"/>
    <m/>
    <n v="0"/>
    <n v="0"/>
    <n v="0"/>
    <n v="0"/>
    <n v="0"/>
    <n v="0"/>
    <n v="0"/>
    <n v="0"/>
  </r>
  <r>
    <x v="3"/>
    <x v="14"/>
    <d v="2026-04-22T00:00:00"/>
    <d v="2026-04-22T00:00:00"/>
    <s v="USD"/>
    <x v="0"/>
    <s v="broad组"/>
    <s v="Amazon"/>
    <s v="United States"/>
    <s v="stroller cup holder"/>
    <s v="BROAD"/>
    <x v="782"/>
    <n v="1"/>
    <n v="1"/>
    <n v="1"/>
    <n v="0.21"/>
    <n v="0.21"/>
    <n v="0"/>
    <m/>
    <n v="0"/>
    <n v="0"/>
    <n v="0"/>
    <n v="0"/>
    <n v="0"/>
    <n v="0"/>
    <n v="0"/>
    <n v="0"/>
  </r>
  <r>
    <x v="3"/>
    <x v="14"/>
    <d v="2026-04-19T00:00:00"/>
    <d v="2026-04-19T00:00:00"/>
    <s v="USD"/>
    <x v="0"/>
    <s v="broad组"/>
    <s v="Amazon"/>
    <s v="United States"/>
    <s v="universal snack tray"/>
    <s v="BROAD"/>
    <x v="1150"/>
    <n v="2"/>
    <n v="1"/>
    <n v="0.5"/>
    <n v="0.21"/>
    <n v="0.21"/>
    <n v="0"/>
    <m/>
    <n v="0"/>
    <n v="0"/>
    <n v="0"/>
    <n v="0"/>
    <n v="0"/>
    <n v="0"/>
    <n v="0"/>
    <n v="0"/>
  </r>
  <r>
    <x v="3"/>
    <x v="14"/>
    <d v="2026-04-25T00:00:00"/>
    <d v="2026-04-25T00:00:00"/>
    <s v="USD"/>
    <x v="0"/>
    <s v="broad组"/>
    <s v="Amazon"/>
    <s v="United States"/>
    <s v="stroller cup holder"/>
    <s v="BROAD"/>
    <x v="1151"/>
    <n v="2"/>
    <n v="1"/>
    <n v="0.5"/>
    <n v="0.21"/>
    <n v="0.21"/>
    <n v="0"/>
    <m/>
    <n v="0"/>
    <n v="0"/>
    <n v="0"/>
    <n v="0"/>
    <n v="0"/>
    <n v="0"/>
    <n v="0"/>
    <n v="0"/>
  </r>
  <r>
    <x v="3"/>
    <x v="15"/>
    <d v="2026-04-07T00:00:00"/>
    <d v="2026-04-07T00:00:00"/>
    <s v="USD"/>
    <x v="0"/>
    <s v="broad组"/>
    <s v="Amazon"/>
    <s v="United States"/>
    <s v="universal snack tray"/>
    <s v="BROAD"/>
    <x v="1152"/>
    <n v="2"/>
    <n v="1"/>
    <n v="0.5"/>
    <n v="0.08"/>
    <n v="0.08"/>
    <n v="0"/>
    <m/>
    <n v="0"/>
    <n v="0"/>
    <n v="0"/>
    <n v="0"/>
    <n v="0"/>
    <n v="0"/>
    <n v="0"/>
    <n v="0"/>
  </r>
  <r>
    <x v="3"/>
    <x v="15"/>
    <d v="2026-04-07T00:00:00"/>
    <d v="2026-04-07T00:00:00"/>
    <s v="USD"/>
    <x v="4"/>
    <s v="stroller tray"/>
    <s v="Amazon"/>
    <s v="United States"/>
    <s v="close-match"/>
    <s v="-"/>
    <x v="233"/>
    <n v="2"/>
    <n v="1"/>
    <n v="0.5"/>
    <n v="0.78"/>
    <n v="0.78"/>
    <n v="18.989999999999998"/>
    <n v="4.1073999999999999E-2"/>
    <n v="24.35"/>
    <n v="1"/>
    <n v="1"/>
    <n v="1"/>
    <n v="1"/>
    <n v="0"/>
    <n v="18.989999999999998"/>
    <n v="0"/>
  </r>
  <r>
    <x v="3"/>
    <x v="16"/>
    <d v="2026-04-27T00:00:00"/>
    <d v="2026-04-27T00:00:00"/>
    <s v="USD"/>
    <x v="2"/>
    <s v="Tray"/>
    <s v="Amazon"/>
    <s v="United States"/>
    <s v="asin=&quot;B0C1G4985Z&quot;"/>
    <s v="-"/>
    <x v="235"/>
    <n v="10"/>
    <n v="1"/>
    <n v="0.1"/>
    <n v="0.62"/>
    <n v="0.62"/>
    <n v="0"/>
    <m/>
    <n v="0"/>
    <n v="0"/>
    <n v="0"/>
    <n v="0"/>
    <n v="0"/>
    <n v="0"/>
    <n v="0"/>
    <n v="0"/>
  </r>
  <r>
    <x v="3"/>
    <x v="12"/>
    <d v="2026-04-02T00:00:00"/>
    <d v="2026-04-12T00:00:00"/>
    <s v="USD"/>
    <x v="4"/>
    <s v="stroller tray"/>
    <s v="Amazon"/>
    <s v="United States"/>
    <s v="close-match"/>
    <s v="-"/>
    <x v="235"/>
    <n v="88"/>
    <n v="4"/>
    <n v="4.5455000000000002E-2"/>
    <n v="0.78"/>
    <n v="3.11"/>
    <n v="0"/>
    <m/>
    <n v="0"/>
    <n v="0"/>
    <n v="0"/>
    <n v="0"/>
    <n v="0"/>
    <n v="0"/>
    <n v="0"/>
    <n v="0"/>
  </r>
  <r>
    <x v="3"/>
    <x v="15"/>
    <d v="2026-04-08T00:00:00"/>
    <d v="2026-04-26T00:00:00"/>
    <s v="USD"/>
    <x v="0"/>
    <s v="broad组"/>
    <s v="Amazon"/>
    <s v="United States"/>
    <s v="stroller tray"/>
    <s v="BROAD"/>
    <x v="235"/>
    <n v="3"/>
    <n v="2"/>
    <n v="0.66666700000000001"/>
    <n v="0.33"/>
    <n v="0.65"/>
    <n v="0"/>
    <m/>
    <n v="0"/>
    <n v="0"/>
    <n v="0"/>
    <n v="0"/>
    <n v="0"/>
    <n v="0"/>
    <n v="0"/>
    <n v="0"/>
  </r>
  <r>
    <x v="3"/>
    <x v="17"/>
    <d v="2026-04-18T00:00:00"/>
    <d v="2026-04-26T00:00:00"/>
    <s v="USD"/>
    <x v="0"/>
    <s v="broad组"/>
    <s v="Amazon"/>
    <s v="United States"/>
    <s v="stroller snack tray"/>
    <s v="BROAD"/>
    <x v="235"/>
    <n v="3"/>
    <n v="2"/>
    <n v="0.66666700000000001"/>
    <n v="0.22"/>
    <n v="0.44"/>
    <n v="0"/>
    <m/>
    <n v="0"/>
    <n v="0"/>
    <n v="0"/>
    <n v="0"/>
    <n v="0"/>
    <n v="0"/>
    <n v="0"/>
    <n v="0"/>
  </r>
  <r>
    <x v="3"/>
    <x v="15"/>
    <d v="2026-04-06T00:00:00"/>
    <d v="2026-04-30T00:00:00"/>
    <s v="USD"/>
    <x v="0"/>
    <s v="phrase&amp;exact"/>
    <s v="Amazon"/>
    <s v="United States"/>
    <s v="snack tray for stroller"/>
    <s v="PHRASE"/>
    <x v="235"/>
    <n v="97"/>
    <n v="8"/>
    <n v="8.2474000000000006E-2"/>
    <n v="0.2"/>
    <n v="1.61"/>
    <n v="0"/>
    <m/>
    <n v="0"/>
    <n v="0"/>
    <n v="0"/>
    <n v="0"/>
    <n v="0"/>
    <n v="0"/>
    <n v="0"/>
    <n v="0"/>
  </r>
  <r>
    <x v="3"/>
    <x v="17"/>
    <d v="2026-04-15T00:00:00"/>
    <d v="2026-04-15T00:00:00"/>
    <s v="USD"/>
    <x v="2"/>
    <s v="Tray"/>
    <s v="Amazon"/>
    <s v="United States"/>
    <s v="asin=&quot;B0DDP2FVG5&quot;"/>
    <s v="-"/>
    <x v="235"/>
    <n v="10"/>
    <n v="1"/>
    <n v="0.1"/>
    <n v="0.75"/>
    <n v="0.75"/>
    <n v="0"/>
    <m/>
    <n v="0"/>
    <n v="0"/>
    <n v="0"/>
    <n v="0"/>
    <n v="0"/>
    <n v="0"/>
    <n v="0"/>
    <n v="0"/>
  </r>
  <r>
    <x v="3"/>
    <x v="12"/>
    <d v="2026-04-01T00:00:00"/>
    <d v="2026-04-29T00:00:00"/>
    <s v="USD"/>
    <x v="0"/>
    <s v="broad组"/>
    <s v="Amazon"/>
    <s v="United States"/>
    <s v="universal stroller snack tray"/>
    <s v="BROAD"/>
    <x v="235"/>
    <n v="50"/>
    <n v="5"/>
    <n v="0.1"/>
    <n v="0.18"/>
    <n v="0.89"/>
    <n v="17.09"/>
    <n v="5.2076999999999998E-2"/>
    <n v="19.2"/>
    <n v="1"/>
    <n v="1"/>
    <n v="0.2"/>
    <n v="0"/>
    <n v="1"/>
    <n v="0"/>
    <n v="17.09"/>
  </r>
  <r>
    <x v="3"/>
    <x v="16"/>
    <d v="2026-04-29T00:00:00"/>
    <d v="2026-04-29T00:00:00"/>
    <s v="USD"/>
    <x v="0"/>
    <s v="broad组"/>
    <s v="Amazon"/>
    <s v="United States"/>
    <s v="universal stroller tray"/>
    <s v="BROAD"/>
    <x v="235"/>
    <n v="3"/>
    <n v="1"/>
    <n v="0.33333299999999999"/>
    <n v="0.21"/>
    <n v="0.21"/>
    <n v="0"/>
    <m/>
    <n v="0"/>
    <n v="0"/>
    <n v="0"/>
    <n v="0"/>
    <n v="0"/>
    <n v="0"/>
    <n v="0"/>
    <n v="0"/>
  </r>
  <r>
    <x v="3"/>
    <x v="14"/>
    <d v="2026-04-21T00:00:00"/>
    <d v="2026-04-21T00:00:00"/>
    <s v="USD"/>
    <x v="2"/>
    <s v="Tray"/>
    <s v="Amazon"/>
    <s v="United States"/>
    <s v="asin=&quot;B0DH98H2G4&quot;"/>
    <s v="-"/>
    <x v="1153"/>
    <n v="1"/>
    <n v="1"/>
    <n v="1"/>
    <n v="0.42"/>
    <n v="0.42"/>
    <n v="18.04"/>
    <n v="2.3282000000000001E-2"/>
    <n v="42.95"/>
    <n v="1"/>
    <n v="1"/>
    <n v="1"/>
    <n v="1"/>
    <n v="0"/>
    <n v="18.04"/>
    <n v="0"/>
  </r>
  <r>
    <x v="3"/>
    <x v="16"/>
    <d v="2026-04-28T00:00:00"/>
    <d v="2026-04-28T00:00:00"/>
    <s v="USD"/>
    <x v="0"/>
    <s v="broad组"/>
    <s v="Amazon"/>
    <s v="United States"/>
    <s v="universal snack tray"/>
    <s v="BROAD"/>
    <x v="1154"/>
    <n v="2"/>
    <n v="1"/>
    <n v="0.5"/>
    <n v="0.21"/>
    <n v="0.21"/>
    <n v="0"/>
    <m/>
    <n v="0"/>
    <n v="0"/>
    <n v="0"/>
    <n v="0"/>
    <n v="0"/>
    <n v="0"/>
    <n v="0"/>
    <n v="0"/>
  </r>
  <r>
    <x v="3"/>
    <x v="17"/>
    <d v="2026-04-17T00:00:00"/>
    <d v="2026-04-17T00:00:00"/>
    <s v="USD"/>
    <x v="0"/>
    <s v="broad组"/>
    <s v="Amazon"/>
    <s v="United States"/>
    <s v="universal snack tray"/>
    <s v="BROAD"/>
    <x v="1155"/>
    <n v="2"/>
    <n v="1"/>
    <n v="0.5"/>
    <n v="0.21"/>
    <n v="0.21"/>
    <n v="0"/>
    <m/>
    <n v="0"/>
    <n v="0"/>
    <n v="0"/>
    <n v="0"/>
    <n v="0"/>
    <n v="0"/>
    <n v="0"/>
    <n v="0"/>
  </r>
  <r>
    <x v="3"/>
    <x v="15"/>
    <d v="2026-04-11T00:00:00"/>
    <d v="2026-04-11T00:00:00"/>
    <s v="USD"/>
    <x v="0"/>
    <s v="broad组"/>
    <s v="Amazon"/>
    <s v="United States"/>
    <s v="stroller attachment"/>
    <s v="BROAD"/>
    <x v="1156"/>
    <n v="1"/>
    <n v="1"/>
    <n v="1"/>
    <n v="0.4"/>
    <n v="0.4"/>
    <n v="0"/>
    <m/>
    <n v="0"/>
    <n v="0"/>
    <n v="0"/>
    <n v="0"/>
    <n v="0"/>
    <n v="0"/>
    <n v="0"/>
    <n v="0"/>
  </r>
  <r>
    <x v="3"/>
    <x v="14"/>
    <d v="2026-04-24T00:00:00"/>
    <d v="2026-04-24T00:00:00"/>
    <s v="USD"/>
    <x v="0"/>
    <s v="phrase&amp;exact"/>
    <s v="Amazon"/>
    <s v="United States"/>
    <s v="stroller cup holder"/>
    <s v="PHRASE"/>
    <x v="237"/>
    <n v="8"/>
    <n v="1"/>
    <n v="0.125"/>
    <n v="0.2"/>
    <n v="0.2"/>
    <n v="0"/>
    <m/>
    <n v="0"/>
    <n v="0"/>
    <n v="0"/>
    <n v="0"/>
    <n v="0"/>
    <n v="0"/>
    <n v="0"/>
    <n v="0"/>
  </r>
  <r>
    <x v="3"/>
    <x v="16"/>
    <d v="2026-04-28T00:00:00"/>
    <d v="2026-04-28T00:00:00"/>
    <s v="USD"/>
    <x v="2"/>
    <s v="Tray"/>
    <s v="Amazon"/>
    <s v="United States"/>
    <s v="asin=&quot;B0C1G4985Z&quot;"/>
    <s v="-"/>
    <x v="238"/>
    <n v="9"/>
    <n v="1"/>
    <n v="0.111111"/>
    <n v="0.64"/>
    <n v="0.64"/>
    <n v="0"/>
    <m/>
    <n v="0"/>
    <n v="0"/>
    <n v="0"/>
    <n v="0"/>
    <n v="0"/>
    <n v="0"/>
    <n v="0"/>
    <n v="0"/>
  </r>
  <r>
    <x v="3"/>
    <x v="12"/>
    <d v="2026-04-01T00:00:00"/>
    <d v="2026-04-21T00:00:00"/>
    <s v="USD"/>
    <x v="4"/>
    <s v="stroller tray"/>
    <s v="Amazon"/>
    <s v="United States"/>
    <s v="close-match"/>
    <s v="-"/>
    <x v="238"/>
    <n v="103"/>
    <n v="4"/>
    <n v="3.8835000000000001E-2"/>
    <n v="0.75"/>
    <n v="3"/>
    <n v="0"/>
    <m/>
    <n v="0"/>
    <n v="0"/>
    <n v="0"/>
    <n v="0"/>
    <n v="0"/>
    <n v="0"/>
    <n v="0"/>
    <n v="0"/>
  </r>
  <r>
    <x v="3"/>
    <x v="17"/>
    <d v="2026-04-16T00:00:00"/>
    <d v="2026-04-16T00:00:00"/>
    <s v="USD"/>
    <x v="0"/>
    <s v="broad组"/>
    <s v="Amazon"/>
    <s v="United States"/>
    <s v="stroller tray"/>
    <s v="BROAD"/>
    <x v="238"/>
    <n v="6"/>
    <n v="1"/>
    <n v="0.16666700000000001"/>
    <n v="0.21"/>
    <n v="0.21"/>
    <n v="0"/>
    <m/>
    <n v="0"/>
    <n v="0"/>
    <n v="0"/>
    <n v="0"/>
    <n v="0"/>
    <n v="0"/>
    <n v="0"/>
    <n v="0"/>
  </r>
  <r>
    <x v="3"/>
    <x v="17"/>
    <d v="2026-04-18T00:00:00"/>
    <d v="2026-04-26T00:00:00"/>
    <s v="USD"/>
    <x v="0"/>
    <s v="phrase&amp;exact"/>
    <s v="Amazon"/>
    <s v="United States"/>
    <s v="universal stroller snack tray"/>
    <s v="PHRASE"/>
    <x v="238"/>
    <n v="11"/>
    <n v="2"/>
    <n v="0.18181800000000001"/>
    <n v="0.21"/>
    <n v="0.41"/>
    <n v="0"/>
    <m/>
    <n v="0"/>
    <n v="0"/>
    <n v="0"/>
    <n v="0"/>
    <n v="0"/>
    <n v="0"/>
    <n v="0"/>
    <n v="0"/>
  </r>
  <r>
    <x v="3"/>
    <x v="17"/>
    <d v="2026-04-17T00:00:00"/>
    <d v="2026-04-30T00:00:00"/>
    <s v="USD"/>
    <x v="0"/>
    <s v="phrase&amp;exact"/>
    <s v="Amazon"/>
    <s v="United States"/>
    <s v="universal stroller snack tray"/>
    <s v="EXACT"/>
    <x v="238"/>
    <n v="71"/>
    <n v="3"/>
    <n v="4.2254E-2"/>
    <n v="0.2"/>
    <n v="0.6"/>
    <n v="0"/>
    <m/>
    <n v="0"/>
    <n v="0"/>
    <n v="0"/>
    <n v="0"/>
    <n v="0"/>
    <n v="0"/>
    <n v="0"/>
    <n v="0"/>
  </r>
  <r>
    <x v="3"/>
    <x v="15"/>
    <d v="2026-04-09T00:00:00"/>
    <d v="2026-04-28T00:00:00"/>
    <s v="USD"/>
    <x v="0"/>
    <s v="phrase&amp;exact"/>
    <s v="Amazon"/>
    <s v="United States"/>
    <s v="stroller snack tray"/>
    <s v="PHRASE"/>
    <x v="238"/>
    <n v="68"/>
    <n v="5"/>
    <n v="7.3528999999999997E-2"/>
    <n v="0.18"/>
    <n v="0.88"/>
    <n v="0"/>
    <m/>
    <n v="0"/>
    <n v="0"/>
    <n v="0"/>
    <n v="0"/>
    <n v="0"/>
    <n v="0"/>
    <n v="0"/>
    <n v="0"/>
  </r>
  <r>
    <x v="3"/>
    <x v="16"/>
    <d v="2026-04-27T00:00:00"/>
    <d v="2026-04-27T00:00:00"/>
    <s v="USD"/>
    <x v="0"/>
    <s v="broad组"/>
    <s v="Amazon"/>
    <s v="United States"/>
    <s v="snack tray for stroller"/>
    <s v="BROAD"/>
    <x v="238"/>
    <n v="10"/>
    <n v="1"/>
    <n v="0.1"/>
    <n v="0.21"/>
    <n v="0.21"/>
    <n v="0"/>
    <m/>
    <n v="0"/>
    <n v="0"/>
    <n v="0"/>
    <n v="0"/>
    <n v="0"/>
    <n v="0"/>
    <n v="0"/>
    <n v="0"/>
  </r>
  <r>
    <x v="3"/>
    <x v="15"/>
    <d v="2026-04-10T00:00:00"/>
    <d v="2026-04-10T00:00:00"/>
    <s v="USD"/>
    <x v="0"/>
    <s v="broad组"/>
    <s v="Amazon"/>
    <s v="United States"/>
    <s v="universal stroller snack tray"/>
    <s v="BROAD"/>
    <x v="238"/>
    <n v="10"/>
    <n v="1"/>
    <n v="0.1"/>
    <n v="0.2"/>
    <n v="0.2"/>
    <n v="0"/>
    <m/>
    <n v="0"/>
    <n v="0"/>
    <n v="0"/>
    <n v="0"/>
    <n v="0"/>
    <n v="0"/>
    <n v="0"/>
    <n v="0"/>
  </r>
  <r>
    <x v="3"/>
    <x v="17"/>
    <d v="2026-04-16T00:00:00"/>
    <d v="2026-04-16T00:00:00"/>
    <s v="USD"/>
    <x v="4"/>
    <s v="stroller tray"/>
    <s v="Amazon"/>
    <s v="United States"/>
    <s v="close-match"/>
    <s v="-"/>
    <x v="322"/>
    <n v="1"/>
    <n v="1"/>
    <n v="1"/>
    <n v="0.92"/>
    <n v="0.92"/>
    <n v="0"/>
    <m/>
    <n v="0"/>
    <n v="0"/>
    <n v="0"/>
    <n v="0"/>
    <n v="0"/>
    <n v="0"/>
    <n v="0"/>
    <n v="0"/>
  </r>
  <r>
    <x v="3"/>
    <x v="16"/>
    <d v="2026-04-28T00:00:00"/>
    <d v="2026-04-28T00:00:00"/>
    <s v="USD"/>
    <x v="0"/>
    <s v="broad组"/>
    <s v="Amazon"/>
    <s v="United States"/>
    <s v="stroller tray attachment"/>
    <s v="BROAD"/>
    <x v="322"/>
    <n v="1"/>
    <n v="1"/>
    <n v="1"/>
    <n v="0.2"/>
    <n v="0.2"/>
    <n v="0"/>
    <m/>
    <n v="0"/>
    <n v="0"/>
    <n v="0"/>
    <n v="0"/>
    <n v="0"/>
    <n v="0"/>
    <n v="0"/>
    <n v="0"/>
  </r>
  <r>
    <x v="3"/>
    <x v="17"/>
    <d v="2026-04-12T00:00:00"/>
    <d v="2026-04-12T00:00:00"/>
    <s v="USD"/>
    <x v="0"/>
    <s v="broad组"/>
    <s v="Amazon"/>
    <s v="United States"/>
    <s v="universal stroller tray"/>
    <s v="BROAD"/>
    <x v="240"/>
    <n v="2"/>
    <n v="1"/>
    <n v="0.5"/>
    <n v="0.21"/>
    <n v="0.21"/>
    <n v="0"/>
    <m/>
    <n v="0"/>
    <n v="0"/>
    <n v="0"/>
    <n v="0"/>
    <n v="0"/>
    <n v="0"/>
    <n v="0"/>
    <n v="0"/>
  </r>
  <r>
    <x v="3"/>
    <x v="16"/>
    <d v="2026-04-27T00:00:00"/>
    <d v="2026-04-27T00:00:00"/>
    <s v="USD"/>
    <x v="0"/>
    <s v="broad组"/>
    <s v="Amazon"/>
    <s v="United States"/>
    <s v="universal snack tray for stroller"/>
    <s v="BROAD"/>
    <x v="512"/>
    <n v="1"/>
    <n v="1"/>
    <n v="1"/>
    <n v="0.21"/>
    <n v="0.21"/>
    <n v="0"/>
    <m/>
    <n v="0"/>
    <n v="0"/>
    <n v="0"/>
    <n v="0"/>
    <n v="0"/>
    <n v="0"/>
    <n v="0"/>
    <n v="0"/>
  </r>
  <r>
    <x v="3"/>
    <x v="15"/>
    <d v="2026-04-05T00:00:00"/>
    <d v="2026-04-06T00:00:00"/>
    <s v="USD"/>
    <x v="0"/>
    <s v="phrase&amp;exact"/>
    <s v="Amazon"/>
    <s v="United States"/>
    <s v="universal stroller tray"/>
    <s v="PHRASE"/>
    <x v="241"/>
    <n v="22"/>
    <n v="4"/>
    <n v="0.18181800000000001"/>
    <n v="0.2"/>
    <n v="0.8"/>
    <n v="51.27"/>
    <n v="1.5604E-2"/>
    <n v="64.09"/>
    <n v="2"/>
    <n v="3"/>
    <n v="0.5"/>
    <n v="2"/>
    <n v="1"/>
    <n v="34.18"/>
    <n v="17.09"/>
  </r>
  <r>
    <x v="3"/>
    <x v="17"/>
    <d v="2026-04-15T00:00:00"/>
    <d v="2026-04-15T00:00:00"/>
    <s v="USD"/>
    <x v="2"/>
    <s v="Tray"/>
    <s v="Amazon"/>
    <s v="United States"/>
    <s v="asin=&quot;B0F4KJN2VC&quot;"/>
    <s v="-"/>
    <x v="241"/>
    <n v="2"/>
    <n v="1"/>
    <n v="0.5"/>
    <n v="0.56999999999999995"/>
    <n v="0.56999999999999995"/>
    <n v="0"/>
    <m/>
    <n v="0"/>
    <n v="0"/>
    <n v="0"/>
    <n v="0"/>
    <n v="0"/>
    <n v="0"/>
    <n v="0"/>
    <n v="0"/>
  </r>
  <r>
    <x v="3"/>
    <x v="14"/>
    <d v="2026-04-21T00:00:00"/>
    <d v="2026-04-21T00:00:00"/>
    <s v="USD"/>
    <x v="2"/>
    <s v="Tray"/>
    <s v="Amazon"/>
    <s v="United States"/>
    <s v="asin=&quot;B0F4KJN2VC&quot;"/>
    <s v="-"/>
    <x v="513"/>
    <n v="1"/>
    <n v="1"/>
    <n v="1"/>
    <n v="0.4"/>
    <n v="0.4"/>
    <n v="0"/>
    <m/>
    <n v="0"/>
    <n v="0"/>
    <n v="0"/>
    <n v="0"/>
    <n v="0"/>
    <n v="0"/>
    <n v="0"/>
    <n v="0"/>
  </r>
  <r>
    <x v="3"/>
    <x v="15"/>
    <d v="2026-04-07T00:00:00"/>
    <d v="2026-04-07T00:00:00"/>
    <s v="USD"/>
    <x v="4"/>
    <s v="stroller tray"/>
    <s v="Amazon"/>
    <s v="United States"/>
    <s v="loose-match"/>
    <s v="-"/>
    <x v="1157"/>
    <n v="1"/>
    <n v="1"/>
    <n v="1"/>
    <n v="0.55000000000000004"/>
    <n v="0.55000000000000004"/>
    <n v="0"/>
    <m/>
    <n v="0"/>
    <n v="0"/>
    <n v="0"/>
    <n v="0"/>
    <n v="0"/>
    <n v="0"/>
    <n v="0"/>
    <n v="0"/>
  </r>
  <r>
    <x v="3"/>
    <x v="17"/>
    <d v="2026-04-15T00:00:00"/>
    <d v="2026-04-15T00:00:00"/>
    <s v="USD"/>
    <x v="0"/>
    <s v="phrase&amp;exact"/>
    <s v="Amazon"/>
    <s v="United States"/>
    <s v="stroller snack tray"/>
    <s v="PHRASE"/>
    <x v="1158"/>
    <n v="2"/>
    <n v="1"/>
    <n v="0.5"/>
    <n v="0.2"/>
    <n v="0.2"/>
    <n v="0"/>
    <m/>
    <n v="0"/>
    <n v="0"/>
    <n v="0"/>
    <n v="0"/>
    <n v="0"/>
    <n v="0"/>
    <n v="0"/>
    <n v="0"/>
  </r>
  <r>
    <x v="3"/>
    <x v="12"/>
    <d v="2026-04-03T00:00:00"/>
    <d v="2026-04-03T00:00:00"/>
    <s v="USD"/>
    <x v="0"/>
    <s v="broad组"/>
    <s v="Amazon"/>
    <s v="United States"/>
    <s v="universal snack tray"/>
    <s v="BROAD"/>
    <x v="1159"/>
    <n v="1"/>
    <n v="1"/>
    <n v="1"/>
    <n v="0.2"/>
    <n v="0.2"/>
    <n v="0"/>
    <m/>
    <n v="0"/>
    <n v="0"/>
    <n v="0"/>
    <n v="0"/>
    <n v="0"/>
    <n v="0"/>
    <n v="0"/>
    <n v="0"/>
  </r>
  <r>
    <x v="3"/>
    <x v="14"/>
    <d v="2026-04-23T00:00:00"/>
    <d v="2026-04-23T00:00:00"/>
    <s v="USD"/>
    <x v="0"/>
    <s v="broad组"/>
    <s v="Amazon"/>
    <s v="United States"/>
    <s v="wagon cup holder"/>
    <s v="BROAD"/>
    <x v="1160"/>
    <n v="1"/>
    <n v="1"/>
    <n v="1"/>
    <n v="0.21"/>
    <n v="0.21"/>
    <n v="0"/>
    <m/>
    <n v="0"/>
    <n v="0"/>
    <n v="0"/>
    <n v="0"/>
    <n v="0"/>
    <n v="0"/>
    <n v="0"/>
    <n v="0"/>
  </r>
  <r>
    <x v="3"/>
    <x v="14"/>
    <d v="2026-04-25T00:00:00"/>
    <d v="2026-04-25T00:00:00"/>
    <s v="USD"/>
    <x v="0"/>
    <s v="broad组"/>
    <s v="Amazon"/>
    <s v="United States"/>
    <s v="stroller cup holder"/>
    <s v="BROAD"/>
    <x v="1161"/>
    <n v="1"/>
    <n v="1"/>
    <n v="1"/>
    <n v="0.2"/>
    <n v="0.2"/>
    <n v="0"/>
    <m/>
    <n v="0"/>
    <n v="0"/>
    <n v="0"/>
    <n v="0"/>
    <n v="0"/>
    <n v="0"/>
    <n v="0"/>
    <n v="0"/>
  </r>
  <r>
    <x v="3"/>
    <x v="12"/>
    <d v="2026-04-04T00:00:00"/>
    <d v="2026-04-04T00:00:00"/>
    <s v="USD"/>
    <x v="6"/>
    <s v="ENC"/>
    <s v="Amazon"/>
    <s v="United States"/>
    <s v="loose-match"/>
    <s v="-"/>
    <x v="1162"/>
    <n v="1"/>
    <n v="1"/>
    <n v="1"/>
    <n v="1.63"/>
    <n v="1.63"/>
    <n v="0"/>
    <m/>
    <n v="0"/>
    <n v="0"/>
    <n v="0"/>
    <n v="0"/>
    <n v="0"/>
    <n v="0"/>
    <n v="0"/>
    <n v="0"/>
  </r>
  <r>
    <x v="3"/>
    <x v="17"/>
    <d v="2026-04-18T00:00:00"/>
    <d v="2026-04-18T00:00:00"/>
    <s v="USD"/>
    <x v="0"/>
    <s v="phrase&amp;exact"/>
    <s v="Amazon"/>
    <s v="United States"/>
    <s v="wagon cup holder"/>
    <s v="PHRASE"/>
    <x v="1163"/>
    <n v="2"/>
    <n v="1"/>
    <n v="0.5"/>
    <n v="0.21"/>
    <n v="0.21"/>
    <n v="0"/>
    <m/>
    <n v="0"/>
    <n v="0"/>
    <n v="0"/>
    <n v="0"/>
    <n v="0"/>
    <n v="0"/>
    <n v="0"/>
    <n v="0"/>
  </r>
  <r>
    <x v="3"/>
    <x v="14"/>
    <d v="2026-04-21T00:00:00"/>
    <d v="2026-04-21T00:00:00"/>
    <s v="USD"/>
    <x v="0"/>
    <s v="broad组"/>
    <s v="Amazon"/>
    <s v="United States"/>
    <s v="stroller snack tray"/>
    <s v="BROAD"/>
    <x v="1164"/>
    <n v="1"/>
    <n v="1"/>
    <n v="1"/>
    <n v="0.21"/>
    <n v="0.21"/>
    <n v="0"/>
    <m/>
    <n v="0"/>
    <n v="0"/>
    <n v="0"/>
    <n v="0"/>
    <n v="0"/>
    <n v="0"/>
    <n v="0"/>
    <n v="0"/>
  </r>
  <r>
    <x v="3"/>
    <x v="12"/>
    <d v="2026-04-03T00:00:00"/>
    <d v="2026-04-03T00:00:00"/>
    <s v="USD"/>
    <x v="6"/>
    <s v="ENC"/>
    <s v="Amazon"/>
    <s v="United States"/>
    <s v="loose-match"/>
    <s v="-"/>
    <x v="1165"/>
    <n v="1"/>
    <n v="1"/>
    <n v="1"/>
    <n v="1.67"/>
    <n v="1.67"/>
    <n v="0"/>
    <m/>
    <n v="0"/>
    <n v="0"/>
    <n v="0"/>
    <n v="0"/>
    <n v="0"/>
    <n v="0"/>
    <n v="0"/>
    <n v="0"/>
  </r>
  <r>
    <x v="3"/>
    <x v="16"/>
    <d v="2026-04-27T00:00:00"/>
    <d v="2026-04-27T00:00:00"/>
    <s v="USD"/>
    <x v="0"/>
    <s v="broad组"/>
    <s v="Amazon"/>
    <s v="United States"/>
    <s v="stroller attachment"/>
    <s v="BROAD"/>
    <x v="1166"/>
    <n v="1"/>
    <n v="1"/>
    <n v="1"/>
    <n v="0.08"/>
    <n v="0.08"/>
    <n v="0"/>
    <m/>
    <n v="0"/>
    <n v="0"/>
    <n v="0"/>
    <n v="0"/>
    <n v="0"/>
    <n v="0"/>
    <n v="0"/>
    <n v="0"/>
  </r>
  <r>
    <x v="3"/>
    <x v="17"/>
    <d v="2026-04-17T00:00:00"/>
    <d v="2026-04-17T00:00:00"/>
    <s v="USD"/>
    <x v="0"/>
    <s v="broad组"/>
    <s v="Amazon"/>
    <s v="United States"/>
    <s v="snack tray for stroller"/>
    <s v="BROAD"/>
    <x v="1167"/>
    <n v="1"/>
    <n v="1"/>
    <n v="1"/>
    <n v="0.21"/>
    <n v="0.21"/>
    <n v="0"/>
    <m/>
    <n v="0"/>
    <n v="0"/>
    <n v="0"/>
    <n v="0"/>
    <n v="0"/>
    <n v="0"/>
    <n v="0"/>
    <n v="0"/>
  </r>
  <r>
    <x v="4"/>
    <x v="16"/>
    <d v="2026-05-02T00:00:00"/>
    <s v="USD"/>
    <s v="捡漏SP.Keyword.Mannual - Tray"/>
    <x v="11"/>
    <s v="Amazon"/>
    <s v="United States"/>
    <s v="clip on snack tray"/>
    <s v="BROAD"/>
    <s v="2 pack snack tray for britax"/>
    <x v="1168"/>
    <n v="1"/>
    <n v="0.5"/>
    <n v="0.44"/>
    <n v="0.44"/>
    <n v="0"/>
    <m/>
    <n v="0"/>
    <n v="0"/>
    <n v="0"/>
    <n v="0"/>
    <n v="0"/>
    <n v="0"/>
    <n v="0"/>
    <n v="0"/>
    <m/>
  </r>
  <r>
    <x v="4"/>
    <x v="18"/>
    <d v="2026-05-12T00:00:00"/>
    <s v="USD"/>
    <s v="捡漏SP.Keyword.Mannual - Tray"/>
    <x v="11"/>
    <s v="Amazon"/>
    <s v="United States"/>
    <s v="stroller accessories"/>
    <s v="BROAD"/>
    <s v="accesorios carriola dona"/>
    <x v="1169"/>
    <n v="1"/>
    <n v="1"/>
    <n v="0.16"/>
    <n v="0.16"/>
    <n v="0"/>
    <m/>
    <n v="0"/>
    <n v="0"/>
    <n v="0"/>
    <n v="0"/>
    <n v="0"/>
    <n v="0"/>
    <n v="0"/>
    <n v="0"/>
    <m/>
  </r>
  <r>
    <x v="4"/>
    <x v="19"/>
    <d v="2026-05-17T00:00:00"/>
    <s v="USD"/>
    <s v="捡漏SP.Keyword.Mannual - Tray"/>
    <x v="11"/>
    <s v="Amazon"/>
    <s v="United States"/>
    <s v="stroller accessories"/>
    <s v="BROAD"/>
    <s v="accessories for gb pocket stroller"/>
    <x v="1170"/>
    <n v="1"/>
    <n v="0.33333299999999999"/>
    <n v="0.16"/>
    <n v="0.16"/>
    <n v="0"/>
    <m/>
    <n v="0"/>
    <n v="0"/>
    <n v="0"/>
    <n v="0"/>
    <n v="0"/>
    <n v="0"/>
    <n v="0"/>
    <n v="0"/>
    <m/>
  </r>
  <r>
    <x v="4"/>
    <x v="18"/>
    <d v="2026-05-11T00:00:00"/>
    <s v="USD"/>
    <s v="捡漏SP.Keyword.Mannual - Tray"/>
    <x v="11"/>
    <s v="Amazon"/>
    <s v="United States"/>
    <s v="stroller accessories"/>
    <s v="BROAD"/>
    <s v="accessories for yoyo strollers"/>
    <x v="1169"/>
    <n v="1"/>
    <n v="1"/>
    <n v="0.16"/>
    <n v="0.16"/>
    <n v="0"/>
    <m/>
    <n v="0"/>
    <n v="0"/>
    <n v="0"/>
    <n v="0"/>
    <n v="0"/>
    <n v="0"/>
    <n v="0"/>
    <n v="0"/>
    <m/>
  </r>
  <r>
    <x v="4"/>
    <x v="20"/>
    <d v="2026-05-09T00:00:00"/>
    <s v="USD"/>
    <s v="捡漏SP.Keyword.Mannual - Tray"/>
    <x v="11"/>
    <s v="Amazon"/>
    <s v="United States"/>
    <s v="stroller tray"/>
    <s v="BROAD"/>
    <s v="add on tray for umbrella stroller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19"/>
    <d v="2026-05-20T00:00:00"/>
    <s v="USD"/>
    <s v="SP.Auto - Tray"/>
    <x v="12"/>
    <s v="Amazon"/>
    <s v="United States"/>
    <s v="loose-match"/>
    <s v="-"/>
    <s v="airplane tray clip on cupholders brico"/>
    <x v="1169"/>
    <n v="1"/>
    <n v="1"/>
    <n v="0.61"/>
    <n v="0.61"/>
    <n v="0"/>
    <m/>
    <n v="0"/>
    <n v="0"/>
    <n v="0"/>
    <n v="0"/>
    <n v="0"/>
    <n v="0"/>
    <n v="0"/>
    <n v="0"/>
    <m/>
  </r>
  <r>
    <x v="4"/>
    <x v="19"/>
    <d v="2026-05-17T00:00:00"/>
    <s v="USD"/>
    <s v="捡漏SP.Keyword.Mannual - Tray"/>
    <x v="11"/>
    <s v="Amazon"/>
    <s v="United States"/>
    <s v="clip on snack tray"/>
    <s v="BROAD"/>
    <s v="attachable cup holder and snack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9"/>
    <d v="2026-05-17T00:00:00"/>
    <s v="USD"/>
    <s v="捡漏SP.Keyword.Mannual - Tray"/>
    <x v="11"/>
    <s v="Amazon"/>
    <s v="United States"/>
    <s v="stroller attachment"/>
    <s v="BROAD"/>
    <s v="attachments for jeep turboglyde stroller"/>
    <x v="1171"/>
    <n v="1"/>
    <n v="0.25"/>
    <n v="0.21"/>
    <n v="0.21"/>
    <n v="0"/>
    <m/>
    <n v="0"/>
    <n v="0"/>
    <n v="0"/>
    <n v="0"/>
    <n v="0"/>
    <n v="0"/>
    <n v="0"/>
    <n v="0"/>
    <m/>
  </r>
  <r>
    <x v="4"/>
    <x v="16"/>
    <d v="2026-05-02T00:00:00"/>
    <s v="USD"/>
    <s v="SP.Auto - Tray"/>
    <x v="12"/>
    <s v="Amazon"/>
    <s v="United States"/>
    <s v="substitutes"/>
    <s v="-"/>
    <s v="b01bpcn0lm"/>
    <x v="1168"/>
    <n v="1"/>
    <n v="0.5"/>
    <n v="0.4"/>
    <n v="0.4"/>
    <n v="0"/>
    <m/>
    <n v="0"/>
    <n v="0"/>
    <n v="0"/>
    <n v="0"/>
    <n v="0"/>
    <n v="0"/>
    <n v="0"/>
    <n v="0"/>
    <m/>
  </r>
  <r>
    <x v="4"/>
    <x v="20"/>
    <d v="2026-05-07T00:00:00"/>
    <s v="USD"/>
    <s v="SP.Auto - Tray"/>
    <x v="12"/>
    <s v="Amazon"/>
    <s v="United States"/>
    <s v="substitutes"/>
    <s v="-"/>
    <s v="b07ckmljd2"/>
    <x v="1171"/>
    <n v="1"/>
    <n v="0.25"/>
    <n v="1.02"/>
    <n v="1.02"/>
    <n v="0"/>
    <m/>
    <n v="0"/>
    <n v="0"/>
    <n v="0"/>
    <n v="0"/>
    <n v="0"/>
    <n v="0"/>
    <n v="0"/>
    <n v="0"/>
    <m/>
  </r>
  <r>
    <x v="4"/>
    <x v="18"/>
    <d v="2026-05-14T00:00:00"/>
    <s v="USD"/>
    <s v="SP.Auto - Tray"/>
    <x v="12"/>
    <s v="Amazon"/>
    <s v="United States"/>
    <s v="substitutes"/>
    <s v="-"/>
    <s v="b07p1ysc18"/>
    <x v="1172"/>
    <n v="1"/>
    <n v="0.125"/>
    <n v="0.1"/>
    <n v="0.1"/>
    <n v="0"/>
    <m/>
    <n v="0"/>
    <n v="0"/>
    <n v="0"/>
    <n v="0"/>
    <n v="0"/>
    <n v="0"/>
    <n v="0"/>
    <n v="0"/>
    <m/>
  </r>
  <r>
    <x v="4"/>
    <x v="20"/>
    <d v="2026-05-04T00:00:00"/>
    <s v="USD"/>
    <s v="SP.Auto - Tray"/>
    <x v="12"/>
    <s v="Amazon"/>
    <s v="United States"/>
    <s v="substitutes"/>
    <s v="-"/>
    <s v="b093xdl9mv"/>
    <x v="1169"/>
    <n v="1"/>
    <n v="1"/>
    <n v="1.3"/>
    <n v="1.3"/>
    <n v="0"/>
    <m/>
    <n v="0"/>
    <n v="0"/>
    <n v="0"/>
    <n v="0"/>
    <n v="0"/>
    <n v="0"/>
    <n v="0"/>
    <n v="0"/>
    <m/>
  </r>
  <r>
    <x v="4"/>
    <x v="20"/>
    <d v="2026-05-03T00:00:00"/>
    <s v="USD"/>
    <s v="SP.Auto - Tray"/>
    <x v="12"/>
    <s v="Amazon"/>
    <s v="United States"/>
    <s v="substitutes"/>
    <s v="-"/>
    <s v="b0bmxg3xrn"/>
    <x v="1173"/>
    <n v="2"/>
    <n v="0.18181800000000001"/>
    <n v="0.92"/>
    <n v="1.83"/>
    <n v="0"/>
    <m/>
    <n v="0"/>
    <n v="0"/>
    <n v="0"/>
    <n v="0"/>
    <n v="0"/>
    <n v="0"/>
    <n v="0"/>
    <n v="0"/>
    <m/>
  </r>
  <r>
    <x v="4"/>
    <x v="20"/>
    <d v="2026-05-09T00:00:00"/>
    <s v="USD"/>
    <s v="SP.Auto - Tray"/>
    <x v="12"/>
    <s v="Amazon"/>
    <s v="United States"/>
    <s v="substitutes"/>
    <s v="-"/>
    <s v="b0bmxg3xrn"/>
    <x v="1174"/>
    <n v="1"/>
    <n v="0.2"/>
    <n v="1.05"/>
    <n v="1.05"/>
    <n v="0"/>
    <m/>
    <n v="0"/>
    <n v="0"/>
    <n v="0"/>
    <n v="0"/>
    <n v="0"/>
    <n v="0"/>
    <n v="0"/>
    <n v="0"/>
    <m/>
  </r>
  <r>
    <x v="4"/>
    <x v="16"/>
    <d v="2026-05-01T00:00:00"/>
    <s v="USD"/>
    <s v="SP.ASIN.Manual - Tray"/>
    <x v="13"/>
    <s v="Amazon"/>
    <s v="United States"/>
    <s v="asin=&quot;B0C1G4985Z&quot;"/>
    <s v="-"/>
    <s v="b0c1g4985z"/>
    <x v="1175"/>
    <n v="1"/>
    <n v="1.6948999999999999E-2"/>
    <n v="0.63"/>
    <n v="0.63"/>
    <n v="17.47"/>
    <n v="3.6061999999999997E-2"/>
    <n v="27.73"/>
    <n v="1"/>
    <n v="1"/>
    <n v="1"/>
    <n v="1"/>
    <n v="0"/>
    <n v="17.47"/>
    <n v="0"/>
    <m/>
  </r>
  <r>
    <x v="4"/>
    <x v="16"/>
    <d v="2026-05-02T00:00:00"/>
    <s v="USD"/>
    <s v="SP.ASIN.Manual - Tray"/>
    <x v="13"/>
    <s v="Amazon"/>
    <s v="United States"/>
    <s v="asin=&quot;B0C1G4985Z&quot;"/>
    <s v="-"/>
    <s v="b0c1g4985z"/>
    <x v="1176"/>
    <n v="2"/>
    <n v="3.8462000000000003E-2"/>
    <n v="0.59"/>
    <n v="1.18"/>
    <n v="0"/>
    <m/>
    <n v="0"/>
    <n v="0"/>
    <n v="0"/>
    <n v="0"/>
    <n v="0"/>
    <n v="0"/>
    <n v="0"/>
    <n v="0"/>
    <m/>
  </r>
  <r>
    <x v="4"/>
    <x v="20"/>
    <d v="2026-05-03T00:00:00"/>
    <s v="USD"/>
    <s v="SP.ASIN.Manual - Tray"/>
    <x v="13"/>
    <s v="Amazon"/>
    <s v="United States"/>
    <s v="asin=&quot;B0C1G4985Z&quot;"/>
    <s v="-"/>
    <s v="b0c1g4985z"/>
    <x v="1177"/>
    <n v="3"/>
    <n v="5.2631999999999998E-2"/>
    <n v="0.63"/>
    <n v="1.88"/>
    <n v="17.47"/>
    <n v="0.107613"/>
    <n v="9.2899999999999991"/>
    <n v="1"/>
    <n v="1"/>
    <n v="0.33333299999999999"/>
    <n v="1"/>
    <n v="0"/>
    <n v="17.47"/>
    <n v="0"/>
    <m/>
  </r>
  <r>
    <x v="4"/>
    <x v="20"/>
    <d v="2026-05-04T00:00:00"/>
    <s v="USD"/>
    <s v="SP.ASIN.Manual - Tray"/>
    <x v="13"/>
    <s v="Amazon"/>
    <s v="United States"/>
    <s v="asin=&quot;B0C1G4985Z&quot;"/>
    <s v="-"/>
    <s v="b0c1g4985z"/>
    <x v="1178"/>
    <n v="2"/>
    <n v="1.4925000000000001E-2"/>
    <n v="0.7"/>
    <n v="1.4"/>
    <n v="0"/>
    <m/>
    <n v="0"/>
    <n v="0"/>
    <n v="0"/>
    <n v="0"/>
    <n v="0"/>
    <n v="0"/>
    <n v="0"/>
    <n v="0"/>
    <m/>
  </r>
  <r>
    <x v="4"/>
    <x v="20"/>
    <d v="2026-05-05T00:00:00"/>
    <s v="USD"/>
    <s v="SP.ASIN.Manual - Tray"/>
    <x v="13"/>
    <s v="Amazon"/>
    <s v="United States"/>
    <s v="asin=&quot;B0C1G4985Z&quot;"/>
    <s v="-"/>
    <s v="b0c1g4985z"/>
    <x v="1179"/>
    <n v="3"/>
    <n v="4.6154000000000001E-2"/>
    <n v="0.56999999999999995"/>
    <n v="1.7"/>
    <n v="0"/>
    <m/>
    <n v="0"/>
    <n v="0"/>
    <n v="0"/>
    <n v="0"/>
    <n v="0"/>
    <n v="0"/>
    <n v="0"/>
    <n v="0"/>
    <m/>
  </r>
  <r>
    <x v="4"/>
    <x v="20"/>
    <d v="2026-05-06T00:00:00"/>
    <s v="USD"/>
    <s v="SP.ASIN.Manual - Tray"/>
    <x v="13"/>
    <s v="Amazon"/>
    <s v="United States"/>
    <s v="asin=&quot;B0C1G4985Z&quot;"/>
    <s v="-"/>
    <s v="b0c1g4985z"/>
    <x v="1180"/>
    <n v="2"/>
    <n v="1.1494000000000001E-2"/>
    <n v="0.56999999999999995"/>
    <n v="1.1399999999999999"/>
    <n v="0"/>
    <m/>
    <n v="0"/>
    <n v="0"/>
    <n v="0"/>
    <n v="0"/>
    <n v="0"/>
    <n v="0"/>
    <n v="0"/>
    <n v="0"/>
    <m/>
  </r>
  <r>
    <x v="4"/>
    <x v="20"/>
    <d v="2026-05-07T00:00:00"/>
    <s v="USD"/>
    <s v="SP.ASIN.Manual - Tray"/>
    <x v="13"/>
    <s v="Amazon"/>
    <s v="United States"/>
    <s v="asin=&quot;B0C1G4985Z&quot;"/>
    <s v="-"/>
    <s v="b0c1g4985z"/>
    <x v="1181"/>
    <n v="3"/>
    <n v="2.2556E-2"/>
    <n v="0.56999999999999995"/>
    <n v="1.72"/>
    <n v="0"/>
    <m/>
    <n v="0"/>
    <n v="0"/>
    <n v="0"/>
    <n v="0"/>
    <n v="0"/>
    <n v="0"/>
    <n v="0"/>
    <n v="0"/>
    <m/>
  </r>
  <r>
    <x v="4"/>
    <x v="20"/>
    <d v="2026-05-08T00:00:00"/>
    <s v="USD"/>
    <s v="SP.ASIN.Manual - Tray"/>
    <x v="13"/>
    <s v="Amazon"/>
    <s v="United States"/>
    <s v="asin=&quot;B0C1G4985Z&quot;"/>
    <s v="-"/>
    <s v="b0c1g4985z"/>
    <x v="1182"/>
    <n v="1"/>
    <n v="0.14285700000000001"/>
    <n v="0.56000000000000005"/>
    <n v="0.56000000000000005"/>
    <n v="0"/>
    <m/>
    <n v="0"/>
    <n v="0"/>
    <n v="0"/>
    <n v="0"/>
    <n v="0"/>
    <n v="0"/>
    <n v="0"/>
    <n v="0"/>
    <m/>
  </r>
  <r>
    <x v="4"/>
    <x v="18"/>
    <d v="2026-05-10T00:00:00"/>
    <s v="USD"/>
    <s v="SP.ASIN.Manual - Tray"/>
    <x v="13"/>
    <s v="Amazon"/>
    <s v="United States"/>
    <s v="asin=&quot;B0C1G4985Z&quot;"/>
    <s v="-"/>
    <s v="b0c1g4985z"/>
    <x v="1176"/>
    <n v="1"/>
    <n v="1.9231000000000002E-2"/>
    <n v="0.57999999999999996"/>
    <n v="0.57999999999999996"/>
    <n v="18.989999999999998"/>
    <n v="3.0542E-2"/>
    <n v="32.74"/>
    <n v="1"/>
    <n v="1"/>
    <n v="1"/>
    <n v="1"/>
    <n v="0"/>
    <n v="18.989999999999998"/>
    <n v="0"/>
    <m/>
  </r>
  <r>
    <x v="4"/>
    <x v="18"/>
    <d v="2026-05-11T00:00:00"/>
    <s v="USD"/>
    <s v="SP.ASIN.Manual - Tray"/>
    <x v="13"/>
    <s v="Amazon"/>
    <s v="United States"/>
    <s v="asin=&quot;B0C1G4985Z&quot;"/>
    <s v="-"/>
    <s v="b0c1g4985z"/>
    <x v="1183"/>
    <n v="1"/>
    <n v="9.0089999999999996E-3"/>
    <n v="0.63"/>
    <n v="0.63"/>
    <n v="0"/>
    <m/>
    <n v="0"/>
    <n v="0"/>
    <n v="0"/>
    <n v="0"/>
    <n v="0"/>
    <n v="0"/>
    <n v="0"/>
    <n v="0"/>
    <m/>
  </r>
  <r>
    <x v="4"/>
    <x v="18"/>
    <d v="2026-05-12T00:00:00"/>
    <s v="USD"/>
    <s v="SP.ASIN.Manual - Tray"/>
    <x v="13"/>
    <s v="Amazon"/>
    <s v="United States"/>
    <s v="asin=&quot;B0C1G4985Z&quot;"/>
    <s v="-"/>
    <s v="b0c1g4985z"/>
    <x v="1184"/>
    <n v="3"/>
    <n v="2.3255999999999999E-2"/>
    <n v="0.63"/>
    <n v="1.89"/>
    <n v="0"/>
    <m/>
    <n v="0"/>
    <n v="0"/>
    <n v="0"/>
    <n v="0"/>
    <n v="0"/>
    <n v="0"/>
    <n v="0"/>
    <n v="0"/>
    <m/>
  </r>
  <r>
    <x v="4"/>
    <x v="18"/>
    <d v="2026-05-13T00:00:00"/>
    <s v="USD"/>
    <s v="SP.ASIN.Manual - Tray"/>
    <x v="13"/>
    <s v="Amazon"/>
    <s v="United States"/>
    <s v="asin=&quot;B0C1G4985Z&quot;"/>
    <s v="-"/>
    <s v="b0c1g4985z"/>
    <x v="1177"/>
    <n v="2"/>
    <n v="3.5088000000000001E-2"/>
    <n v="0.56999999999999995"/>
    <n v="1.1399999999999999"/>
    <n v="0"/>
    <m/>
    <n v="0"/>
    <n v="0"/>
    <n v="0"/>
    <n v="0"/>
    <n v="0"/>
    <n v="0"/>
    <n v="0"/>
    <n v="0"/>
    <m/>
  </r>
  <r>
    <x v="4"/>
    <x v="18"/>
    <d v="2026-05-14T00:00:00"/>
    <s v="USD"/>
    <s v="SP.ASIN.Manual - Tray"/>
    <x v="13"/>
    <s v="Amazon"/>
    <s v="United States"/>
    <s v="asin=&quot;B0C1G4985Z&quot;"/>
    <s v="-"/>
    <s v="b0c1g4985z"/>
    <x v="1185"/>
    <n v="2"/>
    <n v="1.7240999999999999E-2"/>
    <n v="0.6"/>
    <n v="1.19"/>
    <n v="0"/>
    <m/>
    <n v="0"/>
    <n v="0"/>
    <n v="0"/>
    <n v="0"/>
    <n v="0"/>
    <n v="0"/>
    <n v="0"/>
    <n v="0"/>
    <m/>
  </r>
  <r>
    <x v="4"/>
    <x v="18"/>
    <d v="2026-05-15T00:00:00"/>
    <s v="USD"/>
    <s v="SP.ASIN.Manual - Tray"/>
    <x v="13"/>
    <s v="Amazon"/>
    <s v="United States"/>
    <s v="asin=&quot;B0C1G4985Z&quot;"/>
    <s v="-"/>
    <s v="b0c1g4985z"/>
    <x v="1186"/>
    <n v="3"/>
    <n v="7.4999999999999997E-2"/>
    <n v="0.42"/>
    <n v="1.26"/>
    <n v="0"/>
    <m/>
    <n v="0"/>
    <n v="0"/>
    <n v="0"/>
    <n v="0"/>
    <n v="0"/>
    <n v="0"/>
    <n v="0"/>
    <n v="0"/>
    <m/>
  </r>
  <r>
    <x v="4"/>
    <x v="18"/>
    <d v="2026-05-16T00:00:00"/>
    <s v="USD"/>
    <s v="SP.ASIN.Manual - Tray"/>
    <x v="13"/>
    <s v="Amazon"/>
    <s v="United States"/>
    <s v="asin=&quot;B0C1G4985Z&quot;"/>
    <s v="-"/>
    <s v="b0c1g4985z"/>
    <x v="1187"/>
    <n v="3"/>
    <n v="1.8182E-2"/>
    <n v="0.62"/>
    <n v="1.86"/>
    <n v="17.47"/>
    <n v="0.10646799999999999"/>
    <n v="9.39"/>
    <n v="1"/>
    <n v="1"/>
    <n v="0.33333299999999999"/>
    <n v="1"/>
    <n v="0"/>
    <n v="17.47"/>
    <n v="0"/>
    <m/>
  </r>
  <r>
    <x v="4"/>
    <x v="19"/>
    <d v="2026-05-17T00:00:00"/>
    <s v="USD"/>
    <s v="SP.ASIN.Manual - Tray"/>
    <x v="13"/>
    <s v="Amazon"/>
    <s v="United States"/>
    <s v="asin=&quot;B0C1G4985Z&quot;"/>
    <s v="-"/>
    <s v="b0c1g4985z"/>
    <x v="1188"/>
    <n v="1"/>
    <n v="5.208E-3"/>
    <n v="0.6"/>
    <n v="0.6"/>
    <n v="17.09"/>
    <n v="3.5108E-2"/>
    <n v="28.48"/>
    <n v="1"/>
    <n v="1"/>
    <n v="1"/>
    <n v="0"/>
    <n v="1"/>
    <n v="0"/>
    <n v="17.09"/>
    <m/>
  </r>
  <r>
    <x v="4"/>
    <x v="19"/>
    <d v="2026-05-19T00:00:00"/>
    <s v="USD"/>
    <s v="SP.ASIN.Manual - Tray"/>
    <x v="13"/>
    <s v="Amazon"/>
    <s v="United States"/>
    <s v="asin=&quot;B0C1G4985Z&quot;"/>
    <s v="-"/>
    <s v="b0c1g4985z"/>
    <x v="1189"/>
    <n v="2"/>
    <n v="1.8182E-2"/>
    <n v="0.59"/>
    <n v="1.17"/>
    <n v="0"/>
    <m/>
    <n v="0"/>
    <n v="0"/>
    <n v="0"/>
    <n v="0"/>
    <n v="0"/>
    <n v="0"/>
    <n v="0"/>
    <n v="0"/>
    <m/>
  </r>
  <r>
    <x v="4"/>
    <x v="19"/>
    <d v="2026-05-20T00:00:00"/>
    <s v="USD"/>
    <s v="SP.ASIN.Manual - Tray"/>
    <x v="13"/>
    <s v="Amazon"/>
    <s v="United States"/>
    <s v="asin=&quot;B0C1G4985Z&quot;"/>
    <s v="-"/>
    <s v="b0c1g4985z"/>
    <x v="1190"/>
    <n v="3"/>
    <n v="4.9180000000000001E-2"/>
    <n v="0.62"/>
    <n v="1.86"/>
    <n v="0"/>
    <m/>
    <n v="0"/>
    <n v="0"/>
    <n v="0"/>
    <n v="0"/>
    <n v="0"/>
    <n v="0"/>
    <n v="0"/>
    <n v="0"/>
    <m/>
  </r>
  <r>
    <x v="4"/>
    <x v="19"/>
    <d v="2026-05-21T00:00:00"/>
    <s v="USD"/>
    <s v="SP.ASIN.Manual - Tray"/>
    <x v="13"/>
    <s v="Amazon"/>
    <s v="United States"/>
    <s v="asin=&quot;B0C1G4985Z&quot;"/>
    <s v="-"/>
    <s v="b0c1g4985z"/>
    <x v="1191"/>
    <n v="2"/>
    <n v="6.25E-2"/>
    <n v="0.56000000000000005"/>
    <n v="1.1200000000000001"/>
    <n v="0"/>
    <m/>
    <n v="0"/>
    <n v="0"/>
    <n v="0"/>
    <n v="0"/>
    <n v="0"/>
    <n v="0"/>
    <n v="0"/>
    <n v="0"/>
    <m/>
  </r>
  <r>
    <x v="4"/>
    <x v="16"/>
    <d v="2026-05-01T00:00:00"/>
    <s v="USD"/>
    <s v="SP.Auto - Tray"/>
    <x v="12"/>
    <s v="Amazon"/>
    <s v="United States"/>
    <s v="substitutes"/>
    <s v="-"/>
    <s v="b0c1g4985z"/>
    <x v="1174"/>
    <n v="1"/>
    <n v="0.2"/>
    <n v="0.08"/>
    <n v="0.08"/>
    <n v="17.47"/>
    <n v="4.5789999999999997E-3"/>
    <n v="218.38"/>
    <n v="1"/>
    <n v="1"/>
    <n v="1"/>
    <n v="1"/>
    <n v="0"/>
    <n v="17.47"/>
    <n v="0"/>
    <m/>
  </r>
  <r>
    <x v="4"/>
    <x v="18"/>
    <d v="2026-05-11T00:00:00"/>
    <s v="USD"/>
    <s v="SP.Auto - Tray"/>
    <x v="12"/>
    <s v="Amazon"/>
    <s v="United States"/>
    <s v="substitutes"/>
    <s v="-"/>
    <s v="b0c8nksk7d"/>
    <x v="1174"/>
    <n v="1"/>
    <n v="0.2"/>
    <n v="0.79"/>
    <n v="0.79"/>
    <n v="0"/>
    <m/>
    <n v="0"/>
    <n v="0"/>
    <n v="0"/>
    <n v="0"/>
    <n v="0"/>
    <n v="0"/>
    <n v="0"/>
    <n v="0"/>
    <m/>
  </r>
  <r>
    <x v="4"/>
    <x v="20"/>
    <d v="2026-05-07T00:00:00"/>
    <s v="USD"/>
    <s v="SP.Auto - ENC grey"/>
    <x v="14"/>
    <s v="Amazon"/>
    <s v="United States"/>
    <s v="substitutes"/>
    <s v="-"/>
    <s v="b0clpc9fzb"/>
    <x v="1169"/>
    <n v="1"/>
    <n v="1"/>
    <n v="1.1499999999999999"/>
    <n v="1.1499999999999999"/>
    <n v="0"/>
    <m/>
    <n v="0"/>
    <n v="0"/>
    <n v="0"/>
    <n v="0"/>
    <n v="0"/>
    <n v="0"/>
    <n v="0"/>
    <n v="0"/>
    <m/>
  </r>
  <r>
    <x v="4"/>
    <x v="18"/>
    <d v="2026-05-12T00:00:00"/>
    <s v="USD"/>
    <s v="SP.Auto - Tray"/>
    <x v="12"/>
    <s v="Amazon"/>
    <s v="United States"/>
    <s v="substitutes"/>
    <s v="-"/>
    <s v="b0cmt8djhn"/>
    <x v="1168"/>
    <n v="1"/>
    <n v="0.5"/>
    <n v="0.82"/>
    <n v="0.82"/>
    <n v="0"/>
    <m/>
    <n v="0"/>
    <n v="0"/>
    <n v="0"/>
    <n v="0"/>
    <n v="0"/>
    <n v="0"/>
    <n v="0"/>
    <n v="0"/>
    <m/>
  </r>
  <r>
    <x v="4"/>
    <x v="19"/>
    <d v="2026-05-18T00:00:00"/>
    <s v="USD"/>
    <s v="SP.Auto - Tray"/>
    <x v="12"/>
    <s v="Amazon"/>
    <s v="United States"/>
    <s v="substitutes"/>
    <s v="-"/>
    <s v="b0cq2l64f7"/>
    <x v="1168"/>
    <n v="1"/>
    <n v="0.5"/>
    <n v="0.6"/>
    <n v="0.6"/>
    <n v="0"/>
    <m/>
    <n v="0"/>
    <n v="0"/>
    <n v="0"/>
    <n v="0"/>
    <n v="0"/>
    <n v="0"/>
    <n v="0"/>
    <n v="0"/>
    <m/>
  </r>
  <r>
    <x v="4"/>
    <x v="19"/>
    <d v="2026-05-17T00:00:00"/>
    <s v="USD"/>
    <s v="SP.Auto - Tray"/>
    <x v="12"/>
    <s v="Amazon"/>
    <s v="United States"/>
    <s v="substitutes"/>
    <s v="-"/>
    <s v="b0csf1hnj8"/>
    <x v="1172"/>
    <n v="1"/>
    <n v="0.125"/>
    <n v="0.82"/>
    <n v="0.82"/>
    <n v="0"/>
    <m/>
    <n v="0"/>
    <n v="0"/>
    <n v="0"/>
    <n v="0"/>
    <n v="0"/>
    <n v="0"/>
    <n v="0"/>
    <n v="0"/>
    <m/>
  </r>
  <r>
    <x v="4"/>
    <x v="19"/>
    <d v="2026-05-20T00:00:00"/>
    <s v="USD"/>
    <s v="SP.Auto - Tray"/>
    <x v="12"/>
    <s v="Amazon"/>
    <s v="United States"/>
    <s v="substitutes"/>
    <s v="-"/>
    <s v="b0d9q9x59p"/>
    <x v="1171"/>
    <n v="1"/>
    <n v="0.25"/>
    <n v="0.49"/>
    <n v="0.49"/>
    <n v="0"/>
    <m/>
    <n v="0"/>
    <n v="0"/>
    <n v="0"/>
    <n v="0"/>
    <n v="0"/>
    <n v="0"/>
    <n v="0"/>
    <n v="0"/>
    <m/>
  </r>
  <r>
    <x v="4"/>
    <x v="20"/>
    <d v="2026-05-08T00:00:00"/>
    <s v="USD"/>
    <s v="SP.Auto - Tray"/>
    <x v="12"/>
    <s v="Amazon"/>
    <s v="United States"/>
    <s v="substitutes"/>
    <s v="-"/>
    <s v="b0dbln7cng"/>
    <x v="1169"/>
    <n v="1"/>
    <n v="1"/>
    <n v="1"/>
    <n v="1"/>
    <n v="0"/>
    <m/>
    <n v="0"/>
    <n v="0"/>
    <n v="0"/>
    <n v="0"/>
    <n v="0"/>
    <n v="0"/>
    <n v="0"/>
    <n v="0"/>
    <m/>
  </r>
  <r>
    <x v="4"/>
    <x v="16"/>
    <d v="2026-05-02T00:00:00"/>
    <s v="USD"/>
    <s v="SP.Auto - Tray"/>
    <x v="12"/>
    <s v="Amazon"/>
    <s v="United States"/>
    <s v="substitutes"/>
    <s v="-"/>
    <s v="b0dh98h2g4"/>
    <x v="1173"/>
    <n v="1"/>
    <n v="9.0909000000000004E-2"/>
    <n v="0.67"/>
    <n v="0.67"/>
    <n v="0"/>
    <m/>
    <n v="0"/>
    <n v="0"/>
    <n v="0"/>
    <n v="0"/>
    <n v="0"/>
    <n v="0"/>
    <n v="0"/>
    <n v="0"/>
    <m/>
  </r>
  <r>
    <x v="4"/>
    <x v="18"/>
    <d v="2026-05-11T00:00:00"/>
    <s v="USD"/>
    <s v="SP.Auto - Tray"/>
    <x v="12"/>
    <s v="Amazon"/>
    <s v="United States"/>
    <s v="substitutes"/>
    <s v="-"/>
    <s v="b0dh98h2g4"/>
    <x v="1192"/>
    <n v="1"/>
    <n v="0.16666700000000001"/>
    <n v="0.87"/>
    <n v="0.87"/>
    <n v="0"/>
    <m/>
    <n v="0"/>
    <n v="0"/>
    <n v="0"/>
    <n v="0"/>
    <n v="0"/>
    <n v="0"/>
    <n v="0"/>
    <n v="0"/>
    <m/>
  </r>
  <r>
    <x v="4"/>
    <x v="20"/>
    <d v="2026-05-04T00:00:00"/>
    <s v="USD"/>
    <s v="SP.ASIN.Manual - Tray"/>
    <x v="13"/>
    <s v="Amazon"/>
    <s v="United States"/>
    <s v="asin=&quot;B0DH98H2G4&quot;"/>
    <s v="-"/>
    <s v="b0dh98h2g4"/>
    <x v="1193"/>
    <n v="1"/>
    <n v="0.04"/>
    <n v="0.41"/>
    <n v="0.41"/>
    <n v="0"/>
    <m/>
    <n v="0"/>
    <n v="0"/>
    <n v="0"/>
    <n v="0"/>
    <n v="0"/>
    <n v="0"/>
    <n v="0"/>
    <n v="0"/>
    <m/>
  </r>
  <r>
    <x v="4"/>
    <x v="20"/>
    <d v="2026-05-05T00:00:00"/>
    <s v="USD"/>
    <s v="SP.ASIN.Manual - Tray"/>
    <x v="13"/>
    <s v="Amazon"/>
    <s v="United States"/>
    <s v="asin=&quot;B0DH98H2G4&quot;"/>
    <s v="-"/>
    <s v="b0dh98h2g4"/>
    <x v="1194"/>
    <n v="1"/>
    <n v="2.6315999999999999E-2"/>
    <n v="0.5"/>
    <n v="0.5"/>
    <n v="0"/>
    <m/>
    <n v="0"/>
    <n v="0"/>
    <n v="0"/>
    <n v="0"/>
    <n v="0"/>
    <n v="0"/>
    <n v="0"/>
    <n v="0"/>
    <m/>
  </r>
  <r>
    <x v="4"/>
    <x v="20"/>
    <d v="2026-05-07T00:00:00"/>
    <s v="USD"/>
    <s v="SP.ASIN.Manual - Tray"/>
    <x v="13"/>
    <s v="Amazon"/>
    <s v="United States"/>
    <s v="asin=&quot;B0DH98H2G4&quot;"/>
    <s v="-"/>
    <s v="b0dh98h2g4"/>
    <x v="1195"/>
    <n v="1"/>
    <n v="3.3333000000000002E-2"/>
    <n v="0.52"/>
    <n v="0.52"/>
    <n v="0"/>
    <m/>
    <n v="0"/>
    <n v="0"/>
    <n v="0"/>
    <n v="0"/>
    <n v="0"/>
    <n v="0"/>
    <n v="0"/>
    <n v="0"/>
    <m/>
  </r>
  <r>
    <x v="4"/>
    <x v="20"/>
    <d v="2026-05-08T00:00:00"/>
    <s v="USD"/>
    <s v="SP.ASIN.Manual - Tray"/>
    <x v="13"/>
    <s v="Amazon"/>
    <s v="United States"/>
    <s v="asin=&quot;B0DH98H2G4&quot;"/>
    <s v="-"/>
    <s v="b0dh98h2g4"/>
    <x v="1173"/>
    <n v="1"/>
    <n v="9.0909000000000004E-2"/>
    <n v="0.6"/>
    <n v="0.6"/>
    <n v="0"/>
    <m/>
    <n v="0"/>
    <n v="0"/>
    <n v="0"/>
    <n v="0"/>
    <n v="0"/>
    <n v="0"/>
    <n v="0"/>
    <n v="0"/>
    <m/>
  </r>
  <r>
    <x v="4"/>
    <x v="20"/>
    <d v="2026-05-09T00:00:00"/>
    <s v="USD"/>
    <s v="SP.ASIN.Manual - Tray"/>
    <x v="13"/>
    <s v="Amazon"/>
    <s v="United States"/>
    <s v="asin=&quot;B0DH98H2G4&quot;"/>
    <s v="-"/>
    <s v="b0dh98h2g4"/>
    <x v="1196"/>
    <n v="4"/>
    <n v="2.2346000000000001E-2"/>
    <n v="0.59"/>
    <n v="2.35"/>
    <n v="0"/>
    <m/>
    <n v="0"/>
    <n v="0"/>
    <n v="0"/>
    <n v="0"/>
    <n v="0"/>
    <n v="0"/>
    <n v="0"/>
    <n v="0"/>
    <m/>
  </r>
  <r>
    <x v="4"/>
    <x v="18"/>
    <d v="2026-05-10T00:00:00"/>
    <s v="USD"/>
    <s v="SP.ASIN.Manual - Tray"/>
    <x v="13"/>
    <s v="Amazon"/>
    <s v="United States"/>
    <s v="asin=&quot;B0DH98H2G4&quot;"/>
    <s v="-"/>
    <s v="b0dh98h2g4"/>
    <x v="1197"/>
    <n v="1"/>
    <n v="7.6923000000000005E-2"/>
    <n v="0.6"/>
    <n v="0.6"/>
    <n v="0"/>
    <m/>
    <n v="0"/>
    <n v="0"/>
    <n v="0"/>
    <n v="0"/>
    <n v="0"/>
    <n v="0"/>
    <n v="0"/>
    <n v="0"/>
    <m/>
  </r>
  <r>
    <x v="4"/>
    <x v="18"/>
    <d v="2026-05-11T00:00:00"/>
    <s v="USD"/>
    <s v="SP.ASIN.Manual - Tray"/>
    <x v="13"/>
    <s v="Amazon"/>
    <s v="United States"/>
    <s v="asin=&quot;B0DH98H2G4&quot;"/>
    <s v="-"/>
    <s v="b0dh98h2g4"/>
    <x v="1198"/>
    <n v="2"/>
    <n v="2.4095999999999999E-2"/>
    <n v="0.6"/>
    <n v="1.19"/>
    <n v="0"/>
    <m/>
    <n v="0"/>
    <n v="0"/>
    <n v="0"/>
    <n v="0"/>
    <n v="0"/>
    <n v="0"/>
    <n v="0"/>
    <n v="0"/>
    <m/>
  </r>
  <r>
    <x v="4"/>
    <x v="18"/>
    <d v="2026-05-12T00:00:00"/>
    <s v="USD"/>
    <s v="SP.ASIN.Manual - Tray"/>
    <x v="13"/>
    <s v="Amazon"/>
    <s v="United States"/>
    <s v="asin=&quot;B0DH98H2G4&quot;"/>
    <s v="-"/>
    <s v="b0dh98h2g4"/>
    <x v="1199"/>
    <n v="1"/>
    <n v="6.2500000000000003E-3"/>
    <n v="0.56999999999999995"/>
    <n v="0.56999999999999995"/>
    <n v="18.989999999999998"/>
    <n v="3.0016000000000001E-2"/>
    <n v="33.32"/>
    <n v="1"/>
    <n v="1"/>
    <n v="1"/>
    <n v="1"/>
    <n v="0"/>
    <n v="18.989999999999998"/>
    <n v="0"/>
    <m/>
  </r>
  <r>
    <x v="4"/>
    <x v="18"/>
    <d v="2026-05-13T00:00:00"/>
    <s v="USD"/>
    <s v="SP.ASIN.Manual - Tray"/>
    <x v="13"/>
    <s v="Amazon"/>
    <s v="United States"/>
    <s v="asin=&quot;B0DH98H2G4&quot;"/>
    <s v="-"/>
    <s v="b0dh98h2g4"/>
    <x v="1200"/>
    <n v="1"/>
    <n v="1.4706E-2"/>
    <n v="0.56999999999999995"/>
    <n v="0.56999999999999995"/>
    <n v="0"/>
    <m/>
    <n v="0"/>
    <n v="0"/>
    <n v="0"/>
    <n v="0"/>
    <n v="0"/>
    <n v="0"/>
    <n v="0"/>
    <n v="0"/>
    <m/>
  </r>
  <r>
    <x v="4"/>
    <x v="19"/>
    <d v="2026-05-19T00:00:00"/>
    <s v="USD"/>
    <s v="SP.ASIN.Manual - Tray"/>
    <x v="13"/>
    <s v="Amazon"/>
    <s v="United States"/>
    <s v="asin=&quot;B0DH98H2G4&quot;"/>
    <s v="-"/>
    <s v="b0dh98h2g4"/>
    <x v="1201"/>
    <n v="1"/>
    <n v="2.5641000000000001E-2"/>
    <n v="0.55000000000000004"/>
    <n v="0.55000000000000004"/>
    <n v="0"/>
    <m/>
    <n v="0"/>
    <n v="0"/>
    <n v="0"/>
    <n v="0"/>
    <n v="0"/>
    <n v="0"/>
    <n v="0"/>
    <n v="0"/>
    <m/>
  </r>
  <r>
    <x v="4"/>
    <x v="18"/>
    <d v="2026-05-13T00:00:00"/>
    <s v="USD"/>
    <s v="SP.Auto - Tray"/>
    <x v="12"/>
    <s v="Amazon"/>
    <s v="United States"/>
    <s v="substitutes"/>
    <s v="-"/>
    <s v="b0dpwxrx1x"/>
    <x v="1202"/>
    <n v="1"/>
    <n v="6.6667000000000004E-2"/>
    <n v="0.82"/>
    <n v="0.82"/>
    <n v="0"/>
    <m/>
    <n v="0"/>
    <n v="0"/>
    <n v="0"/>
    <n v="0"/>
    <n v="0"/>
    <n v="0"/>
    <n v="0"/>
    <n v="0"/>
    <m/>
  </r>
  <r>
    <x v="4"/>
    <x v="20"/>
    <d v="2026-05-06T00:00:00"/>
    <s v="USD"/>
    <s v="SP.Auto - Tray"/>
    <x v="12"/>
    <s v="Amazon"/>
    <s v="United States"/>
    <s v="substitutes"/>
    <s v="-"/>
    <s v="b0dtnxjm7z"/>
    <x v="1168"/>
    <n v="1"/>
    <n v="0.5"/>
    <n v="1.07"/>
    <n v="1.07"/>
    <n v="0"/>
    <m/>
    <n v="0"/>
    <n v="0"/>
    <n v="0"/>
    <n v="0"/>
    <n v="0"/>
    <n v="0"/>
    <n v="0"/>
    <n v="0"/>
    <m/>
  </r>
  <r>
    <x v="4"/>
    <x v="16"/>
    <d v="2026-05-01T00:00:00"/>
    <s v="USD"/>
    <s v="SP.ASIN.Manual - Tray"/>
    <x v="13"/>
    <s v="Amazon"/>
    <s v="United States"/>
    <s v="asin=&quot;B0F4KJN2VC&quot;"/>
    <s v="-"/>
    <s v="b0f4kjn2vc"/>
    <x v="1192"/>
    <n v="1"/>
    <n v="0.16666700000000001"/>
    <n v="0.69"/>
    <n v="0.69"/>
    <n v="0"/>
    <m/>
    <n v="0"/>
    <n v="0"/>
    <n v="0"/>
    <n v="0"/>
    <n v="0"/>
    <n v="0"/>
    <n v="0"/>
    <n v="0"/>
    <m/>
  </r>
  <r>
    <x v="4"/>
    <x v="16"/>
    <d v="2026-05-02T00:00:00"/>
    <s v="USD"/>
    <s v="SP.ASIN.Manual - Tray"/>
    <x v="13"/>
    <s v="Amazon"/>
    <s v="United States"/>
    <s v="asin=&quot;B0F4KJN2VC&quot;"/>
    <s v="-"/>
    <s v="b0f4kjn2vc"/>
    <x v="1203"/>
    <n v="1"/>
    <n v="4.1667000000000003E-2"/>
    <n v="0.69"/>
    <n v="0.69"/>
    <n v="17.47"/>
    <n v="3.9496000000000003E-2"/>
    <n v="25.32"/>
    <n v="1"/>
    <n v="1"/>
    <n v="1"/>
    <n v="1"/>
    <n v="0"/>
    <n v="17.47"/>
    <n v="0"/>
    <m/>
  </r>
  <r>
    <x v="4"/>
    <x v="20"/>
    <d v="2026-05-08T00:00:00"/>
    <s v="USD"/>
    <s v="SP.Auto - Tray"/>
    <x v="12"/>
    <s v="Amazon"/>
    <s v="United States"/>
    <s v="substitutes"/>
    <s v="-"/>
    <s v="b0f7lhkdbb"/>
    <x v="1171"/>
    <n v="1"/>
    <n v="0.25"/>
    <n v="1.1000000000000001"/>
    <n v="1.1000000000000001"/>
    <n v="0"/>
    <m/>
    <n v="0"/>
    <n v="0"/>
    <n v="0"/>
    <n v="0"/>
    <n v="0"/>
    <n v="0"/>
    <n v="0"/>
    <n v="0"/>
    <m/>
  </r>
  <r>
    <x v="4"/>
    <x v="19"/>
    <d v="2026-05-21T00:00:00"/>
    <s v="USD"/>
    <s v="SP.ASIN.Manual - Tray"/>
    <x v="13"/>
    <s v="Amazon"/>
    <s v="United States"/>
    <s v="asin=&quot;B0FBGX9LQL&quot;"/>
    <s v="-"/>
    <s v="b0fbgx9lql"/>
    <x v="1204"/>
    <n v="1"/>
    <n v="6.5360000000000001E-3"/>
    <n v="0.51"/>
    <n v="0.51"/>
    <n v="0"/>
    <m/>
    <n v="0"/>
    <n v="0"/>
    <n v="0"/>
    <n v="0"/>
    <n v="0"/>
    <n v="0"/>
    <n v="0"/>
    <n v="0"/>
    <m/>
  </r>
  <r>
    <x v="4"/>
    <x v="16"/>
    <d v="2026-05-02T00:00:00"/>
    <s v="USD"/>
    <s v="SP.Auto - Tray"/>
    <x v="12"/>
    <s v="Amazon"/>
    <s v="United States"/>
    <s v="substitutes"/>
    <s v="-"/>
    <s v="b0fc6sp573"/>
    <x v="1170"/>
    <n v="1"/>
    <n v="0.33333299999999999"/>
    <n v="1.22"/>
    <n v="1.22"/>
    <n v="17.47"/>
    <n v="6.9833999999999993E-2"/>
    <n v="14.32"/>
    <n v="1"/>
    <n v="1"/>
    <n v="1"/>
    <n v="1"/>
    <n v="0"/>
    <n v="17.47"/>
    <n v="0"/>
    <m/>
  </r>
  <r>
    <x v="4"/>
    <x v="18"/>
    <d v="2026-05-10T00:00:00"/>
    <s v="USD"/>
    <s v="SP.Auto - Tray"/>
    <x v="12"/>
    <s v="Amazon"/>
    <s v="United States"/>
    <s v="substitutes"/>
    <s v="-"/>
    <s v="b0ff9l217s"/>
    <x v="1169"/>
    <n v="1"/>
    <n v="1"/>
    <n v="0.87"/>
    <n v="0.87"/>
    <n v="0"/>
    <m/>
    <n v="0"/>
    <n v="0"/>
    <n v="0"/>
    <n v="0"/>
    <n v="0"/>
    <n v="0"/>
    <n v="0"/>
    <n v="0"/>
    <m/>
  </r>
  <r>
    <x v="4"/>
    <x v="20"/>
    <d v="2026-05-06T00:00:00"/>
    <s v="USD"/>
    <s v="SP.Auto - Tray"/>
    <x v="12"/>
    <s v="Amazon"/>
    <s v="United States"/>
    <s v="substitutes"/>
    <s v="-"/>
    <s v="b0fjf5j912"/>
    <x v="1197"/>
    <n v="1"/>
    <n v="7.6923000000000005E-2"/>
    <n v="1.07"/>
    <n v="1.07"/>
    <n v="0"/>
    <m/>
    <n v="0"/>
    <n v="0"/>
    <n v="0"/>
    <n v="0"/>
    <n v="0"/>
    <n v="0"/>
    <n v="0"/>
    <n v="0"/>
    <m/>
  </r>
  <r>
    <x v="4"/>
    <x v="20"/>
    <d v="2026-05-07T00:00:00"/>
    <s v="USD"/>
    <s v="SP.Auto - Tray"/>
    <x v="12"/>
    <s v="Amazon"/>
    <s v="United States"/>
    <s v="substitutes"/>
    <s v="-"/>
    <s v="b0fjf5j912"/>
    <x v="1205"/>
    <n v="1"/>
    <n v="0.111111"/>
    <n v="1.1000000000000001"/>
    <n v="1.1000000000000001"/>
    <n v="0"/>
    <m/>
    <n v="0"/>
    <n v="0"/>
    <n v="0"/>
    <n v="0"/>
    <n v="0"/>
    <n v="0"/>
    <n v="0"/>
    <n v="0"/>
    <m/>
  </r>
  <r>
    <x v="4"/>
    <x v="20"/>
    <d v="2026-05-09T00:00:00"/>
    <s v="USD"/>
    <s v="SP.Auto - Tray"/>
    <x v="12"/>
    <s v="Amazon"/>
    <s v="United States"/>
    <s v="substitutes"/>
    <s v="-"/>
    <s v="b0fjl1l1hm"/>
    <x v="1169"/>
    <n v="1"/>
    <n v="1"/>
    <n v="1"/>
    <n v="1"/>
    <n v="0"/>
    <m/>
    <n v="0"/>
    <n v="0"/>
    <n v="0"/>
    <n v="0"/>
    <n v="0"/>
    <n v="0"/>
    <n v="0"/>
    <n v="0"/>
    <m/>
  </r>
  <r>
    <x v="4"/>
    <x v="19"/>
    <d v="2026-05-19T00:00:00"/>
    <s v="USD"/>
    <s v="SP.Auto - Tray"/>
    <x v="12"/>
    <s v="Amazon"/>
    <s v="United States"/>
    <s v="substitutes"/>
    <s v="-"/>
    <s v="b0fpr6l46z"/>
    <x v="1170"/>
    <n v="1"/>
    <n v="0.33333299999999999"/>
    <n v="0.6"/>
    <n v="0.6"/>
    <n v="0"/>
    <m/>
    <n v="0"/>
    <n v="0"/>
    <n v="0"/>
    <n v="0"/>
    <n v="0"/>
    <n v="0"/>
    <n v="0"/>
    <n v="0"/>
    <m/>
  </r>
  <r>
    <x v="4"/>
    <x v="18"/>
    <d v="2026-05-15T00:00:00"/>
    <s v="USD"/>
    <s v="SP.ASIN.Manual - Tray"/>
    <x v="13"/>
    <s v="Amazon"/>
    <s v="United States"/>
    <s v="asin=&quot;B0FVF51VYJ&quot;"/>
    <s v="-"/>
    <s v="b0fvf51vyj"/>
    <x v="1206"/>
    <n v="2"/>
    <n v="3.6364E-2"/>
    <n v="0.66"/>
    <n v="1.32"/>
    <n v="17.09"/>
    <n v="7.7238000000000001E-2"/>
    <n v="12.95"/>
    <n v="1"/>
    <n v="1"/>
    <n v="0.5"/>
    <n v="0"/>
    <n v="1"/>
    <n v="0"/>
    <n v="17.09"/>
    <m/>
  </r>
  <r>
    <x v="4"/>
    <x v="19"/>
    <d v="2026-05-18T00:00:00"/>
    <s v="USD"/>
    <s v="SP.ASIN.Manual - Tray"/>
    <x v="13"/>
    <s v="Amazon"/>
    <s v="United States"/>
    <s v="asin=&quot;B0FVF51VYJ&quot;"/>
    <s v="-"/>
    <s v="b0fvf51vyj"/>
    <x v="1207"/>
    <n v="2"/>
    <n v="3.2258000000000002E-2"/>
    <n v="0.66"/>
    <n v="1.32"/>
    <n v="0"/>
    <m/>
    <n v="0"/>
    <n v="0"/>
    <n v="0"/>
    <n v="0"/>
    <n v="0"/>
    <n v="0"/>
    <n v="0"/>
    <n v="0"/>
    <m/>
  </r>
  <r>
    <x v="4"/>
    <x v="19"/>
    <d v="2026-05-21T00:00:00"/>
    <s v="USD"/>
    <s v="SP.ASIN.Manual - Tray"/>
    <x v="13"/>
    <s v="Amazon"/>
    <s v="United States"/>
    <s v="asin=&quot;B0FVF51VYJ&quot;"/>
    <s v="-"/>
    <s v="b0fvf51vyj"/>
    <x v="1208"/>
    <n v="1"/>
    <n v="1.7857000000000001E-2"/>
    <n v="0.7"/>
    <n v="0.7"/>
    <n v="0"/>
    <m/>
    <n v="0"/>
    <n v="0"/>
    <n v="0"/>
    <n v="0"/>
    <n v="0"/>
    <n v="0"/>
    <n v="0"/>
    <n v="0"/>
    <m/>
  </r>
  <r>
    <x v="4"/>
    <x v="19"/>
    <d v="2026-05-19T00:00:00"/>
    <s v="USD"/>
    <s v="SP.Auto - Tray"/>
    <x v="12"/>
    <s v="Amazon"/>
    <s v="United States"/>
    <s v="substitutes"/>
    <s v="-"/>
    <s v="b0fvm7fh7w"/>
    <x v="1171"/>
    <n v="1"/>
    <n v="0.25"/>
    <n v="0.57999999999999996"/>
    <n v="0.57999999999999996"/>
    <n v="0"/>
    <m/>
    <n v="0"/>
    <n v="0"/>
    <n v="0"/>
    <n v="0"/>
    <n v="0"/>
    <n v="0"/>
    <n v="0"/>
    <n v="0"/>
    <m/>
  </r>
  <r>
    <x v="4"/>
    <x v="20"/>
    <d v="2026-05-05T00:00:00"/>
    <s v="USD"/>
    <s v="SP.Auto - Tray"/>
    <x v="12"/>
    <s v="Amazon"/>
    <s v="United States"/>
    <s v="substitutes"/>
    <s v="-"/>
    <s v="b0fxkpd83v"/>
    <x v="1168"/>
    <n v="1"/>
    <n v="0.5"/>
    <n v="1.3"/>
    <n v="1.3"/>
    <n v="0"/>
    <m/>
    <n v="0"/>
    <n v="0"/>
    <n v="0"/>
    <n v="0"/>
    <n v="0"/>
    <n v="0"/>
    <n v="0"/>
    <n v="0"/>
    <m/>
  </r>
  <r>
    <x v="4"/>
    <x v="18"/>
    <d v="2026-05-10T00:00:00"/>
    <s v="USD"/>
    <s v="SP.Auto - Tray"/>
    <x v="12"/>
    <s v="Amazon"/>
    <s v="United States"/>
    <s v="substitutes"/>
    <s v="-"/>
    <s v="b0fxkpd83v"/>
    <x v="1209"/>
    <n v="1"/>
    <n v="5.2631999999999998E-2"/>
    <n v="0.87"/>
    <n v="0.87"/>
    <n v="0"/>
    <m/>
    <n v="0"/>
    <n v="0"/>
    <n v="0"/>
    <n v="0"/>
    <n v="0"/>
    <n v="0"/>
    <n v="0"/>
    <n v="0"/>
    <m/>
  </r>
  <r>
    <x v="4"/>
    <x v="19"/>
    <d v="2026-05-20T00:00:00"/>
    <s v="USD"/>
    <s v="SP.Auto - Tray"/>
    <x v="12"/>
    <s v="Amazon"/>
    <s v="United States"/>
    <s v="substitutes"/>
    <s v="-"/>
    <s v="b0g2xz1dfw"/>
    <x v="1170"/>
    <n v="1"/>
    <n v="0.33333299999999999"/>
    <n v="0.1"/>
    <n v="0.1"/>
    <n v="17.47"/>
    <n v="5.7239999999999999E-3"/>
    <n v="174.7"/>
    <n v="1"/>
    <n v="1"/>
    <n v="1"/>
    <n v="1"/>
    <n v="0"/>
    <n v="17.47"/>
    <n v="0"/>
    <m/>
  </r>
  <r>
    <x v="4"/>
    <x v="16"/>
    <d v="2026-05-02T00:00:00"/>
    <s v="USD"/>
    <s v="捡漏SP.Manual - ENC &amp; BNF"/>
    <x v="15"/>
    <s v="Amazon"/>
    <s v="United States"/>
    <s v="newborn nail file electric"/>
    <s v="BROAD"/>
    <s v="baby electric nail file"/>
    <x v="1210"/>
    <n v="1"/>
    <n v="4.7619000000000002E-2"/>
    <n v="4.25"/>
    <n v="4.25"/>
    <n v="0"/>
    <m/>
    <n v="0"/>
    <n v="0"/>
    <n v="0"/>
    <n v="0"/>
    <n v="0"/>
    <n v="0"/>
    <n v="0"/>
    <n v="0"/>
    <m/>
  </r>
  <r>
    <x v="4"/>
    <x v="20"/>
    <d v="2026-05-04T00:00:00"/>
    <s v="USD"/>
    <s v="捡漏SP.Manual - ENC &amp; BNF"/>
    <x v="15"/>
    <s v="Amazon"/>
    <s v="United States"/>
    <s v="newborn nail file electric"/>
    <s v="BROAD"/>
    <s v="baby electric nail file"/>
    <x v="1201"/>
    <n v="1"/>
    <n v="2.5641000000000001E-2"/>
    <n v="2.21"/>
    <n v="2.21"/>
    <n v="0"/>
    <m/>
    <n v="0"/>
    <n v="0"/>
    <n v="0"/>
    <n v="0"/>
    <n v="0"/>
    <n v="0"/>
    <n v="0"/>
    <n v="0"/>
    <m/>
  </r>
  <r>
    <x v="4"/>
    <x v="20"/>
    <d v="2026-05-07T00:00:00"/>
    <s v="USD"/>
    <s v="捡漏SP.Manual - ENC &amp; BNF"/>
    <x v="15"/>
    <s v="Amazon"/>
    <s v="United States"/>
    <s v="electric baby nail file"/>
    <s v="BROAD"/>
    <s v="baby electric nail file"/>
    <x v="1211"/>
    <n v="1"/>
    <n v="2.7026999999999999E-2"/>
    <n v="1.78"/>
    <n v="1.78"/>
    <n v="0"/>
    <m/>
    <n v="0"/>
    <n v="0"/>
    <n v="0"/>
    <n v="0"/>
    <n v="0"/>
    <n v="0"/>
    <n v="0"/>
    <n v="0"/>
    <m/>
  </r>
  <r>
    <x v="4"/>
    <x v="20"/>
    <d v="2026-05-03T00:00:00"/>
    <s v="USD"/>
    <s v="捡漏SP.Keyword.Mannual - Tray"/>
    <x v="11"/>
    <s v="Amazon"/>
    <s v="United States"/>
    <s v="stroller snack tray"/>
    <s v="BROAD"/>
    <s v="baby gap stroller tray with pole"/>
    <x v="1169"/>
    <n v="1"/>
    <n v="1"/>
    <n v="0.4"/>
    <n v="0.4"/>
    <n v="0"/>
    <m/>
    <n v="0"/>
    <n v="0"/>
    <n v="0"/>
    <n v="0"/>
    <n v="0"/>
    <n v="0"/>
    <n v="0"/>
    <n v="0"/>
    <m/>
  </r>
  <r>
    <x v="4"/>
    <x v="16"/>
    <d v="2026-05-02T00:00:00"/>
    <s v="USD"/>
    <s v="捡漏SP.Keyword.Mannual - Tray"/>
    <x v="11"/>
    <s v="Amazon"/>
    <s v="United States"/>
    <s v="stroller snack tray"/>
    <s v="BROAD"/>
    <s v="baby jogger city mini gt2 snack tray"/>
    <x v="1174"/>
    <n v="1"/>
    <n v="0.2"/>
    <n v="0.21"/>
    <n v="0.21"/>
    <n v="0"/>
    <m/>
    <n v="0"/>
    <n v="0"/>
    <n v="0"/>
    <n v="0"/>
    <n v="0"/>
    <n v="0"/>
    <n v="0"/>
    <n v="0"/>
    <m/>
  </r>
  <r>
    <x v="4"/>
    <x v="20"/>
    <d v="2026-05-06T00:00:00"/>
    <s v="USD"/>
    <s v="捡漏SP.Keyword.Mannual - Tray"/>
    <x v="11"/>
    <s v="Amazon"/>
    <s v="United States"/>
    <s v="stroller snack tray"/>
    <s v="BROAD"/>
    <s v="baby jogger city select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6"/>
    <d v="2026-05-02T00:00:00"/>
    <s v="USD"/>
    <s v="捡漏SP.Keyword.Mannual - Tray"/>
    <x v="11"/>
    <s v="Amazon"/>
    <s v="United States"/>
    <s v="snack holder for stroller"/>
    <s v="BROAD"/>
    <s v="baby jogger city tour 2 snack tray with phone holder"/>
    <x v="1169"/>
    <n v="1"/>
    <n v="1"/>
    <n v="0.4"/>
    <n v="0.4"/>
    <n v="0"/>
    <m/>
    <n v="0"/>
    <n v="0"/>
    <n v="0"/>
    <n v="0"/>
    <n v="0"/>
    <n v="0"/>
    <n v="0"/>
    <n v="0"/>
    <m/>
  </r>
  <r>
    <x v="4"/>
    <x v="20"/>
    <d v="2026-05-06T00:00:00"/>
    <s v="USD"/>
    <s v="捡漏SP.Keyword.Mannual - Tray"/>
    <x v="11"/>
    <s v="Amazon"/>
    <s v="United States"/>
    <s v="snack tray for stroller"/>
    <s v="BROAD"/>
    <s v="baby jogger double stroller snack tray"/>
    <x v="1170"/>
    <n v="1"/>
    <n v="0.33333299999999999"/>
    <n v="0.23"/>
    <n v="0.23"/>
    <n v="0"/>
    <m/>
    <n v="0"/>
    <n v="0"/>
    <n v="0"/>
    <n v="0"/>
    <n v="0"/>
    <n v="0"/>
    <n v="0"/>
    <n v="0"/>
    <m/>
  </r>
  <r>
    <x v="4"/>
    <x v="19"/>
    <d v="2026-05-20T00:00:00"/>
    <s v="USD"/>
    <s v="SP.Auto - Tray"/>
    <x v="12"/>
    <s v="Amazon"/>
    <s v="United States"/>
    <s v="loose-match"/>
    <s v="-"/>
    <s v="baby jogger snack tray attachment"/>
    <x v="1168"/>
    <n v="1"/>
    <n v="0.5"/>
    <n v="0.56000000000000005"/>
    <n v="0.56000000000000005"/>
    <n v="0"/>
    <m/>
    <n v="0"/>
    <n v="0"/>
    <n v="0"/>
    <n v="0"/>
    <n v="0"/>
    <n v="0"/>
    <n v="0"/>
    <n v="0"/>
    <m/>
  </r>
  <r>
    <x v="4"/>
    <x v="20"/>
    <d v="2026-05-06T00:00:00"/>
    <s v="USD"/>
    <s v="捡漏SP.Keyword.Mannual - Tray"/>
    <x v="11"/>
    <s v="Amazon"/>
    <s v="United States"/>
    <s v="snack holder for stroller"/>
    <s v="BROAD"/>
    <s v="baby jogger summit x3 snack tray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4"/>
    <x v="20"/>
    <d v="2026-05-08T00:00:00"/>
    <s v="USD"/>
    <s v="捡漏SP.Manual - ENC &amp; BNF"/>
    <x v="15"/>
    <s v="Amazon"/>
    <s v="United States"/>
    <s v="baby nail file"/>
    <s v="PHRASE"/>
    <s v="baby nail file"/>
    <x v="1212"/>
    <n v="1"/>
    <n v="4.9020000000000001E-3"/>
    <n v="3.68"/>
    <n v="3.68"/>
    <n v="0"/>
    <m/>
    <n v="0"/>
    <n v="0"/>
    <n v="0"/>
    <n v="0"/>
    <n v="0"/>
    <n v="0"/>
    <n v="0"/>
    <n v="0"/>
    <m/>
  </r>
  <r>
    <x v="4"/>
    <x v="16"/>
    <d v="2026-05-01T00:00:00"/>
    <s v="USD"/>
    <s v="SP.Auto - BNF Fixed"/>
    <x v="15"/>
    <s v="Amazon"/>
    <s v="United States"/>
    <s v="close-match"/>
    <s v="-"/>
    <s v="baby nail file"/>
    <x v="1168"/>
    <n v="1"/>
    <n v="0.5"/>
    <n v="0.5"/>
    <n v="0.5"/>
    <n v="0"/>
    <m/>
    <n v="0"/>
    <n v="0"/>
    <n v="0"/>
    <n v="0"/>
    <n v="0"/>
    <n v="0"/>
    <n v="0"/>
    <n v="0"/>
    <m/>
  </r>
  <r>
    <x v="4"/>
    <x v="20"/>
    <d v="2026-05-08T00:00:00"/>
    <s v="USD"/>
    <s v="SP.Auto - BNF Fixed"/>
    <x v="15"/>
    <s v="Amazon"/>
    <s v="United States"/>
    <s v="close-match"/>
    <s v="-"/>
    <s v="baby nail trimmer"/>
    <x v="1170"/>
    <n v="1"/>
    <n v="0.33333299999999999"/>
    <n v="0.5"/>
    <n v="0.5"/>
    <n v="0"/>
    <m/>
    <n v="0"/>
    <n v="0"/>
    <n v="0"/>
    <n v="0"/>
    <n v="0"/>
    <n v="0"/>
    <n v="0"/>
    <n v="0"/>
    <m/>
  </r>
  <r>
    <x v="4"/>
    <x v="19"/>
    <d v="2026-05-20T00:00:00"/>
    <s v="USD"/>
    <s v="SP.ASIN.Manual - Tray"/>
    <x v="13"/>
    <s v="Amazon"/>
    <s v="United States"/>
    <s v="asin=&quot;B0FVF51VYJ&quot;"/>
    <s v="-"/>
    <s v="baby stroller snack tray"/>
    <x v="1168"/>
    <n v="1"/>
    <n v="0.5"/>
    <n v="0.7"/>
    <n v="0.7"/>
    <n v="0"/>
    <m/>
    <n v="0"/>
    <n v="0"/>
    <n v="0"/>
    <n v="0"/>
    <n v="0"/>
    <n v="0"/>
    <n v="0"/>
    <n v="0"/>
    <m/>
  </r>
  <r>
    <x v="4"/>
    <x v="18"/>
    <d v="2026-05-16T00:00:00"/>
    <s v="USD"/>
    <s v="捡漏SP.Keyword.Mannual - Tray"/>
    <x v="11"/>
    <s v="Amazon"/>
    <s v="United States"/>
    <s v="stroller snack tray"/>
    <s v="BROAD"/>
    <s v="baby trend expedition wagon snack tray"/>
    <x v="1171"/>
    <n v="1"/>
    <n v="0.25"/>
    <n v="0.08"/>
    <n v="0.08"/>
    <n v="0"/>
    <m/>
    <n v="0"/>
    <n v="0"/>
    <n v="0"/>
    <n v="0"/>
    <n v="0"/>
    <n v="0"/>
    <n v="0"/>
    <n v="0"/>
    <m/>
  </r>
  <r>
    <x v="4"/>
    <x v="19"/>
    <d v="2026-05-21T00:00:00"/>
    <s v="USD"/>
    <s v="捡漏SP.Keyword.Mannual - Tray"/>
    <x v="11"/>
    <s v="Amazon"/>
    <s v="United States"/>
    <s v="stroller tray"/>
    <s v="BROAD"/>
    <s v="baby trend sit and stand double stroller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8"/>
    <d v="2026-05-14T00:00:00"/>
    <s v="USD"/>
    <s v="捡漏SP.Keyword.Mannual - Tray"/>
    <x v="11"/>
    <s v="Amazon"/>
    <s v="United States"/>
    <s v="stroller snack tray"/>
    <s v="BROAD"/>
    <s v="baby trend wagon snack tray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4"/>
    <x v="19"/>
    <d v="2026-05-17T00:00:00"/>
    <s v="USD"/>
    <s v="捡漏SP.Keyword.Mannual - Tray"/>
    <x v="11"/>
    <s v="Amazon"/>
    <s v="United States"/>
    <s v="stroller attachment"/>
    <s v="BROAD"/>
    <s v="bar attachment for stroller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8"/>
    <d v="2026-05-16T00:00:00"/>
    <s v="USD"/>
    <s v="捡漏SP.Keyword.Mannual - Tray"/>
    <x v="11"/>
    <s v="Amazon"/>
    <s v="United States"/>
    <s v="wagon cup holder"/>
    <s v="BROAD"/>
    <s v="basket for tricycle cup holder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18"/>
    <d v="2026-05-13T00:00:00"/>
    <s v="USD"/>
    <s v="捡漏SP.Keyword.Mannual - Tray"/>
    <x v="11"/>
    <s v="Amazon"/>
    <s v="United States"/>
    <s v="stroller accessories"/>
    <s v="BROAD"/>
    <s v="bob double stroller accessories"/>
    <x v="1169"/>
    <n v="1"/>
    <n v="1"/>
    <n v="0.16"/>
    <n v="0.16"/>
    <n v="0"/>
    <m/>
    <n v="0"/>
    <n v="0"/>
    <n v="0"/>
    <n v="0"/>
    <n v="0"/>
    <n v="0"/>
    <n v="0"/>
    <n v="0"/>
    <m/>
  </r>
  <r>
    <x v="4"/>
    <x v="20"/>
    <d v="2026-05-03T00:00:00"/>
    <s v="USD"/>
    <s v="SP.ASIN.Manual - Tray"/>
    <x v="13"/>
    <s v="Amazon"/>
    <s v="United States"/>
    <s v="asin=&quot;B0C1G4985Z&quot;"/>
    <s v="-"/>
    <s v="bob stroller snack tray attachment"/>
    <x v="1169"/>
    <n v="1"/>
    <n v="1"/>
    <n v="0.59"/>
    <n v="0.59"/>
    <n v="0"/>
    <m/>
    <n v="0"/>
    <n v="0"/>
    <n v="0"/>
    <n v="0"/>
    <n v="0"/>
    <n v="0"/>
    <n v="0"/>
    <n v="0"/>
    <m/>
  </r>
  <r>
    <x v="4"/>
    <x v="20"/>
    <d v="2026-05-07T00:00:00"/>
    <s v="USD"/>
    <s v="捡漏SP.Keyword.Mannual - Tray"/>
    <x v="11"/>
    <s v="Amazon"/>
    <s v="United States"/>
    <s v="stroller tray"/>
    <s v="BROAD"/>
    <s v="bob stroller snap on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6"/>
    <d v="2026-05-01T00:00:00"/>
    <s v="USD"/>
    <s v="捡漏SP.Keyword.Mannual - Tray"/>
    <x v="11"/>
    <s v="Amazon"/>
    <s v="United States"/>
    <s v="stroller attachment"/>
    <s v="BROAD"/>
    <s v="britax bassinet stroller attachment"/>
    <x v="1169"/>
    <n v="1"/>
    <n v="1"/>
    <n v="0.4"/>
    <n v="0.4"/>
    <n v="17.47"/>
    <n v="2.2896E-2"/>
    <n v="43.68"/>
    <n v="1"/>
    <n v="1"/>
    <n v="1"/>
    <n v="1"/>
    <n v="0"/>
    <n v="17.47"/>
    <n v="0"/>
    <m/>
  </r>
  <r>
    <x v="4"/>
    <x v="19"/>
    <d v="2026-05-19T00:00:00"/>
    <s v="USD"/>
    <s v="捡漏SP.Keyword.Mannual - Tray"/>
    <x v="11"/>
    <s v="Amazon"/>
    <s v="United States"/>
    <s v="stroller snack tray"/>
    <s v="BROAD"/>
    <s v="bugaboo snack tray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4"/>
    <x v="20"/>
    <d v="2026-05-03T00:00:00"/>
    <s v="USD"/>
    <s v="SP.Auto - ENC grey"/>
    <x v="14"/>
    <s v="Amazon"/>
    <s v="United States"/>
    <s v="loose-match"/>
    <s v="-"/>
    <s v="calentador de toallitas para bebe"/>
    <x v="1213"/>
    <n v="1"/>
    <n v="3.4483E-2"/>
    <n v="1.41"/>
    <n v="1.41"/>
    <n v="0"/>
    <m/>
    <n v="0"/>
    <n v="0"/>
    <n v="0"/>
    <n v="0"/>
    <n v="0"/>
    <n v="0"/>
    <n v="0"/>
    <n v="0"/>
    <m/>
  </r>
  <r>
    <x v="4"/>
    <x v="16"/>
    <d v="2026-05-02T00:00:00"/>
    <s v="USD"/>
    <s v="捡漏SP.Keyword.Mannual - Tray"/>
    <x v="11"/>
    <s v="Amazon"/>
    <s v="United States"/>
    <s v="stroller cup holder"/>
    <s v="BROAD"/>
    <s v="carseat cup and snack holder for chicco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4"/>
    <x v="18"/>
    <d v="2026-05-16T00:00:00"/>
    <s v="USD"/>
    <s v="捡漏SP.Keyword.Mannual - Tray"/>
    <x v="11"/>
    <s v="Amazon"/>
    <s v="United States"/>
    <s v="stroller tray"/>
    <s v="BROAD"/>
    <s v="chicco activ3 stroller snack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8"/>
    <d v="2026-05-16T00:00:00"/>
    <s v="USD"/>
    <s v="捡漏SP.Keyword.Mannual - Tray"/>
    <x v="11"/>
    <s v="Amazon"/>
    <s v="United States"/>
    <s v="stroller accessories"/>
    <s v="BROAD"/>
    <s v="chicco active stroller accessories"/>
    <x v="1169"/>
    <n v="1"/>
    <n v="1"/>
    <n v="0.16"/>
    <n v="0.16"/>
    <n v="0"/>
    <m/>
    <n v="0"/>
    <n v="0"/>
    <n v="0"/>
    <n v="0"/>
    <n v="0"/>
    <n v="0"/>
    <n v="0"/>
    <n v="0"/>
    <m/>
  </r>
  <r>
    <x v="4"/>
    <x v="20"/>
    <d v="2026-05-07T00:00:00"/>
    <s v="USD"/>
    <s v="捡漏SP.Keyword.Mannual - Tray"/>
    <x v="11"/>
    <s v="Amazon"/>
    <s v="United States"/>
    <s v="stroller accessories"/>
    <s v="BROAD"/>
    <s v="chicco liteway stroller accessories"/>
    <x v="1192"/>
    <n v="1"/>
    <n v="0.16666700000000001"/>
    <n v="0.16"/>
    <n v="0.16"/>
    <n v="0"/>
    <m/>
    <n v="0"/>
    <n v="0"/>
    <n v="0"/>
    <n v="0"/>
    <n v="0"/>
    <n v="0"/>
    <n v="0"/>
    <n v="0"/>
    <m/>
  </r>
  <r>
    <x v="4"/>
    <x v="20"/>
    <d v="2026-05-05T00:00:00"/>
    <s v="USD"/>
    <s v="捡漏SP.Keyword.Mannual - Tray"/>
    <x v="11"/>
    <s v="Amazon"/>
    <s v="United States"/>
    <s v="stroller tray"/>
    <s v="BROAD"/>
    <s v="child drink tray stroller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9"/>
    <d v="2026-05-19T00:00:00"/>
    <s v="USD"/>
    <s v="SP.Auto - Tray"/>
    <x v="12"/>
    <s v="Amazon"/>
    <s v="United States"/>
    <s v="loose-match"/>
    <s v="-"/>
    <s v="city jogger stroller front attachment"/>
    <x v="1170"/>
    <n v="1"/>
    <n v="0.33333299999999999"/>
    <n v="0.56000000000000005"/>
    <n v="0.56000000000000005"/>
    <n v="0"/>
    <m/>
    <n v="0"/>
    <n v="0"/>
    <n v="0"/>
    <n v="0"/>
    <n v="0"/>
    <n v="0"/>
    <n v="0"/>
    <n v="0"/>
    <m/>
  </r>
  <r>
    <x v="4"/>
    <x v="18"/>
    <d v="2026-05-14T00:00:00"/>
    <s v="USD"/>
    <s v="捡漏SP.Keyword.Mannual - Tray"/>
    <x v="11"/>
    <s v="Amazon"/>
    <s v="United States"/>
    <s v="stroller snack tray"/>
    <s v="BROAD"/>
    <s v="city mini double stroller snack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0"/>
    <d v="2026-05-06T00:00:00"/>
    <s v="USD"/>
    <s v="SP.Auto - Tray"/>
    <x v="12"/>
    <s v="Amazon"/>
    <s v="United States"/>
    <s v="loose-match"/>
    <s v="-"/>
    <s v="city mini gt double stroller accessories"/>
    <x v="1169"/>
    <n v="1"/>
    <n v="1"/>
    <n v="0.6"/>
    <n v="0.6"/>
    <n v="0"/>
    <m/>
    <n v="0"/>
    <n v="0"/>
    <n v="0"/>
    <n v="0"/>
    <n v="0"/>
    <n v="0"/>
    <n v="0"/>
    <n v="0"/>
    <m/>
  </r>
  <r>
    <x v="4"/>
    <x v="20"/>
    <d v="2026-05-06T00:00:00"/>
    <s v="USD"/>
    <s v="捡漏SP.Keyword.Mannual - Tray"/>
    <x v="11"/>
    <s v="Amazon"/>
    <s v="United States"/>
    <s v="snack tray for stroller"/>
    <s v="BROAD"/>
    <s v="city select double stroller snack tray"/>
    <x v="1169"/>
    <n v="1"/>
    <n v="1"/>
    <n v="0.23"/>
    <n v="0.23"/>
    <n v="0"/>
    <m/>
    <n v="0"/>
    <n v="0"/>
    <n v="0"/>
    <n v="0"/>
    <n v="0"/>
    <n v="0"/>
    <n v="0"/>
    <n v="0"/>
    <m/>
  </r>
  <r>
    <x v="4"/>
    <x v="19"/>
    <d v="2026-05-17T00:00:00"/>
    <s v="USD"/>
    <s v="捡漏SP.Keyword.Mannual - Tray"/>
    <x v="11"/>
    <s v="Amazon"/>
    <s v="United States"/>
    <s v="stroller clip on tray"/>
    <s v="BROAD"/>
    <s v="clip on bowl for baby stroller"/>
    <x v="1168"/>
    <n v="1"/>
    <n v="0.5"/>
    <n v="0.16"/>
    <n v="0.16"/>
    <n v="0"/>
    <m/>
    <n v="0"/>
    <n v="0"/>
    <n v="0"/>
    <n v="0"/>
    <n v="0"/>
    <n v="0"/>
    <n v="0"/>
    <n v="0"/>
    <m/>
  </r>
  <r>
    <x v="4"/>
    <x v="19"/>
    <d v="2026-05-18T00:00:00"/>
    <s v="USD"/>
    <s v="捡漏SP.Keyword.Mannual - Tray"/>
    <x v="11"/>
    <s v="Amazon"/>
    <s v="United States"/>
    <s v="stroller cup holder"/>
    <s v="BROAD"/>
    <s v="clip on cup holder for stroller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18"/>
    <d v="2026-05-13T00:00:00"/>
    <s v="USD"/>
    <s v="捡漏SP.Keyword.Mannual - Tray"/>
    <x v="11"/>
    <s v="Amazon"/>
    <s v="United States"/>
    <s v="clip on snack tray"/>
    <s v="BROAD"/>
    <s v="clip on snack and cup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8"/>
    <d v="2026-05-15T00:00:00"/>
    <s v="USD"/>
    <s v="捡漏SP.Keyword.Mannual - Tray"/>
    <x v="11"/>
    <s v="Amazon"/>
    <s v="United States"/>
    <s v="clip on snack tray"/>
    <s v="BROAD"/>
    <s v="clip on snack tray stroller"/>
    <x v="1169"/>
    <n v="1"/>
    <n v="1"/>
    <n v="0.08"/>
    <n v="0.08"/>
    <n v="0"/>
    <m/>
    <n v="0"/>
    <n v="0"/>
    <n v="0"/>
    <n v="0"/>
    <n v="0"/>
    <n v="0"/>
    <n v="0"/>
    <n v="0"/>
    <m/>
  </r>
  <r>
    <x v="4"/>
    <x v="20"/>
    <d v="2026-05-09T00:00:00"/>
    <s v="USD"/>
    <s v="捡漏SP.Keyword.Mannual - Tray"/>
    <x v="11"/>
    <s v="Amazon"/>
    <s v="United States"/>
    <s v="stroller cup holder"/>
    <s v="BROAD"/>
    <s v="clip on stroller cupholder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18"/>
    <d v="2026-05-16T00:00:00"/>
    <s v="USD"/>
    <s v="捡漏SP.Keyword.Mannual - Tray"/>
    <x v="11"/>
    <s v="Amazon"/>
    <s v="United States"/>
    <s v="stroller cup holder"/>
    <s v="BROAD"/>
    <s v="clip on stroller storage"/>
    <x v="1192"/>
    <n v="1"/>
    <n v="0.16666700000000001"/>
    <n v="0.21"/>
    <n v="0.21"/>
    <n v="0"/>
    <m/>
    <n v="0"/>
    <n v="0"/>
    <n v="0"/>
    <n v="0"/>
    <n v="0"/>
    <n v="0"/>
    <n v="0"/>
    <n v="0"/>
    <m/>
  </r>
  <r>
    <x v="4"/>
    <x v="16"/>
    <d v="2026-05-02T00:00:00"/>
    <s v="USD"/>
    <s v="捡漏SP.Keyword.Mannual - Tray"/>
    <x v="11"/>
    <s v="Amazon"/>
    <s v="United States"/>
    <s v="stroller clip on tray"/>
    <s v="BROAD"/>
    <s v="clip on stroller table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19"/>
    <d v="2026-05-20T00:00:00"/>
    <s v="USD"/>
    <s v="捡漏SP.Keyword.Mannual - Tray"/>
    <x v="11"/>
    <s v="Amazon"/>
    <s v="United States"/>
    <s v="stroller attachment"/>
    <s v="BROAD"/>
    <s v="cool kids travel stroller attachment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9"/>
    <d v="2026-05-19T00:00:00"/>
    <s v="USD"/>
    <s v="捡漏SP.Keyword.Mannual - Tray"/>
    <x v="11"/>
    <s v="Amazon"/>
    <s v="United States"/>
    <s v="stroller accessories"/>
    <s v="BROAD"/>
    <s v="costway double stroller tandem accessories"/>
    <x v="1169"/>
    <n v="1"/>
    <n v="1"/>
    <n v="0.15"/>
    <n v="0.15"/>
    <n v="0"/>
    <m/>
    <n v="0"/>
    <n v="0"/>
    <n v="0"/>
    <n v="0"/>
    <n v="0"/>
    <n v="0"/>
    <n v="0"/>
    <n v="0"/>
    <m/>
  </r>
  <r>
    <x v="4"/>
    <x v="18"/>
    <d v="2026-05-10T00:00:00"/>
    <s v="USD"/>
    <s v="捡漏SP.Keyword.Mannual - Tray"/>
    <x v="11"/>
    <s v="Amazon"/>
    <s v="United States"/>
    <s v="stroller cup holder"/>
    <s v="BROAD"/>
    <s v="cup holder 2 stroller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4"/>
    <x v="18"/>
    <d v="2026-05-16T00:00:00"/>
    <s v="USD"/>
    <s v="SP.Auto - Tray"/>
    <x v="12"/>
    <s v="Amazon"/>
    <s v="United States"/>
    <s v="close-match"/>
    <s v="-"/>
    <s v="cup holder and snack tray for stroller"/>
    <x v="1169"/>
    <n v="1"/>
    <n v="1"/>
    <n v="1.37"/>
    <n v="1.37"/>
    <n v="0"/>
    <m/>
    <n v="0"/>
    <n v="0"/>
    <n v="0"/>
    <n v="0"/>
    <n v="0"/>
    <n v="0"/>
    <n v="0"/>
    <n v="0"/>
    <m/>
  </r>
  <r>
    <x v="4"/>
    <x v="18"/>
    <d v="2026-05-14T00:00:00"/>
    <s v="USD"/>
    <s v="捡漏SP.Keyword.Mannual - Tray"/>
    <x v="11"/>
    <s v="Amazon"/>
    <s v="United States"/>
    <s v="cup holder for stroller"/>
    <s v="BROAD"/>
    <s v="cup holder for child stroller for child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9"/>
    <d v="2026-05-17T00:00:00"/>
    <s v="USD"/>
    <s v="捡漏SP.Keyword.Mannual - Tray"/>
    <x v="11"/>
    <s v="Amazon"/>
    <s v="United States"/>
    <s v="stroller cup holder"/>
    <s v="BROAD"/>
    <s v="cup holder for doona stroller"/>
    <x v="1169"/>
    <n v="1"/>
    <n v="1"/>
    <n v="0.2"/>
    <n v="0.2"/>
    <n v="0"/>
    <m/>
    <n v="0"/>
    <n v="0"/>
    <n v="0"/>
    <n v="0"/>
    <n v="0"/>
    <n v="0"/>
    <n v="0"/>
    <n v="0"/>
    <m/>
  </r>
  <r>
    <x v="4"/>
    <x v="19"/>
    <d v="2026-05-17T00:00:00"/>
    <s v="USD"/>
    <s v="捡漏SP.Keyword.Mannual - Tray"/>
    <x v="11"/>
    <s v="Amazon"/>
    <s v="United States"/>
    <s v="stroller cup holder attachment"/>
    <s v="BROAD"/>
    <s v="cup holder for stroller"/>
    <x v="1169"/>
    <n v="1"/>
    <n v="1"/>
    <n v="0.2"/>
    <n v="0.2"/>
    <n v="0"/>
    <m/>
    <n v="0"/>
    <n v="0"/>
    <n v="0"/>
    <n v="0"/>
    <n v="0"/>
    <n v="0"/>
    <n v="0"/>
    <n v="0"/>
    <m/>
  </r>
  <r>
    <x v="4"/>
    <x v="19"/>
    <d v="2026-05-19T00:00:00"/>
    <s v="USD"/>
    <s v="SP.Auto - Tray"/>
    <x v="12"/>
    <s v="Amazon"/>
    <s v="United States"/>
    <s v="close-match"/>
    <s v="-"/>
    <s v="cup holder for stroller universal"/>
    <x v="1168"/>
    <n v="1"/>
    <n v="0.5"/>
    <n v="0.85"/>
    <n v="0.85"/>
    <n v="17.47"/>
    <n v="4.8654999999999997E-2"/>
    <n v="20.55"/>
    <n v="1"/>
    <n v="1"/>
    <n v="1"/>
    <n v="1"/>
    <n v="0"/>
    <n v="17.47"/>
    <n v="0"/>
    <m/>
  </r>
  <r>
    <x v="4"/>
    <x v="18"/>
    <d v="2026-05-16T00:00:00"/>
    <s v="USD"/>
    <s v="捡漏SP.Keyword.Mannual - Tray"/>
    <x v="11"/>
    <s v="Amazon"/>
    <s v="United States"/>
    <s v="stroller cup holder"/>
    <s v="BROAD"/>
    <s v="cup holder gor umbrella stroller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4"/>
    <x v="19"/>
    <d v="2026-05-17T00:00:00"/>
    <s v="USD"/>
    <s v="捡漏SP.Keyword.Mannual - Tray"/>
    <x v="11"/>
    <s v="Amazon"/>
    <s v="United States"/>
    <s v="wagon cup holder"/>
    <s v="BROAD"/>
    <s v="cup holders for wagon strollers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9"/>
    <d v="2026-05-18T00:00:00"/>
    <s v="USD"/>
    <s v="捡漏SP.Keyword.Mannual - Tray"/>
    <x v="11"/>
    <s v="Amazon"/>
    <s v="United States"/>
    <s v="snack tray for stroller"/>
    <s v="BROAD"/>
    <s v="cybex snack tray stroller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0"/>
    <d v="2026-05-03T00:00:00"/>
    <s v="USD"/>
    <s v="捡漏SP.Keyword.Mannual - Tray"/>
    <x v="11"/>
    <s v="Amazon"/>
    <s v="United States"/>
    <s v="stroller accessories"/>
    <s v="BROAD"/>
    <s v="disney princess toddler stroller accessories"/>
    <x v="1169"/>
    <n v="1"/>
    <n v="1"/>
    <n v="0.16"/>
    <n v="0.16"/>
    <n v="0"/>
    <m/>
    <n v="0"/>
    <n v="0"/>
    <n v="0"/>
    <n v="0"/>
    <n v="0"/>
    <n v="0"/>
    <n v="0"/>
    <n v="0"/>
    <m/>
  </r>
  <r>
    <x v="4"/>
    <x v="20"/>
    <d v="2026-05-04T00:00:00"/>
    <s v="USD"/>
    <s v="捡漏SP.Keyword.Mannual - Tray"/>
    <x v="11"/>
    <s v="Amazon"/>
    <s v="United States"/>
    <s v="stroller cup holder"/>
    <s v="BROAD"/>
    <s v="double cupholder stroller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9"/>
    <d v="2026-05-19T00:00:00"/>
    <s v="USD"/>
    <s v="捡漏SP.Keyword.Mannual - Tray"/>
    <x v="11"/>
    <s v="Amazon"/>
    <s v="United States"/>
    <s v="stroller accessories"/>
    <s v="BROAD"/>
    <s v="double stroller accessories"/>
    <x v="1170"/>
    <n v="2"/>
    <n v="0.66666700000000001"/>
    <n v="0.16"/>
    <n v="0.32"/>
    <n v="0"/>
    <m/>
    <n v="0"/>
    <n v="0"/>
    <n v="0"/>
    <n v="0"/>
    <n v="0"/>
    <n v="0"/>
    <n v="0"/>
    <n v="0"/>
    <m/>
  </r>
  <r>
    <x v="4"/>
    <x v="19"/>
    <d v="2026-05-21T00:00:00"/>
    <s v="USD"/>
    <s v="捡漏SP.Keyword.Mannual - Tray"/>
    <x v="11"/>
    <s v="Amazon"/>
    <s v="United States"/>
    <s v="stroller cup holder"/>
    <s v="BROAD"/>
    <s v="double stroller caddy organizer cup holders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8"/>
    <d v="2026-05-16T00:00:00"/>
    <s v="USD"/>
    <s v="捡漏SP.Keyword.Mannual - Tray"/>
    <x v="11"/>
    <s v="Amazon"/>
    <s v="United States"/>
    <s v="stroller tray"/>
    <s v="BROAD"/>
    <s v="dream on me stroller snack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0"/>
    <d v="2026-05-04T00:00:00"/>
    <s v="USD"/>
    <s v="SP.Auto - ENC grey"/>
    <x v="14"/>
    <s v="Amazon"/>
    <s v="United States"/>
    <s v="loose-match"/>
    <s v="-"/>
    <s v="electric baby bottle brush cleaner"/>
    <x v="1168"/>
    <n v="1"/>
    <n v="0.5"/>
    <n v="1.35"/>
    <n v="1.35"/>
    <n v="0"/>
    <m/>
    <n v="0"/>
    <n v="0"/>
    <n v="0"/>
    <n v="0"/>
    <n v="0"/>
    <n v="0"/>
    <n v="0"/>
    <n v="0"/>
    <m/>
  </r>
  <r>
    <x v="4"/>
    <x v="16"/>
    <d v="2026-05-02T00:00:00"/>
    <s v="USD"/>
    <s v="SP.Auto - ENC grey"/>
    <x v="14"/>
    <s v="Amazon"/>
    <s v="United States"/>
    <s v="loose-match"/>
    <s v="-"/>
    <s v="electric baby swing"/>
    <x v="1168"/>
    <n v="1"/>
    <n v="0.5"/>
    <n v="1.65"/>
    <n v="1.65"/>
    <n v="0"/>
    <m/>
    <n v="0"/>
    <n v="0"/>
    <n v="0"/>
    <n v="0"/>
    <n v="0"/>
    <n v="0"/>
    <n v="0"/>
    <n v="0"/>
    <m/>
  </r>
  <r>
    <x v="4"/>
    <x v="20"/>
    <d v="2026-05-07T00:00:00"/>
    <s v="USD"/>
    <s v="捡漏SP.Manual - ENC &amp; BNF"/>
    <x v="15"/>
    <s v="Amazon"/>
    <s v="United States"/>
    <s v="newborn nail file electric"/>
    <s v="BROAD"/>
    <s v="electric nail file baby"/>
    <x v="1209"/>
    <n v="1"/>
    <n v="5.2631999999999998E-2"/>
    <n v="4.25"/>
    <n v="4.25"/>
    <n v="0"/>
    <m/>
    <n v="0"/>
    <n v="0"/>
    <n v="0"/>
    <n v="0"/>
    <n v="0"/>
    <n v="0"/>
    <n v="0"/>
    <n v="0"/>
    <m/>
  </r>
  <r>
    <x v="4"/>
    <x v="18"/>
    <d v="2026-05-10T00:00:00"/>
    <s v="USD"/>
    <s v="捡漏SP.Keyword.Mannual - Tray"/>
    <x v="11"/>
    <s v="Amazon"/>
    <s v="United States"/>
    <s v="stroller tray"/>
    <s v="BROAD"/>
    <s v="even flow pivot stroller adult tray"/>
    <x v="1169"/>
    <n v="1"/>
    <n v="1"/>
    <n v="0.4"/>
    <n v="0.4"/>
    <n v="0"/>
    <m/>
    <n v="0"/>
    <n v="0"/>
    <n v="0"/>
    <n v="0"/>
    <n v="0"/>
    <n v="0"/>
    <n v="0"/>
    <n v="0"/>
    <m/>
  </r>
  <r>
    <x v="4"/>
    <x v="18"/>
    <d v="2026-05-15T00:00:00"/>
    <s v="USD"/>
    <s v="捡漏SP.Keyword.Mannual - Tray"/>
    <x v="11"/>
    <s v="Amazon"/>
    <s v="United States"/>
    <s v="stroller accessories"/>
    <s v="BROAD"/>
    <s v="evenflo reversi stroller accessories"/>
    <x v="1169"/>
    <n v="1"/>
    <n v="1"/>
    <n v="0.16"/>
    <n v="0.16"/>
    <n v="0"/>
    <m/>
    <n v="0"/>
    <n v="0"/>
    <n v="0"/>
    <n v="0"/>
    <n v="0"/>
    <n v="0"/>
    <n v="0"/>
    <n v="0"/>
    <m/>
  </r>
  <r>
    <x v="4"/>
    <x v="20"/>
    <d v="2026-05-04T00:00:00"/>
    <s v="USD"/>
    <s v="捡漏SP.Keyword.Mannual - Tray"/>
    <x v="11"/>
    <s v="Amazon"/>
    <s v="United States"/>
    <s v="stroller cup holder"/>
    <s v="BROAD"/>
    <s v="evenflo stroller accessories cup holder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16"/>
    <d v="2026-05-02T00:00:00"/>
    <s v="USD"/>
    <s v="SP.Auto - ENC grey"/>
    <x v="14"/>
    <s v="Amazon"/>
    <s v="United States"/>
    <s v="loose-match"/>
    <s v="-"/>
    <s v="extra long handle toe nail clippers"/>
    <x v="1169"/>
    <n v="1"/>
    <n v="1"/>
    <n v="1.65"/>
    <n v="1.65"/>
    <n v="0"/>
    <m/>
    <n v="0"/>
    <n v="0"/>
    <n v="0"/>
    <n v="0"/>
    <n v="0"/>
    <n v="0"/>
    <n v="0"/>
    <n v="0"/>
    <m/>
  </r>
  <r>
    <x v="4"/>
    <x v="16"/>
    <d v="2026-05-01T00:00:00"/>
    <s v="USD"/>
    <s v="SP.Auto - ENC grey"/>
    <x v="14"/>
    <s v="Amazon"/>
    <s v="United States"/>
    <s v="loose-match"/>
    <s v="-"/>
    <s v="feeding pillow"/>
    <x v="1168"/>
    <n v="1"/>
    <n v="0.5"/>
    <n v="1.51"/>
    <n v="1.51"/>
    <n v="0"/>
    <m/>
    <n v="0"/>
    <n v="0"/>
    <n v="0"/>
    <n v="0"/>
    <n v="0"/>
    <n v="0"/>
    <n v="0"/>
    <n v="0"/>
    <m/>
  </r>
  <r>
    <x v="4"/>
    <x v="20"/>
    <d v="2026-05-05T00:00:00"/>
    <s v="USD"/>
    <s v="SP.Auto - ENC grey"/>
    <x v="14"/>
    <s v="Amazon"/>
    <s v="United States"/>
    <s v="loose-match"/>
    <s v="-"/>
    <s v="feeding pillow"/>
    <x v="1168"/>
    <n v="1"/>
    <n v="0.5"/>
    <n v="1.25"/>
    <n v="1.25"/>
    <n v="0"/>
    <m/>
    <n v="0"/>
    <n v="0"/>
    <n v="0"/>
    <n v="0"/>
    <n v="0"/>
    <n v="0"/>
    <n v="0"/>
    <n v="0"/>
    <m/>
  </r>
  <r>
    <x v="4"/>
    <x v="20"/>
    <d v="2026-05-04T00:00:00"/>
    <s v="USD"/>
    <s v="捡漏SP.Keyword.Mannual - Tray"/>
    <x v="11"/>
    <s v="Amazon"/>
    <s v="United States"/>
    <s v="stroller tray"/>
    <s v="BROAD"/>
    <s v="food tray for stroller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0"/>
    <d v="2026-05-06T00:00:00"/>
    <s v="USD"/>
    <s v="捡漏SP.Keyword.Mannual - Tray"/>
    <x v="11"/>
    <s v="Amazon"/>
    <s v="United States"/>
    <s v="stroller cup holder"/>
    <s v="BROAD"/>
    <s v="generic childs cup holder for stroller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4"/>
    <x v="19"/>
    <d v="2026-05-17T00:00:00"/>
    <s v="USD"/>
    <s v="SP.ASIN.Manual - Tray"/>
    <x v="13"/>
    <s v="Amazon"/>
    <s v="United States"/>
    <s v="asin=&quot;B0C1G4985Z&quot;"/>
    <s v="-"/>
    <s v="graco stroller tray replacement"/>
    <x v="1174"/>
    <n v="1"/>
    <n v="0.2"/>
    <n v="0.6"/>
    <n v="0.6"/>
    <n v="0"/>
    <m/>
    <n v="0"/>
    <n v="0"/>
    <n v="0"/>
    <n v="0"/>
    <n v="0"/>
    <n v="0"/>
    <n v="0"/>
    <n v="0"/>
    <m/>
  </r>
  <r>
    <x v="4"/>
    <x v="18"/>
    <d v="2026-05-12T00:00:00"/>
    <s v="USD"/>
    <s v="捡漏SP.Keyword.Mannual - Tray"/>
    <x v="11"/>
    <s v="Amazon"/>
    <s v="United States"/>
    <s v="stroller tray"/>
    <s v="BROAD"/>
    <s v="graco stroller tray replacement"/>
    <x v="1214"/>
    <n v="1"/>
    <n v="4.3478000000000003E-2"/>
    <n v="0.08"/>
    <n v="0.08"/>
    <n v="0"/>
    <m/>
    <n v="0"/>
    <n v="0"/>
    <n v="0"/>
    <n v="0"/>
    <n v="0"/>
    <n v="0"/>
    <n v="0"/>
    <n v="0"/>
    <m/>
  </r>
  <r>
    <x v="4"/>
    <x v="18"/>
    <d v="2026-05-13T00:00:00"/>
    <s v="USD"/>
    <s v="捡漏SP.Keyword.Mannual - Tray"/>
    <x v="11"/>
    <s v="Amazon"/>
    <s v="United States"/>
    <s v="stroller cup holder"/>
    <s v="BROAD"/>
    <s v="holding cup stroller for kids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4"/>
    <x v="20"/>
    <d v="2026-05-03T00:00:00"/>
    <s v="USD"/>
    <s v="捡漏SP.Keyword.Mannual - Tray"/>
    <x v="11"/>
    <s v="Amazon"/>
    <s v="United States"/>
    <s v="stroller tray"/>
    <s v="BROAD"/>
    <s v="hook on cupholder tray for side of stroller"/>
    <x v="1169"/>
    <n v="1"/>
    <n v="1"/>
    <n v="0.4"/>
    <n v="0.4"/>
    <n v="0"/>
    <m/>
    <n v="0"/>
    <n v="0"/>
    <n v="0"/>
    <n v="0"/>
    <n v="0"/>
    <n v="0"/>
    <n v="0"/>
    <n v="0"/>
    <m/>
  </r>
  <r>
    <x v="4"/>
    <x v="18"/>
    <d v="2026-05-10T00:00:00"/>
    <s v="USD"/>
    <s v="捡漏SP.Keyword.Mannual - Tray"/>
    <x v="11"/>
    <s v="Amazon"/>
    <s v="United States"/>
    <s v="stroller attachment"/>
    <s v="BROAD"/>
    <s v="hoppie kids stroller attachment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20"/>
    <d v="2026-05-07T00:00:00"/>
    <s v="USD"/>
    <s v="捡漏SP.Keyword.Mannual - Tray"/>
    <x v="11"/>
    <s v="Amazon"/>
    <s v="United States"/>
    <s v="stroller tray"/>
    <s v="BROAD"/>
    <s v="ingenuity stroller tray"/>
    <x v="1170"/>
    <n v="1"/>
    <n v="0.33333299999999999"/>
    <n v="0.08"/>
    <n v="0.08"/>
    <n v="18.989999999999998"/>
    <n v="4.2129999999999997E-3"/>
    <n v="237.38"/>
    <n v="1"/>
    <n v="1"/>
    <n v="1"/>
    <n v="1"/>
    <n v="0"/>
    <n v="18.989999999999998"/>
    <n v="0"/>
    <m/>
  </r>
  <r>
    <x v="4"/>
    <x v="20"/>
    <d v="2026-05-06T00:00:00"/>
    <s v="USD"/>
    <s v="捡漏SP.Keyword.Mannual - Tray"/>
    <x v="11"/>
    <s v="Amazon"/>
    <s v="United States"/>
    <s v="stroller tray"/>
    <s v="BROAD"/>
    <s v="ingenuity umbrella stroller snack tray"/>
    <x v="1168"/>
    <n v="1"/>
    <n v="0.5"/>
    <n v="0.08"/>
    <n v="0.08"/>
    <n v="0"/>
    <m/>
    <n v="0"/>
    <n v="0"/>
    <n v="0"/>
    <n v="0"/>
    <n v="0"/>
    <n v="0"/>
    <n v="0"/>
    <n v="0"/>
    <m/>
  </r>
  <r>
    <x v="4"/>
    <x v="18"/>
    <d v="2026-05-10T00:00:00"/>
    <s v="USD"/>
    <s v="捡漏SP.Keyword.Mannual - Tray"/>
    <x v="16"/>
    <s v="Amazon"/>
    <s v="United States"/>
    <s v="stroller snack tray"/>
    <s v="PHRASE"/>
    <s v="ingenuity umbrella stroller snack tray"/>
    <x v="1170"/>
    <n v="1"/>
    <n v="0.33333299999999999"/>
    <n v="0"/>
    <n v="0"/>
    <n v="0"/>
    <m/>
    <m/>
    <n v="0"/>
    <n v="0"/>
    <n v="0"/>
    <n v="0"/>
    <n v="0"/>
    <n v="0"/>
    <n v="0"/>
    <m/>
  </r>
  <r>
    <x v="4"/>
    <x v="18"/>
    <d v="2026-05-16T00:00:00"/>
    <s v="USD"/>
    <s v="捡漏SP.Keyword.Mannual - Tray"/>
    <x v="11"/>
    <s v="Amazon"/>
    <s v="United States"/>
    <s v="stroller attachment"/>
    <s v="BROAD"/>
    <s v="jeep double stroller attachment"/>
    <x v="1170"/>
    <n v="1"/>
    <n v="0.33333299999999999"/>
    <n v="0.08"/>
    <n v="0.08"/>
    <n v="0"/>
    <m/>
    <n v="0"/>
    <n v="0"/>
    <n v="0"/>
    <n v="0"/>
    <n v="0"/>
    <n v="0"/>
    <n v="0"/>
    <n v="0"/>
    <m/>
  </r>
  <r>
    <x v="4"/>
    <x v="19"/>
    <d v="2026-05-17T00:00:00"/>
    <s v="USD"/>
    <s v="捡漏SP.Keyword.Mannual - Tray"/>
    <x v="16"/>
    <s v="Amazon"/>
    <s v="United States"/>
    <s v="stroller cup holder"/>
    <s v="PHRASE"/>
    <s v="jeep double stroller cup holder"/>
    <x v="1169"/>
    <n v="1"/>
    <n v="1"/>
    <n v="0.4"/>
    <n v="0.4"/>
    <n v="0"/>
    <m/>
    <n v="0"/>
    <n v="0"/>
    <n v="0"/>
    <n v="0"/>
    <n v="0"/>
    <n v="0"/>
    <n v="0"/>
    <n v="0"/>
    <m/>
  </r>
  <r>
    <x v="4"/>
    <x v="18"/>
    <d v="2026-05-15T00:00:00"/>
    <s v="USD"/>
    <s v="捡漏SP.Keyword.Mannual - Tray"/>
    <x v="11"/>
    <s v="Amazon"/>
    <s v="United States"/>
    <s v="snack tray for stroller"/>
    <s v="BROAD"/>
    <s v="jeep lightweight stroller compatible snack tray"/>
    <x v="1168"/>
    <n v="1"/>
    <n v="0.5"/>
    <n v="0.4"/>
    <n v="0.4"/>
    <n v="0"/>
    <m/>
    <n v="0"/>
    <n v="0"/>
    <n v="0"/>
    <n v="0"/>
    <n v="0"/>
    <n v="0"/>
    <n v="0"/>
    <n v="0"/>
    <m/>
  </r>
  <r>
    <x v="4"/>
    <x v="16"/>
    <d v="2026-05-01T00:00:00"/>
    <s v="USD"/>
    <s v="捡漏SP.Keyword.Mannual - Tray"/>
    <x v="11"/>
    <s v="Amazon"/>
    <s v="United States"/>
    <s v="stroller accessories"/>
    <s v="BROAD"/>
    <s v="jeep stroller accessories"/>
    <x v="1169"/>
    <n v="1"/>
    <n v="1"/>
    <n v="0.16"/>
    <n v="0.16"/>
    <n v="0"/>
    <m/>
    <n v="0"/>
    <n v="0"/>
    <n v="0"/>
    <n v="0"/>
    <n v="0"/>
    <n v="0"/>
    <n v="0"/>
    <n v="0"/>
    <m/>
  </r>
  <r>
    <x v="4"/>
    <x v="18"/>
    <d v="2026-05-15T00:00:00"/>
    <s v="USD"/>
    <s v="捡漏SP.Keyword.Mannual - Tray"/>
    <x v="11"/>
    <s v="Amazon"/>
    <s v="United States"/>
    <s v="stroller accessories"/>
    <s v="BROAD"/>
    <s v="jeep stroller accessories"/>
    <x v="1169"/>
    <n v="1"/>
    <n v="1"/>
    <n v="0.16"/>
    <n v="0.16"/>
    <n v="0"/>
    <m/>
    <n v="0"/>
    <n v="0"/>
    <n v="0"/>
    <n v="0"/>
    <n v="0"/>
    <n v="0"/>
    <n v="0"/>
    <n v="0"/>
    <m/>
  </r>
  <r>
    <x v="4"/>
    <x v="19"/>
    <d v="2026-05-17T00:00:00"/>
    <s v="USD"/>
    <s v="捡漏SP.Keyword.Mannual - Tray"/>
    <x v="11"/>
    <s v="Amazon"/>
    <s v="United States"/>
    <s v="stroller cup holder"/>
    <s v="BROAD"/>
    <s v="jeep stroller cup holder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6"/>
    <d v="2026-05-02T00:00:00"/>
    <s v="USD"/>
    <s v="捡漏SP.Keyword.Mannual - Tray"/>
    <x v="11"/>
    <s v="Amazon"/>
    <s v="United States"/>
    <s v="stroller accessories"/>
    <s v="BROAD"/>
    <s v="jeep umbrella stroller accessories"/>
    <x v="1169"/>
    <n v="1"/>
    <n v="1"/>
    <n v="0.16"/>
    <n v="0.16"/>
    <n v="0"/>
    <m/>
    <n v="0"/>
    <n v="0"/>
    <n v="0"/>
    <n v="0"/>
    <n v="0"/>
    <n v="0"/>
    <n v="0"/>
    <n v="0"/>
    <m/>
  </r>
  <r>
    <x v="4"/>
    <x v="16"/>
    <d v="2026-05-01T00:00:00"/>
    <s v="USD"/>
    <s v="捡漏SP.Keyword.Mannual - Tray"/>
    <x v="16"/>
    <s v="Amazon"/>
    <s v="United States"/>
    <s v="stroller cup holder"/>
    <s v="PHRASE"/>
    <s v="jeep umbrella stroller cup holder"/>
    <x v="1169"/>
    <n v="1"/>
    <n v="1"/>
    <n v="0.2"/>
    <n v="0.2"/>
    <n v="0"/>
    <m/>
    <n v="0"/>
    <n v="0"/>
    <n v="0"/>
    <n v="0"/>
    <n v="0"/>
    <n v="0"/>
    <n v="0"/>
    <n v="0"/>
    <m/>
  </r>
  <r>
    <x v="4"/>
    <x v="19"/>
    <d v="2026-05-21T00:00:00"/>
    <s v="USD"/>
    <s v="捡漏SP.Keyword.Mannual - Tray"/>
    <x v="11"/>
    <s v="Amazon"/>
    <s v="United States"/>
    <s v="stroller wagon child cup holder"/>
    <s v="BROAD"/>
    <s v="jeep wagon stroller accessories"/>
    <x v="1169"/>
    <n v="1"/>
    <n v="1"/>
    <n v="0.2"/>
    <n v="0.2"/>
    <n v="0"/>
    <m/>
    <n v="0"/>
    <n v="0"/>
    <n v="0"/>
    <n v="0"/>
    <n v="0"/>
    <n v="0"/>
    <n v="0"/>
    <n v="0"/>
    <m/>
  </r>
  <r>
    <x v="4"/>
    <x v="20"/>
    <d v="2026-05-04T00:00:00"/>
    <s v="USD"/>
    <s v="SP.ASIN.Manual - Tray"/>
    <x v="13"/>
    <s v="Amazon"/>
    <s v="United States"/>
    <s v="asin=&quot;B0C1G4985Z&quot;"/>
    <s v="-"/>
    <s v="jogging stroller snack tray"/>
    <x v="1168"/>
    <n v="1"/>
    <n v="0.5"/>
    <n v="0.56999999999999995"/>
    <n v="0.56999999999999995"/>
    <n v="0"/>
    <m/>
    <n v="0"/>
    <n v="0"/>
    <n v="0"/>
    <n v="0"/>
    <n v="0"/>
    <n v="0"/>
    <n v="0"/>
    <n v="0"/>
    <m/>
  </r>
  <r>
    <x v="4"/>
    <x v="18"/>
    <d v="2026-05-15T00:00:00"/>
    <s v="USD"/>
    <s v="捡漏SP.Keyword.Mannual - Tray"/>
    <x v="16"/>
    <s v="Amazon"/>
    <s v="United States"/>
    <s v="stroller snack tray"/>
    <s v="PHRASE"/>
    <s v="joie stroller snack tray"/>
    <x v="1168"/>
    <n v="1"/>
    <n v="0.5"/>
    <n v="0.2"/>
    <n v="0.2"/>
    <n v="0"/>
    <m/>
    <n v="0"/>
    <n v="0"/>
    <n v="0"/>
    <n v="0"/>
    <n v="0"/>
    <n v="0"/>
    <n v="0"/>
    <n v="0"/>
    <m/>
  </r>
  <r>
    <x v="4"/>
    <x v="16"/>
    <d v="2026-05-01T00:00:00"/>
    <s v="USD"/>
    <s v="捡漏SP.Keyword.Mannual - Tray"/>
    <x v="16"/>
    <s v="Amazon"/>
    <s v="United States"/>
    <s v="stroller snack tray"/>
    <s v="PHRASE"/>
    <s v="joie stroller snack tray attachment"/>
    <x v="1171"/>
    <n v="1"/>
    <n v="0.25"/>
    <n v="0.2"/>
    <n v="0.2"/>
    <n v="0"/>
    <m/>
    <n v="0"/>
    <n v="0"/>
    <n v="0"/>
    <n v="0"/>
    <n v="0"/>
    <n v="0"/>
    <n v="0"/>
    <n v="0"/>
    <m/>
  </r>
  <r>
    <x v="4"/>
    <x v="19"/>
    <d v="2026-05-21T00:00:00"/>
    <s v="USD"/>
    <s v="SP.Auto - Tray"/>
    <x v="12"/>
    <s v="Amazon"/>
    <s v="United States"/>
    <s v="loose-match"/>
    <s v="-"/>
    <s v="juicebox holders for toddler"/>
    <x v="1169"/>
    <n v="1"/>
    <n v="1"/>
    <n v="0.55000000000000004"/>
    <n v="0.55000000000000004"/>
    <n v="0"/>
    <m/>
    <n v="0"/>
    <n v="0"/>
    <n v="0"/>
    <n v="0"/>
    <n v="0"/>
    <n v="0"/>
    <n v="0"/>
    <n v="0"/>
    <m/>
  </r>
  <r>
    <x v="4"/>
    <x v="19"/>
    <d v="2026-05-18T00:00:00"/>
    <s v="USD"/>
    <s v="SP.Auto - Tray"/>
    <x v="12"/>
    <s v="Amazon"/>
    <s v="United States"/>
    <s v="loose-match"/>
    <s v="-"/>
    <s v="kids car seat cup holder snack tray"/>
    <x v="1168"/>
    <n v="1"/>
    <n v="0.5"/>
    <n v="0.5"/>
    <n v="0.5"/>
    <n v="0"/>
    <m/>
    <n v="0"/>
    <n v="0"/>
    <n v="0"/>
    <n v="0"/>
    <n v="0"/>
    <n v="0"/>
    <n v="0"/>
    <n v="0"/>
    <m/>
  </r>
  <r>
    <x v="4"/>
    <x v="18"/>
    <d v="2026-05-11T00:00:00"/>
    <s v="USD"/>
    <s v="SP.Auto - BNF Fixed"/>
    <x v="15"/>
    <s v="Amazon"/>
    <s v="United States"/>
    <s v="loose-match"/>
    <s v="-"/>
    <s v="kids nail brush"/>
    <x v="1169"/>
    <n v="1"/>
    <n v="1"/>
    <n v="0.2"/>
    <n v="0.2"/>
    <n v="0"/>
    <m/>
    <n v="0"/>
    <n v="0"/>
    <n v="0"/>
    <n v="0"/>
    <n v="0"/>
    <n v="0"/>
    <n v="0"/>
    <n v="0"/>
    <m/>
  </r>
  <r>
    <x v="4"/>
    <x v="19"/>
    <d v="2026-05-21T00:00:00"/>
    <s v="USD"/>
    <s v="捡漏SP.Keyword.Mannual - Tray"/>
    <x v="11"/>
    <s v="Amazon"/>
    <s v="United States"/>
    <s v="stroller cup holder"/>
    <s v="BROAD"/>
    <s v="kids universal stroller cup holder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18"/>
    <d v="2026-05-15T00:00:00"/>
    <s v="USD"/>
    <s v="捡漏SP.Keyword.Mannual - Tray"/>
    <x v="11"/>
    <s v="Amazon"/>
    <s v="United States"/>
    <s v="stroller snack tray"/>
    <s v="BROAD"/>
    <s v="kids wagon snack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0"/>
    <d v="2026-05-04T00:00:00"/>
    <s v="USD"/>
    <s v="捡漏SP.Keyword.Mannual - Tray"/>
    <x v="11"/>
    <s v="Amazon"/>
    <s v="United States"/>
    <s v="stroller accessories"/>
    <s v="BROAD"/>
    <s v="kolcraft umbrella stroller accessories"/>
    <x v="1169"/>
    <n v="1"/>
    <n v="1"/>
    <n v="0.16"/>
    <n v="0.16"/>
    <n v="0"/>
    <m/>
    <n v="0"/>
    <n v="0"/>
    <n v="0"/>
    <n v="0"/>
    <n v="0"/>
    <n v="0"/>
    <n v="0"/>
    <n v="0"/>
    <m/>
  </r>
  <r>
    <x v="4"/>
    <x v="20"/>
    <d v="2026-05-03T00:00:00"/>
    <s v="USD"/>
    <s v="捡漏SP.Keyword.Mannual - Tray"/>
    <x v="16"/>
    <s v="Amazon"/>
    <s v="United States"/>
    <s v="stroller snack tray"/>
    <s v="PHRASE"/>
    <s v="liuliuby stroller snack tray"/>
    <x v="1170"/>
    <n v="1"/>
    <n v="0.33333299999999999"/>
    <n v="0.2"/>
    <n v="0.2"/>
    <n v="0"/>
    <m/>
    <n v="0"/>
    <n v="0"/>
    <n v="0"/>
    <n v="0"/>
    <n v="0"/>
    <n v="0"/>
    <n v="0"/>
    <n v="0"/>
    <m/>
  </r>
  <r>
    <x v="4"/>
    <x v="16"/>
    <d v="2026-05-02T00:00:00"/>
    <s v="USD"/>
    <s v="SP.Auto - ENC grey"/>
    <x v="14"/>
    <s v="Amazon"/>
    <s v="United States"/>
    <s v="loose-match"/>
    <s v="-"/>
    <s v="manicure"/>
    <x v="1215"/>
    <n v="1"/>
    <n v="5.3189999999999999E-3"/>
    <n v="0.28000000000000003"/>
    <n v="0.28000000000000003"/>
    <n v="0"/>
    <m/>
    <n v="0"/>
    <n v="0"/>
    <n v="0"/>
    <n v="0"/>
    <n v="0"/>
    <n v="0"/>
    <n v="0"/>
    <n v="0"/>
    <m/>
  </r>
  <r>
    <x v="4"/>
    <x v="20"/>
    <d v="2026-05-03T00:00:00"/>
    <s v="USD"/>
    <s v="SP.Auto - ENC grey"/>
    <x v="14"/>
    <s v="Amazon"/>
    <s v="United States"/>
    <s v="loose-match"/>
    <s v="-"/>
    <s v="manicure"/>
    <x v="1179"/>
    <n v="1"/>
    <n v="1.5384999999999999E-2"/>
    <n v="0.3"/>
    <n v="0.3"/>
    <n v="0"/>
    <m/>
    <n v="0"/>
    <n v="0"/>
    <n v="0"/>
    <n v="0"/>
    <n v="0"/>
    <n v="0"/>
    <n v="0"/>
    <n v="0"/>
    <m/>
  </r>
  <r>
    <x v="4"/>
    <x v="19"/>
    <d v="2026-05-17T00:00:00"/>
    <s v="USD"/>
    <s v="SP.Auto - Tray"/>
    <x v="12"/>
    <s v="Amazon"/>
    <s v="United States"/>
    <s v="loose-match"/>
    <s v="-"/>
    <s v="mickey shape hook for strollers"/>
    <x v="1168"/>
    <n v="1"/>
    <n v="0.5"/>
    <n v="0.5"/>
    <n v="0.5"/>
    <n v="0"/>
    <m/>
    <n v="0"/>
    <n v="0"/>
    <n v="0"/>
    <n v="0"/>
    <n v="0"/>
    <n v="0"/>
    <n v="0"/>
    <n v="0"/>
    <m/>
  </r>
  <r>
    <x v="4"/>
    <x v="18"/>
    <d v="2026-05-12T00:00:00"/>
    <s v="USD"/>
    <s v="捡漏SP.Keyword.Mannual - Tray"/>
    <x v="16"/>
    <s v="Amazon"/>
    <s v="United States"/>
    <s v="stroller snack tray"/>
    <s v="PHRASE"/>
    <s v="momcozy stroller snack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0"/>
    <d v="2026-05-05T00:00:00"/>
    <s v="USD"/>
    <s v="捡漏SP.Manual - ENC &amp; BNF"/>
    <x v="15"/>
    <s v="Amazon"/>
    <s v="United States"/>
    <s v="baby nail file"/>
    <s v="BROAD"/>
    <s v="nail file baby"/>
    <x v="1192"/>
    <n v="1"/>
    <n v="0.16666700000000001"/>
    <n v="2.34"/>
    <n v="2.34"/>
    <n v="0"/>
    <m/>
    <n v="0"/>
    <n v="0"/>
    <n v="0"/>
    <n v="0"/>
    <n v="0"/>
    <n v="0"/>
    <n v="0"/>
    <n v="0"/>
    <m/>
  </r>
  <r>
    <x v="4"/>
    <x v="20"/>
    <d v="2026-05-03T00:00:00"/>
    <s v="USD"/>
    <s v="捡漏SP.Manual - ENC &amp; BNF"/>
    <x v="15"/>
    <s v="Amazon"/>
    <s v="United States"/>
    <s v="baby nail file"/>
    <s v="BROAD"/>
    <s v="nail file for newborn babies"/>
    <x v="1169"/>
    <n v="1"/>
    <n v="1"/>
    <n v="3.19"/>
    <n v="3.19"/>
    <n v="0"/>
    <m/>
    <n v="0"/>
    <n v="0"/>
    <n v="0"/>
    <n v="0"/>
    <n v="0"/>
    <n v="0"/>
    <n v="0"/>
    <n v="0"/>
    <m/>
  </r>
  <r>
    <x v="4"/>
    <x v="16"/>
    <d v="2026-05-01T00:00:00"/>
    <s v="USD"/>
    <s v="捡漏SP.Manual - ENC &amp; BNF"/>
    <x v="15"/>
    <s v="Amazon"/>
    <s v="United States"/>
    <s v="baby nail file"/>
    <s v="BROAD"/>
    <s v="nail files for baby"/>
    <x v="1169"/>
    <n v="1"/>
    <n v="1"/>
    <n v="3.38"/>
    <n v="3.38"/>
    <n v="0"/>
    <m/>
    <n v="0"/>
    <n v="0"/>
    <n v="0"/>
    <n v="0"/>
    <n v="0"/>
    <n v="0"/>
    <n v="0"/>
    <n v="0"/>
    <m/>
  </r>
  <r>
    <x v="4"/>
    <x v="20"/>
    <d v="2026-05-06T00:00:00"/>
    <s v="USD"/>
    <s v="捡漏SP.Manual - ENC &amp; BNF"/>
    <x v="15"/>
    <s v="Amazon"/>
    <s v="United States"/>
    <s v="newborn nail file electric"/>
    <s v="BROAD"/>
    <s v="newborn nail clippers"/>
    <x v="1216"/>
    <n v="1"/>
    <n v="1.2194999999999999E-2"/>
    <n v="2.21"/>
    <n v="2.21"/>
    <n v="0"/>
    <m/>
    <n v="0"/>
    <n v="0"/>
    <n v="0"/>
    <n v="0"/>
    <n v="0"/>
    <n v="0"/>
    <n v="0"/>
    <n v="0"/>
    <m/>
  </r>
  <r>
    <x v="4"/>
    <x v="16"/>
    <d v="2026-05-02T00:00:00"/>
    <s v="USD"/>
    <s v="捡漏SP.Keyword.Mannual - Tray"/>
    <x v="11"/>
    <s v="Amazon"/>
    <s v="United States"/>
    <s v="stroller snack tray"/>
    <s v="BROAD"/>
    <s v="nuna mixx snack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9"/>
    <d v="2026-05-18T00:00:00"/>
    <s v="USD"/>
    <s v="SP.ASIN.Manual - Tray"/>
    <x v="13"/>
    <s v="Amazon"/>
    <s v="United States"/>
    <s v="asin=&quot;B0GGZQD6WS&quot;"/>
    <s v="-"/>
    <s v="nuna snack tray for stroller"/>
    <x v="1169"/>
    <n v="1"/>
    <n v="1"/>
    <n v="0.55000000000000004"/>
    <n v="0.55000000000000004"/>
    <n v="0"/>
    <m/>
    <n v="0"/>
    <n v="0"/>
    <n v="0"/>
    <n v="0"/>
    <n v="0"/>
    <n v="0"/>
    <n v="0"/>
    <n v="0"/>
    <m/>
  </r>
  <r>
    <x v="4"/>
    <x v="20"/>
    <d v="2026-05-08T00:00:00"/>
    <s v="USD"/>
    <s v="SP.ASIN.Manual - Tray"/>
    <x v="13"/>
    <s v="Amazon"/>
    <s v="United States"/>
    <s v="asin=&quot;B0C1G4985Z&quot;"/>
    <s v="-"/>
    <s v="nuna tavo snack tray"/>
    <x v="1168"/>
    <n v="1"/>
    <n v="0.5"/>
    <n v="0.57999999999999996"/>
    <n v="0.57999999999999996"/>
    <n v="0"/>
    <m/>
    <n v="0"/>
    <n v="0"/>
    <n v="0"/>
    <n v="0"/>
    <n v="0"/>
    <n v="0"/>
    <n v="0"/>
    <n v="0"/>
    <m/>
  </r>
  <r>
    <x v="4"/>
    <x v="18"/>
    <d v="2026-05-16T00:00:00"/>
    <s v="USD"/>
    <s v="捡漏SP.Keyword.Mannual - Tray"/>
    <x v="11"/>
    <s v="Amazon"/>
    <s v="United States"/>
    <s v="stroller snack tray"/>
    <s v="BROAD"/>
    <s v="peg perego replacement snack tray"/>
    <x v="1170"/>
    <n v="1"/>
    <n v="0.33333299999999999"/>
    <n v="0.08"/>
    <n v="0.08"/>
    <n v="0"/>
    <m/>
    <n v="0"/>
    <n v="0"/>
    <n v="0"/>
    <n v="0"/>
    <n v="0"/>
    <n v="0"/>
    <n v="0"/>
    <n v="0"/>
    <m/>
  </r>
  <r>
    <x v="4"/>
    <x v="19"/>
    <d v="2026-05-18T00:00:00"/>
    <s v="USD"/>
    <s v="捡漏SP.Keyword.Mannual - Tray"/>
    <x v="11"/>
    <s v="Amazon"/>
    <s v="United States"/>
    <s v="stroller cup holder"/>
    <s v="BROAD"/>
    <s v="porta vaso de carriola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6"/>
    <d v="2026-05-01T00:00:00"/>
    <s v="USD"/>
    <s v="捡漏SP.Keyword.Mannual - Tray"/>
    <x v="11"/>
    <s v="Amazon"/>
    <s v="United States"/>
    <s v="clip on snack tray"/>
    <s v="BROAD"/>
    <s v="portable snack tray kids standing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0"/>
    <d v="2026-05-05T00:00:00"/>
    <s v="USD"/>
    <s v="捡漏SP.Keyword.Mannual - Tray"/>
    <x v="11"/>
    <s v="Amazon"/>
    <s v="United States"/>
    <s v="stroller tray"/>
    <s v="BROAD"/>
    <s v="portable tray for wheelchair"/>
    <x v="1169"/>
    <n v="1"/>
    <n v="1"/>
    <n v="0.4"/>
    <n v="0.4"/>
    <n v="0"/>
    <m/>
    <n v="0"/>
    <n v="0"/>
    <n v="0"/>
    <n v="0"/>
    <n v="0"/>
    <n v="0"/>
    <n v="0"/>
    <n v="0"/>
    <m/>
  </r>
  <r>
    <x v="4"/>
    <x v="20"/>
    <d v="2026-05-05T00:00:00"/>
    <s v="USD"/>
    <s v="SP.Auto - ENC grey"/>
    <x v="14"/>
    <s v="Amazon"/>
    <s v="United States"/>
    <s v="loose-match"/>
    <s v="-"/>
    <s v="preemie pacifier"/>
    <x v="1168"/>
    <n v="1"/>
    <n v="0.5"/>
    <n v="1.35"/>
    <n v="1.35"/>
    <n v="0"/>
    <m/>
    <n v="0"/>
    <n v="0"/>
    <n v="0"/>
    <n v="0"/>
    <n v="0"/>
    <n v="0"/>
    <n v="0"/>
    <n v="0"/>
    <m/>
  </r>
  <r>
    <x v="4"/>
    <x v="18"/>
    <d v="2026-05-16T00:00:00"/>
    <s v="USD"/>
    <s v="捡漏SP.Keyword.Mannual - Tray"/>
    <x v="11"/>
    <s v="Amazon"/>
    <s v="United States"/>
    <s v="stroller tray"/>
    <s v="BROAD"/>
    <s v="safety 1st stroller tray"/>
    <x v="1168"/>
    <n v="1"/>
    <n v="0.5"/>
    <n v="0.08"/>
    <n v="0.08"/>
    <n v="0"/>
    <m/>
    <n v="0"/>
    <n v="0"/>
    <n v="0"/>
    <n v="0"/>
    <n v="0"/>
    <n v="0"/>
    <n v="0"/>
    <n v="0"/>
    <m/>
  </r>
  <r>
    <x v="4"/>
    <x v="18"/>
    <d v="2026-05-11T00:00:00"/>
    <s v="USD"/>
    <s v="捡漏SP.Keyword.Mannual - Tray"/>
    <x v="11"/>
    <s v="Amazon"/>
    <s v="United States"/>
    <s v="stroller cup holder"/>
    <s v="BROAD"/>
    <s v="see through stroller organizer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16"/>
    <d v="2026-05-01T00:00:00"/>
    <s v="USD"/>
    <s v="捡漏SP.Keyword.Mannual - Tray"/>
    <x v="11"/>
    <s v="Amazon"/>
    <s v="United States"/>
    <s v="stroller snack tray"/>
    <s v="BROAD"/>
    <s v="sidestroller snack tray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18"/>
    <d v="2026-05-16T00:00:00"/>
    <s v="USD"/>
    <s v="捡漏SP.Keyword.Mannual - Tray"/>
    <x v="16"/>
    <s v="Amazon"/>
    <s v="United States"/>
    <s v="universal snack tray"/>
    <s v="PHRASE"/>
    <s v="silver cross universal snack tray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19"/>
    <d v="2026-05-17T00:00:00"/>
    <s v="USD"/>
    <s v="捡漏SP.Keyword.Mannual - Tray"/>
    <x v="11"/>
    <s v="Amazon"/>
    <s v="United States"/>
    <s v="stroller tray"/>
    <s v="BROAD"/>
    <s v="small lightweight stroller with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9"/>
    <d v="2026-05-21T00:00:00"/>
    <s v="USD"/>
    <s v="捡漏SP.Keyword.Mannual - Tray"/>
    <x v="11"/>
    <s v="Amazon"/>
    <s v="United States"/>
    <s v="stroller tray"/>
    <s v="BROAD"/>
    <s v="small stroller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8"/>
    <d v="2026-05-11T00:00:00"/>
    <s v="USD"/>
    <s v="SP.Auto - Tray"/>
    <x v="12"/>
    <s v="Amazon"/>
    <s v="United States"/>
    <s v="loose-match"/>
    <s v="-"/>
    <s v="small tray attachment"/>
    <x v="1171"/>
    <n v="1"/>
    <n v="0.25"/>
    <n v="0.55000000000000004"/>
    <n v="0.55000000000000004"/>
    <n v="0"/>
    <m/>
    <n v="0"/>
    <n v="0"/>
    <n v="0"/>
    <n v="0"/>
    <n v="0"/>
    <n v="0"/>
    <n v="0"/>
    <n v="0"/>
    <m/>
  </r>
  <r>
    <x v="4"/>
    <x v="19"/>
    <d v="2026-05-20T00:00:00"/>
    <s v="USD"/>
    <s v="捡漏SP.Keyword.Mannual - Tray"/>
    <x v="11"/>
    <s v="Amazon"/>
    <s v="United States"/>
    <s v="snack cup for stroller"/>
    <s v="BROAD"/>
    <s v="snack cup hook to stroller"/>
    <x v="1169"/>
    <n v="1"/>
    <n v="1"/>
    <n v="0.16"/>
    <n v="0.16"/>
    <n v="0"/>
    <m/>
    <n v="0"/>
    <n v="0"/>
    <n v="0"/>
    <n v="0"/>
    <n v="0"/>
    <n v="0"/>
    <n v="0"/>
    <n v="0"/>
    <m/>
  </r>
  <r>
    <x v="4"/>
    <x v="20"/>
    <d v="2026-05-08T00:00:00"/>
    <s v="USD"/>
    <s v="捡漏SP.Keyword.Mannual - Tray"/>
    <x v="11"/>
    <s v="Amazon"/>
    <s v="United States"/>
    <s v="stroller snack tray"/>
    <s v="BROAD"/>
    <s v="snack tray attachment bike trailer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8"/>
    <d v="2026-05-10T00:00:00"/>
    <s v="USD"/>
    <s v="捡漏SP.Keyword.Mannual - Tray"/>
    <x v="11"/>
    <s v="Amazon"/>
    <s v="United States"/>
    <s v="snack tray for stroller"/>
    <s v="BROAD"/>
    <s v="snack tray bar for graco stroller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19"/>
    <d v="2026-05-20T00:00:00"/>
    <s v="USD"/>
    <s v="SP.Auto - Tray"/>
    <x v="12"/>
    <s v="Amazon"/>
    <s v="United States"/>
    <s v="loose-match"/>
    <s v="-"/>
    <s v="snack tray city mini gt"/>
    <x v="1169"/>
    <n v="1"/>
    <n v="1"/>
    <n v="0.1"/>
    <n v="0.1"/>
    <n v="0"/>
    <m/>
    <n v="0"/>
    <n v="0"/>
    <n v="0"/>
    <n v="0"/>
    <n v="0"/>
    <n v="0"/>
    <n v="0"/>
    <n v="0"/>
    <m/>
  </r>
  <r>
    <x v="4"/>
    <x v="20"/>
    <d v="2026-05-09T00:00:00"/>
    <s v="USD"/>
    <s v="捡漏SP.Keyword.Mannual - Tray"/>
    <x v="11"/>
    <s v="Amazon"/>
    <s v="United States"/>
    <s v="clip on snack tray"/>
    <s v="BROAD"/>
    <s v="snack tray compatible with no pole"/>
    <x v="1169"/>
    <n v="1"/>
    <n v="1"/>
    <n v="0.4"/>
    <n v="0.4"/>
    <n v="0"/>
    <m/>
    <n v="0"/>
    <n v="0"/>
    <n v="0"/>
    <n v="0"/>
    <n v="0"/>
    <n v="0"/>
    <n v="0"/>
    <n v="0"/>
    <m/>
  </r>
  <r>
    <x v="4"/>
    <x v="19"/>
    <d v="2026-05-18T00:00:00"/>
    <s v="USD"/>
    <s v="捡漏SP.Keyword.Mannual - Tray"/>
    <x v="11"/>
    <s v="Amazon"/>
    <s v="United States"/>
    <s v="universal snack tray"/>
    <s v="BROAD"/>
    <s v="snack tray for delta icon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8"/>
    <d v="2026-05-10T00:00:00"/>
    <s v="USD"/>
    <s v="捡漏SP.Keyword.Mannual - Tray"/>
    <x v="11"/>
    <s v="Amazon"/>
    <s v="United States"/>
    <s v="snack tray for stroller"/>
    <s v="BROAD"/>
    <s v="snack tray for side of stroller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16"/>
    <d v="2026-05-01T00:00:00"/>
    <s v="USD"/>
    <s v="SP.ASIN.Manual - Tray"/>
    <x v="13"/>
    <s v="Amazon"/>
    <s v="United States"/>
    <s v="asin=&quot;B0C1G4985Z&quot;"/>
    <s v="-"/>
    <s v="snack tray for stroller"/>
    <x v="1172"/>
    <n v="1"/>
    <n v="0.125"/>
    <n v="0.59"/>
    <n v="0.59"/>
    <n v="0"/>
    <m/>
    <n v="0"/>
    <n v="0"/>
    <n v="0"/>
    <n v="0"/>
    <n v="0"/>
    <n v="0"/>
    <n v="0"/>
    <n v="0"/>
    <m/>
  </r>
  <r>
    <x v="4"/>
    <x v="16"/>
    <d v="2026-05-02T00:00:00"/>
    <s v="USD"/>
    <s v="SP.ASIN.Manual - Tray"/>
    <x v="13"/>
    <s v="Amazon"/>
    <s v="United States"/>
    <s v="asin=&quot;B0C1G4985Z&quot;"/>
    <s v="-"/>
    <s v="snack tray for stroller"/>
    <x v="1169"/>
    <n v="1"/>
    <n v="1"/>
    <n v="0.59"/>
    <n v="0.59"/>
    <n v="0"/>
    <m/>
    <n v="0"/>
    <n v="0"/>
    <n v="0"/>
    <n v="0"/>
    <n v="0"/>
    <n v="0"/>
    <n v="0"/>
    <n v="0"/>
    <m/>
  </r>
  <r>
    <x v="4"/>
    <x v="16"/>
    <d v="2026-05-01T00:00:00"/>
    <s v="USD"/>
    <s v="SP.Auto - Tray"/>
    <x v="12"/>
    <s v="Amazon"/>
    <s v="United States"/>
    <s v="close-match"/>
    <s v="-"/>
    <s v="snack tray for stroller"/>
    <x v="1170"/>
    <n v="1"/>
    <n v="0.33333299999999999"/>
    <n v="1.1399999999999999"/>
    <n v="1.1399999999999999"/>
    <n v="0"/>
    <m/>
    <n v="0"/>
    <n v="0"/>
    <n v="0"/>
    <n v="0"/>
    <n v="0"/>
    <n v="0"/>
    <n v="0"/>
    <n v="0"/>
    <m/>
  </r>
  <r>
    <x v="4"/>
    <x v="18"/>
    <d v="2026-05-16T00:00:00"/>
    <s v="USD"/>
    <s v="SP.Auto - Tray"/>
    <x v="12"/>
    <s v="Amazon"/>
    <s v="United States"/>
    <s v="close-match"/>
    <s v="-"/>
    <s v="snack tray for stroller"/>
    <x v="1168"/>
    <n v="1"/>
    <n v="0.5"/>
    <n v="1.1399999999999999"/>
    <n v="1.1399999999999999"/>
    <n v="0"/>
    <m/>
    <n v="0"/>
    <n v="0"/>
    <n v="0"/>
    <n v="0"/>
    <n v="0"/>
    <n v="0"/>
    <n v="0"/>
    <n v="0"/>
    <m/>
  </r>
  <r>
    <x v="4"/>
    <x v="19"/>
    <d v="2026-05-17T00:00:00"/>
    <s v="USD"/>
    <s v="SP.Auto - Tray"/>
    <x v="12"/>
    <s v="Amazon"/>
    <s v="United States"/>
    <s v="close-match"/>
    <s v="-"/>
    <s v="snack tray for stroller"/>
    <x v="1192"/>
    <n v="1"/>
    <n v="0.16666700000000001"/>
    <n v="1.25"/>
    <n v="1.25"/>
    <n v="0"/>
    <m/>
    <n v="0"/>
    <n v="0"/>
    <n v="0"/>
    <n v="0"/>
    <n v="0"/>
    <n v="0"/>
    <n v="0"/>
    <n v="0"/>
    <m/>
  </r>
  <r>
    <x v="4"/>
    <x v="16"/>
    <d v="2026-05-01T00:00:00"/>
    <s v="USD"/>
    <s v="捡漏SP.Keyword.Mannual - Tray"/>
    <x v="11"/>
    <s v="Amazon"/>
    <s v="United States"/>
    <s v="stroller tray"/>
    <s v="BROAD"/>
    <s v="snack tray for stroller"/>
    <x v="1217"/>
    <n v="1"/>
    <n v="7.1429000000000006E-2"/>
    <n v="0.2"/>
    <n v="0.2"/>
    <n v="0"/>
    <m/>
    <n v="0"/>
    <n v="0"/>
    <n v="0"/>
    <n v="0"/>
    <n v="0"/>
    <n v="0"/>
    <n v="0"/>
    <n v="0"/>
    <m/>
  </r>
  <r>
    <x v="4"/>
    <x v="18"/>
    <d v="2026-05-13T00:00:00"/>
    <s v="USD"/>
    <s v="捡漏SP.Keyword.Mannual - Tray"/>
    <x v="11"/>
    <s v="Amazon"/>
    <s v="United States"/>
    <s v="stroller tray"/>
    <s v="BROAD"/>
    <s v="snack tray for stroller"/>
    <x v="1192"/>
    <n v="1"/>
    <n v="0.16666700000000001"/>
    <n v="0.21"/>
    <n v="0.21"/>
    <n v="0"/>
    <m/>
    <n v="0"/>
    <n v="0"/>
    <n v="0"/>
    <n v="0"/>
    <n v="0"/>
    <n v="0"/>
    <n v="0"/>
    <n v="0"/>
    <m/>
  </r>
  <r>
    <x v="4"/>
    <x v="16"/>
    <d v="2026-05-01T00:00:00"/>
    <s v="USD"/>
    <s v="捡漏SP.Keyword.Mannual - Tray"/>
    <x v="16"/>
    <s v="Amazon"/>
    <s v="United States"/>
    <s v="snack tray for stroller"/>
    <s v="PHRASE"/>
    <s v="snack tray for stroller"/>
    <x v="1218"/>
    <n v="2"/>
    <n v="0.117647"/>
    <n v="0.2"/>
    <n v="0.4"/>
    <n v="0"/>
    <m/>
    <n v="0"/>
    <n v="0"/>
    <n v="0"/>
    <n v="0"/>
    <n v="0"/>
    <n v="0"/>
    <n v="0"/>
    <n v="0"/>
    <m/>
  </r>
  <r>
    <x v="4"/>
    <x v="20"/>
    <d v="2026-05-04T00:00:00"/>
    <s v="USD"/>
    <s v="捡漏SP.Keyword.Mannual - Tray"/>
    <x v="16"/>
    <s v="Amazon"/>
    <s v="United States"/>
    <s v="snack tray for stroller"/>
    <s v="PHRASE"/>
    <s v="snack tray for stroller"/>
    <x v="1205"/>
    <n v="1"/>
    <n v="0.111111"/>
    <n v="0.2"/>
    <n v="0.2"/>
    <n v="0"/>
    <m/>
    <n v="0"/>
    <n v="0"/>
    <n v="0"/>
    <n v="0"/>
    <n v="0"/>
    <n v="0"/>
    <n v="0"/>
    <n v="0"/>
    <m/>
  </r>
  <r>
    <x v="4"/>
    <x v="18"/>
    <d v="2026-05-15T00:00:00"/>
    <s v="USD"/>
    <s v="捡漏SP.Keyword.Mannual - Tray"/>
    <x v="16"/>
    <s v="Amazon"/>
    <s v="United States"/>
    <s v="snack tray for stroller"/>
    <s v="PHRASE"/>
    <s v="snack tray for stroller"/>
    <x v="1219"/>
    <n v="1"/>
    <n v="1.4085E-2"/>
    <n v="0.2"/>
    <n v="0.2"/>
    <n v="0"/>
    <m/>
    <n v="0"/>
    <n v="0"/>
    <n v="0"/>
    <n v="0"/>
    <n v="0"/>
    <n v="0"/>
    <n v="0"/>
    <n v="0"/>
    <m/>
  </r>
  <r>
    <x v="4"/>
    <x v="20"/>
    <d v="2026-05-06T00:00:00"/>
    <s v="USD"/>
    <s v="捡漏SP.Keyword.Mannual - Tray"/>
    <x v="16"/>
    <s v="Amazon"/>
    <s v="United States"/>
    <s v="snack tray for stroller"/>
    <s v="EXACT"/>
    <s v="snack tray for stroller"/>
    <x v="1205"/>
    <n v="1"/>
    <n v="0.111111"/>
    <n v="0.2"/>
    <n v="0.2"/>
    <n v="17.989999999999998"/>
    <n v="1.1117E-2"/>
    <n v="89.95"/>
    <n v="1"/>
    <n v="1"/>
    <n v="1"/>
    <n v="0"/>
    <n v="1"/>
    <n v="0"/>
    <n v="17.989999999999998"/>
    <m/>
  </r>
  <r>
    <x v="4"/>
    <x v="18"/>
    <d v="2026-05-13T00:00:00"/>
    <s v="USD"/>
    <s v="捡漏SP.Keyword.Mannual - Tray"/>
    <x v="16"/>
    <s v="Amazon"/>
    <s v="United States"/>
    <s v="snack tray for stroller"/>
    <s v="EXACT"/>
    <s v="snack tray for stroller"/>
    <x v="1174"/>
    <n v="1"/>
    <n v="0.2"/>
    <n v="0.2"/>
    <n v="0.2"/>
    <n v="0"/>
    <m/>
    <n v="0"/>
    <n v="0"/>
    <n v="0"/>
    <n v="0"/>
    <n v="0"/>
    <n v="0"/>
    <n v="0"/>
    <n v="0"/>
    <m/>
  </r>
  <r>
    <x v="4"/>
    <x v="20"/>
    <d v="2026-05-03T00:00:00"/>
    <s v="USD"/>
    <s v="捡漏SP.Keyword.Mannual - Tray"/>
    <x v="11"/>
    <s v="Amazon"/>
    <s v="United States"/>
    <s v="stroller tray"/>
    <s v="BROAD"/>
    <s v="snack tray for stroller without bar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9"/>
    <d v="2026-05-19T00:00:00"/>
    <s v="USD"/>
    <s v="捡漏SP.Keyword.Mannual - Tray"/>
    <x v="11"/>
    <s v="Amazon"/>
    <s v="United States"/>
    <s v="stroller tray"/>
    <s v="BROAD"/>
    <s v="snack tray for stroller without bar"/>
    <x v="1174"/>
    <n v="1"/>
    <n v="0.2"/>
    <n v="0.08"/>
    <n v="0.08"/>
    <n v="0"/>
    <m/>
    <n v="0"/>
    <n v="0"/>
    <n v="0"/>
    <n v="0"/>
    <n v="0"/>
    <n v="0"/>
    <n v="0"/>
    <n v="0"/>
    <m/>
  </r>
  <r>
    <x v="4"/>
    <x v="20"/>
    <d v="2026-05-04T00:00:00"/>
    <s v="USD"/>
    <s v="捡漏SP.Keyword.Mannual - Tray"/>
    <x v="11"/>
    <s v="Amazon"/>
    <s v="United States"/>
    <s v="snack tray for stroller"/>
    <s v="BROAD"/>
    <s v="snack tray for stroller without bar"/>
    <x v="1169"/>
    <n v="1"/>
    <n v="1"/>
    <n v="0.2"/>
    <n v="0.2"/>
    <n v="0"/>
    <m/>
    <n v="0"/>
    <n v="0"/>
    <n v="0"/>
    <n v="0"/>
    <n v="0"/>
    <n v="0"/>
    <n v="0"/>
    <n v="0"/>
    <m/>
  </r>
  <r>
    <x v="4"/>
    <x v="19"/>
    <d v="2026-05-18T00:00:00"/>
    <s v="USD"/>
    <s v="捡漏SP.Keyword.Mannual - Tray"/>
    <x v="11"/>
    <s v="Amazon"/>
    <s v="United States"/>
    <s v="snack tray for stroller"/>
    <s v="BROAD"/>
    <s v="snack tray for umbrella stroller"/>
    <x v="1174"/>
    <n v="1"/>
    <n v="0.2"/>
    <n v="0.21"/>
    <n v="0.21"/>
    <n v="0"/>
    <m/>
    <n v="0"/>
    <n v="0"/>
    <n v="0"/>
    <n v="0"/>
    <n v="0"/>
    <n v="0"/>
    <n v="0"/>
    <n v="0"/>
    <m/>
  </r>
  <r>
    <x v="4"/>
    <x v="18"/>
    <d v="2026-05-11T00:00:00"/>
    <s v="USD"/>
    <s v="SP.ASIN.Manual - Tray"/>
    <x v="13"/>
    <s v="Amazon"/>
    <s v="United States"/>
    <s v="asin=&quot;B0C1G4985Z&quot;"/>
    <s v="-"/>
    <s v="snack tray for umbrella stroller without bar"/>
    <x v="1220"/>
    <n v="1"/>
    <n v="0.1"/>
    <n v="0.63"/>
    <n v="0.63"/>
    <n v="0"/>
    <m/>
    <n v="0"/>
    <n v="0"/>
    <n v="0"/>
    <n v="0"/>
    <n v="0"/>
    <n v="0"/>
    <n v="0"/>
    <n v="0"/>
    <m/>
  </r>
  <r>
    <x v="4"/>
    <x v="18"/>
    <d v="2026-05-15T00:00:00"/>
    <s v="USD"/>
    <s v="捡漏SP.Keyword.Mannual - Tray"/>
    <x v="11"/>
    <s v="Amazon"/>
    <s v="United States"/>
    <s v="snack tray for stroller"/>
    <s v="BROAD"/>
    <s v="snack tray mockingbird stroller"/>
    <x v="1169"/>
    <n v="1"/>
    <n v="1"/>
    <n v="0.08"/>
    <n v="0.08"/>
    <n v="0"/>
    <m/>
    <n v="0"/>
    <n v="0"/>
    <n v="0"/>
    <n v="0"/>
    <n v="0"/>
    <n v="0"/>
    <n v="0"/>
    <n v="0"/>
    <m/>
  </r>
  <r>
    <x v="4"/>
    <x v="18"/>
    <d v="2026-05-16T00:00:00"/>
    <s v="USD"/>
    <s v="捡漏SP.Keyword.Mannual - Tray"/>
    <x v="11"/>
    <s v="Amazon"/>
    <s v="United States"/>
    <s v="universal snack tray"/>
    <s v="BROAD"/>
    <s v="snack tray nuna mixx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8"/>
    <d v="2026-05-14T00:00:00"/>
    <s v="USD"/>
    <s v="SP.ASIN.Manual - Tray"/>
    <x v="13"/>
    <s v="Amazon"/>
    <s v="United States"/>
    <s v="asin=&quot;B0FVF51VYJ&quot;"/>
    <s v="-"/>
    <s v="snack tray nuna stroller"/>
    <x v="1169"/>
    <n v="1"/>
    <n v="1"/>
    <n v="0.66"/>
    <n v="0.66"/>
    <n v="0"/>
    <m/>
    <n v="0"/>
    <n v="0"/>
    <n v="0"/>
    <n v="0"/>
    <n v="0"/>
    <n v="0"/>
    <n v="0"/>
    <n v="0"/>
    <m/>
  </r>
  <r>
    <x v="4"/>
    <x v="19"/>
    <d v="2026-05-18T00:00:00"/>
    <s v="USD"/>
    <s v="捡漏SP.Keyword.Mannual - Tray"/>
    <x v="11"/>
    <s v="Amazon"/>
    <s v="United States"/>
    <s v="nuna snack tray for stroller"/>
    <s v="BROAD"/>
    <s v="snack tray nuna triv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19"/>
    <d v="2026-05-21T00:00:00"/>
    <s v="USD"/>
    <s v="捡漏SP.Keyword.Mannual - Tray"/>
    <x v="11"/>
    <s v="Amazon"/>
    <s v="United States"/>
    <s v="snack tray for stroller"/>
    <s v="BROAD"/>
    <s v="snack tray on umbrella stroller"/>
    <x v="1169"/>
    <n v="1"/>
    <n v="1"/>
    <n v="0.4"/>
    <n v="0.4"/>
    <n v="0"/>
    <m/>
    <n v="0"/>
    <n v="0"/>
    <n v="0"/>
    <n v="0"/>
    <n v="0"/>
    <n v="0"/>
    <n v="0"/>
    <n v="0"/>
    <m/>
  </r>
  <r>
    <x v="4"/>
    <x v="16"/>
    <d v="2026-05-01T00:00:00"/>
    <s v="USD"/>
    <s v="SP.ASIN.Manual - Tray"/>
    <x v="13"/>
    <s v="Amazon"/>
    <s v="United States"/>
    <s v="asin=&quot;B0C1G4985Z&quot;"/>
    <s v="-"/>
    <s v="snack tray stroller attachment"/>
    <x v="1169"/>
    <n v="1"/>
    <n v="1"/>
    <n v="0.57999999999999996"/>
    <n v="0.57999999999999996"/>
    <n v="0"/>
    <m/>
    <n v="0"/>
    <n v="0"/>
    <n v="0"/>
    <n v="0"/>
    <n v="0"/>
    <n v="0"/>
    <n v="0"/>
    <n v="0"/>
    <m/>
  </r>
  <r>
    <x v="4"/>
    <x v="18"/>
    <d v="2026-05-14T00:00:00"/>
    <s v="USD"/>
    <s v="捡漏SP.Keyword.Mannual - Tray"/>
    <x v="11"/>
    <s v="Amazon"/>
    <s v="United States"/>
    <s v="stroller clip on tray"/>
    <s v="BROAD"/>
    <s v="snack tray that clips to stroller frame"/>
    <x v="1169"/>
    <n v="1"/>
    <n v="1"/>
    <n v="0.21"/>
    <n v="0.21"/>
    <n v="34.94"/>
    <n v="6.0099999999999997E-3"/>
    <n v="166.38"/>
    <n v="1"/>
    <n v="2"/>
    <n v="1"/>
    <n v="2"/>
    <n v="0"/>
    <n v="34.94"/>
    <n v="0"/>
    <m/>
  </r>
  <r>
    <x v="4"/>
    <x v="19"/>
    <d v="2026-05-20T00:00:00"/>
    <s v="USD"/>
    <s v="捡漏SP.Keyword.Mannual - Tray"/>
    <x v="11"/>
    <s v="Amazon"/>
    <s v="United States"/>
    <s v="universal snack tray"/>
    <s v="BROAD"/>
    <s v="snack tray universal"/>
    <x v="1171"/>
    <n v="1"/>
    <n v="0.25"/>
    <n v="0.21"/>
    <n v="0.21"/>
    <n v="17.47"/>
    <n v="1.2021E-2"/>
    <n v="83.19"/>
    <n v="1"/>
    <n v="1"/>
    <n v="1"/>
    <n v="1"/>
    <n v="0"/>
    <n v="17.47"/>
    <n v="0"/>
    <m/>
  </r>
  <r>
    <x v="4"/>
    <x v="20"/>
    <d v="2026-05-03T00:00:00"/>
    <s v="USD"/>
    <s v="捡漏SP.Keyword.Mannual - Tray"/>
    <x v="11"/>
    <s v="Amazon"/>
    <s v="United States"/>
    <s v="snack holder for stroller"/>
    <s v="BROAD"/>
    <s v="snacks holder for bus driver"/>
    <x v="1168"/>
    <n v="1"/>
    <n v="0.5"/>
    <n v="0.4"/>
    <n v="0.4"/>
    <n v="0"/>
    <m/>
    <n v="0"/>
    <n v="0"/>
    <n v="0"/>
    <n v="0"/>
    <n v="0"/>
    <n v="0"/>
    <n v="0"/>
    <n v="0"/>
    <m/>
  </r>
  <r>
    <x v="4"/>
    <x v="20"/>
    <d v="2026-05-06T00:00:00"/>
    <s v="USD"/>
    <s v="捡漏SP.Keyword.Mannual - Tray"/>
    <x v="11"/>
    <s v="Amazon"/>
    <s v="United States"/>
    <s v="cup holder for stroller"/>
    <s v="BROAD"/>
    <s v="storage organizer for strollers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18"/>
    <d v="2026-05-10T00:00:00"/>
    <s v="USD"/>
    <s v="捡漏SP.Keyword.Mannual - Tray"/>
    <x v="11"/>
    <s v="Amazon"/>
    <s v="United States"/>
    <s v="stroller snack tray"/>
    <s v="BROAD"/>
    <s v="stroller 2 cup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8"/>
    <d v="2026-05-11T00:00:00"/>
    <s v="USD"/>
    <s v="捡漏SP.Keyword.Mannual - Tray"/>
    <x v="16"/>
    <s v="Amazon"/>
    <s v="United States"/>
    <s v="stroller accessories"/>
    <s v="EXACT"/>
    <s v="stroller accessories"/>
    <x v="1195"/>
    <n v="2"/>
    <n v="6.6667000000000004E-2"/>
    <n v="0.21"/>
    <n v="0.42"/>
    <n v="0"/>
    <m/>
    <n v="0"/>
    <n v="0"/>
    <n v="0"/>
    <n v="0"/>
    <n v="0"/>
    <n v="0"/>
    <n v="0"/>
    <n v="0"/>
    <m/>
  </r>
  <r>
    <x v="4"/>
    <x v="18"/>
    <d v="2026-05-12T00:00:00"/>
    <s v="USD"/>
    <s v="捡漏SP.Keyword.Mannual - Tray"/>
    <x v="16"/>
    <s v="Amazon"/>
    <s v="United States"/>
    <s v="stroller accessories"/>
    <s v="EXACT"/>
    <s v="stroller accessories"/>
    <x v="1221"/>
    <n v="1"/>
    <n v="2.1277000000000001E-2"/>
    <n v="0.2"/>
    <n v="0.2"/>
    <n v="18.989999999999998"/>
    <n v="1.0532E-2"/>
    <n v="94.95"/>
    <n v="1"/>
    <n v="1"/>
    <n v="1"/>
    <n v="1"/>
    <n v="0"/>
    <n v="18.989999999999998"/>
    <n v="0"/>
    <m/>
  </r>
  <r>
    <x v="4"/>
    <x v="19"/>
    <d v="2026-05-20T00:00:00"/>
    <s v="USD"/>
    <s v="捡漏SP.Keyword.Mannual - Tray"/>
    <x v="16"/>
    <s v="Amazon"/>
    <s v="United States"/>
    <s v="stroller accessories"/>
    <s v="EXACT"/>
    <s v="stroller accessories"/>
    <x v="1222"/>
    <n v="1"/>
    <n v="5.7800000000000004E-3"/>
    <n v="0.23"/>
    <n v="0.23"/>
    <n v="0"/>
    <m/>
    <n v="0"/>
    <n v="0"/>
    <n v="0"/>
    <n v="0"/>
    <n v="0"/>
    <n v="0"/>
    <n v="0"/>
    <n v="0"/>
    <m/>
  </r>
  <r>
    <x v="4"/>
    <x v="19"/>
    <d v="2026-05-19T00:00:00"/>
    <s v="USD"/>
    <s v="捡漏SP.Keyword.Mannual - Tray"/>
    <x v="11"/>
    <s v="Amazon"/>
    <s v="United States"/>
    <s v="stroller accessories"/>
    <s v="BROAD"/>
    <s v="stroller accessory hooks"/>
    <x v="1168"/>
    <n v="1"/>
    <n v="0.5"/>
    <n v="0.16"/>
    <n v="0.16"/>
    <n v="0"/>
    <m/>
    <n v="0"/>
    <n v="0"/>
    <n v="0"/>
    <n v="0"/>
    <n v="0"/>
    <n v="0"/>
    <n v="0"/>
    <n v="0"/>
    <m/>
  </r>
  <r>
    <x v="4"/>
    <x v="19"/>
    <d v="2026-05-21T00:00:00"/>
    <s v="USD"/>
    <s v="SP.Auto - Tray"/>
    <x v="12"/>
    <s v="Amazon"/>
    <s v="United States"/>
    <s v="loose-match"/>
    <s v="-"/>
    <s v="stroller caddy bumbleride"/>
    <x v="1169"/>
    <n v="1"/>
    <n v="1"/>
    <n v="0.55000000000000004"/>
    <n v="0.55000000000000004"/>
    <n v="0"/>
    <m/>
    <n v="0"/>
    <n v="0"/>
    <n v="0"/>
    <n v="0"/>
    <n v="0"/>
    <n v="0"/>
    <n v="0"/>
    <n v="0"/>
    <m/>
  </r>
  <r>
    <x v="4"/>
    <x v="19"/>
    <d v="2026-05-20T00:00:00"/>
    <s v="USD"/>
    <s v="SP.Auto - Tray"/>
    <x v="12"/>
    <s v="Amazon"/>
    <s v="United States"/>
    <s v="loose-match"/>
    <s v="-"/>
    <s v="stroller caddy insulated"/>
    <x v="1169"/>
    <n v="1"/>
    <n v="1"/>
    <n v="0.55000000000000004"/>
    <n v="0.55000000000000004"/>
    <n v="0"/>
    <m/>
    <n v="0"/>
    <n v="0"/>
    <n v="0"/>
    <n v="0"/>
    <n v="0"/>
    <n v="0"/>
    <n v="0"/>
    <n v="0"/>
    <m/>
  </r>
  <r>
    <x v="4"/>
    <x v="18"/>
    <d v="2026-05-11T00:00:00"/>
    <s v="USD"/>
    <s v="捡漏SP.Keyword.Mannual - Tray"/>
    <x v="11"/>
    <s v="Amazon"/>
    <s v="United States"/>
    <s v="stroller cup holder"/>
    <s v="BROAD"/>
    <s v="stroller cell and 2 cup holder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8"/>
    <d v="2026-05-16T00:00:00"/>
    <s v="USD"/>
    <s v="捡漏SP.Keyword.Mannual - Tray"/>
    <x v="11"/>
    <s v="Amazon"/>
    <s v="United States"/>
    <s v="stroller cup holder"/>
    <s v="BROAD"/>
    <s v="stroller cup and phone holder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4"/>
    <x v="20"/>
    <d v="2026-05-04T00:00:00"/>
    <s v="USD"/>
    <s v="捡漏SP.Keyword.Mannual - Tray"/>
    <x v="11"/>
    <s v="Amazon"/>
    <s v="United States"/>
    <s v="stroller wagon child cup holder"/>
    <s v="BROAD"/>
    <s v="stroller cup holder"/>
    <x v="1169"/>
    <n v="1"/>
    <n v="1"/>
    <n v="0.2"/>
    <n v="0.2"/>
    <n v="0"/>
    <m/>
    <n v="0"/>
    <n v="0"/>
    <n v="0"/>
    <n v="0"/>
    <n v="0"/>
    <n v="0"/>
    <n v="0"/>
    <n v="0"/>
    <m/>
  </r>
  <r>
    <x v="4"/>
    <x v="16"/>
    <d v="2026-05-01T00:00:00"/>
    <s v="USD"/>
    <s v="SP.Auto - Tray"/>
    <x v="12"/>
    <s v="Amazon"/>
    <s v="United States"/>
    <s v="close-match"/>
    <s v="-"/>
    <s v="stroller cup holder"/>
    <x v="1223"/>
    <n v="1"/>
    <n v="6.25E-2"/>
    <n v="1.1000000000000001"/>
    <n v="1.1000000000000001"/>
    <n v="0"/>
    <m/>
    <n v="0"/>
    <n v="0"/>
    <n v="0"/>
    <n v="0"/>
    <n v="0"/>
    <n v="0"/>
    <n v="0"/>
    <n v="0"/>
    <m/>
  </r>
  <r>
    <x v="4"/>
    <x v="20"/>
    <d v="2026-05-04T00:00:00"/>
    <s v="USD"/>
    <s v="捡漏SP.Keyword.Mannual - Tray"/>
    <x v="11"/>
    <s v="Amazon"/>
    <s v="United States"/>
    <s v="stroller cup holder"/>
    <s v="BROAD"/>
    <s v="stroller cup holder"/>
    <x v="1182"/>
    <n v="1"/>
    <n v="0.14285700000000001"/>
    <n v="0.21"/>
    <n v="0.21"/>
    <n v="0"/>
    <m/>
    <n v="0"/>
    <n v="0"/>
    <n v="0"/>
    <n v="0"/>
    <n v="0"/>
    <n v="0"/>
    <n v="0"/>
    <n v="0"/>
    <m/>
  </r>
  <r>
    <x v="4"/>
    <x v="20"/>
    <d v="2026-05-07T00:00:00"/>
    <s v="USD"/>
    <s v="捡漏SP.Keyword.Mannual - Tray"/>
    <x v="11"/>
    <s v="Amazon"/>
    <s v="United States"/>
    <s v="stroller cup holder"/>
    <s v="BROAD"/>
    <s v="stroller cup holder"/>
    <x v="1171"/>
    <n v="1"/>
    <n v="0.25"/>
    <n v="0.21"/>
    <n v="0.21"/>
    <n v="0"/>
    <m/>
    <n v="0"/>
    <n v="0"/>
    <n v="0"/>
    <n v="0"/>
    <n v="0"/>
    <n v="0"/>
    <n v="0"/>
    <n v="0"/>
    <m/>
  </r>
  <r>
    <x v="4"/>
    <x v="18"/>
    <d v="2026-05-10T00:00:00"/>
    <s v="USD"/>
    <s v="捡漏SP.Keyword.Mannual - Tray"/>
    <x v="11"/>
    <s v="Amazon"/>
    <s v="United States"/>
    <s v="stroller cup holder"/>
    <s v="BROAD"/>
    <s v="stroller cup holder"/>
    <x v="1217"/>
    <n v="1"/>
    <n v="7.1429000000000006E-2"/>
    <n v="0.21"/>
    <n v="0.21"/>
    <n v="0"/>
    <m/>
    <n v="0"/>
    <n v="0"/>
    <n v="0"/>
    <n v="0"/>
    <n v="0"/>
    <n v="0"/>
    <n v="0"/>
    <n v="0"/>
    <m/>
  </r>
  <r>
    <x v="4"/>
    <x v="18"/>
    <d v="2026-05-16T00:00:00"/>
    <s v="USD"/>
    <s v="捡漏SP.Keyword.Mannual - Tray"/>
    <x v="11"/>
    <s v="Amazon"/>
    <s v="United States"/>
    <s v="stroller cup holder"/>
    <s v="BROAD"/>
    <s v="stroller cup holder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6"/>
    <d v="2026-05-02T00:00:00"/>
    <s v="USD"/>
    <s v="捡漏SP.Keyword.Mannual - Tray"/>
    <x v="16"/>
    <s v="Amazon"/>
    <s v="United States"/>
    <s v="stroller cup holder"/>
    <s v="PHRASE"/>
    <s v="stroller cup holder"/>
    <x v="1177"/>
    <n v="1"/>
    <n v="1.7544000000000001E-2"/>
    <n v="0.2"/>
    <n v="0.2"/>
    <n v="0"/>
    <m/>
    <n v="0"/>
    <n v="0"/>
    <n v="0"/>
    <n v="0"/>
    <n v="0"/>
    <n v="0"/>
    <n v="0"/>
    <n v="0"/>
    <m/>
  </r>
  <r>
    <x v="4"/>
    <x v="20"/>
    <d v="2026-05-05T00:00:00"/>
    <s v="USD"/>
    <s v="捡漏SP.Keyword.Mannual - Tray"/>
    <x v="16"/>
    <s v="Amazon"/>
    <s v="United States"/>
    <s v="stroller cup holder"/>
    <s v="PHRASE"/>
    <s v="stroller cup holder"/>
    <x v="1179"/>
    <n v="3"/>
    <n v="4.6154000000000001E-2"/>
    <n v="0.2"/>
    <n v="0.6"/>
    <n v="0"/>
    <m/>
    <n v="0"/>
    <n v="0"/>
    <n v="0"/>
    <n v="0"/>
    <n v="0"/>
    <n v="0"/>
    <n v="0"/>
    <n v="0"/>
    <m/>
  </r>
  <r>
    <x v="4"/>
    <x v="20"/>
    <d v="2026-05-07T00:00:00"/>
    <s v="USD"/>
    <s v="捡漏SP.Keyword.Mannual - Tray"/>
    <x v="16"/>
    <s v="Amazon"/>
    <s v="United States"/>
    <s v="stroller cup holder"/>
    <s v="PHRASE"/>
    <s v="stroller cup holder"/>
    <x v="1224"/>
    <n v="1"/>
    <n v="2.8570999999999999E-2"/>
    <n v="0.2"/>
    <n v="0.2"/>
    <n v="0"/>
    <m/>
    <n v="0"/>
    <n v="0"/>
    <n v="0"/>
    <n v="0"/>
    <n v="0"/>
    <n v="0"/>
    <n v="0"/>
    <n v="0"/>
    <m/>
  </r>
  <r>
    <x v="4"/>
    <x v="18"/>
    <d v="2026-05-13T00:00:00"/>
    <s v="USD"/>
    <s v="捡漏SP.Keyword.Mannual - Tray"/>
    <x v="16"/>
    <s v="Amazon"/>
    <s v="United States"/>
    <s v="stroller cup holder"/>
    <s v="PHRASE"/>
    <s v="stroller cup holder"/>
    <x v="1225"/>
    <n v="1"/>
    <n v="3.2049999999999999E-3"/>
    <n v="0.2"/>
    <n v="0.2"/>
    <n v="0"/>
    <m/>
    <n v="0"/>
    <n v="0"/>
    <n v="0"/>
    <n v="0"/>
    <n v="0"/>
    <n v="0"/>
    <n v="0"/>
    <n v="0"/>
    <m/>
  </r>
  <r>
    <x v="4"/>
    <x v="18"/>
    <d v="2026-05-16T00:00:00"/>
    <s v="USD"/>
    <s v="捡漏SP.Keyword.Mannual - Tray"/>
    <x v="16"/>
    <s v="Amazon"/>
    <s v="United States"/>
    <s v="stroller cup holder"/>
    <s v="PHRASE"/>
    <s v="stroller cup holder"/>
    <x v="1226"/>
    <n v="3"/>
    <n v="4.0870000000000004E-3"/>
    <n v="0.2"/>
    <n v="0.6"/>
    <n v="0"/>
    <m/>
    <n v="0"/>
    <n v="0"/>
    <n v="0"/>
    <n v="0"/>
    <n v="0"/>
    <n v="0"/>
    <n v="0"/>
    <n v="0"/>
    <m/>
  </r>
  <r>
    <x v="4"/>
    <x v="19"/>
    <d v="2026-05-20T00:00:00"/>
    <s v="USD"/>
    <s v="捡漏SP.Keyword.Mannual - Tray"/>
    <x v="16"/>
    <s v="Amazon"/>
    <s v="United States"/>
    <s v="stroller cup holder"/>
    <s v="PHRASE"/>
    <s v="stroller cup holder"/>
    <x v="1227"/>
    <n v="1"/>
    <n v="1.312E-3"/>
    <n v="0.2"/>
    <n v="0.2"/>
    <n v="0"/>
    <m/>
    <n v="0"/>
    <n v="0"/>
    <n v="0"/>
    <n v="0"/>
    <n v="0"/>
    <n v="0"/>
    <n v="0"/>
    <n v="0"/>
    <m/>
  </r>
  <r>
    <x v="4"/>
    <x v="16"/>
    <d v="2026-05-02T00:00:00"/>
    <s v="USD"/>
    <s v="捡漏SP.Keyword.Mannual - Tray"/>
    <x v="11"/>
    <s v="Amazon"/>
    <s v="United States"/>
    <s v="cup holder for stroller"/>
    <s v="BROAD"/>
    <s v="stroller cup holder"/>
    <x v="1171"/>
    <n v="1"/>
    <n v="0.25"/>
    <n v="0.21"/>
    <n v="0.21"/>
    <n v="0"/>
    <m/>
    <n v="0"/>
    <n v="0"/>
    <n v="0"/>
    <n v="0"/>
    <n v="0"/>
    <n v="0"/>
    <n v="0"/>
    <n v="0"/>
    <m/>
  </r>
  <r>
    <x v="4"/>
    <x v="18"/>
    <d v="2026-05-13T00:00:00"/>
    <s v="USD"/>
    <s v="捡漏SP.Keyword.Mannual - Tray"/>
    <x v="11"/>
    <s v="Amazon"/>
    <s v="United States"/>
    <s v="cup holder for stroller"/>
    <s v="BROAD"/>
    <s v="stroller cup holder"/>
    <x v="1171"/>
    <n v="1"/>
    <n v="0.25"/>
    <n v="0.2"/>
    <n v="0.2"/>
    <n v="0"/>
    <m/>
    <n v="0"/>
    <n v="0"/>
    <n v="0"/>
    <n v="0"/>
    <n v="0"/>
    <n v="0"/>
    <n v="0"/>
    <n v="0"/>
    <m/>
  </r>
  <r>
    <x v="4"/>
    <x v="20"/>
    <d v="2026-05-04T00:00:00"/>
    <s v="USD"/>
    <s v="SP.Auto - Tray"/>
    <x v="12"/>
    <s v="Amazon"/>
    <s v="United States"/>
    <s v="close-match"/>
    <s v="-"/>
    <s v="stroller cup holder attachment"/>
    <x v="1228"/>
    <n v="1"/>
    <n v="3.8462000000000003E-2"/>
    <n v="1.1200000000000001"/>
    <n v="1.1200000000000001"/>
    <n v="0"/>
    <m/>
    <n v="0"/>
    <n v="0"/>
    <n v="0"/>
    <n v="0"/>
    <n v="0"/>
    <n v="0"/>
    <n v="0"/>
    <n v="0"/>
    <m/>
  </r>
  <r>
    <x v="4"/>
    <x v="20"/>
    <d v="2026-05-06T00:00:00"/>
    <s v="USD"/>
    <s v="捡漏SP.Keyword.Mannual - Tray"/>
    <x v="16"/>
    <s v="Amazon"/>
    <s v="United States"/>
    <s v="stroller cup holder attachment"/>
    <s v="PHRASE"/>
    <s v="stroller cup holder attachment"/>
    <x v="1229"/>
    <n v="2"/>
    <n v="0.16666700000000001"/>
    <n v="0.2"/>
    <n v="0.4"/>
    <n v="17.47"/>
    <n v="2.2896E-2"/>
    <n v="43.68"/>
    <n v="1"/>
    <n v="1"/>
    <n v="0.5"/>
    <n v="1"/>
    <n v="0"/>
    <n v="17.47"/>
    <n v="0"/>
    <m/>
  </r>
  <r>
    <x v="4"/>
    <x v="18"/>
    <d v="2026-05-10T00:00:00"/>
    <s v="USD"/>
    <s v="捡漏SP.Keyword.Mannual - Tray"/>
    <x v="16"/>
    <s v="Amazon"/>
    <s v="United States"/>
    <s v="stroller cup holder attachment"/>
    <s v="PHRASE"/>
    <s v="stroller cup holder attachment"/>
    <x v="1202"/>
    <n v="1"/>
    <n v="6.6667000000000004E-2"/>
    <n v="0.2"/>
    <n v="0.2"/>
    <n v="0"/>
    <m/>
    <n v="0"/>
    <n v="0"/>
    <n v="0"/>
    <n v="0"/>
    <n v="0"/>
    <n v="0"/>
    <n v="0"/>
    <n v="0"/>
    <m/>
  </r>
  <r>
    <x v="4"/>
    <x v="18"/>
    <d v="2026-05-12T00:00:00"/>
    <s v="USD"/>
    <s v="捡漏SP.Keyword.Mannual - Tray"/>
    <x v="16"/>
    <s v="Amazon"/>
    <s v="United States"/>
    <s v="stroller cup holder attachment"/>
    <s v="PHRASE"/>
    <s v="stroller cup holder attachment"/>
    <x v="1230"/>
    <n v="1"/>
    <n v="0.02"/>
    <n v="0.2"/>
    <n v="0.2"/>
    <n v="18.989999999999998"/>
    <n v="1.0532E-2"/>
    <n v="94.95"/>
    <n v="1"/>
    <n v="1"/>
    <n v="1"/>
    <n v="1"/>
    <n v="0"/>
    <n v="18.989999999999998"/>
    <n v="0"/>
    <m/>
  </r>
  <r>
    <x v="4"/>
    <x v="18"/>
    <d v="2026-05-15T00:00:00"/>
    <s v="USD"/>
    <s v="捡漏SP.Keyword.Mannual - Tray"/>
    <x v="16"/>
    <s v="Amazon"/>
    <s v="United States"/>
    <s v="stroller cup holder attachment"/>
    <s v="PHRASE"/>
    <s v="stroller cup holder attachment"/>
    <x v="1231"/>
    <n v="1"/>
    <n v="2.3259999999999999E-3"/>
    <n v="0.2"/>
    <n v="0.2"/>
    <n v="17.09"/>
    <n v="1.1703E-2"/>
    <n v="85.45"/>
    <n v="1"/>
    <n v="1"/>
    <n v="1"/>
    <n v="1"/>
    <n v="0"/>
    <n v="17.09"/>
    <n v="0"/>
    <m/>
  </r>
  <r>
    <x v="4"/>
    <x v="20"/>
    <d v="2026-05-04T00:00:00"/>
    <s v="USD"/>
    <s v="捡漏SP.Keyword.Mannual - Tray"/>
    <x v="11"/>
    <s v="Amazon"/>
    <s v="United States"/>
    <s v="stroller tray"/>
    <s v="BROAD"/>
    <s v="stroller cup tray for kid"/>
    <x v="1169"/>
    <n v="1"/>
    <n v="1"/>
    <n v="0.4"/>
    <n v="0.4"/>
    <n v="0"/>
    <m/>
    <n v="0"/>
    <n v="0"/>
    <n v="0"/>
    <n v="0"/>
    <n v="0"/>
    <n v="0"/>
    <n v="0"/>
    <n v="0"/>
    <m/>
  </r>
  <r>
    <x v="4"/>
    <x v="18"/>
    <d v="2026-05-16T00:00:00"/>
    <s v="USD"/>
    <s v="捡漏SP.Keyword.Mannual - Tray"/>
    <x v="11"/>
    <s v="Amazon"/>
    <s v="United States"/>
    <s v="stroller cup holder"/>
    <s v="BROAD"/>
    <s v="stroller cupholder for side bar"/>
    <x v="1169"/>
    <n v="1"/>
    <n v="1"/>
    <n v="0.4"/>
    <n v="0.4"/>
    <n v="0"/>
    <m/>
    <n v="0"/>
    <n v="0"/>
    <n v="0"/>
    <n v="0"/>
    <n v="0"/>
    <n v="0"/>
    <n v="0"/>
    <n v="0"/>
    <m/>
  </r>
  <r>
    <x v="4"/>
    <x v="18"/>
    <d v="2026-05-15T00:00:00"/>
    <s v="USD"/>
    <s v="捡漏SP.Keyword.Mannual - Tray"/>
    <x v="11"/>
    <s v="Amazon"/>
    <s v="United States"/>
    <s v="stroller attachment"/>
    <s v="BROAD"/>
    <s v="stroller drink holder attachment phone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8"/>
    <d v="2026-05-12T00:00:00"/>
    <s v="USD"/>
    <s v="捡漏SP.Keyword.Mannual - Tray"/>
    <x v="11"/>
    <s v="Amazon"/>
    <s v="United States"/>
    <s v="stroller tray"/>
    <s v="BROAD"/>
    <s v="stroller food tray attachment for parents"/>
    <x v="1169"/>
    <n v="1"/>
    <n v="1"/>
    <n v="0.08"/>
    <n v="0.08"/>
    <n v="0"/>
    <m/>
    <n v="0"/>
    <n v="0"/>
    <n v="0"/>
    <n v="0"/>
    <n v="0"/>
    <n v="0"/>
    <n v="0"/>
    <n v="0"/>
    <m/>
  </r>
  <r>
    <x v="4"/>
    <x v="18"/>
    <d v="2026-05-14T00:00:00"/>
    <s v="USD"/>
    <s v="捡漏SP.Keyword.Mannual - Tray"/>
    <x v="11"/>
    <s v="Amazon"/>
    <s v="United States"/>
    <s v="stroller tray"/>
    <s v="BROAD"/>
    <s v="stroller frame clamp on tray"/>
    <x v="1174"/>
    <n v="1"/>
    <n v="0.2"/>
    <n v="0.21"/>
    <n v="0.21"/>
    <n v="0"/>
    <m/>
    <n v="0"/>
    <n v="0"/>
    <n v="0"/>
    <n v="0"/>
    <n v="0"/>
    <n v="0"/>
    <n v="0"/>
    <n v="0"/>
    <m/>
  </r>
  <r>
    <x v="4"/>
    <x v="18"/>
    <d v="2026-05-14T00:00:00"/>
    <s v="USD"/>
    <s v="捡漏SP.Keyword.Mannual - Tray"/>
    <x v="11"/>
    <s v="Amazon"/>
    <s v="United States"/>
    <s v="stroller tray"/>
    <s v="BROAD"/>
    <s v="stroller kids tray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19"/>
    <d v="2026-05-19T00:00:00"/>
    <s v="USD"/>
    <s v="捡漏SP.Keyword.Mannual - Tray"/>
    <x v="11"/>
    <s v="Amazon"/>
    <s v="United States"/>
    <s v="stroller accessories"/>
    <s v="BROAD"/>
    <s v="stroller organizer"/>
    <x v="1182"/>
    <n v="1"/>
    <n v="0.14285700000000001"/>
    <n v="0.15"/>
    <n v="0.15"/>
    <n v="0"/>
    <m/>
    <n v="0"/>
    <n v="0"/>
    <n v="0"/>
    <n v="0"/>
    <n v="0"/>
    <n v="0"/>
    <n v="0"/>
    <n v="0"/>
    <m/>
  </r>
  <r>
    <x v="4"/>
    <x v="18"/>
    <d v="2026-05-15T00:00:00"/>
    <s v="USD"/>
    <s v="捡漏SP.Keyword.Mannual - Tray"/>
    <x v="11"/>
    <s v="Amazon"/>
    <s v="United States"/>
    <s v="stroller attachment"/>
    <s v="BROAD"/>
    <s v="stroller snack attachment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8"/>
    <d v="2026-05-11T00:00:00"/>
    <s v="USD"/>
    <s v="捡漏SP.Keyword.Mannual - Tray"/>
    <x v="11"/>
    <s v="Amazon"/>
    <s v="United States"/>
    <s v="snack tray for stroller"/>
    <s v="BROAD"/>
    <s v="stroller snack holder"/>
    <x v="1171"/>
    <n v="1"/>
    <n v="0.25"/>
    <n v="0.23"/>
    <n v="0.23"/>
    <n v="0"/>
    <m/>
    <n v="0"/>
    <n v="0"/>
    <n v="0"/>
    <n v="0"/>
    <n v="0"/>
    <n v="0"/>
    <n v="0"/>
    <n v="0"/>
    <m/>
  </r>
  <r>
    <x v="4"/>
    <x v="19"/>
    <d v="2026-05-21T00:00:00"/>
    <s v="USD"/>
    <s v="捡漏SP.Keyword.Mannual - Tray"/>
    <x v="11"/>
    <s v="Amazon"/>
    <s v="United States"/>
    <s v="snack tray for stroller"/>
    <s v="BROAD"/>
    <s v="stroller snack holder"/>
    <x v="1182"/>
    <n v="1"/>
    <n v="0.14285700000000001"/>
    <n v="0.21"/>
    <n v="0.21"/>
    <n v="0"/>
    <m/>
    <n v="0"/>
    <n v="0"/>
    <n v="0"/>
    <n v="0"/>
    <n v="0"/>
    <n v="0"/>
    <n v="0"/>
    <n v="0"/>
    <m/>
  </r>
  <r>
    <x v="4"/>
    <x v="20"/>
    <d v="2026-05-06T00:00:00"/>
    <s v="USD"/>
    <s v="SP.ASIN.Manual - Tray"/>
    <x v="13"/>
    <s v="Amazon"/>
    <s v="United States"/>
    <s v="asin=&quot;B0C1G4985Z&quot;"/>
    <s v="-"/>
    <s v="stroller snack tray"/>
    <x v="1169"/>
    <n v="1"/>
    <n v="1"/>
    <n v="0.56999999999999995"/>
    <n v="0.56999999999999995"/>
    <n v="0"/>
    <m/>
    <n v="0"/>
    <n v="0"/>
    <n v="0"/>
    <n v="0"/>
    <n v="0"/>
    <n v="0"/>
    <n v="0"/>
    <n v="0"/>
    <m/>
  </r>
  <r>
    <x v="4"/>
    <x v="18"/>
    <d v="2026-05-10T00:00:00"/>
    <s v="USD"/>
    <s v="SP.Auto - Tray"/>
    <x v="12"/>
    <s v="Amazon"/>
    <s v="United States"/>
    <s v="close-match"/>
    <s v="-"/>
    <s v="stroller snack tray"/>
    <x v="1217"/>
    <n v="1"/>
    <n v="7.1429000000000006E-2"/>
    <n v="1.1000000000000001"/>
    <n v="1.1000000000000001"/>
    <n v="0"/>
    <m/>
    <n v="0"/>
    <n v="0"/>
    <n v="0"/>
    <n v="0"/>
    <n v="0"/>
    <n v="0"/>
    <n v="0"/>
    <n v="0"/>
    <m/>
  </r>
  <r>
    <x v="4"/>
    <x v="18"/>
    <d v="2026-05-12T00:00:00"/>
    <s v="USD"/>
    <s v="SP.Auto - Tray"/>
    <x v="12"/>
    <s v="Amazon"/>
    <s v="United States"/>
    <s v="close-match"/>
    <s v="-"/>
    <s v="stroller snack tray"/>
    <x v="1193"/>
    <n v="1"/>
    <n v="0.04"/>
    <n v="1.21"/>
    <n v="1.21"/>
    <n v="0"/>
    <m/>
    <n v="0"/>
    <n v="0"/>
    <n v="0"/>
    <n v="0"/>
    <n v="0"/>
    <n v="0"/>
    <n v="0"/>
    <n v="0"/>
    <m/>
  </r>
  <r>
    <x v="4"/>
    <x v="18"/>
    <d v="2026-05-13T00:00:00"/>
    <s v="USD"/>
    <s v="SP.Auto - Tray"/>
    <x v="12"/>
    <s v="Amazon"/>
    <s v="United States"/>
    <s v="close-match"/>
    <s v="-"/>
    <s v="stroller snack tray"/>
    <x v="1232"/>
    <n v="1"/>
    <n v="1.0526000000000001E-2"/>
    <n v="1.18"/>
    <n v="1.18"/>
    <n v="0"/>
    <m/>
    <n v="0"/>
    <n v="0"/>
    <n v="0"/>
    <n v="0"/>
    <n v="0"/>
    <n v="0"/>
    <n v="0"/>
    <n v="0"/>
    <m/>
  </r>
  <r>
    <x v="4"/>
    <x v="16"/>
    <d v="2026-05-01T00:00:00"/>
    <s v="USD"/>
    <s v="捡漏SP.Keyword.Mannual - Tray"/>
    <x v="11"/>
    <s v="Amazon"/>
    <s v="United States"/>
    <s v="stroller tray"/>
    <s v="BROAD"/>
    <s v="stroller snack tray"/>
    <x v="1171"/>
    <n v="1"/>
    <n v="0.25"/>
    <n v="0.21"/>
    <n v="0.21"/>
    <n v="0"/>
    <m/>
    <n v="0"/>
    <n v="0"/>
    <n v="0"/>
    <n v="0"/>
    <n v="0"/>
    <n v="0"/>
    <n v="0"/>
    <n v="0"/>
    <m/>
  </r>
  <r>
    <x v="4"/>
    <x v="16"/>
    <d v="2026-05-02T00:00:00"/>
    <s v="USD"/>
    <s v="捡漏SP.Keyword.Mannual - Tray"/>
    <x v="11"/>
    <s v="Amazon"/>
    <s v="United States"/>
    <s v="stroller tray"/>
    <s v="BROAD"/>
    <s v="stroller snack tray"/>
    <x v="1192"/>
    <n v="1"/>
    <n v="0.16666700000000001"/>
    <n v="0.21"/>
    <n v="0.21"/>
    <n v="0"/>
    <m/>
    <n v="0"/>
    <n v="0"/>
    <n v="0"/>
    <n v="0"/>
    <n v="0"/>
    <n v="0"/>
    <n v="0"/>
    <n v="0"/>
    <m/>
  </r>
  <r>
    <x v="4"/>
    <x v="16"/>
    <d v="2026-05-02T00:00:00"/>
    <s v="USD"/>
    <s v="捡漏SP.Keyword.Mannual - Tray"/>
    <x v="16"/>
    <s v="Amazon"/>
    <s v="United States"/>
    <s v="stroller snack tray"/>
    <s v="PHRASE"/>
    <s v="stroller snack tray"/>
    <x v="1228"/>
    <n v="1"/>
    <n v="3.8462000000000003E-2"/>
    <n v="0.2"/>
    <n v="0.2"/>
    <n v="0"/>
    <m/>
    <n v="0"/>
    <n v="0"/>
    <n v="0"/>
    <n v="0"/>
    <n v="0"/>
    <n v="0"/>
    <n v="0"/>
    <n v="0"/>
    <m/>
  </r>
  <r>
    <x v="4"/>
    <x v="20"/>
    <d v="2026-05-06T00:00:00"/>
    <s v="USD"/>
    <s v="捡漏SP.Keyword.Mannual - Tray"/>
    <x v="16"/>
    <s v="Amazon"/>
    <s v="United States"/>
    <s v="stroller snack tray"/>
    <s v="PHRASE"/>
    <s v="stroller snack tray"/>
    <x v="1168"/>
    <n v="1"/>
    <n v="0.5"/>
    <n v="0.2"/>
    <n v="0.2"/>
    <n v="0"/>
    <m/>
    <n v="0"/>
    <n v="0"/>
    <n v="0"/>
    <n v="0"/>
    <n v="0"/>
    <n v="0"/>
    <n v="0"/>
    <n v="0"/>
    <m/>
  </r>
  <r>
    <x v="4"/>
    <x v="18"/>
    <d v="2026-05-11T00:00:00"/>
    <s v="USD"/>
    <s v="捡漏SP.Keyword.Mannual - Tray"/>
    <x v="16"/>
    <s v="Amazon"/>
    <s v="United States"/>
    <s v="stroller snack tray"/>
    <s v="PHRASE"/>
    <s v="stroller snack tray"/>
    <x v="1233"/>
    <n v="3"/>
    <n v="2.5423999999999999E-2"/>
    <n v="0.2"/>
    <n v="0.6"/>
    <n v="0"/>
    <m/>
    <n v="0"/>
    <n v="0"/>
    <n v="0"/>
    <n v="0"/>
    <n v="0"/>
    <n v="0"/>
    <n v="0"/>
    <n v="0"/>
    <m/>
  </r>
  <r>
    <x v="4"/>
    <x v="18"/>
    <d v="2026-05-14T00:00:00"/>
    <s v="USD"/>
    <s v="捡漏SP.Keyword.Mannual - Tray"/>
    <x v="16"/>
    <s v="Amazon"/>
    <s v="United States"/>
    <s v="stroller snack tray"/>
    <s v="PHRASE"/>
    <s v="stroller snack tray"/>
    <x v="1211"/>
    <n v="1"/>
    <n v="2.7026999999999999E-2"/>
    <n v="0.2"/>
    <n v="0.2"/>
    <n v="0"/>
    <m/>
    <n v="0"/>
    <n v="0"/>
    <n v="0"/>
    <n v="0"/>
    <n v="0"/>
    <n v="0"/>
    <n v="0"/>
    <n v="0"/>
    <m/>
  </r>
  <r>
    <x v="4"/>
    <x v="18"/>
    <d v="2026-05-15T00:00:00"/>
    <s v="USD"/>
    <s v="捡漏SP.Keyword.Mannual - Tray"/>
    <x v="16"/>
    <s v="Amazon"/>
    <s v="United States"/>
    <s v="stroller snack tray"/>
    <s v="PHRASE"/>
    <s v="stroller snack tray"/>
    <x v="1234"/>
    <n v="3"/>
    <n v="0.16666700000000001"/>
    <n v="0.17"/>
    <n v="0.5"/>
    <n v="0"/>
    <m/>
    <n v="0"/>
    <n v="0"/>
    <n v="0"/>
    <n v="0"/>
    <n v="0"/>
    <n v="0"/>
    <n v="0"/>
    <n v="0"/>
    <m/>
  </r>
  <r>
    <x v="4"/>
    <x v="18"/>
    <d v="2026-05-16T00:00:00"/>
    <s v="USD"/>
    <s v="捡漏SP.Keyword.Mannual - Tray"/>
    <x v="16"/>
    <s v="Amazon"/>
    <s v="United States"/>
    <s v="stroller snack tray"/>
    <s v="PHRASE"/>
    <s v="stroller snack tray"/>
    <x v="1235"/>
    <n v="1"/>
    <n v="2.1739000000000001E-2"/>
    <n v="0.2"/>
    <n v="0.2"/>
    <n v="0"/>
    <m/>
    <n v="0"/>
    <n v="0"/>
    <n v="0"/>
    <n v="0"/>
    <n v="0"/>
    <n v="0"/>
    <n v="0"/>
    <n v="0"/>
    <m/>
  </r>
  <r>
    <x v="4"/>
    <x v="20"/>
    <d v="2026-05-07T00:00:00"/>
    <s v="USD"/>
    <s v="捡漏SP.Keyword.Mannual - Tray"/>
    <x v="16"/>
    <s v="Amazon"/>
    <s v="United States"/>
    <s v="stroller snack tray"/>
    <s v="EXACT"/>
    <s v="stroller snack tray"/>
    <x v="1182"/>
    <n v="1"/>
    <n v="0.14285700000000001"/>
    <n v="0.2"/>
    <n v="0.2"/>
    <n v="0"/>
    <m/>
    <n v="0"/>
    <n v="0"/>
    <n v="0"/>
    <n v="0"/>
    <n v="0"/>
    <n v="0"/>
    <n v="0"/>
    <n v="0"/>
    <m/>
  </r>
  <r>
    <x v="4"/>
    <x v="20"/>
    <d v="2026-05-08T00:00:00"/>
    <s v="USD"/>
    <s v="捡漏SP.Keyword.Mannual - Tray"/>
    <x v="16"/>
    <s v="Amazon"/>
    <s v="United States"/>
    <s v="stroller snack tray"/>
    <s v="EXACT"/>
    <s v="stroller snack tray"/>
    <x v="1173"/>
    <n v="1"/>
    <n v="9.0909000000000004E-2"/>
    <n v="0.2"/>
    <n v="0.2"/>
    <n v="0"/>
    <m/>
    <n v="0"/>
    <n v="0"/>
    <n v="0"/>
    <n v="0"/>
    <n v="0"/>
    <n v="0"/>
    <n v="0"/>
    <n v="0"/>
    <m/>
  </r>
  <r>
    <x v="4"/>
    <x v="19"/>
    <d v="2026-05-20T00:00:00"/>
    <s v="USD"/>
    <s v="捡漏SP.Keyword.Mannual - Tray"/>
    <x v="16"/>
    <s v="Amazon"/>
    <s v="United States"/>
    <s v="stroller snack tray"/>
    <s v="EXACT"/>
    <s v="stroller snack tray"/>
    <x v="1234"/>
    <n v="1"/>
    <n v="5.5556000000000001E-2"/>
    <n v="0.2"/>
    <n v="0.2"/>
    <n v="0"/>
    <m/>
    <n v="0"/>
    <n v="0"/>
    <n v="0"/>
    <n v="0"/>
    <n v="0"/>
    <n v="0"/>
    <n v="0"/>
    <n v="0"/>
    <m/>
  </r>
  <r>
    <x v="4"/>
    <x v="20"/>
    <d v="2026-05-03T00:00:00"/>
    <s v="USD"/>
    <s v="捡漏SP.Keyword.Mannual - Tray"/>
    <x v="11"/>
    <s v="Amazon"/>
    <s v="United States"/>
    <s v="snack tray for stroller"/>
    <s v="BROAD"/>
    <s v="stroller snack tray"/>
    <x v="1171"/>
    <n v="1"/>
    <n v="0.25"/>
    <n v="0.21"/>
    <n v="0.21"/>
    <n v="0"/>
    <m/>
    <n v="0"/>
    <n v="0"/>
    <n v="0"/>
    <n v="0"/>
    <n v="0"/>
    <n v="0"/>
    <n v="0"/>
    <n v="0"/>
    <m/>
  </r>
  <r>
    <x v="4"/>
    <x v="18"/>
    <d v="2026-05-10T00:00:00"/>
    <s v="USD"/>
    <s v="捡漏SP.Keyword.Mannual - Tray"/>
    <x v="11"/>
    <s v="Amazon"/>
    <s v="United States"/>
    <s v="snack tray for stroller"/>
    <s v="BROAD"/>
    <s v="stroller snack tray"/>
    <x v="1203"/>
    <n v="1"/>
    <n v="4.1667000000000003E-2"/>
    <n v="0.21"/>
    <n v="0.21"/>
    <n v="0"/>
    <m/>
    <n v="0"/>
    <n v="0"/>
    <n v="0"/>
    <n v="0"/>
    <n v="0"/>
    <n v="0"/>
    <n v="0"/>
    <n v="0"/>
    <m/>
  </r>
  <r>
    <x v="4"/>
    <x v="18"/>
    <d v="2026-05-12T00:00:00"/>
    <s v="USD"/>
    <s v="捡漏SP.Keyword.Mannual - Tray"/>
    <x v="11"/>
    <s v="Amazon"/>
    <s v="United States"/>
    <s v="snack tray attachment for 3d mini"/>
    <s v="BROAD"/>
    <s v="stroller snack tray attachment"/>
    <x v="1169"/>
    <n v="1"/>
    <n v="1"/>
    <n v="0.2"/>
    <n v="0.2"/>
    <n v="0"/>
    <m/>
    <n v="0"/>
    <n v="0"/>
    <n v="0"/>
    <n v="0"/>
    <n v="0"/>
    <n v="0"/>
    <n v="0"/>
    <n v="0"/>
    <m/>
  </r>
  <r>
    <x v="4"/>
    <x v="18"/>
    <d v="2026-05-15T00:00:00"/>
    <s v="USD"/>
    <s v="SP.Auto - Tray"/>
    <x v="12"/>
    <s v="Amazon"/>
    <s v="United States"/>
    <s v="close-match"/>
    <s v="-"/>
    <s v="stroller snack tray attachment"/>
    <x v="1170"/>
    <n v="1"/>
    <n v="0.33333299999999999"/>
    <n v="1.25"/>
    <n v="1.25"/>
    <n v="0"/>
    <m/>
    <n v="0"/>
    <n v="0"/>
    <n v="0"/>
    <n v="0"/>
    <n v="0"/>
    <n v="0"/>
    <n v="0"/>
    <n v="0"/>
    <m/>
  </r>
  <r>
    <x v="4"/>
    <x v="20"/>
    <d v="2026-05-03T00:00:00"/>
    <s v="USD"/>
    <s v="捡漏SP.Keyword.Mannual - Tray"/>
    <x v="16"/>
    <s v="Amazon"/>
    <s v="United States"/>
    <s v="stroller snack tray"/>
    <s v="PHRASE"/>
    <s v="stroller snack tray attachment"/>
    <x v="1173"/>
    <n v="1"/>
    <n v="9.0909000000000004E-2"/>
    <n v="0.2"/>
    <n v="0.2"/>
    <n v="0"/>
    <m/>
    <n v="0"/>
    <n v="0"/>
    <n v="0"/>
    <n v="0"/>
    <n v="0"/>
    <n v="0"/>
    <n v="0"/>
    <n v="0"/>
    <m/>
  </r>
  <r>
    <x v="4"/>
    <x v="16"/>
    <d v="2026-05-01T00:00:00"/>
    <s v="USD"/>
    <s v="捡漏SP.Keyword.Mannual - Tray"/>
    <x v="11"/>
    <s v="Amazon"/>
    <s v="United States"/>
    <s v="stroller snack tray attachment"/>
    <s v="BROAD"/>
    <s v="stroller snack tray attachment"/>
    <x v="1168"/>
    <n v="1"/>
    <n v="0.5"/>
    <n v="0.2"/>
    <n v="0.2"/>
    <n v="0"/>
    <m/>
    <n v="0"/>
    <n v="0"/>
    <n v="0"/>
    <n v="0"/>
    <n v="0"/>
    <n v="0"/>
    <n v="0"/>
    <n v="0"/>
    <m/>
  </r>
  <r>
    <x v="4"/>
    <x v="19"/>
    <d v="2026-05-18T00:00:00"/>
    <s v="USD"/>
    <s v="捡漏SP.Keyword.Mannual - Tray"/>
    <x v="16"/>
    <s v="Amazon"/>
    <s v="United States"/>
    <s v="stroller snack tray"/>
    <s v="PHRASE"/>
    <s v="stroller snack tray attachment 2 pack"/>
    <x v="1169"/>
    <n v="1"/>
    <n v="1"/>
    <n v="0.4"/>
    <n v="0.4"/>
    <n v="0"/>
    <m/>
    <n v="0"/>
    <n v="0"/>
    <n v="0"/>
    <n v="0"/>
    <n v="0"/>
    <n v="0"/>
    <n v="0"/>
    <n v="0"/>
    <m/>
  </r>
  <r>
    <x v="4"/>
    <x v="20"/>
    <d v="2026-05-06T00:00:00"/>
    <s v="USD"/>
    <s v="捡漏SP.Keyword.Mannual - Tray"/>
    <x v="11"/>
    <s v="Amazon"/>
    <s v="United States"/>
    <s v="snack tray for stroller"/>
    <s v="BROAD"/>
    <s v="stroller snack tray bugaboo butterfly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19"/>
    <d v="2026-05-17T00:00:00"/>
    <s v="USD"/>
    <s v="SP.ASIN.Manual - Tray"/>
    <x v="13"/>
    <s v="Amazon"/>
    <s v="United States"/>
    <s v="asin=&quot;B0C1G4985Z&quot;"/>
    <s v="-"/>
    <s v="stroller snack tray no bar"/>
    <x v="1170"/>
    <n v="1"/>
    <n v="0.33333299999999999"/>
    <n v="0.6"/>
    <n v="0.6"/>
    <n v="0"/>
    <m/>
    <n v="0"/>
    <n v="0"/>
    <n v="0"/>
    <n v="0"/>
    <n v="0"/>
    <n v="0"/>
    <n v="0"/>
    <n v="0"/>
    <m/>
  </r>
  <r>
    <x v="4"/>
    <x v="20"/>
    <d v="2026-05-03T00:00:00"/>
    <s v="USD"/>
    <s v="捡漏SP.Keyword.Mannual - Tray"/>
    <x v="16"/>
    <s v="Amazon"/>
    <s v="United States"/>
    <s v="stroller snack tray"/>
    <s v="PHRASE"/>
    <s v="stroller snack trays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0"/>
    <d v="2026-05-08T00:00:00"/>
    <s v="USD"/>
    <s v="SP.ASIN.Manual - Tray"/>
    <x v="13"/>
    <s v="Amazon"/>
    <s v="United States"/>
    <s v="asin=&quot;B0C1G4985Z&quot;"/>
    <s v="-"/>
    <s v="stroller table"/>
    <x v="1171"/>
    <n v="1"/>
    <n v="0.25"/>
    <n v="0.56000000000000005"/>
    <n v="0.56000000000000005"/>
    <n v="0"/>
    <m/>
    <n v="0"/>
    <n v="0"/>
    <n v="0"/>
    <n v="0"/>
    <n v="0"/>
    <n v="0"/>
    <n v="0"/>
    <n v="0"/>
    <m/>
  </r>
  <r>
    <x v="4"/>
    <x v="20"/>
    <d v="2026-05-09T00:00:00"/>
    <s v="USD"/>
    <s v="捡漏SP.Keyword.Mannual - Tray"/>
    <x v="11"/>
    <s v="Amazon"/>
    <s v="United States"/>
    <s v="stroller cup holder"/>
    <s v="BROAD"/>
    <s v="stroller toddler cup holder"/>
    <x v="1171"/>
    <n v="1"/>
    <n v="0.25"/>
    <n v="0.4"/>
    <n v="0.4"/>
    <n v="0"/>
    <m/>
    <n v="0"/>
    <n v="0"/>
    <n v="0"/>
    <n v="0"/>
    <n v="0"/>
    <n v="0"/>
    <n v="0"/>
    <n v="0"/>
    <m/>
  </r>
  <r>
    <x v="4"/>
    <x v="19"/>
    <d v="2026-05-19T00:00:00"/>
    <s v="USD"/>
    <s v="SP.ASIN.Manual - Tray"/>
    <x v="13"/>
    <s v="Amazon"/>
    <s v="United States"/>
    <s v="asin=&quot;B0C1G4985Z&quot;"/>
    <s v="-"/>
    <s v="stroller tray"/>
    <x v="1192"/>
    <n v="1"/>
    <n v="0.16666700000000001"/>
    <n v="0.6"/>
    <n v="0.6"/>
    <n v="0"/>
    <m/>
    <n v="0"/>
    <n v="0"/>
    <n v="0"/>
    <n v="0"/>
    <n v="0"/>
    <n v="0"/>
    <n v="0"/>
    <n v="0"/>
    <m/>
  </r>
  <r>
    <x v="4"/>
    <x v="18"/>
    <d v="2026-05-12T00:00:00"/>
    <s v="USD"/>
    <s v="捡漏SP.Keyword.Mannual - Tray"/>
    <x v="11"/>
    <s v="Amazon"/>
    <s v="United States"/>
    <s v="stroller snack tray"/>
    <s v="BROAD"/>
    <s v="stroller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0"/>
    <d v="2026-05-03T00:00:00"/>
    <s v="USD"/>
    <s v="SP.Auto - Tray"/>
    <x v="12"/>
    <s v="Amazon"/>
    <s v="United States"/>
    <s v="close-match"/>
    <s v="-"/>
    <s v="stroller tray attachment"/>
    <x v="1182"/>
    <n v="1"/>
    <n v="0.14285700000000001"/>
    <n v="1.1399999999999999"/>
    <n v="1.1399999999999999"/>
    <n v="0"/>
    <m/>
    <n v="0"/>
    <n v="0"/>
    <n v="0"/>
    <n v="0"/>
    <n v="0"/>
    <n v="0"/>
    <n v="0"/>
    <n v="0"/>
    <m/>
  </r>
  <r>
    <x v="4"/>
    <x v="18"/>
    <d v="2026-05-14T00:00:00"/>
    <s v="USD"/>
    <s v="SP.Auto - Tray"/>
    <x v="12"/>
    <s v="Amazon"/>
    <s v="United States"/>
    <s v="close-match"/>
    <s v="-"/>
    <s v="stroller tray attachment"/>
    <x v="1171"/>
    <n v="2"/>
    <n v="0.5"/>
    <n v="0.96"/>
    <n v="1.92"/>
    <n v="0"/>
    <m/>
    <n v="0"/>
    <n v="0"/>
    <n v="0"/>
    <n v="0"/>
    <n v="0"/>
    <n v="0"/>
    <n v="0"/>
    <n v="0"/>
    <m/>
  </r>
  <r>
    <x v="4"/>
    <x v="18"/>
    <d v="2026-05-10T00:00:00"/>
    <s v="USD"/>
    <s v="捡漏SP.Keyword.Mannual - Tray"/>
    <x v="16"/>
    <s v="Amazon"/>
    <s v="United States"/>
    <s v="stroller tray attachment"/>
    <s v="PHRASE"/>
    <s v="stroller tray attachment"/>
    <x v="1191"/>
    <n v="1"/>
    <n v="3.125E-2"/>
    <n v="0.2"/>
    <n v="0.2"/>
    <n v="17.47"/>
    <n v="1.1448E-2"/>
    <n v="87.35"/>
    <n v="1"/>
    <n v="1"/>
    <n v="1"/>
    <n v="1"/>
    <n v="0"/>
    <n v="17.47"/>
    <n v="0"/>
    <m/>
  </r>
  <r>
    <x v="4"/>
    <x v="18"/>
    <d v="2026-05-13T00:00:00"/>
    <s v="USD"/>
    <s v="捡漏SP.Keyword.Mannual - Tray"/>
    <x v="16"/>
    <s v="Amazon"/>
    <s v="United States"/>
    <s v="stroller tray attachment"/>
    <s v="PHRASE"/>
    <s v="stroller tray attachment"/>
    <x v="1172"/>
    <n v="1"/>
    <n v="0.125"/>
    <n v="0.2"/>
    <n v="0.2"/>
    <n v="17.47"/>
    <n v="1.1448E-2"/>
    <n v="87.35"/>
    <n v="1"/>
    <n v="1"/>
    <n v="1"/>
    <n v="1"/>
    <n v="0"/>
    <n v="17.47"/>
    <n v="0"/>
    <m/>
  </r>
  <r>
    <x v="4"/>
    <x v="19"/>
    <d v="2026-05-17T00:00:00"/>
    <s v="USD"/>
    <s v="捡漏SP.Keyword.Mannual - Tray"/>
    <x v="16"/>
    <s v="Amazon"/>
    <s v="United States"/>
    <s v="stroller tray attachment"/>
    <s v="PHRASE"/>
    <s v="stroller tray attachment"/>
    <x v="1182"/>
    <n v="1"/>
    <n v="0.14285700000000001"/>
    <n v="0.2"/>
    <n v="0.2"/>
    <n v="0"/>
    <m/>
    <n v="0"/>
    <n v="0"/>
    <n v="0"/>
    <n v="0"/>
    <n v="0"/>
    <n v="0"/>
    <n v="0"/>
    <n v="0"/>
    <m/>
  </r>
  <r>
    <x v="4"/>
    <x v="19"/>
    <d v="2026-05-20T00:00:00"/>
    <s v="USD"/>
    <s v="捡漏SP.Keyword.Mannual - Tray"/>
    <x v="16"/>
    <s v="Amazon"/>
    <s v="United States"/>
    <s v="stroller tray attachment"/>
    <s v="PHRASE"/>
    <s v="stroller tray attachment"/>
    <x v="1214"/>
    <n v="2"/>
    <n v="8.6957000000000007E-2"/>
    <n v="0.2"/>
    <n v="0.4"/>
    <n v="34.94"/>
    <n v="1.1448E-2"/>
    <n v="87.35"/>
    <n v="1"/>
    <n v="2"/>
    <n v="0.5"/>
    <n v="2"/>
    <n v="0"/>
    <n v="34.94"/>
    <n v="0"/>
    <m/>
  </r>
  <r>
    <x v="4"/>
    <x v="19"/>
    <d v="2026-05-21T00:00:00"/>
    <s v="USD"/>
    <s v="SP.Auto - Tray"/>
    <x v="12"/>
    <s v="Amazon"/>
    <s v="United States"/>
    <s v="loose-match"/>
    <s v="-"/>
    <s v="stroller tray joie"/>
    <x v="1168"/>
    <n v="1"/>
    <n v="0.5"/>
    <n v="0.56000000000000005"/>
    <n v="0.56000000000000005"/>
    <n v="0"/>
    <m/>
    <n v="0"/>
    <n v="0"/>
    <n v="0"/>
    <n v="0"/>
    <n v="0"/>
    <n v="0"/>
    <n v="0"/>
    <n v="0"/>
    <m/>
  </r>
  <r>
    <x v="4"/>
    <x v="18"/>
    <d v="2026-05-15T00:00:00"/>
    <s v="USD"/>
    <s v="捡漏SP.Keyword.Mannual - Tray"/>
    <x v="11"/>
    <s v="Amazon"/>
    <s v="United States"/>
    <s v="stroller accessories"/>
    <s v="BROAD"/>
    <s v="stroller wagon accessories"/>
    <x v="1171"/>
    <n v="1"/>
    <n v="0.25"/>
    <n v="0.16"/>
    <n v="0.16"/>
    <n v="0"/>
    <m/>
    <n v="0"/>
    <n v="0"/>
    <n v="0"/>
    <n v="0"/>
    <n v="0"/>
    <n v="0"/>
    <n v="0"/>
    <n v="0"/>
    <m/>
  </r>
  <r>
    <x v="4"/>
    <x v="19"/>
    <d v="2026-05-20T00:00:00"/>
    <s v="USD"/>
    <s v="捡漏SP.Keyword.Mannual - Tray"/>
    <x v="11"/>
    <s v="Amazon"/>
    <s v="United States"/>
    <s v="stroller accessories"/>
    <s v="BROAD"/>
    <s v="stroller wagon accessories"/>
    <x v="1192"/>
    <n v="1"/>
    <n v="0.16666700000000001"/>
    <n v="0.15"/>
    <n v="0.15"/>
    <n v="0"/>
    <m/>
    <n v="0"/>
    <n v="0"/>
    <n v="0"/>
    <n v="0"/>
    <n v="0"/>
    <n v="0"/>
    <n v="0"/>
    <n v="0"/>
    <m/>
  </r>
  <r>
    <x v="4"/>
    <x v="16"/>
    <d v="2026-05-02T00:00:00"/>
    <s v="USD"/>
    <s v="捡漏SP.Keyword.Mannual - Tray"/>
    <x v="11"/>
    <s v="Amazon"/>
    <s v="United States"/>
    <s v="stroller tray"/>
    <s v="BROAD"/>
    <s v="stroller wagon snack tray"/>
    <x v="1236"/>
    <n v="1"/>
    <n v="4.5455000000000002E-2"/>
    <n v="0.2"/>
    <n v="0.2"/>
    <n v="0"/>
    <m/>
    <n v="0"/>
    <n v="0"/>
    <n v="0"/>
    <n v="0"/>
    <n v="0"/>
    <n v="0"/>
    <n v="0"/>
    <n v="0"/>
    <m/>
  </r>
  <r>
    <x v="4"/>
    <x v="19"/>
    <d v="2026-05-21T00:00:00"/>
    <s v="USD"/>
    <s v="捡漏SP.Keyword.Mannual - Tray"/>
    <x v="11"/>
    <s v="Amazon"/>
    <s v="United States"/>
    <s v="stroller cup holder"/>
    <s v="BROAD"/>
    <s v="stroller water bottle snack holder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9"/>
    <d v="2026-05-17T00:00:00"/>
    <s v="USD"/>
    <s v="捡漏SP.Keyword.Mannual - Tray"/>
    <x v="11"/>
    <s v="Amazon"/>
    <s v="United States"/>
    <s v="stroller tray"/>
    <s v="BROAD"/>
    <s v="stroller with snack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8"/>
    <d v="2026-05-13T00:00:00"/>
    <s v="USD"/>
    <s v="捡漏SP.Keyword.Mannual - Tray"/>
    <x v="11"/>
    <s v="Amazon"/>
    <s v="United States"/>
    <s v="stroller tray"/>
    <s v="BROAD"/>
    <s v="summer 3d lite stroller snack tray"/>
    <x v="1169"/>
    <n v="1"/>
    <n v="1"/>
    <n v="0.23"/>
    <n v="0.23"/>
    <n v="0"/>
    <m/>
    <n v="0"/>
    <n v="0"/>
    <n v="0"/>
    <n v="0"/>
    <n v="0"/>
    <n v="0"/>
    <n v="0"/>
    <n v="0"/>
    <m/>
  </r>
  <r>
    <x v="4"/>
    <x v="19"/>
    <d v="2026-05-17T00:00:00"/>
    <s v="USD"/>
    <s v="捡漏SP.Keyword.Mannual - Tray"/>
    <x v="11"/>
    <s v="Amazon"/>
    <s v="United States"/>
    <s v="snack tray for stroller"/>
    <s v="BROAD"/>
    <s v="summer 3d lite stroller snack tray"/>
    <x v="1171"/>
    <n v="1"/>
    <n v="0.25"/>
    <n v="0.21"/>
    <n v="0.21"/>
    <n v="0"/>
    <m/>
    <n v="0"/>
    <n v="0"/>
    <n v="0"/>
    <n v="0"/>
    <n v="0"/>
    <n v="0"/>
    <n v="0"/>
    <n v="0"/>
    <m/>
  </r>
  <r>
    <x v="4"/>
    <x v="20"/>
    <d v="2026-05-06T00:00:00"/>
    <s v="USD"/>
    <s v="SP.Auto - Tray"/>
    <x v="12"/>
    <s v="Amazon"/>
    <s v="United States"/>
    <s v="loose-match"/>
    <s v="-"/>
    <s v="summer stroller accessories"/>
    <x v="1168"/>
    <n v="1"/>
    <n v="0.5"/>
    <n v="0.73"/>
    <n v="0.73"/>
    <n v="0"/>
    <m/>
    <n v="0"/>
    <n v="0"/>
    <n v="0"/>
    <n v="0"/>
    <n v="0"/>
    <n v="0"/>
    <n v="0"/>
    <n v="0"/>
    <m/>
  </r>
  <r>
    <x v="4"/>
    <x v="19"/>
    <d v="2026-05-19T00:00:00"/>
    <s v="USD"/>
    <s v="捡漏SP.Keyword.Mannual - Tray"/>
    <x v="11"/>
    <s v="Amazon"/>
    <s v="United States"/>
    <s v="stroller attachment"/>
    <s v="BROAD"/>
    <s v="summer stroller accessories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20"/>
    <d v="2026-05-09T00:00:00"/>
    <s v="USD"/>
    <s v="捡漏SP.Keyword.Mannual - Tray"/>
    <x v="11"/>
    <s v="Amazon"/>
    <s v="United States"/>
    <s v="stroller cup holder"/>
    <s v="BROAD"/>
    <s v="thule cup holder stroller"/>
    <x v="1168"/>
    <n v="1"/>
    <n v="0.5"/>
    <n v="0.2"/>
    <n v="0.2"/>
    <n v="0"/>
    <m/>
    <n v="0"/>
    <n v="0"/>
    <n v="0"/>
    <n v="0"/>
    <n v="0"/>
    <n v="0"/>
    <n v="0"/>
    <n v="0"/>
    <m/>
  </r>
  <r>
    <x v="4"/>
    <x v="19"/>
    <d v="2026-05-18T00:00:00"/>
    <s v="USD"/>
    <s v="捡漏SP.Keyword.Mannual - Tray"/>
    <x v="11"/>
    <s v="Amazon"/>
    <s v="United States"/>
    <s v="stroller cup holder"/>
    <s v="BROAD"/>
    <s v="toddler cup holder for jeep double stroller"/>
    <x v="1168"/>
    <n v="1"/>
    <n v="0.5"/>
    <n v="0.4"/>
    <n v="0.4"/>
    <n v="17.47"/>
    <n v="2.2896E-2"/>
    <n v="43.68"/>
    <n v="1"/>
    <n v="1"/>
    <n v="1"/>
    <n v="1"/>
    <n v="0"/>
    <n v="17.47"/>
    <n v="0"/>
    <m/>
  </r>
  <r>
    <x v="4"/>
    <x v="19"/>
    <d v="2026-05-18T00:00:00"/>
    <s v="USD"/>
    <s v="SP.Auto - Tray"/>
    <x v="12"/>
    <s v="Amazon"/>
    <s v="United States"/>
    <s v="loose-match"/>
    <s v="-"/>
    <s v="toddler tray for city mini gt2"/>
    <x v="1168"/>
    <n v="1"/>
    <n v="0.5"/>
    <n v="0.5"/>
    <n v="0.5"/>
    <n v="0"/>
    <m/>
    <n v="0"/>
    <n v="0"/>
    <n v="0"/>
    <n v="0"/>
    <n v="0"/>
    <n v="0"/>
    <n v="0"/>
    <n v="0"/>
    <m/>
  </r>
  <r>
    <x v="4"/>
    <x v="19"/>
    <d v="2026-05-17T00:00:00"/>
    <s v="USD"/>
    <s v="捡漏SP.Keyword.Mannual - Tray"/>
    <x v="11"/>
    <s v="Amazon"/>
    <s v="United States"/>
    <s v="stroller tray attachment"/>
    <s v="BROAD"/>
    <s v="tray attachment stroller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19"/>
    <d v="2026-05-20T00:00:00"/>
    <s v="USD"/>
    <s v="捡漏SP.Keyword.Mannual - Tray"/>
    <x v="11"/>
    <s v="Amazon"/>
    <s v="United States"/>
    <s v="stroller tray"/>
    <s v="BROAD"/>
    <s v="tray for stroller"/>
    <x v="1171"/>
    <n v="1"/>
    <n v="0.25"/>
    <n v="0.2"/>
    <n v="0.2"/>
    <n v="0"/>
    <m/>
    <n v="0"/>
    <n v="0"/>
    <n v="0"/>
    <n v="0"/>
    <n v="0"/>
    <n v="0"/>
    <n v="0"/>
    <n v="0"/>
    <m/>
  </r>
  <r>
    <x v="4"/>
    <x v="18"/>
    <d v="2026-05-16T00:00:00"/>
    <s v="USD"/>
    <s v="捡漏SP.Keyword.Mannual - Tray"/>
    <x v="11"/>
    <s v="Amazon"/>
    <s v="United States"/>
    <s v="stroller snack tray attachment"/>
    <s v="BROAD"/>
    <s v="tray for traveling stroller"/>
    <x v="1169"/>
    <n v="1"/>
    <n v="1"/>
    <n v="0.16"/>
    <n v="0.16"/>
    <n v="0"/>
    <m/>
    <n v="0"/>
    <n v="0"/>
    <n v="0"/>
    <n v="0"/>
    <n v="0"/>
    <n v="0"/>
    <n v="0"/>
    <n v="0"/>
    <m/>
  </r>
  <r>
    <x v="4"/>
    <x v="19"/>
    <d v="2026-05-19T00:00:00"/>
    <s v="USD"/>
    <s v="捡漏SP.Keyword.Mannual - Tray"/>
    <x v="11"/>
    <s v="Amazon"/>
    <s v="United States"/>
    <s v="stroller tray"/>
    <s v="BROAD"/>
    <s v="tray table for stroller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0"/>
    <d v="2026-05-03T00:00:00"/>
    <s v="USD"/>
    <s v="捡漏SP.Keyword.Mannual - Tray"/>
    <x v="11"/>
    <s v="Amazon"/>
    <s v="United States"/>
    <s v="stroller tray"/>
    <s v="BROAD"/>
    <s v="trays for umbrella stroller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8"/>
    <d v="2026-05-15T00:00:00"/>
    <s v="USD"/>
    <s v="捡漏SP.Keyword.Mannual - Tray"/>
    <x v="11"/>
    <s v="Amazon"/>
    <s v="United States"/>
    <s v="stroller tray"/>
    <s v="BROAD"/>
    <s v="trays for umbrella stroller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4"/>
    <x v="19"/>
    <d v="2026-05-21T00:00:00"/>
    <s v="USD"/>
    <s v="SP.Auto - Tray"/>
    <x v="12"/>
    <s v="Amazon"/>
    <s v="United States"/>
    <s v="loose-match"/>
    <s v="-"/>
    <s v="umbrella holder small space"/>
    <x v="1169"/>
    <n v="1"/>
    <n v="1"/>
    <n v="0.55000000000000004"/>
    <n v="0.55000000000000004"/>
    <n v="0"/>
    <m/>
    <n v="0"/>
    <n v="0"/>
    <n v="0"/>
    <n v="0"/>
    <n v="0"/>
    <n v="0"/>
    <n v="0"/>
    <n v="0"/>
    <m/>
  </r>
  <r>
    <x v="4"/>
    <x v="20"/>
    <d v="2026-05-05T00:00:00"/>
    <s v="USD"/>
    <s v="捡漏SP.Keyword.Mannual - Tray"/>
    <x v="11"/>
    <s v="Amazon"/>
    <s v="United States"/>
    <s v="stroller accessories"/>
    <s v="BROAD"/>
    <s v="umbrella stroller accessories"/>
    <x v="1169"/>
    <n v="1"/>
    <n v="1"/>
    <n v="0.3"/>
    <n v="0.3"/>
    <n v="18.989999999999998"/>
    <n v="1.5798E-2"/>
    <n v="63.3"/>
    <n v="1"/>
    <n v="1"/>
    <n v="1"/>
    <n v="1"/>
    <n v="0"/>
    <n v="18.989999999999998"/>
    <n v="0"/>
    <m/>
  </r>
  <r>
    <x v="4"/>
    <x v="19"/>
    <d v="2026-05-19T00:00:00"/>
    <s v="USD"/>
    <s v="捡漏SP.Keyword.Mannual - Tray"/>
    <x v="11"/>
    <s v="Amazon"/>
    <s v="United States"/>
    <s v="stroller accessories"/>
    <s v="BROAD"/>
    <s v="umbrella stroller accessories"/>
    <x v="1173"/>
    <n v="1"/>
    <n v="9.0909000000000004E-2"/>
    <n v="0.3"/>
    <n v="0.3"/>
    <n v="0"/>
    <m/>
    <n v="0"/>
    <n v="0"/>
    <n v="0"/>
    <n v="0"/>
    <n v="0"/>
    <n v="0"/>
    <n v="0"/>
    <n v="0"/>
    <m/>
  </r>
  <r>
    <x v="4"/>
    <x v="19"/>
    <d v="2026-05-21T00:00:00"/>
    <s v="USD"/>
    <s v="捡漏SP.Keyword.Mannual - Tray"/>
    <x v="11"/>
    <s v="Amazon"/>
    <s v="United States"/>
    <s v="stroller accessories"/>
    <s v="BROAD"/>
    <s v="umbrella stroller accessories"/>
    <x v="1205"/>
    <n v="1"/>
    <n v="0.111111"/>
    <n v="0.16"/>
    <n v="0.16"/>
    <n v="0"/>
    <m/>
    <n v="0"/>
    <n v="0"/>
    <n v="0"/>
    <n v="0"/>
    <n v="0"/>
    <n v="0"/>
    <n v="0"/>
    <n v="0"/>
    <m/>
  </r>
  <r>
    <x v="4"/>
    <x v="20"/>
    <d v="2026-05-04T00:00:00"/>
    <s v="USD"/>
    <s v="捡漏SP.Keyword.Mannual - Tray"/>
    <x v="11"/>
    <s v="Amazon"/>
    <s v="United States"/>
    <s v="stroller cup holder"/>
    <s v="BROAD"/>
    <s v="umbrella stroller cup holder"/>
    <x v="1169"/>
    <n v="1"/>
    <n v="1"/>
    <n v="0.23"/>
    <n v="0.23"/>
    <n v="17.47"/>
    <n v="1.3165E-2"/>
    <n v="75.959999999999994"/>
    <n v="1"/>
    <n v="1"/>
    <n v="1"/>
    <n v="1"/>
    <n v="0"/>
    <n v="17.47"/>
    <n v="0"/>
    <m/>
  </r>
  <r>
    <x v="4"/>
    <x v="19"/>
    <d v="2026-05-17T00:00:00"/>
    <s v="USD"/>
    <s v="SP.ASIN.Manual - Tray"/>
    <x v="13"/>
    <s v="Amazon"/>
    <s v="United States"/>
    <s v="asin=&quot;B0C1G4985Z&quot;"/>
    <s v="-"/>
    <s v="umbrella stroller snack tray"/>
    <x v="1192"/>
    <n v="1"/>
    <n v="0.16666700000000001"/>
    <n v="0.6"/>
    <n v="0.6"/>
    <n v="0"/>
    <m/>
    <n v="0"/>
    <n v="0"/>
    <n v="0"/>
    <n v="0"/>
    <n v="0"/>
    <n v="0"/>
    <n v="0"/>
    <n v="0"/>
    <m/>
  </r>
  <r>
    <x v="4"/>
    <x v="18"/>
    <d v="2026-05-12T00:00:00"/>
    <s v="USD"/>
    <s v="捡漏SP.Keyword.Mannual - Tray"/>
    <x v="11"/>
    <s v="Amazon"/>
    <s v="United States"/>
    <s v="stroller snack tray"/>
    <s v="BROAD"/>
    <s v="umbrella stroller snack tray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18"/>
    <d v="2026-05-13T00:00:00"/>
    <s v="USD"/>
    <s v="SP.ASIN.Manual - Tray"/>
    <x v="13"/>
    <s v="Amazon"/>
    <s v="United States"/>
    <s v="asin=&quot;B0C1G4985Z&quot;"/>
    <s v="-"/>
    <s v="umbrella stroller snack tray attachment"/>
    <x v="1172"/>
    <n v="1"/>
    <n v="0.125"/>
    <n v="0.6"/>
    <n v="0.6"/>
    <n v="0"/>
    <m/>
    <n v="0"/>
    <n v="0"/>
    <n v="0"/>
    <n v="0"/>
    <n v="0"/>
    <n v="0"/>
    <n v="0"/>
    <n v="0"/>
    <m/>
  </r>
  <r>
    <x v="4"/>
    <x v="18"/>
    <d v="2026-05-11T00:00:00"/>
    <s v="USD"/>
    <s v="捡漏SP.Keyword.Mannual - Tray"/>
    <x v="11"/>
    <s v="Amazon"/>
    <s v="United States"/>
    <s v="stroller tray"/>
    <s v="BROAD"/>
    <s v="umbrella stroller tray attachment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0"/>
    <d v="2026-05-03T00:00:00"/>
    <s v="USD"/>
    <s v="捡漏SP.Keyword.Mannual - Tray"/>
    <x v="11"/>
    <s v="Amazon"/>
    <s v="United States"/>
    <s v="stroller tray"/>
    <s v="BROAD"/>
    <s v="universal cup holder and snack tray stroller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19"/>
    <d v="2026-05-18T00:00:00"/>
    <s v="USD"/>
    <s v="SP.Auto - Tray"/>
    <x v="12"/>
    <s v="Amazon"/>
    <s v="United States"/>
    <s v="close-match"/>
    <s v="-"/>
    <s v="universal cup holder for stroller"/>
    <x v="1169"/>
    <n v="1"/>
    <n v="1"/>
    <n v="0.84"/>
    <n v="0.84"/>
    <n v="0"/>
    <m/>
    <n v="0"/>
    <n v="0"/>
    <n v="0"/>
    <n v="0"/>
    <n v="0"/>
    <n v="0"/>
    <n v="0"/>
    <n v="0"/>
    <m/>
  </r>
  <r>
    <x v="4"/>
    <x v="20"/>
    <d v="2026-05-04T00:00:00"/>
    <s v="USD"/>
    <s v="捡漏SP.Keyword.Mannual - Tray"/>
    <x v="11"/>
    <s v="Amazon"/>
    <s v="United States"/>
    <s v="stroller cup holder"/>
    <s v="BROAD"/>
    <s v="universal cup holder for stroller"/>
    <x v="1170"/>
    <n v="1"/>
    <n v="0.33333299999999999"/>
    <n v="0.2"/>
    <n v="0.2"/>
    <n v="0"/>
    <m/>
    <n v="0"/>
    <n v="0"/>
    <n v="0"/>
    <n v="0"/>
    <n v="0"/>
    <n v="0"/>
    <n v="0"/>
    <n v="0"/>
    <m/>
  </r>
  <r>
    <x v="4"/>
    <x v="19"/>
    <d v="2026-05-18T00:00:00"/>
    <s v="USD"/>
    <s v="捡漏SP.Keyword.Mannual - Tray"/>
    <x v="11"/>
    <s v="Amazon"/>
    <s v="United States"/>
    <s v="stroller cup holder"/>
    <s v="BROAD"/>
    <s v="universal cup holder stroller"/>
    <x v="1170"/>
    <n v="2"/>
    <n v="0.66666700000000001"/>
    <n v="0.33"/>
    <n v="0.65"/>
    <n v="0"/>
    <m/>
    <n v="0"/>
    <n v="0"/>
    <n v="0"/>
    <n v="0"/>
    <n v="0"/>
    <n v="0"/>
    <n v="0"/>
    <n v="0"/>
    <m/>
  </r>
  <r>
    <x v="4"/>
    <x v="18"/>
    <d v="2026-05-12T00:00:00"/>
    <s v="USD"/>
    <s v="捡漏SP.Keyword.Mannual - Tray"/>
    <x v="11"/>
    <s v="Amazon"/>
    <s v="United States"/>
    <s v="stroller cup holder"/>
    <s v="BROAD"/>
    <s v="universal double stroller adult cupholder"/>
    <x v="1169"/>
    <n v="1"/>
    <n v="1"/>
    <n v="0.4"/>
    <n v="0.4"/>
    <n v="0"/>
    <m/>
    <n v="0"/>
    <n v="0"/>
    <n v="0"/>
    <n v="0"/>
    <n v="0"/>
    <n v="0"/>
    <n v="0"/>
    <n v="0"/>
    <m/>
  </r>
  <r>
    <x v="4"/>
    <x v="18"/>
    <d v="2026-05-11T00:00:00"/>
    <s v="USD"/>
    <s v="捡漏SP.Keyword.Mannual - Tray"/>
    <x v="11"/>
    <s v="Amazon"/>
    <s v="United States"/>
    <s v="stroller cup holder"/>
    <s v="BROAD"/>
    <s v="universal plastic holder stroller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0"/>
    <d v="2026-05-09T00:00:00"/>
    <s v="USD"/>
    <s v="捡漏SP.Keyword.Mannual - Tray"/>
    <x v="11"/>
    <s v="Amazon"/>
    <s v="United States"/>
    <s v="snack holder for stroller"/>
    <s v="BROAD"/>
    <s v="universal side mounted snack holder"/>
    <x v="1168"/>
    <n v="1"/>
    <n v="0.5"/>
    <n v="0.4"/>
    <n v="0.4"/>
    <n v="0"/>
    <m/>
    <n v="0"/>
    <n v="0"/>
    <n v="0"/>
    <n v="0"/>
    <n v="0"/>
    <n v="0"/>
    <n v="0"/>
    <n v="0"/>
    <m/>
  </r>
  <r>
    <x v="4"/>
    <x v="20"/>
    <d v="2026-05-08T00:00:00"/>
    <s v="USD"/>
    <s v="捡漏SP.Keyword.Mannual - Tray"/>
    <x v="16"/>
    <s v="Amazon"/>
    <s v="United States"/>
    <s v="universal snack tray"/>
    <s v="PHRASE"/>
    <s v="universal snack tray"/>
    <x v="1174"/>
    <n v="1"/>
    <n v="0.2"/>
    <n v="0.2"/>
    <n v="0.2"/>
    <n v="0"/>
    <m/>
    <n v="0"/>
    <n v="0"/>
    <n v="0"/>
    <n v="0"/>
    <n v="0"/>
    <n v="0"/>
    <n v="0"/>
    <n v="0"/>
    <m/>
  </r>
  <r>
    <x v="4"/>
    <x v="19"/>
    <d v="2026-05-17T00:00:00"/>
    <s v="USD"/>
    <s v="捡漏SP.Keyword.Mannual - Tray"/>
    <x v="16"/>
    <s v="Amazon"/>
    <s v="United States"/>
    <s v="universal snack tray"/>
    <s v="PHRASE"/>
    <s v="universal snack tray"/>
    <x v="1172"/>
    <n v="1"/>
    <n v="0.125"/>
    <n v="0.2"/>
    <n v="0.2"/>
    <n v="0"/>
    <m/>
    <n v="0"/>
    <n v="0"/>
    <n v="0"/>
    <n v="0"/>
    <n v="0"/>
    <n v="0"/>
    <n v="0"/>
    <n v="0"/>
    <m/>
  </r>
  <r>
    <x v="4"/>
    <x v="19"/>
    <d v="2026-05-19T00:00:00"/>
    <s v="USD"/>
    <s v="捡漏SP.Keyword.Mannual - Tray"/>
    <x v="11"/>
    <s v="Amazon"/>
    <s v="United States"/>
    <s v="snack tray for stroller"/>
    <s v="BROAD"/>
    <s v="universal snack tray for double stroller"/>
    <x v="1168"/>
    <n v="1"/>
    <n v="0.5"/>
    <n v="0.21"/>
    <n v="0.21"/>
    <n v="17.47"/>
    <n v="1.2021E-2"/>
    <n v="83.19"/>
    <n v="1"/>
    <n v="1"/>
    <n v="1"/>
    <n v="1"/>
    <n v="0"/>
    <n v="17.47"/>
    <n v="0"/>
    <m/>
  </r>
  <r>
    <x v="4"/>
    <x v="20"/>
    <d v="2026-05-04T00:00:00"/>
    <s v="USD"/>
    <s v="捡漏SP.Keyword.Mannual - Tray"/>
    <x v="11"/>
    <s v="Amazon"/>
    <s v="United States"/>
    <s v="universal stroller tray"/>
    <s v="BROAD"/>
    <s v="universal snack tray for double stroller"/>
    <x v="1205"/>
    <n v="1"/>
    <n v="0.111111"/>
    <n v="0.2"/>
    <n v="0.2"/>
    <n v="0"/>
    <m/>
    <n v="0"/>
    <n v="0"/>
    <n v="0"/>
    <n v="0"/>
    <n v="0"/>
    <n v="0"/>
    <n v="0"/>
    <n v="0"/>
    <m/>
  </r>
  <r>
    <x v="4"/>
    <x v="19"/>
    <d v="2026-05-18T00:00:00"/>
    <s v="USD"/>
    <s v="SP.ASIN.Manual - Tray"/>
    <x v="13"/>
    <s v="Amazon"/>
    <s v="United States"/>
    <s v="asin=&quot;B0C1G4985Z&quot;"/>
    <s v="-"/>
    <s v="universal snack tray for stroller"/>
    <x v="1182"/>
    <n v="1"/>
    <n v="0.14285700000000001"/>
    <n v="0.6"/>
    <n v="0.6"/>
    <n v="0"/>
    <m/>
    <n v="0"/>
    <n v="0"/>
    <n v="0"/>
    <n v="0"/>
    <n v="0"/>
    <n v="0"/>
    <n v="0"/>
    <n v="0"/>
    <m/>
  </r>
  <r>
    <x v="4"/>
    <x v="19"/>
    <d v="2026-05-19T00:00:00"/>
    <s v="USD"/>
    <s v="捡漏SP.Keyword.Mannual - Tray"/>
    <x v="16"/>
    <s v="Amazon"/>
    <s v="United States"/>
    <s v="snack tray for stroller"/>
    <s v="PHRASE"/>
    <s v="universal snack tray for stroller"/>
    <x v="1223"/>
    <n v="1"/>
    <n v="6.25E-2"/>
    <n v="0.21"/>
    <n v="0.21"/>
    <n v="17.09"/>
    <n v="1.2288E-2"/>
    <n v="81.38"/>
    <n v="1"/>
    <n v="1"/>
    <n v="1"/>
    <n v="1"/>
    <n v="0"/>
    <n v="17.09"/>
    <n v="0"/>
    <m/>
  </r>
  <r>
    <x v="4"/>
    <x v="20"/>
    <d v="2026-05-03T00:00:00"/>
    <s v="USD"/>
    <s v="捡漏SP.Keyword.Mannual - Tray"/>
    <x v="11"/>
    <s v="Amazon"/>
    <s v="United States"/>
    <s v="snack tray for stroller"/>
    <s v="BROAD"/>
    <s v="universal snack tray for stroller"/>
    <x v="1169"/>
    <n v="1"/>
    <n v="1"/>
    <n v="0.4"/>
    <n v="0.4"/>
    <n v="0"/>
    <m/>
    <n v="0"/>
    <n v="0"/>
    <n v="0"/>
    <n v="0"/>
    <n v="0"/>
    <n v="0"/>
    <n v="0"/>
    <n v="0"/>
    <m/>
  </r>
  <r>
    <x v="4"/>
    <x v="20"/>
    <d v="2026-05-07T00:00:00"/>
    <s v="USD"/>
    <s v="捡漏SP.Keyword.Mannual - Tray"/>
    <x v="11"/>
    <s v="Amazon"/>
    <s v="United States"/>
    <s v="universal stroller snack tray"/>
    <s v="BROAD"/>
    <s v="universal snack tray for stroller"/>
    <x v="1223"/>
    <n v="2"/>
    <n v="0.125"/>
    <n v="0.21"/>
    <n v="0.42"/>
    <n v="0"/>
    <m/>
    <n v="0"/>
    <n v="0"/>
    <n v="0"/>
    <n v="0"/>
    <n v="0"/>
    <n v="0"/>
    <n v="0"/>
    <n v="0"/>
    <m/>
  </r>
  <r>
    <x v="4"/>
    <x v="18"/>
    <d v="2026-05-14T00:00:00"/>
    <s v="USD"/>
    <s v="捡漏SP.Keyword.Mannual - Tray"/>
    <x v="11"/>
    <s v="Amazon"/>
    <s v="United States"/>
    <s v="universal stroller snack tray"/>
    <s v="BROAD"/>
    <s v="universal snack tray for stroller"/>
    <x v="1170"/>
    <n v="1"/>
    <n v="0.33333299999999999"/>
    <n v="0.2"/>
    <n v="0.2"/>
    <n v="0"/>
    <m/>
    <n v="0"/>
    <n v="0"/>
    <n v="0"/>
    <n v="0"/>
    <n v="0"/>
    <n v="0"/>
    <n v="0"/>
    <n v="0"/>
    <m/>
  </r>
  <r>
    <x v="4"/>
    <x v="19"/>
    <d v="2026-05-17T00:00:00"/>
    <s v="USD"/>
    <s v="捡漏SP.Keyword.Mannual - Tray"/>
    <x v="11"/>
    <s v="Amazon"/>
    <s v="United States"/>
    <s v="universal stroller snack tray"/>
    <s v="BROAD"/>
    <s v="universal snack tray for stroller"/>
    <x v="1209"/>
    <n v="1"/>
    <n v="5.2631999999999998E-2"/>
    <n v="0.21"/>
    <n v="0.21"/>
    <n v="0"/>
    <m/>
    <n v="0"/>
    <n v="0"/>
    <n v="0"/>
    <n v="0"/>
    <n v="0"/>
    <n v="0"/>
    <n v="0"/>
    <n v="0"/>
    <m/>
  </r>
  <r>
    <x v="4"/>
    <x v="20"/>
    <d v="2026-05-08T00:00:00"/>
    <s v="USD"/>
    <s v="捡漏SP.Keyword.Mannual - Tray"/>
    <x v="11"/>
    <s v="Amazon"/>
    <s v="United States"/>
    <s v="universal snack tray"/>
    <s v="BROAD"/>
    <s v="universal snack tray holds yeti rambler"/>
    <x v="1169"/>
    <n v="1"/>
    <n v="1"/>
    <n v="0.23"/>
    <n v="0.23"/>
    <n v="0"/>
    <m/>
    <n v="0"/>
    <n v="0"/>
    <n v="0"/>
    <n v="0"/>
    <n v="0"/>
    <n v="0"/>
    <n v="0"/>
    <n v="0"/>
    <m/>
  </r>
  <r>
    <x v="4"/>
    <x v="19"/>
    <d v="2026-05-20T00:00:00"/>
    <s v="USD"/>
    <s v="捡漏SP.Keyword.Mannual - Tray"/>
    <x v="16"/>
    <s v="Amazon"/>
    <s v="United States"/>
    <s v="snack tray for stroller"/>
    <s v="PHRASE"/>
    <s v="universal snack tray stroller"/>
    <x v="1169"/>
    <n v="1"/>
    <n v="1"/>
    <n v="0.21"/>
    <n v="0.21"/>
    <n v="17.47"/>
    <n v="1.2021E-2"/>
    <n v="83.19"/>
    <n v="1"/>
    <n v="1"/>
    <n v="1"/>
    <n v="1"/>
    <n v="0"/>
    <n v="17.47"/>
    <n v="0"/>
    <m/>
  </r>
  <r>
    <x v="4"/>
    <x v="20"/>
    <d v="2026-05-05T00:00:00"/>
    <s v="USD"/>
    <s v="捡漏SP.Keyword.Mannual - Tray"/>
    <x v="11"/>
    <s v="Amazon"/>
    <s v="United States"/>
    <s v="stroller attachment"/>
    <s v="BROAD"/>
    <s v="universal stroller attachments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20"/>
    <d v="2026-05-08T00:00:00"/>
    <s v="USD"/>
    <s v="捡漏SP.Keyword.Mannual - Tray"/>
    <x v="11"/>
    <s v="Amazon"/>
    <s v="United States"/>
    <s v="stroller snack tray"/>
    <s v="BROAD"/>
    <s v="universal stroller bumper bar snack tray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20"/>
    <d v="2026-05-08T00:00:00"/>
    <s v="USD"/>
    <s v="捡漏SP.Keyword.Mannual - Tray"/>
    <x v="11"/>
    <s v="Amazon"/>
    <s v="United States"/>
    <s v="stroller cup holder"/>
    <s v="BROAD"/>
    <s v="universal stroller cup holder"/>
    <x v="1192"/>
    <n v="1"/>
    <n v="0.16666700000000001"/>
    <n v="0.21"/>
    <n v="0.21"/>
    <n v="0"/>
    <m/>
    <n v="0"/>
    <n v="0"/>
    <n v="0"/>
    <n v="0"/>
    <n v="0"/>
    <n v="0"/>
    <n v="0"/>
    <n v="0"/>
    <m/>
  </r>
  <r>
    <x v="4"/>
    <x v="18"/>
    <d v="2026-05-10T00:00:00"/>
    <s v="USD"/>
    <s v="捡漏SP.Keyword.Mannual - Tray"/>
    <x v="11"/>
    <s v="Amazon"/>
    <s v="United States"/>
    <s v="stroller cup holder"/>
    <s v="BROAD"/>
    <s v="universal stroller cup holder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20"/>
    <d v="2026-05-05T00:00:00"/>
    <s v="USD"/>
    <s v="捡漏SP.Keyword.Mannual - Tray"/>
    <x v="11"/>
    <s v="Amazon"/>
    <s v="United States"/>
    <s v="cup holder for stroller"/>
    <s v="BROAD"/>
    <s v="universal stroller cup holder"/>
    <x v="1169"/>
    <n v="1"/>
    <n v="1"/>
    <n v="0.2"/>
    <n v="0.2"/>
    <n v="0"/>
    <m/>
    <n v="0"/>
    <n v="0"/>
    <n v="0"/>
    <n v="0"/>
    <n v="0"/>
    <n v="0"/>
    <n v="0"/>
    <n v="0"/>
    <m/>
  </r>
  <r>
    <x v="4"/>
    <x v="18"/>
    <d v="2026-05-11T00:00:00"/>
    <s v="USD"/>
    <s v="捡漏SP.Keyword.Mannual - Tray"/>
    <x v="11"/>
    <s v="Amazon"/>
    <s v="United States"/>
    <s v="universal snack tray"/>
    <s v="BROAD"/>
    <s v="universal stroller cup holder snack tray"/>
    <x v="1169"/>
    <n v="1"/>
    <n v="1"/>
    <n v="0.08"/>
    <n v="0.08"/>
    <n v="0"/>
    <m/>
    <n v="0"/>
    <n v="0"/>
    <n v="0"/>
    <n v="0"/>
    <n v="0"/>
    <n v="0"/>
    <n v="0"/>
    <n v="0"/>
    <m/>
  </r>
  <r>
    <x v="4"/>
    <x v="18"/>
    <d v="2026-05-14T00:00:00"/>
    <s v="USD"/>
    <s v="SP.ASIN.Manual - Tray"/>
    <x v="13"/>
    <s v="Amazon"/>
    <s v="United States"/>
    <s v="asin=&quot;B0C1G4985Z&quot;"/>
    <s v="-"/>
    <s v="universal stroller snack tray"/>
    <x v="1174"/>
    <n v="1"/>
    <n v="0.2"/>
    <n v="0.6"/>
    <n v="0.6"/>
    <n v="17.47"/>
    <n v="3.4345000000000001E-2"/>
    <n v="29.12"/>
    <n v="1"/>
    <n v="1"/>
    <n v="1"/>
    <n v="1"/>
    <n v="0"/>
    <n v="17.47"/>
    <n v="0"/>
    <m/>
  </r>
  <r>
    <x v="4"/>
    <x v="18"/>
    <d v="2026-05-16T00:00:00"/>
    <s v="USD"/>
    <s v="SP.ASIN.Manual - Tray"/>
    <x v="13"/>
    <s v="Amazon"/>
    <s v="United States"/>
    <s v="asin=&quot;B0C1G4985Z&quot;"/>
    <s v="-"/>
    <s v="universal stroller snack tray"/>
    <x v="1197"/>
    <n v="1"/>
    <n v="7.6923000000000005E-2"/>
    <n v="0.6"/>
    <n v="0.6"/>
    <n v="0"/>
    <m/>
    <n v="0"/>
    <n v="0"/>
    <n v="0"/>
    <n v="0"/>
    <n v="0"/>
    <n v="0"/>
    <n v="0"/>
    <n v="0"/>
    <m/>
  </r>
  <r>
    <x v="4"/>
    <x v="18"/>
    <d v="2026-05-10T00:00:00"/>
    <s v="USD"/>
    <s v="SP.ASIN.Manual - Tray"/>
    <x v="13"/>
    <s v="Amazon"/>
    <s v="United States"/>
    <s v="asin=&quot;B0FVF51VYJ&quot;"/>
    <s v="-"/>
    <s v="universal stroller snack tray"/>
    <x v="1220"/>
    <n v="1"/>
    <n v="0.1"/>
    <n v="0.62"/>
    <n v="0.62"/>
    <n v="0"/>
    <m/>
    <n v="0"/>
    <n v="0"/>
    <n v="0"/>
    <n v="0"/>
    <n v="0"/>
    <n v="0"/>
    <n v="0"/>
    <n v="0"/>
    <m/>
  </r>
  <r>
    <x v="4"/>
    <x v="20"/>
    <d v="2026-05-05T00:00:00"/>
    <s v="USD"/>
    <s v="SP.Auto - Tray"/>
    <x v="12"/>
    <s v="Amazon"/>
    <s v="United States"/>
    <s v="close-match"/>
    <s v="-"/>
    <s v="universal stroller snack tray"/>
    <x v="1174"/>
    <n v="1"/>
    <n v="0.2"/>
    <n v="1.1200000000000001"/>
    <n v="1.1200000000000001"/>
    <n v="17.47"/>
    <n v="6.411E-2"/>
    <n v="15.6"/>
    <n v="1"/>
    <n v="1"/>
    <n v="1"/>
    <n v="0"/>
    <n v="1"/>
    <n v="0"/>
    <n v="17.47"/>
    <m/>
  </r>
  <r>
    <x v="4"/>
    <x v="18"/>
    <d v="2026-05-15T00:00:00"/>
    <s v="USD"/>
    <s v="SP.Auto - Tray"/>
    <x v="12"/>
    <s v="Amazon"/>
    <s v="United States"/>
    <s v="close-match"/>
    <s v="-"/>
    <s v="universal stroller snack tray"/>
    <x v="1237"/>
    <n v="1"/>
    <n v="0.05"/>
    <n v="1.25"/>
    <n v="1.25"/>
    <n v="0"/>
    <m/>
    <n v="0"/>
    <n v="0"/>
    <n v="0"/>
    <n v="0"/>
    <n v="0"/>
    <n v="0"/>
    <n v="0"/>
    <n v="0"/>
    <m/>
  </r>
  <r>
    <x v="4"/>
    <x v="18"/>
    <d v="2026-05-15T00:00:00"/>
    <s v="USD"/>
    <s v="捡漏SP.Keyword.Mannual - Tray"/>
    <x v="16"/>
    <s v="Amazon"/>
    <s v="United States"/>
    <s v="universal stroller snack tray"/>
    <s v="PHRASE"/>
    <s v="universal stroller snack tray"/>
    <x v="1170"/>
    <n v="1"/>
    <n v="0.33333299999999999"/>
    <n v="0.2"/>
    <n v="0.2"/>
    <n v="0"/>
    <m/>
    <n v="0"/>
    <n v="0"/>
    <n v="0"/>
    <n v="0"/>
    <n v="0"/>
    <n v="0"/>
    <n v="0"/>
    <n v="0"/>
    <m/>
  </r>
  <r>
    <x v="4"/>
    <x v="18"/>
    <d v="2026-05-16T00:00:00"/>
    <s v="USD"/>
    <s v="捡漏SP.Keyword.Mannual - Tray"/>
    <x v="16"/>
    <s v="Amazon"/>
    <s v="United States"/>
    <s v="universal stroller snack tray"/>
    <s v="EXACT"/>
    <s v="universal stroller snack tray"/>
    <x v="1220"/>
    <n v="1"/>
    <n v="0.1"/>
    <n v="0.2"/>
    <n v="0.2"/>
    <n v="0"/>
    <m/>
    <n v="0"/>
    <n v="0"/>
    <n v="0"/>
    <n v="0"/>
    <n v="0"/>
    <n v="0"/>
    <n v="0"/>
    <n v="0"/>
    <m/>
  </r>
  <r>
    <x v="4"/>
    <x v="20"/>
    <d v="2026-05-04T00:00:00"/>
    <s v="USD"/>
    <s v="捡漏SP.Keyword.Mannual - Tray"/>
    <x v="16"/>
    <s v="Amazon"/>
    <s v="United States"/>
    <s v="stroller snack tray"/>
    <s v="PHRASE"/>
    <s v="universal stroller snack tray"/>
    <x v="1171"/>
    <n v="1"/>
    <n v="0.25"/>
    <n v="0.2"/>
    <n v="0.2"/>
    <n v="0"/>
    <m/>
    <n v="0"/>
    <n v="0"/>
    <n v="0"/>
    <n v="0"/>
    <n v="0"/>
    <n v="0"/>
    <n v="0"/>
    <n v="0"/>
    <m/>
  </r>
  <r>
    <x v="4"/>
    <x v="18"/>
    <d v="2026-05-11T00:00:00"/>
    <s v="USD"/>
    <s v="捡漏SP.Keyword.Mannual - Tray"/>
    <x v="16"/>
    <s v="Amazon"/>
    <s v="United States"/>
    <s v="stroller snack tray"/>
    <s v="PHRASE"/>
    <s v="universal stroller snack tray"/>
    <x v="1209"/>
    <n v="1"/>
    <n v="5.2631999999999998E-2"/>
    <n v="0.2"/>
    <n v="0.2"/>
    <n v="0"/>
    <m/>
    <n v="0"/>
    <n v="0"/>
    <n v="0"/>
    <n v="0"/>
    <n v="0"/>
    <n v="0"/>
    <n v="0"/>
    <n v="0"/>
    <m/>
  </r>
  <r>
    <x v="4"/>
    <x v="20"/>
    <d v="2026-05-07T00:00:00"/>
    <s v="USD"/>
    <s v="捡漏SP.Keyword.Mannual - Tray"/>
    <x v="11"/>
    <s v="Amazon"/>
    <s v="United States"/>
    <s v="universal stroller snack tray"/>
    <s v="BROAD"/>
    <s v="universal stroller snack tray"/>
    <x v="1229"/>
    <n v="1"/>
    <n v="8.3333000000000004E-2"/>
    <n v="0.21"/>
    <n v="0.21"/>
    <n v="0"/>
    <m/>
    <n v="0"/>
    <n v="0"/>
    <n v="0"/>
    <n v="0"/>
    <n v="0"/>
    <n v="0"/>
    <n v="0"/>
    <n v="0"/>
    <m/>
  </r>
  <r>
    <x v="4"/>
    <x v="19"/>
    <d v="2026-05-18T00:00:00"/>
    <s v="USD"/>
    <s v="捡漏SP.Keyword.Mannual - Tray"/>
    <x v="11"/>
    <s v="Amazon"/>
    <s v="United States"/>
    <s v="clip on snack tray"/>
    <s v="BROAD"/>
    <s v="universal stroller snack tray clip on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20"/>
    <d v="2026-05-06T00:00:00"/>
    <s v="USD"/>
    <s v="SP.ASIN.Manual - Tray"/>
    <x v="13"/>
    <s v="Amazon"/>
    <s v="United States"/>
    <s v="asin=&quot;B0C1G4985Z&quot;"/>
    <s v="-"/>
    <s v="universal stroller snack tray no bar"/>
    <x v="1171"/>
    <n v="1"/>
    <n v="0.25"/>
    <n v="0.56999999999999995"/>
    <n v="0.56999999999999995"/>
    <n v="0"/>
    <m/>
    <n v="0"/>
    <n v="0"/>
    <n v="0"/>
    <n v="0"/>
    <n v="0"/>
    <n v="0"/>
    <n v="0"/>
    <n v="0"/>
    <m/>
  </r>
  <r>
    <x v="4"/>
    <x v="20"/>
    <d v="2026-05-03T00:00:00"/>
    <s v="USD"/>
    <s v="捡漏SP.Keyword.Mannual - Tray"/>
    <x v="11"/>
    <s v="Amazon"/>
    <s v="United States"/>
    <s v="stroller tray"/>
    <s v="BROAD"/>
    <s v="universal stroller tray"/>
    <x v="1169"/>
    <n v="1"/>
    <n v="1"/>
    <n v="0.44"/>
    <n v="0.44"/>
    <n v="0"/>
    <m/>
    <n v="0"/>
    <n v="0"/>
    <n v="0"/>
    <n v="0"/>
    <n v="0"/>
    <n v="0"/>
    <n v="0"/>
    <n v="0"/>
    <m/>
  </r>
  <r>
    <x v="4"/>
    <x v="20"/>
    <d v="2026-05-09T00:00:00"/>
    <s v="USD"/>
    <s v="捡漏SP.Keyword.Mannual - Tray"/>
    <x v="11"/>
    <s v="Amazon"/>
    <s v="United States"/>
    <s v="stroller tray"/>
    <s v="BROAD"/>
    <s v="universal stroller tray"/>
    <x v="1171"/>
    <n v="1"/>
    <n v="0.25"/>
    <n v="0.21"/>
    <n v="0.21"/>
    <n v="0"/>
    <m/>
    <n v="0"/>
    <n v="0"/>
    <n v="0"/>
    <n v="0"/>
    <n v="0"/>
    <n v="0"/>
    <n v="0"/>
    <n v="0"/>
    <m/>
  </r>
  <r>
    <x v="4"/>
    <x v="18"/>
    <d v="2026-05-15T00:00:00"/>
    <s v="USD"/>
    <s v="捡漏SP.Keyword.Mannual - Tray"/>
    <x v="16"/>
    <s v="Amazon"/>
    <s v="United States"/>
    <s v="universal stroller tray"/>
    <s v="PHRASE"/>
    <s v="universal stroller tray"/>
    <x v="1228"/>
    <n v="1"/>
    <n v="3.8462000000000003E-2"/>
    <n v="0.2"/>
    <n v="0.2"/>
    <n v="0"/>
    <m/>
    <n v="0"/>
    <n v="0"/>
    <n v="0"/>
    <n v="0"/>
    <n v="0"/>
    <n v="0"/>
    <n v="0"/>
    <n v="0"/>
    <m/>
  </r>
  <r>
    <x v="4"/>
    <x v="18"/>
    <d v="2026-05-11T00:00:00"/>
    <s v="USD"/>
    <s v="捡漏SP.Keyword.Mannual - Tray"/>
    <x v="11"/>
    <s v="Amazon"/>
    <s v="United States"/>
    <s v="stroller tray"/>
    <s v="BROAD"/>
    <s v="universal tray and drink holder stroller bar"/>
    <x v="1169"/>
    <n v="1"/>
    <n v="1"/>
    <n v="0.4"/>
    <n v="0.4"/>
    <n v="0"/>
    <m/>
    <n v="0"/>
    <n v="0"/>
    <n v="0"/>
    <n v="0"/>
    <n v="0"/>
    <n v="0"/>
    <n v="0"/>
    <n v="0"/>
    <m/>
  </r>
  <r>
    <x v="4"/>
    <x v="18"/>
    <d v="2026-05-10T00:00:00"/>
    <s v="USD"/>
    <s v="SP.ASIN.Manual - Tray"/>
    <x v="13"/>
    <s v="Amazon"/>
    <s v="United States"/>
    <s v="asin=&quot;B0C1G4985Z&quot;"/>
    <s v="-"/>
    <s v="universal tray for stroller"/>
    <x v="1169"/>
    <n v="1"/>
    <n v="1"/>
    <n v="0.63"/>
    <n v="0.63"/>
    <n v="0"/>
    <m/>
    <n v="0"/>
    <n v="0"/>
    <n v="0"/>
    <n v="0"/>
    <n v="0"/>
    <n v="0"/>
    <n v="0"/>
    <n v="0"/>
    <m/>
  </r>
  <r>
    <x v="4"/>
    <x v="16"/>
    <d v="2026-05-01T00:00:00"/>
    <s v="USD"/>
    <s v="捡漏SP.Keyword.Mannual - Tray"/>
    <x v="11"/>
    <s v="Amazon"/>
    <s v="United States"/>
    <s v="universal stroller tray"/>
    <s v="BROAD"/>
    <s v="universal tray stroller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4"/>
    <x v="19"/>
    <d v="2026-05-21T00:00:00"/>
    <s v="USD"/>
    <s v="捡漏SP.Keyword.Mannual - Tray"/>
    <x v="11"/>
    <s v="Amazon"/>
    <s v="United States"/>
    <s v="universal snack tray"/>
    <s v="BROAD"/>
    <s v="universal wagon snack tray"/>
    <x v="1174"/>
    <n v="1"/>
    <n v="0.2"/>
    <n v="0.21"/>
    <n v="0.21"/>
    <n v="0"/>
    <m/>
    <n v="0"/>
    <n v="0"/>
    <n v="0"/>
    <n v="0"/>
    <n v="0"/>
    <n v="0"/>
    <n v="0"/>
    <n v="0"/>
    <m/>
  </r>
  <r>
    <x v="4"/>
    <x v="18"/>
    <d v="2026-05-13T00:00:00"/>
    <s v="USD"/>
    <s v="捡漏SP.Keyword.Mannual - Tray"/>
    <x v="11"/>
    <s v="Amazon"/>
    <s v="United States"/>
    <s v="stroller accessories"/>
    <s v="BROAD"/>
    <s v="uppababy glux stroller accessories"/>
    <x v="1169"/>
    <n v="1"/>
    <n v="1"/>
    <n v="0.16"/>
    <n v="0.16"/>
    <n v="0"/>
    <m/>
    <n v="0"/>
    <n v="0"/>
    <n v="0"/>
    <n v="0"/>
    <n v="0"/>
    <n v="0"/>
    <n v="0"/>
    <n v="0"/>
    <m/>
  </r>
  <r>
    <x v="4"/>
    <x v="20"/>
    <d v="2026-05-04T00:00:00"/>
    <s v="USD"/>
    <s v="SP.Auto - ENC grey"/>
    <x v="14"/>
    <s v="Amazon"/>
    <s v="United States"/>
    <s v="loose-match"/>
    <s v="-"/>
    <s v="victorinox nail clipper"/>
    <x v="1168"/>
    <n v="1"/>
    <n v="0.5"/>
    <n v="1.35"/>
    <n v="1.35"/>
    <n v="0"/>
    <m/>
    <n v="0"/>
    <n v="0"/>
    <n v="0"/>
    <n v="0"/>
    <n v="0"/>
    <n v="0"/>
    <n v="0"/>
    <n v="0"/>
    <m/>
  </r>
  <r>
    <x v="4"/>
    <x v="18"/>
    <d v="2026-05-10T00:00:00"/>
    <s v="USD"/>
    <s v="捡漏SP.Keyword.Mannual - Tray"/>
    <x v="11"/>
    <s v="Amazon"/>
    <s v="United States"/>
    <s v="universal snack tray"/>
    <s v="BROAD"/>
    <s v="wagon snack tray"/>
    <x v="1170"/>
    <n v="1"/>
    <n v="0.33333299999999999"/>
    <n v="0.2"/>
    <n v="0.2"/>
    <n v="0"/>
    <m/>
    <n v="0"/>
    <n v="0"/>
    <n v="0"/>
    <n v="0"/>
    <n v="0"/>
    <n v="0"/>
    <n v="0"/>
    <n v="0"/>
    <m/>
  </r>
  <r>
    <x v="4"/>
    <x v="20"/>
    <d v="2026-05-06T00:00:00"/>
    <s v="USD"/>
    <s v="捡漏SP.Keyword.Mannual - Tray"/>
    <x v="11"/>
    <s v="Amazon"/>
    <s v="United States"/>
    <s v="universal snack tray"/>
    <s v="BROAD"/>
    <s v="wagon snack tray universal"/>
    <x v="1169"/>
    <n v="1"/>
    <n v="1"/>
    <n v="0.13"/>
    <n v="0.13"/>
    <n v="0"/>
    <m/>
    <n v="0"/>
    <n v="0"/>
    <n v="0"/>
    <n v="0"/>
    <n v="0"/>
    <n v="0"/>
    <n v="0"/>
    <n v="0"/>
    <m/>
  </r>
  <r>
    <x v="4"/>
    <x v="20"/>
    <d v="2026-05-06T00:00:00"/>
    <s v="USD"/>
    <s v="捡漏SP.Keyword.Mannual - Tray"/>
    <x v="11"/>
    <s v="Amazon"/>
    <s v="United States"/>
    <s v="stroller attachment"/>
    <s v="BROAD"/>
    <s v="wagon stroller storage basket attachment"/>
    <x v="1168"/>
    <n v="2"/>
    <n v="1"/>
    <n v="0.2"/>
    <n v="0.4"/>
    <n v="0"/>
    <m/>
    <n v="0"/>
    <n v="0"/>
    <n v="0"/>
    <n v="0"/>
    <n v="0"/>
    <n v="0"/>
    <n v="0"/>
    <n v="0"/>
    <m/>
  </r>
  <r>
    <x v="4"/>
    <x v="19"/>
    <d v="2026-05-21T00:00:00"/>
    <s v="USD"/>
    <s v="捡漏SP.Keyword.Mannual - Tray"/>
    <x v="11"/>
    <s v="Amazon"/>
    <s v="United States"/>
    <s v="wagon cup holder"/>
    <s v="BROAD"/>
    <s v="wagon table cup holder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4"/>
    <x v="19"/>
    <d v="2026-05-20T00:00:00"/>
    <s v="USD"/>
    <s v="SP.Auto - Tray"/>
    <x v="12"/>
    <s v="Amazon"/>
    <s v="United States"/>
    <s v="loose-match"/>
    <s v="-"/>
    <s v="yoyo snack tray"/>
    <x v="1169"/>
    <n v="1"/>
    <n v="1"/>
    <n v="0"/>
    <n v="0"/>
    <n v="17.47"/>
    <n v="0"/>
    <m/>
    <n v="1"/>
    <n v="1"/>
    <n v="1"/>
    <n v="1"/>
    <n v="0"/>
    <n v="17.47"/>
    <n v="0"/>
    <m/>
  </r>
  <r>
    <x v="4"/>
    <x v="16"/>
    <d v="2026-05-01T00:00:00"/>
    <s v="USD"/>
    <s v="SP.Auto - ENC grey"/>
    <x v="14"/>
    <s v="Amazon"/>
    <s v="United States"/>
    <s v="close-match"/>
    <s v="-"/>
    <s v="￼long nail clippers for seniors"/>
    <x v="1169"/>
    <n v="1"/>
    <n v="1"/>
    <n v="1.74"/>
    <n v="1.74"/>
    <n v="0"/>
    <m/>
    <n v="0"/>
    <n v="0"/>
    <n v="0"/>
    <n v="0"/>
    <n v="0"/>
    <n v="0"/>
    <n v="0"/>
    <n v="0"/>
    <m/>
  </r>
  <r>
    <x v="4"/>
    <x v="19"/>
    <d v="2026-05-20T00:00:00"/>
    <s v="USD"/>
    <s v="捡漏SP.Keyword.Mannual - Tray"/>
    <x v="11"/>
    <s v="Amazon"/>
    <s v="United States"/>
    <s v="stroller snack tray"/>
    <s v="BROAD"/>
    <s v="￼snack tray for baby trend tour wagon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18"/>
    <d v="2026-05-13T00:00:00"/>
    <s v="USD"/>
    <s v="SP.Auto - Tray"/>
    <x v="12"/>
    <s v="Amazon"/>
    <s v="United States"/>
    <s v="loose-match"/>
    <s v="-"/>
    <s v="￼snack tray for umbrella stroller"/>
    <x v="1169"/>
    <n v="1"/>
    <n v="1"/>
    <n v="0.5"/>
    <n v="0.5"/>
    <n v="34.94"/>
    <n v="1.431E-2"/>
    <n v="69.88"/>
    <n v="1"/>
    <n v="2"/>
    <n v="1"/>
    <n v="2"/>
    <n v="0"/>
    <n v="34.94"/>
    <n v="0"/>
    <m/>
  </r>
  <r>
    <x v="4"/>
    <x v="19"/>
    <d v="2026-05-17T00:00:00"/>
    <s v="USD"/>
    <s v="捡漏SP.Keyword.Mannual - Tray"/>
    <x v="11"/>
    <s v="Amazon"/>
    <s v="United States"/>
    <s v="snack tray for stroller"/>
    <s v="BROAD"/>
    <s v="￼stroller snack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9"/>
    <d v="2026-05-19T00:00:00"/>
    <s v="USD"/>
    <s v="捡漏SP.Keyword.Mannual - Tray"/>
    <x v="11"/>
    <s v="Amazon"/>
    <s v="United States"/>
    <s v="stroller tray"/>
    <s v="BROAD"/>
    <s v="￼upper baby travel stroller add-on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1"/>
    <d v="2026-05-24T00:00:00"/>
    <s v="USD"/>
    <s v="SP.Auto - Tray"/>
    <x v="12"/>
    <s v="Amazon"/>
    <s v="United States"/>
    <s v="loose-match"/>
    <s v="-"/>
    <s v="3d mini stroller food tray"/>
    <x v="1170"/>
    <n v="1"/>
    <n v="0.33333299999999999"/>
    <n v="0.54"/>
    <n v="0.54"/>
    <n v="0"/>
    <m/>
    <n v="0"/>
    <n v="0"/>
    <n v="0"/>
    <n v="0"/>
    <n v="0"/>
    <n v="0"/>
    <n v="0"/>
    <n v="0"/>
    <m/>
  </r>
  <r>
    <x v="4"/>
    <x v="19"/>
    <d v="2026-05-23T00:00:00"/>
    <s v="USD"/>
    <s v="捡漏SP.Keyword.Mannual - Tray"/>
    <x v="11"/>
    <s v="Amazon"/>
    <s v="United States"/>
    <s v="stroller accessories"/>
    <s v="BROAD"/>
    <s v="3d summer lite stroller accessories"/>
    <x v="1168"/>
    <n v="1"/>
    <n v="0.5"/>
    <n v="0.16"/>
    <n v="0.16"/>
    <n v="0"/>
    <m/>
    <n v="0"/>
    <n v="0"/>
    <n v="0"/>
    <n v="0"/>
    <n v="0"/>
    <n v="0"/>
    <n v="0"/>
    <n v="0"/>
    <m/>
  </r>
  <r>
    <x v="4"/>
    <x v="19"/>
    <d v="2026-05-22T00:00:00"/>
    <s v="USD"/>
    <s v="捡漏SP.Keyword.Mannual - Tray"/>
    <x v="11"/>
    <s v="Amazon"/>
    <s v="United States"/>
    <s v="stroller tray"/>
    <s v="BROAD"/>
    <s v="ad just table stroller tray"/>
    <x v="1168"/>
    <n v="1"/>
    <n v="0.5"/>
    <n v="0.23"/>
    <n v="0.23"/>
    <n v="0"/>
    <m/>
    <n v="0"/>
    <n v="0"/>
    <n v="0"/>
    <n v="0"/>
    <n v="0"/>
    <n v="0"/>
    <n v="0"/>
    <n v="0"/>
    <m/>
  </r>
  <r>
    <x v="4"/>
    <x v="21"/>
    <d v="2026-05-27T00:00:00"/>
    <s v="USD"/>
    <s v="捡漏SP.Keyword.Mannual - Tray"/>
    <x v="11"/>
    <s v="Amazon"/>
    <s v="United States"/>
    <s v="stroller tray"/>
    <s v="BROAD"/>
    <s v="adjustable stroller snack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2"/>
    <d v="2026-05-31T00:00:00"/>
    <s v="USD"/>
    <s v="捡漏SP.Keyword.Mannual - Tray"/>
    <x v="11"/>
    <s v="Amazon"/>
    <s v="United States"/>
    <s v="stroller cup holder"/>
    <s v="BROAD"/>
    <s v="attachable cup holder for stroller"/>
    <x v="1174"/>
    <n v="1"/>
    <n v="0.2"/>
    <n v="0.21"/>
    <n v="0.21"/>
    <n v="0"/>
    <m/>
    <n v="0"/>
    <n v="0"/>
    <n v="0"/>
    <n v="0"/>
    <n v="0"/>
    <n v="0"/>
    <n v="0"/>
    <n v="0"/>
    <m/>
  </r>
  <r>
    <x v="4"/>
    <x v="21"/>
    <d v="2026-05-25T00:00:00"/>
    <s v="USD"/>
    <s v="捡漏SP.Keyword.Mannual - Tray"/>
    <x v="11"/>
    <s v="Amazon"/>
    <s v="United States"/>
    <s v="clip on snack tray"/>
    <s v="BROAD"/>
    <s v="attachable snack tray for nuna trvl x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22"/>
    <d v="2026-05-31T00:00:00"/>
    <s v="USD"/>
    <s v="捡漏SP.Keyword.Mannual - Tray"/>
    <x v="11"/>
    <s v="Amazon"/>
    <s v="United States"/>
    <s v="stroller tray"/>
    <s v="BROAD"/>
    <s v="attachable tray holder for baby stroller"/>
    <x v="1169"/>
    <n v="1"/>
    <n v="1"/>
    <n v="0.08"/>
    <n v="0.08"/>
    <n v="0"/>
    <m/>
    <n v="0"/>
    <n v="0"/>
    <n v="0"/>
    <n v="0"/>
    <n v="0"/>
    <n v="0"/>
    <n v="0"/>
    <n v="0"/>
    <m/>
  </r>
  <r>
    <x v="4"/>
    <x v="19"/>
    <d v="2026-05-23T00:00:00"/>
    <s v="USD"/>
    <s v="SP.Auto - Tray"/>
    <x v="12"/>
    <s v="Amazon"/>
    <s v="United States"/>
    <s v="substitutes"/>
    <s v="-"/>
    <s v="b01n0xd3f8"/>
    <x v="1174"/>
    <n v="1"/>
    <n v="0.2"/>
    <n v="0.5"/>
    <n v="0.5"/>
    <n v="0"/>
    <m/>
    <n v="0"/>
    <n v="0"/>
    <n v="0"/>
    <n v="0"/>
    <n v="0"/>
    <n v="0"/>
    <n v="0"/>
    <n v="0"/>
    <m/>
  </r>
  <r>
    <x v="4"/>
    <x v="21"/>
    <d v="2026-05-28T00:00:00"/>
    <s v="USD"/>
    <s v="SP.Auto - Tray"/>
    <x v="12"/>
    <s v="Amazon"/>
    <s v="United States"/>
    <s v="substitutes"/>
    <s v="-"/>
    <s v="b07p1ysc18"/>
    <x v="1218"/>
    <n v="1"/>
    <n v="5.8824000000000001E-2"/>
    <n v="0.5"/>
    <n v="0.5"/>
    <n v="0"/>
    <m/>
    <n v="0"/>
    <n v="0"/>
    <n v="0"/>
    <n v="0"/>
    <n v="0"/>
    <n v="0"/>
    <n v="0"/>
    <n v="0"/>
    <m/>
  </r>
  <r>
    <x v="4"/>
    <x v="22"/>
    <d v="2026-05-31T00:00:00"/>
    <s v="USD"/>
    <s v="SP.Auto - Tray"/>
    <x v="12"/>
    <s v="Amazon"/>
    <s v="United States"/>
    <s v="substitutes"/>
    <s v="-"/>
    <s v="b0822yssrn"/>
    <x v="1169"/>
    <n v="1"/>
    <n v="1"/>
    <n v="0.5"/>
    <n v="0.5"/>
    <n v="0"/>
    <m/>
    <n v="0"/>
    <n v="0"/>
    <n v="0"/>
    <n v="0"/>
    <n v="0"/>
    <n v="0"/>
    <n v="0"/>
    <n v="0"/>
    <m/>
  </r>
  <r>
    <x v="4"/>
    <x v="19"/>
    <d v="2026-05-22T00:00:00"/>
    <s v="USD"/>
    <s v="SP.ASIN.Manual - Tray"/>
    <x v="13"/>
    <s v="Amazon"/>
    <s v="United States"/>
    <s v="asin=&quot;B0C1G4985Z&quot;"/>
    <s v="-"/>
    <s v="b0c1g4985z"/>
    <x v="1238"/>
    <n v="1"/>
    <n v="1.1764999999999999E-2"/>
    <n v="0.56000000000000005"/>
    <n v="0.56000000000000005"/>
    <n v="0"/>
    <m/>
    <n v="0"/>
    <n v="0"/>
    <n v="0"/>
    <n v="0"/>
    <n v="0"/>
    <n v="0"/>
    <n v="0"/>
    <n v="0"/>
    <m/>
  </r>
  <r>
    <x v="4"/>
    <x v="19"/>
    <d v="2026-05-23T00:00:00"/>
    <s v="USD"/>
    <s v="SP.ASIN.Manual - Tray"/>
    <x v="13"/>
    <s v="Amazon"/>
    <s v="United States"/>
    <s v="asin=&quot;B0C1G4985Z&quot;"/>
    <s v="-"/>
    <s v="b0c1g4985z"/>
    <x v="1239"/>
    <n v="3"/>
    <n v="1.8072000000000001E-2"/>
    <n v="0.46"/>
    <n v="1.39"/>
    <n v="17.47"/>
    <n v="7.9564999999999997E-2"/>
    <n v="12.57"/>
    <n v="1"/>
    <n v="1"/>
    <n v="0.33333299999999999"/>
    <n v="1"/>
    <n v="0"/>
    <n v="17.47"/>
    <n v="0"/>
    <m/>
  </r>
  <r>
    <x v="4"/>
    <x v="21"/>
    <d v="2026-05-24T00:00:00"/>
    <s v="USD"/>
    <s v="SP.ASIN.Manual - Tray"/>
    <x v="13"/>
    <s v="Amazon"/>
    <s v="United States"/>
    <s v="asin=&quot;B0C1G4985Z&quot;"/>
    <s v="-"/>
    <s v="b0c1g4985z"/>
    <x v="1240"/>
    <n v="4"/>
    <n v="2.7972E-2"/>
    <n v="0.46"/>
    <n v="1.84"/>
    <n v="34.94"/>
    <n v="5.2662E-2"/>
    <n v="18.989999999999998"/>
    <n v="2"/>
    <n v="2"/>
    <n v="0.5"/>
    <n v="2"/>
    <n v="0"/>
    <n v="34.94"/>
    <n v="0"/>
    <m/>
  </r>
  <r>
    <x v="4"/>
    <x v="21"/>
    <d v="2026-05-25T00:00:00"/>
    <s v="USD"/>
    <s v="SP.ASIN.Manual - Tray"/>
    <x v="13"/>
    <s v="Amazon"/>
    <s v="United States"/>
    <s v="asin=&quot;B0C1G4985Z&quot;"/>
    <s v="-"/>
    <s v="b0c1g4985z"/>
    <x v="1241"/>
    <n v="1"/>
    <n v="4.8539999999999998E-3"/>
    <n v="0.65"/>
    <n v="0.65"/>
    <n v="17.989999999999998"/>
    <n v="3.6131000000000003E-2"/>
    <n v="27.68"/>
    <n v="1"/>
    <n v="1"/>
    <n v="1"/>
    <n v="0"/>
    <n v="1"/>
    <n v="0"/>
    <n v="17.989999999999998"/>
    <m/>
  </r>
  <r>
    <x v="4"/>
    <x v="21"/>
    <d v="2026-05-26T00:00:00"/>
    <s v="USD"/>
    <s v="SP.ASIN.Manual - Tray"/>
    <x v="13"/>
    <s v="Amazon"/>
    <s v="United States"/>
    <s v="asin=&quot;B0C1G4985Z&quot;"/>
    <s v="-"/>
    <s v="b0c1g4985z"/>
    <x v="1242"/>
    <n v="2"/>
    <n v="1.3605000000000001E-2"/>
    <n v="0.65"/>
    <n v="1.3"/>
    <n v="0"/>
    <m/>
    <n v="0"/>
    <n v="0"/>
    <n v="0"/>
    <n v="0"/>
    <n v="0"/>
    <n v="0"/>
    <n v="0"/>
    <n v="0"/>
    <m/>
  </r>
  <r>
    <x v="4"/>
    <x v="21"/>
    <d v="2026-05-27T00:00:00"/>
    <s v="USD"/>
    <s v="SP.ASIN.Manual - Tray"/>
    <x v="13"/>
    <s v="Amazon"/>
    <s v="United States"/>
    <s v="asin=&quot;B0C1G4985Z&quot;"/>
    <s v="-"/>
    <s v="b0c1g4985z"/>
    <x v="1243"/>
    <n v="4"/>
    <n v="1.5564E-2"/>
    <n v="0.66"/>
    <n v="2.64"/>
    <n v="0"/>
    <m/>
    <n v="0"/>
    <n v="0"/>
    <n v="0"/>
    <n v="0"/>
    <n v="0"/>
    <n v="0"/>
    <n v="0"/>
    <n v="0"/>
    <m/>
  </r>
  <r>
    <x v="4"/>
    <x v="21"/>
    <d v="2026-05-28T00:00:00"/>
    <s v="USD"/>
    <s v="SP.ASIN.Manual - Tray"/>
    <x v="13"/>
    <s v="Amazon"/>
    <s v="United States"/>
    <s v="asin=&quot;B0C1G4985Z&quot;"/>
    <s v="-"/>
    <s v="b0c1g4985z"/>
    <x v="1244"/>
    <n v="2"/>
    <n v="1.2903E-2"/>
    <n v="0.65"/>
    <n v="1.3"/>
    <n v="0"/>
    <m/>
    <n v="0"/>
    <n v="0"/>
    <n v="0"/>
    <n v="0"/>
    <n v="0"/>
    <n v="0"/>
    <n v="0"/>
    <n v="0"/>
    <m/>
  </r>
  <r>
    <x v="4"/>
    <x v="21"/>
    <d v="2026-05-29T00:00:00"/>
    <s v="USD"/>
    <s v="SP.ASIN.Manual - Tray"/>
    <x v="13"/>
    <s v="Amazon"/>
    <s v="United States"/>
    <s v="asin=&quot;B0C1G4985Z&quot;"/>
    <s v="-"/>
    <s v="b0c1g4985z"/>
    <x v="1245"/>
    <n v="2"/>
    <n v="6.9439999999999997E-3"/>
    <n v="0.64"/>
    <n v="1.28"/>
    <n v="0"/>
    <m/>
    <n v="0"/>
    <n v="0"/>
    <n v="0"/>
    <n v="0"/>
    <n v="0"/>
    <n v="0"/>
    <n v="0"/>
    <n v="0"/>
    <m/>
  </r>
  <r>
    <x v="4"/>
    <x v="21"/>
    <d v="2026-05-30T00:00:00"/>
    <s v="USD"/>
    <s v="SP.ASIN.Manual - Tray"/>
    <x v="13"/>
    <s v="Amazon"/>
    <s v="United States"/>
    <s v="asin=&quot;B0C1G4985Z&quot;"/>
    <s v="-"/>
    <s v="b0c1g4985z"/>
    <x v="1246"/>
    <n v="4"/>
    <n v="3.8462000000000003E-2"/>
    <n v="0.64"/>
    <n v="2.56"/>
    <n v="17.47"/>
    <n v="0.146537"/>
    <n v="6.82"/>
    <n v="1"/>
    <n v="1"/>
    <n v="0.25"/>
    <n v="1"/>
    <n v="0"/>
    <n v="17.47"/>
    <n v="0"/>
    <m/>
  </r>
  <r>
    <x v="4"/>
    <x v="22"/>
    <d v="2026-05-31T00:00:00"/>
    <s v="USD"/>
    <s v="SP.ASIN.Manual - Tray"/>
    <x v="13"/>
    <s v="Amazon"/>
    <s v="United States"/>
    <s v="asin=&quot;B0C1G4985Z&quot;"/>
    <s v="-"/>
    <s v="b0c1g4985z"/>
    <x v="1247"/>
    <n v="3"/>
    <n v="2.4194E-2"/>
    <n v="0.52"/>
    <n v="1.55"/>
    <n v="34.94"/>
    <n v="4.4361999999999999E-2"/>
    <n v="22.54"/>
    <n v="1"/>
    <n v="2"/>
    <n v="0.33333299999999999"/>
    <n v="2"/>
    <n v="0"/>
    <n v="34.94"/>
    <n v="0"/>
    <m/>
  </r>
  <r>
    <x v="4"/>
    <x v="22"/>
    <d v="2026-05-31T00:00:00"/>
    <s v="USD"/>
    <s v="SP.Auto - Tray"/>
    <x v="12"/>
    <s v="Amazon"/>
    <s v="United States"/>
    <s v="substitutes"/>
    <s v="-"/>
    <s v="b0c9psbvpz"/>
    <x v="1168"/>
    <n v="1"/>
    <n v="0.5"/>
    <n v="0.5"/>
    <n v="0.5"/>
    <n v="0"/>
    <m/>
    <n v="0"/>
    <n v="0"/>
    <n v="0"/>
    <n v="0"/>
    <n v="0"/>
    <n v="0"/>
    <n v="0"/>
    <n v="0"/>
    <m/>
  </r>
  <r>
    <x v="4"/>
    <x v="19"/>
    <d v="2026-05-22T00:00:00"/>
    <s v="USD"/>
    <s v="SP.Auto - Tray"/>
    <x v="12"/>
    <s v="Amazon"/>
    <s v="United States"/>
    <s v="substitutes"/>
    <s v="-"/>
    <s v="b0csf1hnj8"/>
    <x v="1168"/>
    <n v="1"/>
    <n v="0.5"/>
    <n v="0.5"/>
    <n v="0.5"/>
    <n v="0"/>
    <m/>
    <n v="0"/>
    <n v="0"/>
    <n v="0"/>
    <n v="0"/>
    <n v="0"/>
    <n v="0"/>
    <n v="0"/>
    <n v="0"/>
    <m/>
  </r>
  <r>
    <x v="4"/>
    <x v="19"/>
    <d v="2026-05-23T00:00:00"/>
    <s v="USD"/>
    <s v="SP.Auto - Tray"/>
    <x v="12"/>
    <s v="Amazon"/>
    <s v="United States"/>
    <s v="substitutes"/>
    <s v="-"/>
    <s v="b0d3xc4kh5"/>
    <x v="1170"/>
    <n v="1"/>
    <n v="0.33333299999999999"/>
    <n v="0.5"/>
    <n v="0.5"/>
    <n v="0"/>
    <m/>
    <n v="0"/>
    <n v="0"/>
    <n v="0"/>
    <n v="0"/>
    <n v="0"/>
    <n v="0"/>
    <n v="0"/>
    <n v="0"/>
    <m/>
  </r>
  <r>
    <x v="4"/>
    <x v="22"/>
    <d v="2026-05-31T00:00:00"/>
    <s v="USD"/>
    <s v="SP.Auto - Tray"/>
    <x v="12"/>
    <s v="Amazon"/>
    <s v="United States"/>
    <s v="substitutes"/>
    <s v="-"/>
    <s v="b0dh98h2g4"/>
    <x v="1197"/>
    <n v="1"/>
    <n v="7.6923000000000005E-2"/>
    <n v="0.5"/>
    <n v="0.5"/>
    <n v="0"/>
    <m/>
    <n v="0"/>
    <n v="0"/>
    <n v="0"/>
    <n v="0"/>
    <n v="0"/>
    <n v="0"/>
    <n v="0"/>
    <n v="0"/>
    <m/>
  </r>
  <r>
    <x v="4"/>
    <x v="21"/>
    <d v="2026-05-24T00:00:00"/>
    <s v="USD"/>
    <s v="SP.ASIN.Manual - Tray"/>
    <x v="13"/>
    <s v="Amazon"/>
    <s v="United States"/>
    <s v="asin=&quot;B0DH98H2G4&quot;"/>
    <s v="-"/>
    <s v="b0dh98h2g4"/>
    <x v="1191"/>
    <n v="1"/>
    <n v="3.125E-2"/>
    <n v="0.42"/>
    <n v="0.42"/>
    <n v="0"/>
    <m/>
    <n v="0"/>
    <n v="0"/>
    <n v="0"/>
    <n v="0"/>
    <n v="0"/>
    <n v="0"/>
    <n v="0"/>
    <n v="0"/>
    <m/>
  </r>
  <r>
    <x v="4"/>
    <x v="21"/>
    <d v="2026-05-26T00:00:00"/>
    <s v="USD"/>
    <s v="SP.ASIN.Manual - Tray"/>
    <x v="13"/>
    <s v="Amazon"/>
    <s v="United States"/>
    <s v="asin=&quot;B0DH98H2G4&quot;"/>
    <s v="-"/>
    <s v="b0dh98h2g4"/>
    <x v="1248"/>
    <n v="2"/>
    <n v="5.5556000000000001E-2"/>
    <n v="0.49"/>
    <n v="0.98"/>
    <n v="0"/>
    <m/>
    <n v="0"/>
    <n v="0"/>
    <n v="0"/>
    <n v="0"/>
    <n v="0"/>
    <n v="0"/>
    <n v="0"/>
    <n v="0"/>
    <m/>
  </r>
  <r>
    <x v="4"/>
    <x v="21"/>
    <d v="2026-05-30T00:00:00"/>
    <s v="USD"/>
    <s v="SP.Auto - Tray"/>
    <x v="12"/>
    <s v="Amazon"/>
    <s v="United States"/>
    <s v="substitutes"/>
    <s v="-"/>
    <s v="b0fmy7l3qn"/>
    <x v="1169"/>
    <n v="1"/>
    <n v="1"/>
    <n v="0.5"/>
    <n v="0.5"/>
    <n v="0"/>
    <m/>
    <n v="0"/>
    <n v="0"/>
    <n v="0"/>
    <n v="0"/>
    <n v="0"/>
    <n v="0"/>
    <n v="0"/>
    <n v="0"/>
    <m/>
  </r>
  <r>
    <x v="4"/>
    <x v="21"/>
    <d v="2026-05-27T00:00:00"/>
    <s v="USD"/>
    <s v="SP.Auto - ENC Fixed"/>
    <x v="14"/>
    <s v="Amazon"/>
    <s v="United States"/>
    <s v="substitutes"/>
    <s v="-"/>
    <s v="b0fr4nlgvk"/>
    <x v="1169"/>
    <n v="1"/>
    <n v="1"/>
    <n v="1.3"/>
    <n v="1.3"/>
    <n v="0"/>
    <m/>
    <n v="0"/>
    <n v="0"/>
    <n v="0"/>
    <n v="0"/>
    <n v="0"/>
    <n v="0"/>
    <n v="0"/>
    <n v="0"/>
    <m/>
  </r>
  <r>
    <x v="4"/>
    <x v="19"/>
    <d v="2026-05-22T00:00:00"/>
    <s v="USD"/>
    <s v="SP.ASIN.Manual - Tray"/>
    <x v="13"/>
    <s v="Amazon"/>
    <s v="United States"/>
    <s v="asin=&quot;B0FVF51VYJ&quot;"/>
    <s v="-"/>
    <s v="b0fvf51vyj"/>
    <x v="1179"/>
    <n v="1"/>
    <n v="1.5384999999999999E-2"/>
    <n v="0.64"/>
    <n v="0.64"/>
    <n v="0"/>
    <m/>
    <n v="0"/>
    <n v="0"/>
    <n v="0"/>
    <n v="0"/>
    <n v="0"/>
    <n v="0"/>
    <n v="0"/>
    <n v="0"/>
    <m/>
  </r>
  <r>
    <x v="4"/>
    <x v="21"/>
    <d v="2026-05-25T00:00:00"/>
    <s v="USD"/>
    <s v="SP.ASIN.Manual - Tray"/>
    <x v="13"/>
    <s v="Amazon"/>
    <s v="United States"/>
    <s v="asin=&quot;B0FVF51VYJ&quot;"/>
    <s v="-"/>
    <s v="b0fvf51vyj"/>
    <x v="1249"/>
    <n v="1"/>
    <n v="7.2459999999999998E-3"/>
    <n v="0.5"/>
    <n v="0.5"/>
    <n v="0"/>
    <m/>
    <n v="0"/>
    <n v="0"/>
    <n v="0"/>
    <n v="0"/>
    <n v="0"/>
    <n v="0"/>
    <n v="0"/>
    <n v="0"/>
    <m/>
  </r>
  <r>
    <x v="4"/>
    <x v="21"/>
    <d v="2026-05-28T00:00:00"/>
    <s v="USD"/>
    <s v="SP.ASIN.Manual - Tray"/>
    <x v="13"/>
    <s v="Amazon"/>
    <s v="United States"/>
    <s v="asin=&quot;B0FVF51VYJ&quot;"/>
    <s v="-"/>
    <s v="b0fvf51vyj"/>
    <x v="1250"/>
    <n v="1"/>
    <n v="3.5714000000000003E-2"/>
    <n v="0.62"/>
    <n v="0.62"/>
    <n v="0"/>
    <m/>
    <n v="0"/>
    <n v="0"/>
    <n v="0"/>
    <n v="0"/>
    <n v="0"/>
    <n v="0"/>
    <n v="0"/>
    <n v="0"/>
    <m/>
  </r>
  <r>
    <x v="4"/>
    <x v="21"/>
    <d v="2026-05-29T00:00:00"/>
    <s v="USD"/>
    <s v="SP.ASIN.Manual - Tray"/>
    <x v="13"/>
    <s v="Amazon"/>
    <s v="United States"/>
    <s v="asin=&quot;B0FVF51VYJ&quot;"/>
    <s v="-"/>
    <s v="b0fvf51vyj"/>
    <x v="1251"/>
    <n v="2"/>
    <n v="1.7094000000000002E-2"/>
    <n v="0.62"/>
    <n v="1.24"/>
    <n v="0"/>
    <m/>
    <n v="0"/>
    <n v="0"/>
    <n v="0"/>
    <n v="0"/>
    <n v="0"/>
    <n v="0"/>
    <n v="0"/>
    <n v="0"/>
    <m/>
  </r>
  <r>
    <x v="4"/>
    <x v="22"/>
    <d v="2026-05-31T00:00:00"/>
    <s v="USD"/>
    <s v="SP.ASIN.Manual - Tray"/>
    <x v="13"/>
    <s v="Amazon"/>
    <s v="United States"/>
    <s v="asin=&quot;B0FVF51VYJ&quot;"/>
    <s v="-"/>
    <s v="b0fvf51vyj"/>
    <x v="1223"/>
    <n v="1"/>
    <n v="6.25E-2"/>
    <n v="0.62"/>
    <n v="0.62"/>
    <n v="0"/>
    <m/>
    <n v="0"/>
    <n v="0"/>
    <n v="0"/>
    <n v="0"/>
    <n v="0"/>
    <n v="0"/>
    <n v="0"/>
    <n v="0"/>
    <m/>
  </r>
  <r>
    <x v="4"/>
    <x v="19"/>
    <d v="2026-05-22T00:00:00"/>
    <s v="USD"/>
    <s v="SP.ASIN.Manual - Tray"/>
    <x v="13"/>
    <s v="Amazon"/>
    <s v="United States"/>
    <s v="asin=&quot;B0GGZQD6WS&quot;"/>
    <s v="-"/>
    <s v="b0ggzqd6ws"/>
    <x v="1248"/>
    <n v="1"/>
    <n v="2.7778000000000001E-2"/>
    <n v="0.48"/>
    <n v="0.48"/>
    <n v="0"/>
    <m/>
    <n v="0"/>
    <n v="0"/>
    <n v="0"/>
    <n v="0"/>
    <n v="0"/>
    <n v="0"/>
    <n v="0"/>
    <n v="0"/>
    <m/>
  </r>
  <r>
    <x v="4"/>
    <x v="19"/>
    <d v="2026-05-23T00:00:00"/>
    <s v="USD"/>
    <s v="SP.ASIN.Manual - Tray"/>
    <x v="13"/>
    <s v="Amazon"/>
    <s v="United States"/>
    <s v="asin=&quot;B0GGZQD6WS&quot;"/>
    <s v="-"/>
    <s v="b0ggzqd6ws"/>
    <x v="1252"/>
    <n v="1"/>
    <n v="1.4925000000000001E-2"/>
    <n v="0.48"/>
    <n v="0.48"/>
    <n v="0"/>
    <m/>
    <n v="0"/>
    <n v="0"/>
    <n v="0"/>
    <n v="0"/>
    <n v="0"/>
    <n v="0"/>
    <n v="0"/>
    <n v="0"/>
    <m/>
  </r>
  <r>
    <x v="4"/>
    <x v="21"/>
    <d v="2026-05-24T00:00:00"/>
    <s v="USD"/>
    <s v="SP.Auto - Tray"/>
    <x v="12"/>
    <s v="Amazon"/>
    <s v="United States"/>
    <s v="loose-match"/>
    <s v="-"/>
    <s v="baby jogger city select 2 snack tray"/>
    <x v="1171"/>
    <n v="1"/>
    <n v="0.25"/>
    <n v="0.16"/>
    <n v="0.16"/>
    <n v="0"/>
    <m/>
    <n v="0"/>
    <n v="0"/>
    <n v="0"/>
    <n v="0"/>
    <n v="0"/>
    <n v="0"/>
    <n v="0"/>
    <n v="0"/>
    <m/>
  </r>
  <r>
    <x v="4"/>
    <x v="21"/>
    <d v="2026-05-25T00:00:00"/>
    <s v="USD"/>
    <s v="捡漏SP.Keyword.Mannual - Tray"/>
    <x v="11"/>
    <s v="Amazon"/>
    <s v="United States"/>
    <s v="stroller snack tray"/>
    <s v="BROAD"/>
    <s v="baby jogger snack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1"/>
    <d v="2026-05-30T00:00:00"/>
    <s v="USD"/>
    <s v="捡漏SP.Manual - BNF.Fixed"/>
    <x v="16"/>
    <s v="Amazon"/>
    <s v="United States"/>
    <s v="baby nail trimmer"/>
    <s v="PHRASE"/>
    <s v="baby nail trimmer"/>
    <x v="1171"/>
    <n v="1"/>
    <n v="0.25"/>
    <n v="0.65"/>
    <n v="0.65"/>
    <n v="0"/>
    <m/>
    <n v="0"/>
    <n v="0"/>
    <n v="0"/>
    <n v="0"/>
    <n v="0"/>
    <n v="0"/>
    <n v="0"/>
    <n v="0"/>
    <m/>
  </r>
  <r>
    <x v="4"/>
    <x v="21"/>
    <d v="2026-05-27T00:00:00"/>
    <s v="USD"/>
    <s v="SP.Auto - BNF Fixed"/>
    <x v="15"/>
    <s v="Amazon"/>
    <s v="United States"/>
    <s v="close-match"/>
    <s v="-"/>
    <s v="baby nail trimmer"/>
    <x v="1213"/>
    <n v="1"/>
    <n v="3.4483E-2"/>
    <n v="0.91"/>
    <n v="0.91"/>
    <n v="0"/>
    <m/>
    <n v="0"/>
    <n v="0"/>
    <n v="0"/>
    <n v="0"/>
    <n v="0"/>
    <n v="0"/>
    <n v="0"/>
    <n v="0"/>
    <m/>
  </r>
  <r>
    <x v="4"/>
    <x v="21"/>
    <d v="2026-05-29T00:00:00"/>
    <s v="USD"/>
    <s v="SP.Auto - BNF Fixed"/>
    <x v="15"/>
    <s v="Amazon"/>
    <s v="United States"/>
    <s v="close-match"/>
    <s v="-"/>
    <s v="baby nail trimmer electric"/>
    <x v="1253"/>
    <n v="1"/>
    <n v="7.1939999999999999E-3"/>
    <n v="1.02"/>
    <n v="1.02"/>
    <n v="0"/>
    <m/>
    <n v="0"/>
    <n v="0"/>
    <n v="0"/>
    <n v="0"/>
    <n v="0"/>
    <n v="0"/>
    <n v="0"/>
    <n v="0"/>
    <m/>
  </r>
  <r>
    <x v="4"/>
    <x v="21"/>
    <d v="2026-05-30T00:00:00"/>
    <s v="USD"/>
    <s v="捡漏SP.Manual - BNF.Fixed"/>
    <x v="16"/>
    <s v="Amazon"/>
    <s v="United States"/>
    <s v="baby nail trimmer electric"/>
    <s v="PHRASE"/>
    <s v="baby nail trimmer electric rechargeable"/>
    <x v="1174"/>
    <n v="1"/>
    <n v="0.2"/>
    <n v="0.65"/>
    <n v="0.65"/>
    <n v="0"/>
    <m/>
    <n v="0"/>
    <n v="0"/>
    <n v="0"/>
    <n v="0"/>
    <n v="0"/>
    <n v="0"/>
    <n v="0"/>
    <n v="0"/>
    <m/>
  </r>
  <r>
    <x v="4"/>
    <x v="19"/>
    <d v="2026-05-22T00:00:00"/>
    <s v="USD"/>
    <s v="捡漏SP.Keyword.Mannual - Tray"/>
    <x v="11"/>
    <s v="Amazon"/>
    <s v="United States"/>
    <s v="stroller tray"/>
    <s v="BROAD"/>
    <s v="baby trend expedition double jogger stroller tray add on"/>
    <x v="1169"/>
    <n v="1"/>
    <n v="1"/>
    <n v="0.08"/>
    <n v="0.08"/>
    <n v="0"/>
    <m/>
    <n v="0"/>
    <n v="0"/>
    <n v="0"/>
    <n v="0"/>
    <n v="0"/>
    <n v="0"/>
    <n v="0"/>
    <n v="0"/>
    <m/>
  </r>
  <r>
    <x v="4"/>
    <x v="21"/>
    <d v="2026-05-28T00:00:00"/>
    <s v="USD"/>
    <s v="捡漏SP.Keyword.Mannual - Tray"/>
    <x v="11"/>
    <s v="Amazon"/>
    <s v="United States"/>
    <s v="stroller tray"/>
    <s v="BROAD"/>
    <s v="baby trend stroller snack tray"/>
    <x v="1169"/>
    <n v="1"/>
    <n v="1"/>
    <n v="0.08"/>
    <n v="0.08"/>
    <n v="0"/>
    <m/>
    <n v="0"/>
    <n v="0"/>
    <n v="0"/>
    <n v="0"/>
    <n v="0"/>
    <n v="0"/>
    <n v="0"/>
    <n v="0"/>
    <m/>
  </r>
  <r>
    <x v="4"/>
    <x v="22"/>
    <d v="2026-05-31T00:00:00"/>
    <s v="USD"/>
    <s v="捡漏SP.Keyword.Mannual - Tray"/>
    <x v="11"/>
    <s v="Amazon"/>
    <s v="United States"/>
    <s v="stroller cup holder"/>
    <s v="BROAD"/>
    <s v="baby trend wagon accessories cup holder"/>
    <x v="1169"/>
    <n v="1"/>
    <n v="1"/>
    <n v="0.21"/>
    <n v="0.21"/>
    <n v="17.47"/>
    <n v="1.2021E-2"/>
    <n v="83.19"/>
    <n v="1"/>
    <n v="1"/>
    <n v="1"/>
    <n v="1"/>
    <n v="0"/>
    <n v="17.47"/>
    <n v="0"/>
    <m/>
  </r>
  <r>
    <x v="4"/>
    <x v="19"/>
    <d v="2026-05-23T00:00:00"/>
    <s v="USD"/>
    <s v="捡漏SP.Keyword.Mannual - Tray"/>
    <x v="11"/>
    <s v="Amazon"/>
    <s v="United States"/>
    <s v="stroller tray attachment"/>
    <s v="BROAD"/>
    <s v="babytrend stroller attachment tray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4"/>
    <x v="21"/>
    <d v="2026-05-27T00:00:00"/>
    <s v="USD"/>
    <s v="捡漏SP.Keyword.Mannual - Tray"/>
    <x v="11"/>
    <s v="Amazon"/>
    <s v="United States"/>
    <s v="snack tray for stroller"/>
    <s v="BROAD"/>
    <s v="bob gear snack tray duallie jogging strollers"/>
    <x v="1169"/>
    <n v="1"/>
    <n v="1"/>
    <n v="0.2"/>
    <n v="0.2"/>
    <n v="0"/>
    <m/>
    <n v="0"/>
    <n v="0"/>
    <n v="0"/>
    <n v="0"/>
    <n v="0"/>
    <n v="0"/>
    <n v="0"/>
    <n v="0"/>
    <m/>
  </r>
  <r>
    <x v="4"/>
    <x v="21"/>
    <d v="2026-05-25T00:00:00"/>
    <s v="USD"/>
    <s v="捡漏SP.Keyword.Mannual - Tray"/>
    <x v="11"/>
    <s v="Amazon"/>
    <s v="United States"/>
    <s v="stroller snack tray"/>
    <s v="BROAD"/>
    <s v="bob se snack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1"/>
    <d v="2026-05-24T00:00:00"/>
    <s v="USD"/>
    <s v="SP.Auto - Tray"/>
    <x v="12"/>
    <s v="Amazon"/>
    <s v="United States"/>
    <s v="loose-match"/>
    <s v="-"/>
    <s v="booster seat cup holder attachment"/>
    <x v="1171"/>
    <n v="1"/>
    <n v="0.25"/>
    <n v="0.54"/>
    <n v="0.54"/>
    <n v="0"/>
    <m/>
    <n v="0"/>
    <n v="0"/>
    <n v="0"/>
    <n v="0"/>
    <n v="0"/>
    <n v="0"/>
    <n v="0"/>
    <n v="0"/>
    <m/>
  </r>
  <r>
    <x v="4"/>
    <x v="19"/>
    <d v="2026-05-22T00:00:00"/>
    <s v="USD"/>
    <s v="捡漏SP.Keyword.Mannual - Tray"/>
    <x v="11"/>
    <s v="Amazon"/>
    <s v="United States"/>
    <s v="stroller tray"/>
    <s v="BROAD"/>
    <s v="bpa free snack tray for stroller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19"/>
    <d v="2026-05-22T00:00:00"/>
    <s v="USD"/>
    <s v="捡漏SP.Keyword.Mannual - Tray"/>
    <x v="11"/>
    <s v="Amazon"/>
    <s v="United States"/>
    <s v="snack tray for stroller"/>
    <s v="BROAD"/>
    <s v="britax snack tray for b-agile stroller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1"/>
    <d v="2026-05-25T00:00:00"/>
    <s v="USD"/>
    <s v="捡漏SP.Keyword.Mannual - Tray"/>
    <x v="11"/>
    <s v="Amazon"/>
    <s v="United States"/>
    <s v="stroller accessories"/>
    <s v="BROAD"/>
    <s v="chicco stroller accessories"/>
    <x v="1169"/>
    <n v="1"/>
    <n v="1"/>
    <n v="0.16"/>
    <n v="0.16"/>
    <n v="0"/>
    <m/>
    <n v="0"/>
    <n v="0"/>
    <n v="0"/>
    <n v="0"/>
    <n v="0"/>
    <n v="0"/>
    <n v="0"/>
    <n v="0"/>
    <m/>
  </r>
  <r>
    <x v="4"/>
    <x v="21"/>
    <d v="2026-05-24T00:00:00"/>
    <s v="USD"/>
    <s v="捡漏SP.Keyword.Mannual - Tray"/>
    <x v="11"/>
    <s v="Amazon"/>
    <s v="United States"/>
    <s v="snack tray for stroller"/>
    <s v="BROAD"/>
    <s v="city mini double stroller snack tray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21"/>
    <d v="2026-05-24T00:00:00"/>
    <s v="USD"/>
    <s v="SP.Auto - Tray"/>
    <x v="12"/>
    <s v="Amazon"/>
    <s v="United States"/>
    <s v="loose-match"/>
    <s v="-"/>
    <s v="city mini gt 2 double snack tray"/>
    <x v="1168"/>
    <n v="1"/>
    <n v="0.5"/>
    <n v="0.1"/>
    <n v="0.1"/>
    <n v="0"/>
    <m/>
    <n v="0"/>
    <n v="0"/>
    <n v="0"/>
    <n v="0"/>
    <n v="0"/>
    <n v="0"/>
    <n v="0"/>
    <n v="0"/>
    <m/>
  </r>
  <r>
    <x v="4"/>
    <x v="19"/>
    <d v="2026-05-22T00:00:00"/>
    <s v="USD"/>
    <s v="捡漏SP.Keyword.Mannual - Tray"/>
    <x v="11"/>
    <s v="Amazon"/>
    <s v="United States"/>
    <s v="stroller tray"/>
    <s v="BROAD"/>
    <s v="clamping stroller tray"/>
    <x v="1168"/>
    <n v="1"/>
    <n v="0.5"/>
    <n v="0.4"/>
    <n v="0.4"/>
    <n v="0"/>
    <m/>
    <n v="0"/>
    <n v="0"/>
    <n v="0"/>
    <n v="0"/>
    <n v="0"/>
    <n v="0"/>
    <n v="0"/>
    <n v="0"/>
    <m/>
  </r>
  <r>
    <x v="4"/>
    <x v="21"/>
    <d v="2026-05-27T00:00:00"/>
    <s v="USD"/>
    <s v="捡漏SP.Keyword.Mannual - Tray"/>
    <x v="11"/>
    <s v="Amazon"/>
    <s v="United States"/>
    <s v="clip on snack tray"/>
    <s v="BROAD"/>
    <s v="clip on side snack tray"/>
    <x v="1169"/>
    <n v="1"/>
    <n v="1"/>
    <n v="0.08"/>
    <n v="0.08"/>
    <n v="0"/>
    <m/>
    <n v="0"/>
    <n v="0"/>
    <n v="0"/>
    <n v="0"/>
    <n v="0"/>
    <n v="0"/>
    <n v="0"/>
    <n v="0"/>
    <m/>
  </r>
  <r>
    <x v="4"/>
    <x v="21"/>
    <d v="2026-05-30T00:00:00"/>
    <s v="USD"/>
    <s v="捡漏SP.Keyword.Mannual - Tray"/>
    <x v="11"/>
    <s v="Amazon"/>
    <s v="United States"/>
    <s v="stroller attachment"/>
    <s v="BROAD"/>
    <s v="cup attachment for silver cross double stroller"/>
    <x v="1169"/>
    <n v="1"/>
    <n v="1"/>
    <n v="0.21"/>
    <n v="0.21"/>
    <n v="17.47"/>
    <n v="1.2021E-2"/>
    <n v="83.19"/>
    <n v="1"/>
    <n v="1"/>
    <n v="1"/>
    <n v="1"/>
    <n v="0"/>
    <n v="17.47"/>
    <n v="0"/>
    <m/>
  </r>
  <r>
    <x v="4"/>
    <x v="21"/>
    <d v="2026-05-30T00:00:00"/>
    <s v="USD"/>
    <s v="捡漏SP.Keyword.Mannual - Tray"/>
    <x v="11"/>
    <s v="Amazon"/>
    <s v="United States"/>
    <s v="stroller cup holder"/>
    <s v="BROAD"/>
    <s v="cup holder for stroller"/>
    <x v="1220"/>
    <n v="1"/>
    <n v="0.1"/>
    <n v="0.2"/>
    <n v="0.2"/>
    <n v="0"/>
    <m/>
    <n v="0"/>
    <n v="0"/>
    <n v="0"/>
    <n v="0"/>
    <n v="0"/>
    <n v="0"/>
    <n v="0"/>
    <n v="0"/>
    <m/>
  </r>
  <r>
    <x v="4"/>
    <x v="21"/>
    <d v="2026-05-24T00:00:00"/>
    <s v="USD"/>
    <s v="SP.Auto - Tray"/>
    <x v="12"/>
    <s v="Amazon"/>
    <s v="United States"/>
    <s v="loose-match"/>
    <s v="-"/>
    <s v="cup holders for wagon strollers"/>
    <x v="1170"/>
    <n v="1"/>
    <n v="0.33333299999999999"/>
    <n v="0.54"/>
    <n v="0.54"/>
    <n v="0"/>
    <m/>
    <n v="0"/>
    <n v="0"/>
    <n v="0"/>
    <n v="0"/>
    <n v="0"/>
    <n v="0"/>
    <n v="0"/>
    <n v="0"/>
    <m/>
  </r>
  <r>
    <x v="4"/>
    <x v="21"/>
    <d v="2026-05-24T00:00:00"/>
    <s v="USD"/>
    <s v="捡漏SP.Keyword.Mannual - Tray"/>
    <x v="11"/>
    <s v="Amazon"/>
    <s v="United States"/>
    <s v="stroller snack tray"/>
    <s v="BROAD"/>
    <s v="cybex snack tray"/>
    <x v="1169"/>
    <n v="1"/>
    <n v="1"/>
    <n v="0.08"/>
    <n v="0.08"/>
    <n v="17.47"/>
    <n v="4.5789999999999997E-3"/>
    <n v="218.38"/>
    <n v="1"/>
    <n v="1"/>
    <n v="1"/>
    <n v="1"/>
    <n v="0"/>
    <n v="17.47"/>
    <n v="0"/>
    <m/>
  </r>
  <r>
    <x v="4"/>
    <x v="21"/>
    <d v="2026-05-25T00:00:00"/>
    <s v="USD"/>
    <s v="捡漏SP.Keyword.Mannual - Tray"/>
    <x v="11"/>
    <s v="Amazon"/>
    <s v="United States"/>
    <s v="stroller wagon child cup holder"/>
    <s v="BROAD"/>
    <s v="diono cup holder"/>
    <x v="1168"/>
    <n v="1"/>
    <n v="0.5"/>
    <n v="0.2"/>
    <n v="0.2"/>
    <n v="0"/>
    <m/>
    <n v="0"/>
    <n v="0"/>
    <n v="0"/>
    <n v="0"/>
    <n v="0"/>
    <n v="0"/>
    <n v="0"/>
    <n v="0"/>
    <m/>
  </r>
  <r>
    <x v="4"/>
    <x v="21"/>
    <d v="2026-05-30T00:00:00"/>
    <s v="USD"/>
    <s v="捡漏SP.Keyword.Mannual - Tray"/>
    <x v="11"/>
    <s v="Amazon"/>
    <s v="United States"/>
    <s v="jeep double stroller snack tray"/>
    <s v="BROAD"/>
    <s v="double joovy tray attachment"/>
    <x v="1169"/>
    <n v="1"/>
    <n v="1"/>
    <n v="0.4"/>
    <n v="0.4"/>
    <n v="0"/>
    <m/>
    <n v="0"/>
    <n v="0"/>
    <n v="0"/>
    <n v="0"/>
    <n v="0"/>
    <n v="0"/>
    <n v="0"/>
    <n v="0"/>
    <m/>
  </r>
  <r>
    <x v="4"/>
    <x v="21"/>
    <d v="2026-05-24T00:00:00"/>
    <s v="USD"/>
    <s v="SP.Auto - Tray"/>
    <x v="12"/>
    <s v="Amazon"/>
    <s v="United States"/>
    <s v="loose-match"/>
    <s v="-"/>
    <s v="double stroller"/>
    <x v="1170"/>
    <n v="1"/>
    <n v="0.33333299999999999"/>
    <n v="0.54"/>
    <n v="0.54"/>
    <n v="0"/>
    <m/>
    <n v="0"/>
    <n v="0"/>
    <n v="0"/>
    <n v="0"/>
    <n v="0"/>
    <n v="0"/>
    <n v="0"/>
    <n v="0"/>
    <m/>
  </r>
  <r>
    <x v="4"/>
    <x v="21"/>
    <d v="2026-05-28T00:00:00"/>
    <s v="USD"/>
    <s v="捡漏SP.Keyword.Mannual - Tray"/>
    <x v="11"/>
    <s v="Amazon"/>
    <s v="United States"/>
    <s v="stroller cup holder"/>
    <s v="BROAD"/>
    <s v="double stroller cup holder for jeep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1"/>
    <d v="2026-05-25T00:00:00"/>
    <s v="USD"/>
    <s v="捡漏SP.Keyword.Mannual - Tray"/>
    <x v="11"/>
    <s v="Amazon"/>
    <s v="United States"/>
    <s v="stroller tray attachment"/>
    <s v="BROAD"/>
    <s v="double stroller food tray attachment"/>
    <x v="1169"/>
    <n v="1"/>
    <n v="1"/>
    <n v="0.2"/>
    <n v="0.2"/>
    <n v="0"/>
    <m/>
    <n v="0"/>
    <n v="0"/>
    <n v="0"/>
    <n v="0"/>
    <n v="0"/>
    <n v="0"/>
    <n v="0"/>
    <n v="0"/>
    <m/>
  </r>
  <r>
    <x v="4"/>
    <x v="21"/>
    <d v="2026-05-27T00:00:00"/>
    <s v="USD"/>
    <s v="SP.Auto - BNF Fixed"/>
    <x v="15"/>
    <s v="Amazon"/>
    <s v="United States"/>
    <s v="loose-match"/>
    <s v="-"/>
    <s v="dr brown bottles"/>
    <x v="1254"/>
    <n v="1"/>
    <n v="3.48E-4"/>
    <n v="0.74"/>
    <n v="0.74"/>
    <n v="0"/>
    <m/>
    <n v="0"/>
    <n v="0"/>
    <n v="0"/>
    <n v="0"/>
    <n v="0"/>
    <n v="0"/>
    <n v="0"/>
    <n v="0"/>
    <m/>
  </r>
  <r>
    <x v="4"/>
    <x v="21"/>
    <d v="2026-05-26T00:00:00"/>
    <s v="USD"/>
    <s v="捡漏SP.Keyword.Mannual - Tray"/>
    <x v="11"/>
    <s v="Amazon"/>
    <s v="United States"/>
    <s v="stroller attachment"/>
    <s v="BROAD"/>
    <s v="drink carrier stroller attachment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1"/>
    <d v="2026-05-24T00:00:00"/>
    <s v="USD"/>
    <s v="捡漏SP.Manual - BNF.Fixed"/>
    <x v="16"/>
    <s v="Amazon"/>
    <s v="United States"/>
    <s v="electric nail file baby"/>
    <s v="EXACT"/>
    <s v="electric nail file baby"/>
    <x v="1169"/>
    <n v="1"/>
    <n v="1"/>
    <n v="0.65"/>
    <n v="0.65"/>
    <n v="0"/>
    <m/>
    <n v="0"/>
    <n v="0"/>
    <n v="0"/>
    <n v="0"/>
    <n v="0"/>
    <n v="0"/>
    <n v="0"/>
    <n v="0"/>
    <m/>
  </r>
  <r>
    <x v="4"/>
    <x v="21"/>
    <d v="2026-05-27T00:00:00"/>
    <s v="USD"/>
    <s v="SP.Auto - ENC Fixed"/>
    <x v="14"/>
    <s v="Amazon"/>
    <s v="United States"/>
    <s v="close-match"/>
    <s v="-"/>
    <s v="fingernail clipper"/>
    <x v="1170"/>
    <n v="1"/>
    <n v="0.33333299999999999"/>
    <n v="1.2"/>
    <n v="1.2"/>
    <n v="0"/>
    <m/>
    <n v="0"/>
    <n v="0"/>
    <n v="0"/>
    <n v="0"/>
    <n v="0"/>
    <n v="0"/>
    <n v="0"/>
    <n v="0"/>
    <m/>
  </r>
  <r>
    <x v="4"/>
    <x v="21"/>
    <d v="2026-05-24T00:00:00"/>
    <s v="USD"/>
    <s v="捡漏SP.Manual - BNF.Fixed"/>
    <x v="16"/>
    <s v="Amazon"/>
    <s v="United States"/>
    <s v="nail trimmer for baby"/>
    <s v="PHRASE"/>
    <s v="frida nail trimmer for baby"/>
    <x v="1168"/>
    <n v="1"/>
    <n v="0.5"/>
    <n v="0.65"/>
    <n v="0.65"/>
    <n v="0"/>
    <m/>
    <n v="0"/>
    <n v="0"/>
    <n v="0"/>
    <n v="0"/>
    <n v="0"/>
    <n v="0"/>
    <n v="0"/>
    <n v="0"/>
    <m/>
  </r>
  <r>
    <x v="4"/>
    <x v="21"/>
    <d v="2026-05-24T00:00:00"/>
    <s v="USD"/>
    <s v="捡漏SP.Keyword.Mannual - Tray"/>
    <x v="11"/>
    <s v="Amazon"/>
    <s v="United States"/>
    <s v="stroller snack tray"/>
    <s v="BROAD"/>
    <s v="graco breaze snack tray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21"/>
    <d v="2026-05-30T00:00:00"/>
    <s v="USD"/>
    <s v="捡漏SP.Keyword.Mannual - Tray"/>
    <x v="11"/>
    <s v="Amazon"/>
    <s v="United States"/>
    <s v="stroller cup holder"/>
    <s v="BROAD"/>
    <s v="ingenuity 3d mini convenience stroller baby cup holder"/>
    <x v="1169"/>
    <n v="1"/>
    <n v="1"/>
    <n v="0.16"/>
    <n v="0.16"/>
    <n v="0"/>
    <m/>
    <n v="0"/>
    <n v="0"/>
    <n v="0"/>
    <n v="0"/>
    <n v="0"/>
    <n v="0"/>
    <n v="0"/>
    <n v="0"/>
    <m/>
  </r>
  <r>
    <x v="4"/>
    <x v="21"/>
    <d v="2026-05-27T00:00:00"/>
    <s v="USD"/>
    <s v="捡漏SP.Keyword.Mannual - Tray"/>
    <x v="11"/>
    <s v="Amazon"/>
    <s v="United States"/>
    <s v="snack tray for stroller"/>
    <s v="BROAD"/>
    <s v="ingenuity 3d mini stroller snack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1"/>
    <d v="2026-05-30T00:00:00"/>
    <s v="USD"/>
    <s v="捡漏SP.Keyword.Mannual - Tray"/>
    <x v="11"/>
    <s v="Amazon"/>
    <s v="United States"/>
    <s v="stroller snack tray"/>
    <s v="BROAD"/>
    <s v="ingenuity stroller snack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9"/>
    <d v="2026-05-23T00:00:00"/>
    <s v="USD"/>
    <s v="捡漏SP.Keyword.Mannual - Tray"/>
    <x v="11"/>
    <s v="Amazon"/>
    <s v="United States"/>
    <s v="stroller cup holder"/>
    <s v="BROAD"/>
    <s v="jeep double stroller cup holder snaps in to kids bar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1"/>
    <d v="2026-05-30T00:00:00"/>
    <s v="USD"/>
    <s v="捡漏SP.Keyword.Mannual - Tray"/>
    <x v="11"/>
    <s v="Amazon"/>
    <s v="United States"/>
    <s v="stroller attachment"/>
    <s v="BROAD"/>
    <s v="jeep power glyde stroller attachments"/>
    <x v="1169"/>
    <n v="1"/>
    <n v="1"/>
    <n v="0.08"/>
    <n v="0.08"/>
    <n v="0"/>
    <m/>
    <n v="0"/>
    <n v="0"/>
    <n v="0"/>
    <n v="0"/>
    <n v="0"/>
    <n v="0"/>
    <n v="0"/>
    <n v="0"/>
    <m/>
  </r>
  <r>
    <x v="4"/>
    <x v="19"/>
    <d v="2026-05-22T00:00:00"/>
    <s v="USD"/>
    <s v="捡漏SP.Keyword.Mannual - Tray"/>
    <x v="11"/>
    <s v="Amazon"/>
    <s v="United States"/>
    <s v="stroller tray"/>
    <s v="BROAD"/>
    <s v="jeep powerglyde lightweight stroller snack tray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21"/>
    <d v="2026-05-29T00:00:00"/>
    <s v="USD"/>
    <s v="捡漏SP.Keyword.Mannual - Tray"/>
    <x v="11"/>
    <s v="Amazon"/>
    <s v="United States"/>
    <s v="cup holder for stroller"/>
    <s v="BROAD"/>
    <s v="lightweight stroller organizer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19"/>
    <d v="2026-05-22T00:00:00"/>
    <s v="USD"/>
    <s v="捡漏SP.Keyword.Mannual - Tray"/>
    <x v="16"/>
    <s v="Amazon"/>
    <s v="United States"/>
    <s v="universal snack tray"/>
    <s v="PHRASE"/>
    <s v="luffcabo universal snack tray"/>
    <x v="1168"/>
    <n v="1"/>
    <n v="0.5"/>
    <n v="0.03"/>
    <n v="0.03"/>
    <n v="0"/>
    <m/>
    <n v="0"/>
    <n v="0"/>
    <n v="0"/>
    <n v="0"/>
    <n v="0"/>
    <n v="0"/>
    <n v="0"/>
    <n v="0"/>
    <m/>
  </r>
  <r>
    <x v="4"/>
    <x v="21"/>
    <d v="2026-05-24T00:00:00"/>
    <s v="USD"/>
    <s v="捡漏SP.Manual - ENC.Fixed"/>
    <x v="17"/>
    <s v="Amazon"/>
    <s v="United States"/>
    <s v="nail filer electric"/>
    <s v="BROAD"/>
    <s v="nail filer electric"/>
    <x v="1169"/>
    <n v="1"/>
    <n v="1"/>
    <n v="0.65"/>
    <n v="0.65"/>
    <n v="0"/>
    <m/>
    <n v="0"/>
    <n v="0"/>
    <n v="0"/>
    <n v="0"/>
    <n v="0"/>
    <n v="0"/>
    <n v="0"/>
    <n v="0"/>
    <m/>
  </r>
  <r>
    <x v="4"/>
    <x v="19"/>
    <d v="2026-05-23T00:00:00"/>
    <s v="USD"/>
    <s v="SP.Auto - ENC Fixed"/>
    <x v="14"/>
    <s v="Amazon"/>
    <s v="United States"/>
    <s v="close-match"/>
    <s v="-"/>
    <s v="nail light"/>
    <x v="1210"/>
    <n v="1"/>
    <n v="4.7619000000000002E-2"/>
    <n v="1.3"/>
    <n v="1.3"/>
    <n v="0"/>
    <m/>
    <n v="0"/>
    <n v="0"/>
    <n v="0"/>
    <n v="0"/>
    <n v="0"/>
    <n v="0"/>
    <n v="0"/>
    <n v="0"/>
    <m/>
  </r>
  <r>
    <x v="4"/>
    <x v="19"/>
    <d v="2026-05-23T00:00:00"/>
    <s v="USD"/>
    <s v="SP.Auto - ENC Fixed"/>
    <x v="14"/>
    <s v="Amazon"/>
    <s v="United States"/>
    <s v="close-match"/>
    <s v="-"/>
    <s v="nail shop printer"/>
    <x v="1169"/>
    <n v="1"/>
    <n v="1"/>
    <n v="1"/>
    <n v="1"/>
    <n v="0"/>
    <m/>
    <n v="0"/>
    <n v="0"/>
    <n v="0"/>
    <n v="0"/>
    <n v="0"/>
    <n v="0"/>
    <n v="0"/>
    <n v="0"/>
    <m/>
  </r>
  <r>
    <x v="4"/>
    <x v="22"/>
    <d v="2026-05-31T00:00:00"/>
    <s v="USD"/>
    <s v="捡漏SP.Keyword.Mannual - Tray"/>
    <x v="11"/>
    <s v="Amazon"/>
    <s v="United States"/>
    <s v="stroller snack tray"/>
    <s v="BROAD"/>
    <s v="nuna mixx snack tray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4"/>
    <x v="21"/>
    <d v="2026-05-25T00:00:00"/>
    <s v="USD"/>
    <s v="捡漏SP.Keyword.Mannual - Tray"/>
    <x v="11"/>
    <s v="Amazon"/>
    <s v="United States"/>
    <s v="stroller tray"/>
    <s v="BROAD"/>
    <s v="nuna snack tray for stroller"/>
    <x v="1169"/>
    <n v="1"/>
    <n v="1"/>
    <n v="0.08"/>
    <n v="0.08"/>
    <n v="17.47"/>
    <n v="4.5789999999999997E-3"/>
    <n v="218.38"/>
    <n v="1"/>
    <n v="1"/>
    <n v="1"/>
    <n v="1"/>
    <n v="0"/>
    <n v="17.47"/>
    <n v="0"/>
    <m/>
  </r>
  <r>
    <x v="4"/>
    <x v="21"/>
    <d v="2026-05-28T00:00:00"/>
    <s v="USD"/>
    <s v="捡漏SP.Keyword.Mannual - Tray"/>
    <x v="11"/>
    <s v="Amazon"/>
    <s v="United States"/>
    <s v="stroller tray"/>
    <s v="BROAD"/>
    <s v="nuna stroller snack tray"/>
    <x v="1169"/>
    <n v="1"/>
    <n v="1"/>
    <n v="0.08"/>
    <n v="0.08"/>
    <n v="0"/>
    <m/>
    <n v="0"/>
    <n v="0"/>
    <n v="0"/>
    <n v="0"/>
    <n v="0"/>
    <n v="0"/>
    <n v="0"/>
    <n v="0"/>
    <m/>
  </r>
  <r>
    <x v="4"/>
    <x v="21"/>
    <d v="2026-05-26T00:00:00"/>
    <s v="USD"/>
    <s v="SP.Auto - BNF Fixed"/>
    <x v="15"/>
    <s v="Amazon"/>
    <s v="United States"/>
    <s v="loose-match"/>
    <s v="-"/>
    <s v="oh baby nail clipper"/>
    <x v="1168"/>
    <n v="1"/>
    <n v="0.5"/>
    <n v="2.9"/>
    <n v="2.9"/>
    <n v="0"/>
    <m/>
    <n v="0"/>
    <n v="0"/>
    <n v="0"/>
    <n v="0"/>
    <n v="0"/>
    <n v="0"/>
    <n v="0"/>
    <n v="0"/>
    <m/>
  </r>
  <r>
    <x v="4"/>
    <x v="21"/>
    <d v="2026-05-26T00:00:00"/>
    <s v="USD"/>
    <s v="捡漏SP.Keyword.Mannual - Tray"/>
    <x v="11"/>
    <s v="Amazon"/>
    <s v="United States"/>
    <s v="stroller cup holder"/>
    <s v="BROAD"/>
    <s v="plastic caddy for stroller"/>
    <x v="1174"/>
    <n v="2"/>
    <n v="0.4"/>
    <n v="0.21"/>
    <n v="0.42"/>
    <n v="0"/>
    <m/>
    <n v="0"/>
    <n v="0"/>
    <n v="0"/>
    <n v="0"/>
    <n v="0"/>
    <n v="0"/>
    <n v="0"/>
    <n v="0"/>
    <m/>
  </r>
  <r>
    <x v="4"/>
    <x v="21"/>
    <d v="2026-05-28T00:00:00"/>
    <s v="USD"/>
    <s v="捡漏SP.Keyword.Mannual - Tray"/>
    <x v="16"/>
    <s v="Amazon"/>
    <s v="United States"/>
    <s v="snack tray for stroller"/>
    <s v="PHRASE"/>
    <s v="side mounted snack tray for stroller"/>
    <x v="1169"/>
    <n v="1"/>
    <n v="1"/>
    <n v="0.21"/>
    <n v="0.21"/>
    <n v="17.47"/>
    <n v="1.2021E-2"/>
    <n v="83.19"/>
    <n v="1"/>
    <n v="1"/>
    <n v="1"/>
    <n v="1"/>
    <n v="0"/>
    <n v="17.47"/>
    <n v="0"/>
    <m/>
  </r>
  <r>
    <x v="4"/>
    <x v="21"/>
    <d v="2026-05-28T00:00:00"/>
    <s v="USD"/>
    <s v="捡漏SP.Keyword.Mannual - Tray"/>
    <x v="11"/>
    <s v="Amazon"/>
    <s v="United States"/>
    <s v="stroller attachment"/>
    <s v="BROAD"/>
    <s v="snack attachment for stroller"/>
    <x v="1171"/>
    <n v="1"/>
    <n v="0.25"/>
    <n v="0.21"/>
    <n v="0.21"/>
    <n v="0"/>
    <m/>
    <n v="0"/>
    <n v="0"/>
    <n v="0"/>
    <n v="0"/>
    <n v="0"/>
    <n v="0"/>
    <n v="0"/>
    <n v="0"/>
    <m/>
  </r>
  <r>
    <x v="4"/>
    <x v="21"/>
    <d v="2026-05-27T00:00:00"/>
    <s v="USD"/>
    <s v="捡漏SP.Keyword.Mannual - Tray"/>
    <x v="11"/>
    <s v="Amazon"/>
    <s v="United States"/>
    <s v="stroller tray"/>
    <s v="BROAD"/>
    <s v="snack tray for double stroller without bar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1"/>
    <d v="2026-05-27T00:00:00"/>
    <s v="USD"/>
    <s v="捡漏SP.Keyword.Mannual - Tray"/>
    <x v="11"/>
    <s v="Amazon"/>
    <s v="United States"/>
    <s v="clip on snack tray"/>
    <s v="BROAD"/>
    <s v="snack tray for frame"/>
    <x v="1168"/>
    <n v="1"/>
    <n v="0.5"/>
    <n v="0.4"/>
    <n v="0.4"/>
    <n v="0"/>
    <m/>
    <n v="0"/>
    <n v="0"/>
    <n v="0"/>
    <n v="0"/>
    <n v="0"/>
    <n v="0"/>
    <n v="0"/>
    <n v="0"/>
    <m/>
  </r>
  <r>
    <x v="4"/>
    <x v="21"/>
    <d v="2026-05-25T00:00:00"/>
    <s v="USD"/>
    <s v="SP.ASIN.Manual - Tray"/>
    <x v="13"/>
    <s v="Amazon"/>
    <s v="United States"/>
    <s v="asin=&quot;B0C1G4985Z&quot;"/>
    <s v="-"/>
    <s v="snack tray for stroller"/>
    <x v="1172"/>
    <n v="1"/>
    <n v="0.125"/>
    <n v="0.45"/>
    <n v="0.45"/>
    <n v="0"/>
    <m/>
    <n v="0"/>
    <n v="0"/>
    <n v="0"/>
    <n v="0"/>
    <n v="0"/>
    <n v="0"/>
    <n v="0"/>
    <n v="0"/>
    <m/>
  </r>
  <r>
    <x v="4"/>
    <x v="21"/>
    <d v="2026-05-27T00:00:00"/>
    <s v="USD"/>
    <s v="SP.Auto - Tray"/>
    <x v="12"/>
    <s v="Amazon"/>
    <s v="United States"/>
    <s v="close-match"/>
    <s v="-"/>
    <s v="snack tray for stroller"/>
    <x v="1172"/>
    <n v="1"/>
    <n v="0.125"/>
    <n v="1.02"/>
    <n v="1.02"/>
    <n v="0"/>
    <m/>
    <n v="0"/>
    <n v="0"/>
    <n v="0"/>
    <n v="0"/>
    <n v="0"/>
    <n v="0"/>
    <n v="0"/>
    <n v="0"/>
    <m/>
  </r>
  <r>
    <x v="4"/>
    <x v="21"/>
    <d v="2026-05-25T00:00:00"/>
    <s v="USD"/>
    <s v="捡漏SP.Keyword.Mannual - Tray"/>
    <x v="11"/>
    <s v="Amazon"/>
    <s v="United States"/>
    <s v="stroller tray"/>
    <s v="BROAD"/>
    <s v="snack tray for stroller"/>
    <x v="1211"/>
    <n v="1"/>
    <n v="2.7026999999999999E-2"/>
    <n v="0.2"/>
    <n v="0.2"/>
    <n v="0"/>
    <m/>
    <n v="0"/>
    <n v="0"/>
    <n v="0"/>
    <n v="0"/>
    <n v="0"/>
    <n v="0"/>
    <n v="0"/>
    <n v="0"/>
    <m/>
  </r>
  <r>
    <x v="4"/>
    <x v="21"/>
    <d v="2026-05-26T00:00:00"/>
    <s v="USD"/>
    <s v="捡漏SP.Keyword.Mannual - Tray"/>
    <x v="11"/>
    <s v="Amazon"/>
    <s v="United States"/>
    <s v="stroller tray"/>
    <s v="BROAD"/>
    <s v="snack tray for stroller"/>
    <x v="1255"/>
    <n v="2"/>
    <n v="4.7619000000000002E-2"/>
    <n v="0.2"/>
    <n v="0.4"/>
    <n v="0"/>
    <m/>
    <n v="0"/>
    <n v="0"/>
    <n v="0"/>
    <n v="0"/>
    <n v="0"/>
    <n v="0"/>
    <n v="0"/>
    <n v="0"/>
    <m/>
  </r>
  <r>
    <x v="4"/>
    <x v="21"/>
    <d v="2026-05-27T00:00:00"/>
    <s v="USD"/>
    <s v="捡漏SP.Keyword.Mannual - Tray"/>
    <x v="11"/>
    <s v="Amazon"/>
    <s v="United States"/>
    <s v="stroller tray"/>
    <s v="BROAD"/>
    <s v="snack tray for stroller"/>
    <x v="1248"/>
    <n v="1"/>
    <n v="2.7778000000000001E-2"/>
    <n v="0.2"/>
    <n v="0.2"/>
    <n v="0"/>
    <m/>
    <n v="0"/>
    <n v="0"/>
    <n v="0"/>
    <n v="0"/>
    <n v="0"/>
    <n v="0"/>
    <n v="0"/>
    <n v="0"/>
    <m/>
  </r>
  <r>
    <x v="4"/>
    <x v="21"/>
    <d v="2026-05-28T00:00:00"/>
    <s v="USD"/>
    <s v="捡漏SP.Keyword.Mannual - Tray"/>
    <x v="11"/>
    <s v="Amazon"/>
    <s v="United States"/>
    <s v="stroller tray"/>
    <s v="BROAD"/>
    <s v="snack tray for stroller"/>
    <x v="1230"/>
    <n v="2"/>
    <n v="0.04"/>
    <n v="0.22"/>
    <n v="0.43"/>
    <n v="0"/>
    <m/>
    <n v="0"/>
    <n v="0"/>
    <n v="0"/>
    <n v="0"/>
    <n v="0"/>
    <n v="0"/>
    <n v="0"/>
    <n v="0"/>
    <m/>
  </r>
  <r>
    <x v="4"/>
    <x v="21"/>
    <d v="2026-05-26T00:00:00"/>
    <s v="USD"/>
    <s v="捡漏SP.Keyword.Mannual - Tray"/>
    <x v="11"/>
    <s v="Amazon"/>
    <s v="United States"/>
    <s v="stroller tray"/>
    <s v="BROAD"/>
    <s v="snack tray for stroller if stroller has no bar to attach"/>
    <x v="1169"/>
    <n v="1"/>
    <n v="1"/>
    <n v="0.21"/>
    <n v="0.21"/>
    <n v="17.47"/>
    <n v="1.2021E-2"/>
    <n v="83.19"/>
    <n v="1"/>
    <n v="1"/>
    <n v="1"/>
    <n v="1"/>
    <n v="0"/>
    <n v="17.47"/>
    <n v="0"/>
    <m/>
  </r>
  <r>
    <x v="4"/>
    <x v="19"/>
    <d v="2026-05-23T00:00:00"/>
    <s v="USD"/>
    <s v="捡漏SP.Keyword.Mannual - Tray"/>
    <x v="16"/>
    <s v="Amazon"/>
    <s v="United States"/>
    <s v="snack tray for stroller"/>
    <s v="PHRASE"/>
    <s v="snack tray for stroller without bar"/>
    <x v="1168"/>
    <n v="1"/>
    <n v="0.5"/>
    <n v="0.23"/>
    <n v="0.23"/>
    <n v="0"/>
    <m/>
    <n v="0"/>
    <n v="0"/>
    <n v="0"/>
    <n v="0"/>
    <n v="0"/>
    <n v="0"/>
    <n v="0"/>
    <n v="0"/>
    <m/>
  </r>
  <r>
    <x v="4"/>
    <x v="22"/>
    <d v="2026-05-31T00:00:00"/>
    <s v="USD"/>
    <s v="捡漏SP.Keyword.Mannual - Tray"/>
    <x v="11"/>
    <s v="Amazon"/>
    <s v="United States"/>
    <s v="snack tray for stroller"/>
    <s v="BROAD"/>
    <s v="snack tray for umbrella stroller no bar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19"/>
    <d v="2026-05-23T00:00:00"/>
    <s v="USD"/>
    <s v="SP.Auto - Tray"/>
    <x v="12"/>
    <s v="Amazon"/>
    <s v="United States"/>
    <s v="close-match"/>
    <s v="-"/>
    <s v="snack tray stroller"/>
    <x v="1192"/>
    <n v="1"/>
    <n v="0.16666700000000001"/>
    <n v="0.74"/>
    <n v="0.74"/>
    <n v="17.47"/>
    <n v="4.2358E-2"/>
    <n v="23.61"/>
    <n v="1"/>
    <n v="1"/>
    <n v="1"/>
    <n v="1"/>
    <n v="0"/>
    <n v="17.47"/>
    <n v="0"/>
    <m/>
  </r>
  <r>
    <x v="4"/>
    <x v="21"/>
    <d v="2026-05-29T00:00:00"/>
    <s v="USD"/>
    <s v="捡漏SP.Keyword.Mannual - Tray"/>
    <x v="16"/>
    <s v="Amazon"/>
    <s v="United States"/>
    <s v="stroller accessories"/>
    <s v="EXACT"/>
    <s v="stroller accessories"/>
    <x v="1228"/>
    <n v="1"/>
    <n v="3.8462000000000003E-2"/>
    <n v="0.21"/>
    <n v="0.21"/>
    <n v="0"/>
    <m/>
    <n v="0"/>
    <n v="0"/>
    <n v="0"/>
    <n v="0"/>
    <n v="0"/>
    <n v="0"/>
    <n v="0"/>
    <n v="0"/>
    <m/>
  </r>
  <r>
    <x v="4"/>
    <x v="21"/>
    <d v="2026-05-26T00:00:00"/>
    <s v="USD"/>
    <s v="捡漏SP.Keyword.Mannual - Tray"/>
    <x v="11"/>
    <s v="Amazon"/>
    <s v="United States"/>
    <s v="stroller cup holder"/>
    <s v="BROAD"/>
    <s v="stroller attachment cup and snack holder"/>
    <x v="1168"/>
    <n v="1"/>
    <n v="0.5"/>
    <n v="0.4"/>
    <n v="0.4"/>
    <n v="0"/>
    <m/>
    <n v="0"/>
    <n v="0"/>
    <n v="0"/>
    <n v="0"/>
    <n v="0"/>
    <n v="0"/>
    <n v="0"/>
    <n v="0"/>
    <m/>
  </r>
  <r>
    <x v="4"/>
    <x v="21"/>
    <d v="2026-05-25T00:00:00"/>
    <s v="USD"/>
    <s v="SP.Auto - Tray"/>
    <x v="12"/>
    <s v="Amazon"/>
    <s v="United States"/>
    <s v="loose-match"/>
    <s v="-"/>
    <s v="stroller bar universal"/>
    <x v="1168"/>
    <n v="1"/>
    <n v="0.5"/>
    <n v="0.47"/>
    <n v="0.47"/>
    <n v="0"/>
    <m/>
    <n v="0"/>
    <n v="0"/>
    <n v="0"/>
    <n v="0"/>
    <n v="0"/>
    <n v="0"/>
    <n v="0"/>
    <n v="0"/>
    <m/>
  </r>
  <r>
    <x v="4"/>
    <x v="21"/>
    <d v="2026-05-29T00:00:00"/>
    <s v="USD"/>
    <s v="捡漏SP.Keyword.Mannual - Tray"/>
    <x v="11"/>
    <s v="Amazon"/>
    <s v="United States"/>
    <s v="stroller cup holder"/>
    <s v="BROAD"/>
    <s v="stroller caddy right hand phone holder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4"/>
    <x v="21"/>
    <d v="2026-05-27T00:00:00"/>
    <s v="USD"/>
    <s v="捡漏SP.Keyword.Mannual - Tray"/>
    <x v="11"/>
    <s v="Amazon"/>
    <s v="United States"/>
    <s v="stroller clip on tray"/>
    <s v="BROAD"/>
    <s v="stroller clip on snack tray bob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1"/>
    <d v="2026-05-24T00:00:00"/>
    <s v="USD"/>
    <s v="捡漏SP.Keyword.Mannual - Tray"/>
    <x v="11"/>
    <s v="Amazon"/>
    <s v="United States"/>
    <s v="stroller clip on tray"/>
    <s v="BROAD"/>
    <s v="stroller clip on tray"/>
    <x v="1171"/>
    <n v="1"/>
    <n v="0.25"/>
    <n v="0.21"/>
    <n v="0.21"/>
    <n v="0"/>
    <m/>
    <n v="0"/>
    <n v="0"/>
    <n v="0"/>
    <n v="0"/>
    <n v="0"/>
    <n v="0"/>
    <n v="0"/>
    <n v="0"/>
    <m/>
  </r>
  <r>
    <x v="4"/>
    <x v="21"/>
    <d v="2026-05-28T00:00:00"/>
    <s v="USD"/>
    <s v="捡漏SP.Keyword.Mannual - Tray"/>
    <x v="11"/>
    <s v="Amazon"/>
    <s v="United States"/>
    <s v="cup holder for stroller"/>
    <s v="BROAD"/>
    <s v="stroller cup and snack holder"/>
    <x v="1169"/>
    <n v="1"/>
    <n v="1"/>
    <n v="0.4"/>
    <n v="0.4"/>
    <n v="17.47"/>
    <n v="2.2896E-2"/>
    <n v="43.68"/>
    <n v="1"/>
    <n v="1"/>
    <n v="1"/>
    <n v="1"/>
    <n v="0"/>
    <n v="17.47"/>
    <n v="0"/>
    <m/>
  </r>
  <r>
    <x v="4"/>
    <x v="21"/>
    <d v="2026-05-24T00:00:00"/>
    <s v="USD"/>
    <s v="SP.Auto - Tray"/>
    <x v="12"/>
    <s v="Amazon"/>
    <s v="United States"/>
    <s v="close-match"/>
    <s v="-"/>
    <s v="stroller cup holder"/>
    <x v="1256"/>
    <n v="1"/>
    <n v="2.2727000000000001E-2"/>
    <n v="0.68"/>
    <n v="0.68"/>
    <n v="0"/>
    <m/>
    <n v="0"/>
    <n v="0"/>
    <n v="0"/>
    <n v="0"/>
    <n v="0"/>
    <n v="0"/>
    <n v="0"/>
    <n v="0"/>
    <m/>
  </r>
  <r>
    <x v="4"/>
    <x v="21"/>
    <d v="2026-05-25T00:00:00"/>
    <s v="USD"/>
    <s v="SP.Auto - Tray"/>
    <x v="12"/>
    <s v="Amazon"/>
    <s v="United States"/>
    <s v="close-match"/>
    <s v="-"/>
    <s v="stroller cup holder"/>
    <x v="1234"/>
    <n v="1"/>
    <n v="5.5556000000000001E-2"/>
    <n v="0.85"/>
    <n v="0.85"/>
    <n v="0"/>
    <m/>
    <n v="0"/>
    <n v="0"/>
    <n v="0"/>
    <n v="0"/>
    <n v="0"/>
    <n v="0"/>
    <n v="0"/>
    <n v="0"/>
    <m/>
  </r>
  <r>
    <x v="4"/>
    <x v="21"/>
    <d v="2026-05-26T00:00:00"/>
    <s v="USD"/>
    <s v="SP.Auto - Tray"/>
    <x v="12"/>
    <s v="Amazon"/>
    <s v="United States"/>
    <s v="loose-match"/>
    <s v="-"/>
    <s v="stroller cup holder"/>
    <x v="1169"/>
    <n v="1"/>
    <n v="1"/>
    <n v="0.53"/>
    <n v="0.53"/>
    <n v="0"/>
    <m/>
    <n v="0"/>
    <n v="0"/>
    <n v="0"/>
    <n v="0"/>
    <n v="0"/>
    <n v="0"/>
    <n v="0"/>
    <n v="0"/>
    <m/>
  </r>
  <r>
    <x v="4"/>
    <x v="21"/>
    <d v="2026-05-30T00:00:00"/>
    <s v="USD"/>
    <s v="SP.Auto - Tray"/>
    <x v="12"/>
    <s v="Amazon"/>
    <s v="United States"/>
    <s v="loose-match"/>
    <s v="-"/>
    <s v="stroller cup holder"/>
    <x v="1171"/>
    <n v="1"/>
    <n v="0.25"/>
    <n v="0.77"/>
    <n v="0.77"/>
    <n v="17.47"/>
    <n v="4.4075999999999997E-2"/>
    <n v="22.69"/>
    <n v="1"/>
    <n v="1"/>
    <n v="1"/>
    <n v="1"/>
    <n v="0"/>
    <n v="17.47"/>
    <n v="0"/>
    <m/>
  </r>
  <r>
    <x v="4"/>
    <x v="21"/>
    <d v="2026-05-25T00:00:00"/>
    <s v="USD"/>
    <s v="捡漏SP.Keyword.Mannual - Tray"/>
    <x v="16"/>
    <s v="Amazon"/>
    <s v="United States"/>
    <s v="stroller cup holder"/>
    <s v="PHRASE"/>
    <s v="stroller cup holder"/>
    <x v="1257"/>
    <n v="1"/>
    <n v="3.4250000000000001E-3"/>
    <n v="0.44"/>
    <n v="0.44"/>
    <n v="0"/>
    <m/>
    <n v="0"/>
    <n v="0"/>
    <n v="0"/>
    <n v="0"/>
    <n v="0"/>
    <n v="0"/>
    <n v="0"/>
    <n v="0"/>
    <m/>
  </r>
  <r>
    <x v="4"/>
    <x v="21"/>
    <d v="2026-05-28T00:00:00"/>
    <s v="USD"/>
    <s v="捡漏SP.Keyword.Mannual - Tray"/>
    <x v="16"/>
    <s v="Amazon"/>
    <s v="United States"/>
    <s v="stroller cup holder"/>
    <s v="PHRASE"/>
    <s v="stroller cup holder"/>
    <x v="1258"/>
    <n v="1"/>
    <n v="1.5152000000000001E-2"/>
    <n v="0.2"/>
    <n v="0.2"/>
    <n v="0"/>
    <m/>
    <n v="0"/>
    <n v="0"/>
    <n v="0"/>
    <n v="0"/>
    <n v="0"/>
    <n v="0"/>
    <n v="0"/>
    <n v="0"/>
    <m/>
  </r>
  <r>
    <x v="4"/>
    <x v="21"/>
    <d v="2026-05-28T00:00:00"/>
    <s v="USD"/>
    <s v="SP.Auto - Tray"/>
    <x v="12"/>
    <s v="Amazon"/>
    <s v="United States"/>
    <s v="close-match"/>
    <s v="-"/>
    <s v="stroller cup holder attachment"/>
    <x v="1236"/>
    <n v="1"/>
    <n v="4.5455000000000002E-2"/>
    <n v="1"/>
    <n v="1"/>
    <n v="0"/>
    <m/>
    <n v="0"/>
    <n v="0"/>
    <n v="0"/>
    <n v="0"/>
    <n v="0"/>
    <n v="0"/>
    <n v="0"/>
    <n v="0"/>
    <m/>
  </r>
  <r>
    <x v="4"/>
    <x v="21"/>
    <d v="2026-05-26T00:00:00"/>
    <s v="USD"/>
    <s v="捡漏SP.Keyword.Mannual - Tray"/>
    <x v="11"/>
    <s v="Amazon"/>
    <s v="United States"/>
    <s v="cup holder and tray for stroller"/>
    <s v="BROAD"/>
    <s v="stroller cup holder attachment"/>
    <x v="1192"/>
    <n v="1"/>
    <n v="0.16666700000000001"/>
    <n v="0.2"/>
    <n v="0.2"/>
    <n v="0"/>
    <m/>
    <n v="0"/>
    <n v="0"/>
    <n v="0"/>
    <n v="0"/>
    <n v="0"/>
    <n v="0"/>
    <n v="0"/>
    <n v="0"/>
    <m/>
  </r>
  <r>
    <x v="4"/>
    <x v="19"/>
    <d v="2026-05-23T00:00:00"/>
    <s v="USD"/>
    <s v="捡漏SP.Keyword.Mannual - Tray"/>
    <x v="11"/>
    <s v="Amazon"/>
    <s v="United States"/>
    <s v="stroller tray"/>
    <s v="BROAD"/>
    <s v="stroller cup holder with snack tray"/>
    <x v="1182"/>
    <n v="1"/>
    <n v="0.14285700000000001"/>
    <n v="0.2"/>
    <n v="0.2"/>
    <n v="0"/>
    <m/>
    <n v="0"/>
    <n v="0"/>
    <n v="0"/>
    <n v="0"/>
    <n v="0"/>
    <n v="0"/>
    <n v="0"/>
    <n v="0"/>
    <m/>
  </r>
  <r>
    <x v="4"/>
    <x v="21"/>
    <d v="2026-05-26T00:00:00"/>
    <s v="USD"/>
    <s v="捡漏SP.Keyword.Mannual - Tray"/>
    <x v="11"/>
    <s v="Amazon"/>
    <s v="United States"/>
    <s v="stroller attachment"/>
    <s v="BROAD"/>
    <s v="stroller cup with tray holder attachment"/>
    <x v="1169"/>
    <n v="1"/>
    <n v="1"/>
    <n v="0.4"/>
    <n v="0.4"/>
    <n v="0"/>
    <m/>
    <n v="0"/>
    <n v="0"/>
    <n v="0"/>
    <n v="0"/>
    <n v="0"/>
    <n v="0"/>
    <n v="0"/>
    <n v="0"/>
    <m/>
  </r>
  <r>
    <x v="4"/>
    <x v="19"/>
    <d v="2026-05-22T00:00:00"/>
    <s v="USD"/>
    <s v="捡漏SP.Keyword.Mannual - Tray"/>
    <x v="11"/>
    <s v="Amazon"/>
    <s v="United States"/>
    <s v="stroller accessories"/>
    <s v="BROAD"/>
    <s v="stroller must haves for disney"/>
    <x v="1169"/>
    <n v="1"/>
    <n v="1"/>
    <n v="0.16"/>
    <n v="0.16"/>
    <n v="0"/>
    <m/>
    <n v="0"/>
    <n v="0"/>
    <n v="0"/>
    <n v="0"/>
    <n v="0"/>
    <n v="0"/>
    <n v="0"/>
    <n v="0"/>
    <m/>
  </r>
  <r>
    <x v="4"/>
    <x v="21"/>
    <d v="2026-05-30T00:00:00"/>
    <s v="USD"/>
    <s v="SP.Auto - Tray"/>
    <x v="12"/>
    <s v="Amazon"/>
    <s v="United States"/>
    <s v="loose-match"/>
    <s v="-"/>
    <s v="stroller no pole cup holder"/>
    <x v="1171"/>
    <n v="1"/>
    <n v="0.25"/>
    <n v="0.7"/>
    <n v="0.7"/>
    <n v="0"/>
    <m/>
    <n v="0"/>
    <n v="0"/>
    <n v="0"/>
    <n v="0"/>
    <n v="0"/>
    <n v="0"/>
    <n v="0"/>
    <n v="0"/>
    <m/>
  </r>
  <r>
    <x v="4"/>
    <x v="19"/>
    <d v="2026-05-23T00:00:00"/>
    <s v="USD"/>
    <s v="SP.ASIN.Manual - Tray"/>
    <x v="13"/>
    <s v="Amazon"/>
    <s v="United States"/>
    <s v="asin=&quot;B0C1G4985Z&quot;"/>
    <s v="-"/>
    <s v="stroller snack holder"/>
    <x v="1170"/>
    <n v="1"/>
    <n v="0.33333299999999999"/>
    <n v="0.45"/>
    <n v="0.45"/>
    <n v="0"/>
    <m/>
    <n v="0"/>
    <n v="0"/>
    <n v="0"/>
    <n v="0"/>
    <n v="0"/>
    <n v="0"/>
    <n v="0"/>
    <n v="0"/>
    <m/>
  </r>
  <r>
    <x v="4"/>
    <x v="21"/>
    <d v="2026-05-25T00:00:00"/>
    <s v="USD"/>
    <s v="SP.ASIN.Manual - Tray"/>
    <x v="13"/>
    <s v="Amazon"/>
    <s v="United States"/>
    <s v="asin=&quot;B0C1G4985Z&quot;"/>
    <s v="-"/>
    <s v="stroller snack tray"/>
    <x v="1218"/>
    <n v="1"/>
    <n v="5.8824000000000001E-2"/>
    <n v="0.65"/>
    <n v="0.65"/>
    <n v="0"/>
    <m/>
    <n v="0"/>
    <n v="0"/>
    <n v="0"/>
    <n v="0"/>
    <n v="0"/>
    <n v="0"/>
    <n v="0"/>
    <n v="0"/>
    <m/>
  </r>
  <r>
    <x v="4"/>
    <x v="19"/>
    <d v="2026-05-22T00:00:00"/>
    <s v="USD"/>
    <s v="SP.ASIN.Manual - Tray"/>
    <x v="13"/>
    <s v="Amazon"/>
    <s v="United States"/>
    <s v="asin=&quot;B0GGZQD6WS&quot;"/>
    <s v="-"/>
    <s v="stroller snack tray"/>
    <x v="1182"/>
    <n v="1"/>
    <n v="0.14285700000000001"/>
    <n v="0.48"/>
    <n v="0.48"/>
    <n v="0"/>
    <m/>
    <n v="0"/>
    <n v="0"/>
    <n v="0"/>
    <n v="0"/>
    <n v="0"/>
    <n v="0"/>
    <n v="0"/>
    <n v="0"/>
    <m/>
  </r>
  <r>
    <x v="4"/>
    <x v="21"/>
    <d v="2026-05-26T00:00:00"/>
    <s v="USD"/>
    <s v="SP.Auto - Tray"/>
    <x v="12"/>
    <s v="Amazon"/>
    <s v="United States"/>
    <s v="close-match"/>
    <s v="-"/>
    <s v="stroller snack tray"/>
    <x v="1176"/>
    <n v="1"/>
    <n v="1.9231000000000002E-2"/>
    <n v="0.8"/>
    <n v="0.8"/>
    <n v="0"/>
    <m/>
    <n v="0"/>
    <n v="0"/>
    <n v="0"/>
    <n v="0"/>
    <n v="0"/>
    <n v="0"/>
    <n v="0"/>
    <n v="0"/>
    <m/>
  </r>
  <r>
    <x v="4"/>
    <x v="21"/>
    <d v="2026-05-28T00:00:00"/>
    <s v="USD"/>
    <s v="SP.Auto - Tray"/>
    <x v="12"/>
    <s v="Amazon"/>
    <s v="United States"/>
    <s v="close-match"/>
    <s v="-"/>
    <s v="stroller snack tray"/>
    <x v="1259"/>
    <n v="1"/>
    <n v="2.4389999999999998E-2"/>
    <n v="1"/>
    <n v="1"/>
    <n v="0"/>
    <m/>
    <n v="0"/>
    <n v="0"/>
    <n v="0"/>
    <n v="0"/>
    <n v="0"/>
    <n v="0"/>
    <n v="0"/>
    <n v="0"/>
    <m/>
  </r>
  <r>
    <x v="4"/>
    <x v="19"/>
    <d v="2026-05-22T00:00:00"/>
    <s v="USD"/>
    <s v="捡漏SP.Keyword.Mannual - Tray"/>
    <x v="11"/>
    <s v="Amazon"/>
    <s v="United States"/>
    <s v="stroller tray"/>
    <s v="BROAD"/>
    <s v="stroller snack tray"/>
    <x v="1174"/>
    <n v="1"/>
    <n v="0.2"/>
    <n v="0.21"/>
    <n v="0.21"/>
    <n v="0"/>
    <m/>
    <n v="0"/>
    <n v="0"/>
    <n v="0"/>
    <n v="0"/>
    <n v="0"/>
    <n v="0"/>
    <n v="0"/>
    <n v="0"/>
    <m/>
  </r>
  <r>
    <x v="4"/>
    <x v="21"/>
    <d v="2026-05-30T00:00:00"/>
    <s v="USD"/>
    <s v="捡漏SP.Keyword.Mannual - Tray"/>
    <x v="11"/>
    <s v="Amazon"/>
    <s v="United States"/>
    <s v="stroller tray"/>
    <s v="BROAD"/>
    <s v="stroller snack tray"/>
    <x v="1260"/>
    <n v="1"/>
    <n v="1.2500000000000001E-2"/>
    <n v="0.2"/>
    <n v="0.2"/>
    <n v="0"/>
    <m/>
    <n v="0"/>
    <n v="0"/>
    <n v="0"/>
    <n v="0"/>
    <n v="0"/>
    <n v="0"/>
    <n v="0"/>
    <n v="0"/>
    <m/>
  </r>
  <r>
    <x v="4"/>
    <x v="22"/>
    <d v="2026-05-31T00:00:00"/>
    <s v="USD"/>
    <s v="捡漏SP.Keyword.Mannual - Tray"/>
    <x v="11"/>
    <s v="Amazon"/>
    <s v="United States"/>
    <s v="stroller tray"/>
    <s v="BROAD"/>
    <s v="stroller snack tray"/>
    <x v="1261"/>
    <n v="1"/>
    <n v="0.01"/>
    <n v="0.2"/>
    <n v="0.2"/>
    <n v="17.47"/>
    <n v="1.1448E-2"/>
    <n v="87.35"/>
    <n v="1"/>
    <n v="1"/>
    <n v="1"/>
    <n v="1"/>
    <n v="0"/>
    <n v="17.47"/>
    <n v="0"/>
    <m/>
  </r>
  <r>
    <x v="4"/>
    <x v="22"/>
    <d v="2026-05-31T00:00:00"/>
    <s v="USD"/>
    <s v="捡漏SP.Keyword.Mannual - Tray"/>
    <x v="16"/>
    <s v="Amazon"/>
    <s v="United States"/>
    <s v="stroller snack tray"/>
    <s v="PHRASE"/>
    <s v="stroller snack tray"/>
    <x v="1197"/>
    <n v="1"/>
    <n v="7.6923000000000005E-2"/>
    <n v="0.21"/>
    <n v="0.21"/>
    <n v="0"/>
    <m/>
    <n v="0"/>
    <n v="0"/>
    <n v="0"/>
    <n v="0"/>
    <n v="0"/>
    <n v="0"/>
    <n v="0"/>
    <n v="0"/>
    <m/>
  </r>
  <r>
    <x v="4"/>
    <x v="21"/>
    <d v="2026-05-30T00:00:00"/>
    <s v="USD"/>
    <s v="捡漏SP.Keyword.Mannual - Tray"/>
    <x v="16"/>
    <s v="Amazon"/>
    <s v="United States"/>
    <s v="stroller snack tray"/>
    <s v="EXACT"/>
    <s v="stroller snack tray"/>
    <x v="1262"/>
    <n v="1"/>
    <n v="2.2221999999999999E-2"/>
    <n v="0.2"/>
    <n v="0.2"/>
    <n v="0"/>
    <m/>
    <n v="0"/>
    <n v="0"/>
    <n v="0"/>
    <n v="0"/>
    <n v="0"/>
    <n v="0"/>
    <n v="0"/>
    <n v="0"/>
    <m/>
  </r>
  <r>
    <x v="4"/>
    <x v="19"/>
    <d v="2026-05-23T00:00:00"/>
    <s v="USD"/>
    <s v="捡漏SP.Keyword.Mannual - Tray"/>
    <x v="11"/>
    <s v="Amazon"/>
    <s v="United States"/>
    <s v="snack tray for stroller"/>
    <s v="BROAD"/>
    <s v="stroller snack tray"/>
    <x v="1194"/>
    <n v="2"/>
    <n v="5.2631999999999998E-2"/>
    <n v="0.15"/>
    <n v="0.28999999999999998"/>
    <n v="0"/>
    <m/>
    <n v="0"/>
    <n v="0"/>
    <n v="0"/>
    <n v="0"/>
    <n v="0"/>
    <n v="0"/>
    <n v="0"/>
    <n v="0"/>
    <m/>
  </r>
  <r>
    <x v="4"/>
    <x v="21"/>
    <d v="2026-05-24T00:00:00"/>
    <s v="USD"/>
    <s v="捡漏SP.Keyword.Mannual - Tray"/>
    <x v="11"/>
    <s v="Amazon"/>
    <s v="United States"/>
    <s v="snack tray for stroller"/>
    <s v="BROAD"/>
    <s v="stroller snack tray"/>
    <x v="1203"/>
    <n v="1"/>
    <n v="4.1667000000000003E-2"/>
    <n v="0.2"/>
    <n v="0.2"/>
    <n v="0"/>
    <m/>
    <n v="0"/>
    <n v="0"/>
    <n v="0"/>
    <n v="0"/>
    <n v="0"/>
    <n v="0"/>
    <n v="0"/>
    <n v="0"/>
    <m/>
  </r>
  <r>
    <x v="4"/>
    <x v="22"/>
    <d v="2026-05-31T00:00:00"/>
    <s v="USD"/>
    <s v="捡漏SP.Keyword.Mannual - Tray"/>
    <x v="11"/>
    <s v="Amazon"/>
    <s v="United States"/>
    <s v="snack tray for stroller"/>
    <s v="BROAD"/>
    <s v="stroller snack tray"/>
    <x v="1263"/>
    <n v="1"/>
    <n v="3.2258000000000002E-2"/>
    <n v="0.2"/>
    <n v="0.2"/>
    <n v="0"/>
    <m/>
    <n v="0"/>
    <n v="0"/>
    <n v="0"/>
    <n v="0"/>
    <n v="0"/>
    <n v="0"/>
    <n v="0"/>
    <n v="0"/>
    <m/>
  </r>
  <r>
    <x v="4"/>
    <x v="21"/>
    <d v="2026-05-24T00:00:00"/>
    <s v="USD"/>
    <s v="捡漏SP.Keyword.Mannual - Tray"/>
    <x v="11"/>
    <s v="Amazon"/>
    <s v="United States"/>
    <s v="stroller snack tray attachment"/>
    <s v="BROAD"/>
    <s v="stroller snack tray"/>
    <x v="1169"/>
    <n v="1"/>
    <n v="1"/>
    <n v="0.2"/>
    <n v="0.2"/>
    <n v="0"/>
    <m/>
    <n v="0"/>
    <n v="0"/>
    <n v="0"/>
    <n v="0"/>
    <n v="0"/>
    <n v="0"/>
    <n v="0"/>
    <n v="0"/>
    <m/>
  </r>
  <r>
    <x v="4"/>
    <x v="19"/>
    <d v="2026-05-23T00:00:00"/>
    <s v="USD"/>
    <s v="捡漏SP.Keyword.Mannual - Tray"/>
    <x v="11"/>
    <s v="Amazon"/>
    <s v="United States"/>
    <s v="stroller tray attachment"/>
    <s v="BROAD"/>
    <s v="stroller snack tray attachment"/>
    <x v="1205"/>
    <n v="1"/>
    <n v="0.111111"/>
    <n v="0.2"/>
    <n v="0.2"/>
    <n v="0"/>
    <m/>
    <n v="0"/>
    <n v="0"/>
    <n v="0"/>
    <n v="0"/>
    <n v="0"/>
    <n v="0"/>
    <n v="0"/>
    <n v="0"/>
    <m/>
  </r>
  <r>
    <x v="4"/>
    <x v="21"/>
    <d v="2026-05-25T00:00:00"/>
    <s v="USD"/>
    <s v="捡漏SP.Keyword.Mannual - Tray"/>
    <x v="11"/>
    <s v="Amazon"/>
    <s v="United States"/>
    <s v="stroller tray attachment"/>
    <s v="BROAD"/>
    <s v="stroller snack tray attachment"/>
    <x v="1168"/>
    <n v="1"/>
    <n v="0.5"/>
    <n v="0.2"/>
    <n v="0.2"/>
    <n v="0"/>
    <m/>
    <n v="0"/>
    <n v="0"/>
    <n v="0"/>
    <n v="0"/>
    <n v="0"/>
    <n v="0"/>
    <n v="0"/>
    <n v="0"/>
    <m/>
  </r>
  <r>
    <x v="4"/>
    <x v="21"/>
    <d v="2026-05-29T00:00:00"/>
    <s v="USD"/>
    <s v="捡漏SP.Keyword.Mannual - Tray"/>
    <x v="11"/>
    <s v="Amazon"/>
    <s v="United States"/>
    <s v="stroller tray attachment"/>
    <s v="BROAD"/>
    <s v="stroller snack tray attachment"/>
    <x v="1211"/>
    <n v="1"/>
    <n v="2.7026999999999999E-2"/>
    <n v="0.2"/>
    <n v="0.2"/>
    <n v="0"/>
    <m/>
    <n v="0"/>
    <n v="0"/>
    <n v="0"/>
    <n v="0"/>
    <n v="0"/>
    <n v="0"/>
    <n v="0"/>
    <n v="0"/>
    <m/>
  </r>
  <r>
    <x v="4"/>
    <x v="19"/>
    <d v="2026-05-23T00:00:00"/>
    <s v="USD"/>
    <s v="捡漏SP.Keyword.Mannual - Tray"/>
    <x v="11"/>
    <s v="Amazon"/>
    <s v="United States"/>
    <s v="stroller snack tray attachment"/>
    <s v="BROAD"/>
    <s v="stroller snack tray attachment"/>
    <x v="1172"/>
    <n v="1"/>
    <n v="0.125"/>
    <n v="0.2"/>
    <n v="0.2"/>
    <n v="0"/>
    <m/>
    <n v="0"/>
    <n v="0"/>
    <n v="0"/>
    <n v="0"/>
    <n v="0"/>
    <n v="0"/>
    <n v="0"/>
    <n v="0"/>
    <m/>
  </r>
  <r>
    <x v="4"/>
    <x v="21"/>
    <d v="2026-05-30T00:00:00"/>
    <s v="USD"/>
    <s v="SP.Auto - Tray"/>
    <x v="12"/>
    <s v="Amazon"/>
    <s v="United States"/>
    <s v="loose-match"/>
    <s v="-"/>
    <s v="stroller snack tray no bat"/>
    <x v="1168"/>
    <n v="1"/>
    <n v="0.5"/>
    <n v="0.53"/>
    <n v="0.53"/>
    <n v="0"/>
    <m/>
    <n v="0"/>
    <n v="0"/>
    <n v="0"/>
    <n v="0"/>
    <n v="0"/>
    <n v="0"/>
    <n v="0"/>
    <n v="0"/>
    <m/>
  </r>
  <r>
    <x v="4"/>
    <x v="19"/>
    <d v="2026-05-23T00:00:00"/>
    <s v="USD"/>
    <s v="捡漏SP.Keyword.Mannual - Tray"/>
    <x v="11"/>
    <s v="Amazon"/>
    <s v="United States"/>
    <s v="nuna snack tray for stroller"/>
    <s v="BROAD"/>
    <s v="stroller snack tray nuna triv"/>
    <x v="1168"/>
    <n v="1"/>
    <n v="0.5"/>
    <n v="0.23"/>
    <n v="0.23"/>
    <n v="0"/>
    <m/>
    <n v="0"/>
    <n v="0"/>
    <n v="0"/>
    <n v="0"/>
    <n v="0"/>
    <n v="0"/>
    <n v="0"/>
    <n v="0"/>
    <m/>
  </r>
  <r>
    <x v="4"/>
    <x v="21"/>
    <d v="2026-05-27T00:00:00"/>
    <s v="USD"/>
    <s v="SP.Auto - Tray"/>
    <x v="12"/>
    <s v="Amazon"/>
    <s v="United States"/>
    <s v="close-match"/>
    <s v="-"/>
    <s v="stroller snack trays"/>
    <x v="1171"/>
    <n v="1"/>
    <n v="0.25"/>
    <n v="1.02"/>
    <n v="1.02"/>
    <n v="0"/>
    <m/>
    <n v="0"/>
    <n v="0"/>
    <n v="0"/>
    <n v="0"/>
    <n v="0"/>
    <n v="0"/>
    <n v="0"/>
    <n v="0"/>
    <m/>
  </r>
  <r>
    <x v="4"/>
    <x v="22"/>
    <d v="2026-05-31T00:00:00"/>
    <s v="USD"/>
    <s v="捡漏SP.Keyword.Mannual - Tray"/>
    <x v="11"/>
    <s v="Amazon"/>
    <s v="United States"/>
    <s v="stroller attachment"/>
    <s v="BROAD"/>
    <s v="stroller storage attachment"/>
    <x v="1168"/>
    <n v="1"/>
    <n v="0.5"/>
    <n v="0.2"/>
    <n v="0.2"/>
    <n v="0"/>
    <m/>
    <n v="0"/>
    <n v="0"/>
    <n v="0"/>
    <n v="0"/>
    <n v="0"/>
    <n v="0"/>
    <n v="0"/>
    <n v="0"/>
    <m/>
  </r>
  <r>
    <x v="4"/>
    <x v="21"/>
    <d v="2026-05-28T00:00:00"/>
    <s v="USD"/>
    <s v="SP.ASIN.Manual - Tray"/>
    <x v="13"/>
    <s v="Amazon"/>
    <s v="United States"/>
    <s v="asin=&quot;B0C1G4985Z&quot;"/>
    <s v="-"/>
    <s v="stroller tray"/>
    <x v="1172"/>
    <n v="1"/>
    <n v="0.125"/>
    <n v="0.65"/>
    <n v="0.65"/>
    <n v="0"/>
    <m/>
    <n v="0"/>
    <n v="0"/>
    <n v="0"/>
    <n v="0"/>
    <n v="0"/>
    <n v="0"/>
    <n v="0"/>
    <n v="0"/>
    <m/>
  </r>
  <r>
    <x v="4"/>
    <x v="21"/>
    <d v="2026-05-26T00:00:00"/>
    <s v="USD"/>
    <s v="SP.Auto - Tray"/>
    <x v="12"/>
    <s v="Amazon"/>
    <s v="United States"/>
    <s v="close-match"/>
    <s v="-"/>
    <s v="stroller tray"/>
    <x v="1237"/>
    <n v="1"/>
    <n v="0.05"/>
    <n v="0.85"/>
    <n v="0.85"/>
    <n v="0"/>
    <m/>
    <n v="0"/>
    <n v="0"/>
    <n v="0"/>
    <n v="0"/>
    <n v="0"/>
    <n v="0"/>
    <n v="0"/>
    <n v="0"/>
    <m/>
  </r>
  <r>
    <x v="4"/>
    <x v="21"/>
    <d v="2026-05-29T00:00:00"/>
    <s v="USD"/>
    <s v="SP.Auto - Tray"/>
    <x v="12"/>
    <s v="Amazon"/>
    <s v="United States"/>
    <s v="close-match"/>
    <s v="-"/>
    <s v="stroller tray"/>
    <x v="1237"/>
    <n v="1"/>
    <n v="0.05"/>
    <n v="1"/>
    <n v="1"/>
    <n v="0"/>
    <m/>
    <n v="0"/>
    <n v="0"/>
    <n v="0"/>
    <n v="0"/>
    <n v="0"/>
    <n v="0"/>
    <n v="0"/>
    <n v="0"/>
    <m/>
  </r>
  <r>
    <x v="4"/>
    <x v="21"/>
    <d v="2026-05-28T00:00:00"/>
    <s v="USD"/>
    <s v="捡漏SP.Keyword.Mannual - Tray"/>
    <x v="11"/>
    <s v="Amazon"/>
    <s v="United States"/>
    <s v="stroller tray"/>
    <s v="BROAD"/>
    <s v="stroller tray"/>
    <x v="1211"/>
    <n v="1"/>
    <n v="2.7026999999999999E-2"/>
    <n v="0.21"/>
    <n v="0.21"/>
    <n v="0"/>
    <m/>
    <n v="0"/>
    <n v="0"/>
    <n v="0"/>
    <n v="0"/>
    <n v="0"/>
    <n v="0"/>
    <n v="0"/>
    <n v="0"/>
    <m/>
  </r>
  <r>
    <x v="4"/>
    <x v="21"/>
    <d v="2026-05-30T00:00:00"/>
    <s v="USD"/>
    <s v="捡漏SP.Keyword.Mannual - Tray"/>
    <x v="11"/>
    <s v="Amazon"/>
    <s v="United States"/>
    <s v="stroller tray"/>
    <s v="BROAD"/>
    <s v="stroller tray"/>
    <x v="1255"/>
    <n v="1"/>
    <n v="2.3810000000000001E-2"/>
    <n v="0.08"/>
    <n v="0.08"/>
    <n v="0"/>
    <m/>
    <n v="0"/>
    <n v="0"/>
    <n v="0"/>
    <n v="0"/>
    <n v="0"/>
    <n v="0"/>
    <n v="0"/>
    <n v="0"/>
    <m/>
  </r>
  <r>
    <x v="4"/>
    <x v="19"/>
    <d v="2026-05-22T00:00:00"/>
    <s v="USD"/>
    <s v="捡漏SP.Keyword.Mannual - Tray"/>
    <x v="16"/>
    <s v="Amazon"/>
    <s v="United States"/>
    <s v="stroller tray attachment"/>
    <s v="PHRASE"/>
    <s v="stroller tray attachment"/>
    <x v="1174"/>
    <n v="1"/>
    <n v="0.2"/>
    <n v="0.2"/>
    <n v="0.2"/>
    <n v="0"/>
    <m/>
    <n v="0"/>
    <n v="0"/>
    <n v="0"/>
    <n v="0"/>
    <n v="0"/>
    <n v="0"/>
    <n v="0"/>
    <n v="0"/>
    <m/>
  </r>
  <r>
    <x v="4"/>
    <x v="21"/>
    <d v="2026-05-29T00:00:00"/>
    <s v="USD"/>
    <s v="捡漏SP.Keyword.Mannual - Tray"/>
    <x v="11"/>
    <s v="Amazon"/>
    <s v="United States"/>
    <s v="stroller tray"/>
    <s v="BROAD"/>
    <s v="stroller tray for strollers without handle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1"/>
    <d v="2026-05-26T00:00:00"/>
    <s v="USD"/>
    <s v="捡漏SP.Keyword.Mannual - Tray"/>
    <x v="11"/>
    <s v="Amazon"/>
    <s v="United States"/>
    <s v="stroller tray"/>
    <s v="BROAD"/>
    <s v="stroller tray table no bar"/>
    <x v="1170"/>
    <n v="1"/>
    <n v="0.33333299999999999"/>
    <n v="0.4"/>
    <n v="0.4"/>
    <n v="0"/>
    <m/>
    <n v="0"/>
    <n v="0"/>
    <n v="0"/>
    <n v="0"/>
    <n v="0"/>
    <n v="0"/>
    <n v="0"/>
    <n v="0"/>
    <m/>
  </r>
  <r>
    <x v="4"/>
    <x v="19"/>
    <d v="2026-05-23T00:00:00"/>
    <s v="USD"/>
    <s v="SP.Auto - Tray"/>
    <x v="12"/>
    <s v="Amazon"/>
    <s v="United States"/>
    <s v="loose-match"/>
    <s v="-"/>
    <s v="stroller tray with cup holder and cellphone holder"/>
    <x v="1168"/>
    <n v="1"/>
    <n v="0.5"/>
    <n v="0.59"/>
    <n v="0.59"/>
    <n v="0"/>
    <m/>
    <n v="0"/>
    <n v="0"/>
    <n v="0"/>
    <n v="0"/>
    <n v="0"/>
    <n v="0"/>
    <n v="0"/>
    <n v="0"/>
    <m/>
  </r>
  <r>
    <x v="4"/>
    <x v="19"/>
    <d v="2026-05-22T00:00:00"/>
    <s v="USD"/>
    <s v="捡漏SP.Keyword.Mannual - Tray"/>
    <x v="11"/>
    <s v="Amazon"/>
    <s v="United States"/>
    <s v="stroller cup holder"/>
    <s v="BROAD"/>
    <s v="stroller universal cup holder for umbrella stroller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2"/>
    <d v="2026-05-31T00:00:00"/>
    <s v="USD"/>
    <s v="SP.Auto - Tray"/>
    <x v="12"/>
    <s v="Amazon"/>
    <s v="United States"/>
    <s v="loose-match"/>
    <s v="-"/>
    <s v="stroller wagon accessories"/>
    <x v="1170"/>
    <n v="1"/>
    <n v="0.33333299999999999"/>
    <n v="0.77"/>
    <n v="0.77"/>
    <n v="0"/>
    <m/>
    <n v="0"/>
    <n v="0"/>
    <n v="0"/>
    <n v="0"/>
    <n v="0"/>
    <n v="0"/>
    <n v="0"/>
    <n v="0"/>
    <m/>
  </r>
  <r>
    <x v="4"/>
    <x v="19"/>
    <d v="2026-05-23T00:00:00"/>
    <s v="USD"/>
    <s v="捡漏SP.Keyword.Mannual - Tray"/>
    <x v="11"/>
    <s v="Amazon"/>
    <s v="United States"/>
    <s v="stroller accessories"/>
    <s v="BROAD"/>
    <s v="summer 3d lite stroller accessories"/>
    <x v="1169"/>
    <n v="1"/>
    <n v="1"/>
    <n v="0.16"/>
    <n v="0.16"/>
    <n v="0"/>
    <m/>
    <n v="0"/>
    <n v="0"/>
    <n v="0"/>
    <n v="0"/>
    <n v="0"/>
    <n v="0"/>
    <n v="0"/>
    <n v="0"/>
    <m/>
  </r>
  <r>
    <x v="4"/>
    <x v="21"/>
    <d v="2026-05-30T00:00:00"/>
    <s v="USD"/>
    <s v="捡漏SP.Keyword.Mannual - Tray"/>
    <x v="11"/>
    <s v="Amazon"/>
    <s v="United States"/>
    <s v="stroller accessories"/>
    <s v="BROAD"/>
    <s v="summer 3d mini stroller accessories"/>
    <x v="1169"/>
    <n v="1"/>
    <n v="1"/>
    <n v="0.12"/>
    <n v="0.12"/>
    <n v="0"/>
    <m/>
    <n v="0"/>
    <n v="0"/>
    <n v="0"/>
    <n v="0"/>
    <n v="0"/>
    <n v="0"/>
    <n v="0"/>
    <n v="0"/>
    <m/>
  </r>
  <r>
    <x v="4"/>
    <x v="21"/>
    <d v="2026-05-30T00:00:00"/>
    <s v="USD"/>
    <s v="捡漏SP.Keyword.Mannual - Tray"/>
    <x v="16"/>
    <s v="Amazon"/>
    <s v="United States"/>
    <s v="stroller cup holder"/>
    <s v="PHRASE"/>
    <s v="summer 3d mini stroller cup holder"/>
    <x v="1169"/>
    <n v="1"/>
    <n v="1"/>
    <n v="0.4"/>
    <n v="0.4"/>
    <n v="0"/>
    <m/>
    <n v="0"/>
    <n v="0"/>
    <n v="0"/>
    <n v="0"/>
    <n v="0"/>
    <n v="0"/>
    <n v="0"/>
    <n v="0"/>
    <m/>
  </r>
  <r>
    <x v="4"/>
    <x v="21"/>
    <d v="2026-05-26T00:00:00"/>
    <s v="USD"/>
    <s v="SP.Auto - Tray"/>
    <x v="12"/>
    <s v="Amazon"/>
    <s v="United States"/>
    <s v="loose-match"/>
    <s v="-"/>
    <s v="summer infant stroller snack holder"/>
    <x v="1170"/>
    <n v="2"/>
    <n v="0.66666700000000001"/>
    <n v="0.53"/>
    <n v="1.06"/>
    <n v="17.47"/>
    <n v="6.0675E-2"/>
    <n v="16.48"/>
    <n v="1"/>
    <n v="1"/>
    <n v="0.5"/>
    <n v="1"/>
    <n v="0"/>
    <n v="17.47"/>
    <n v="0"/>
    <m/>
  </r>
  <r>
    <x v="4"/>
    <x v="22"/>
    <d v="2026-05-31T00:00:00"/>
    <s v="USD"/>
    <s v="捡漏SP.Keyword.Mannual - Tray"/>
    <x v="11"/>
    <s v="Amazon"/>
    <s v="United States"/>
    <s v="stroller tray"/>
    <s v="BROAD"/>
    <s v="table for stroller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1"/>
    <d v="2026-05-28T00:00:00"/>
    <s v="USD"/>
    <s v="捡漏SP.Keyword.Mannual - Tray"/>
    <x v="11"/>
    <s v="Amazon"/>
    <s v="United States"/>
    <s v="clip on snack tray"/>
    <s v="BROAD"/>
    <s v="toddler cup holder snack tray for camping chair"/>
    <x v="1169"/>
    <n v="1"/>
    <n v="1"/>
    <n v="0.2"/>
    <n v="0.2"/>
    <n v="0"/>
    <m/>
    <n v="0"/>
    <n v="0"/>
    <n v="0"/>
    <n v="0"/>
    <n v="0"/>
    <n v="0"/>
    <n v="0"/>
    <n v="0"/>
    <m/>
  </r>
  <r>
    <x v="4"/>
    <x v="19"/>
    <d v="2026-05-22T00:00:00"/>
    <s v="USD"/>
    <s v="SP.Auto - Tray"/>
    <x v="12"/>
    <s v="Amazon"/>
    <s v="United States"/>
    <s v="close-match"/>
    <s v="-"/>
    <s v="tray for stroller"/>
    <x v="1217"/>
    <n v="1"/>
    <n v="7.1429000000000006E-2"/>
    <n v="0.85"/>
    <n v="0.85"/>
    <n v="17.989999999999998"/>
    <n v="4.7247999999999998E-2"/>
    <n v="21.16"/>
    <n v="1"/>
    <n v="1"/>
    <n v="1"/>
    <n v="0"/>
    <n v="1"/>
    <n v="0"/>
    <n v="17.989999999999998"/>
    <m/>
  </r>
  <r>
    <x v="4"/>
    <x v="21"/>
    <d v="2026-05-27T00:00:00"/>
    <s v="USD"/>
    <s v="捡漏SP.Keyword.Mannual - Tray"/>
    <x v="11"/>
    <s v="Amazon"/>
    <s v="United States"/>
    <s v="stroller tray"/>
    <s v="BROAD"/>
    <s v="tray for umbrella stroller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21"/>
    <d v="2026-05-26T00:00:00"/>
    <s v="USD"/>
    <s v="捡漏SP.Keyword.Mannual - Tray"/>
    <x v="11"/>
    <s v="Amazon"/>
    <s v="United States"/>
    <s v="stroller cup holder"/>
    <s v="BROAD"/>
    <s v="two handle stroller caddy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21"/>
    <d v="2026-05-24T00:00:00"/>
    <s v="USD"/>
    <s v="捡漏SP.Keyword.Mannual - Tray"/>
    <x v="11"/>
    <s v="Amazon"/>
    <s v="United States"/>
    <s v="stroller accessories"/>
    <s v="BROAD"/>
    <s v="umbrella stroller accessories"/>
    <x v="1237"/>
    <n v="1"/>
    <n v="0.05"/>
    <n v="0.17"/>
    <n v="0.17"/>
    <n v="0"/>
    <m/>
    <n v="0"/>
    <n v="0"/>
    <n v="0"/>
    <n v="0"/>
    <n v="0"/>
    <n v="0"/>
    <n v="0"/>
    <n v="0"/>
    <m/>
  </r>
  <r>
    <x v="4"/>
    <x v="21"/>
    <d v="2026-05-28T00:00:00"/>
    <s v="USD"/>
    <s v="捡漏SP.Keyword.Mannual - Tray"/>
    <x v="11"/>
    <s v="Amazon"/>
    <s v="United States"/>
    <s v="stroller tray attachment"/>
    <s v="BROAD"/>
    <s v="umbrella stroller food tray attachment"/>
    <x v="1169"/>
    <n v="1"/>
    <n v="1"/>
    <n v="0.21"/>
    <n v="0.21"/>
    <n v="0"/>
    <m/>
    <n v="0"/>
    <n v="0"/>
    <n v="0"/>
    <n v="0"/>
    <n v="0"/>
    <n v="0"/>
    <n v="0"/>
    <n v="0"/>
    <m/>
  </r>
  <r>
    <x v="4"/>
    <x v="19"/>
    <d v="2026-05-23T00:00:00"/>
    <s v="USD"/>
    <s v="捡漏SP.Keyword.Mannual - Tray"/>
    <x v="11"/>
    <s v="Amazon"/>
    <s v="United States"/>
    <s v="stroller snack tray attachment"/>
    <s v="BROAD"/>
    <s v="umbrella stroller snack tray attachment"/>
    <x v="1174"/>
    <n v="1"/>
    <n v="0.2"/>
    <n v="0.08"/>
    <n v="0.08"/>
    <n v="0"/>
    <m/>
    <n v="0"/>
    <n v="0"/>
    <n v="0"/>
    <n v="0"/>
    <n v="0"/>
    <n v="0"/>
    <n v="0"/>
    <n v="0"/>
    <m/>
  </r>
  <r>
    <x v="4"/>
    <x v="21"/>
    <d v="2026-05-26T00:00:00"/>
    <s v="USD"/>
    <s v="SP.Auto - Tray"/>
    <x v="12"/>
    <s v="Amazon"/>
    <s v="United States"/>
    <s v="loose-match"/>
    <s v="-"/>
    <s v="umbrella stroller tray"/>
    <x v="1169"/>
    <n v="1"/>
    <n v="1"/>
    <n v="0.43"/>
    <n v="0.43"/>
    <n v="0"/>
    <m/>
    <n v="0"/>
    <n v="0"/>
    <n v="0"/>
    <n v="0"/>
    <n v="0"/>
    <n v="0"/>
    <n v="0"/>
    <n v="0"/>
    <m/>
  </r>
  <r>
    <x v="4"/>
    <x v="21"/>
    <d v="2026-05-27T00:00:00"/>
    <s v="USD"/>
    <s v="捡漏SP.Keyword.Mannual - Tray"/>
    <x v="11"/>
    <s v="Amazon"/>
    <s v="United States"/>
    <s v="stroller cup holder"/>
    <s v="BROAD"/>
    <s v="universal cup holder for stroller"/>
    <x v="1174"/>
    <n v="1"/>
    <n v="0.2"/>
    <n v="0.21"/>
    <n v="0.21"/>
    <n v="0"/>
    <m/>
    <n v="0"/>
    <n v="0"/>
    <n v="0"/>
    <n v="0"/>
    <n v="0"/>
    <n v="0"/>
    <n v="0"/>
    <n v="0"/>
    <m/>
  </r>
  <r>
    <x v="4"/>
    <x v="22"/>
    <d v="2026-05-31T00:00:00"/>
    <s v="USD"/>
    <s v="捡漏SP.Keyword.Mannual - Tray"/>
    <x v="11"/>
    <s v="Amazon"/>
    <s v="United States"/>
    <s v="universal stroller tray"/>
    <s v="BROAD"/>
    <s v="universal double umbrella stroller tray"/>
    <x v="1168"/>
    <n v="1"/>
    <n v="0.5"/>
    <n v="0.4"/>
    <n v="0.4"/>
    <n v="0"/>
    <m/>
    <n v="0"/>
    <n v="0"/>
    <n v="0"/>
    <n v="0"/>
    <n v="0"/>
    <n v="0"/>
    <n v="0"/>
    <n v="0"/>
    <m/>
  </r>
  <r>
    <x v="4"/>
    <x v="21"/>
    <d v="2026-05-28T00:00:00"/>
    <s v="USD"/>
    <s v="捡漏SP.Keyword.Mannual - Tray"/>
    <x v="11"/>
    <s v="Amazon"/>
    <s v="United States"/>
    <s v="universal stroller tray"/>
    <s v="BROAD"/>
    <s v="universal jogging stroller snack tray"/>
    <x v="1169"/>
    <n v="1"/>
    <n v="1"/>
    <n v="0.08"/>
    <n v="0.08"/>
    <n v="0"/>
    <m/>
    <n v="0"/>
    <n v="0"/>
    <n v="0"/>
    <n v="0"/>
    <n v="0"/>
    <n v="0"/>
    <n v="0"/>
    <n v="0"/>
    <m/>
  </r>
  <r>
    <x v="4"/>
    <x v="21"/>
    <d v="2026-05-25T00:00:00"/>
    <s v="USD"/>
    <s v="捡漏SP.Keyword.Mannual - Tray"/>
    <x v="11"/>
    <s v="Amazon"/>
    <s v="United States"/>
    <s v="stroller tray"/>
    <s v="BROAD"/>
    <s v="universal small snack tray for stroller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21"/>
    <d v="2026-05-24T00:00:00"/>
    <s v="USD"/>
    <s v="捡漏SP.Keyword.Mannual - Tray"/>
    <x v="11"/>
    <s v="Amazon"/>
    <s v="United States"/>
    <s v="universal snack tray"/>
    <s v="BROAD"/>
    <s v="universal snack tray"/>
    <x v="1172"/>
    <n v="1"/>
    <n v="0.125"/>
    <n v="0.21"/>
    <n v="0.21"/>
    <n v="0"/>
    <m/>
    <n v="0"/>
    <n v="0"/>
    <n v="0"/>
    <n v="0"/>
    <n v="0"/>
    <n v="0"/>
    <n v="0"/>
    <n v="0"/>
    <m/>
  </r>
  <r>
    <x v="4"/>
    <x v="21"/>
    <d v="2026-05-29T00:00:00"/>
    <s v="USD"/>
    <s v="捡漏SP.Keyword.Mannual - Tray"/>
    <x v="11"/>
    <s v="Amazon"/>
    <s v="United States"/>
    <s v="universal snack tray"/>
    <s v="BROAD"/>
    <s v="universal snack tray"/>
    <x v="1182"/>
    <n v="1"/>
    <n v="0.14285700000000001"/>
    <n v="0.21"/>
    <n v="0.21"/>
    <n v="0"/>
    <m/>
    <n v="0"/>
    <n v="0"/>
    <n v="0"/>
    <n v="0"/>
    <n v="0"/>
    <n v="0"/>
    <n v="0"/>
    <n v="0"/>
    <m/>
  </r>
  <r>
    <x v="4"/>
    <x v="21"/>
    <d v="2026-05-30T00:00:00"/>
    <s v="USD"/>
    <s v="捡漏SP.Keyword.Mannual - Tray"/>
    <x v="11"/>
    <s v="Amazon"/>
    <s v="United States"/>
    <s v="universal stroller tray"/>
    <s v="BROAD"/>
    <s v="universal snack tray for stroller"/>
    <x v="1194"/>
    <n v="1"/>
    <n v="2.6315999999999999E-2"/>
    <n v="0.2"/>
    <n v="0.2"/>
    <n v="0"/>
    <m/>
    <n v="0"/>
    <n v="0"/>
    <n v="0"/>
    <n v="0"/>
    <n v="0"/>
    <n v="0"/>
    <n v="0"/>
    <n v="0"/>
    <m/>
  </r>
  <r>
    <x v="4"/>
    <x v="21"/>
    <d v="2026-05-24T00:00:00"/>
    <s v="USD"/>
    <s v="捡漏SP.Keyword.Mannual - Tray"/>
    <x v="11"/>
    <s v="Amazon"/>
    <s v="United States"/>
    <s v="stroller snack tray"/>
    <s v="BROAD"/>
    <s v="universal snack tray for stroller clip on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1"/>
    <d v="2026-05-25T00:00:00"/>
    <s v="USD"/>
    <s v="SP.ASIN.Manual - Tray"/>
    <x v="13"/>
    <s v="Amazon"/>
    <s v="United States"/>
    <s v="asin=&quot;B0C1G4985Z&quot;"/>
    <s v="-"/>
    <s v="universal stroller cup holder snack tray"/>
    <x v="1168"/>
    <n v="1"/>
    <n v="0.5"/>
    <n v="0"/>
    <n v="0"/>
    <n v="0"/>
    <m/>
    <m/>
    <n v="0"/>
    <n v="0"/>
    <n v="0"/>
    <n v="0"/>
    <n v="0"/>
    <n v="0"/>
    <n v="0"/>
    <m/>
  </r>
  <r>
    <x v="4"/>
    <x v="19"/>
    <d v="2026-05-22T00:00:00"/>
    <s v="USD"/>
    <s v="SP.Auto - Tray"/>
    <x v="12"/>
    <s v="Amazon"/>
    <s v="United States"/>
    <s v="close-match"/>
    <s v="-"/>
    <s v="universal stroller snack tray"/>
    <x v="1229"/>
    <n v="1"/>
    <n v="8.3333000000000004E-2"/>
    <n v="0.85"/>
    <n v="0.85"/>
    <n v="0"/>
    <m/>
    <n v="0"/>
    <n v="0"/>
    <n v="0"/>
    <n v="0"/>
    <n v="0"/>
    <n v="0"/>
    <n v="0"/>
    <n v="0"/>
    <m/>
  </r>
  <r>
    <x v="4"/>
    <x v="21"/>
    <d v="2026-05-25T00:00:00"/>
    <s v="USD"/>
    <s v="SP.Auto - Tray"/>
    <x v="12"/>
    <s v="Amazon"/>
    <s v="United States"/>
    <s v="close-match"/>
    <s v="-"/>
    <s v="universal stroller snack tray"/>
    <x v="1209"/>
    <n v="1"/>
    <n v="5.2631999999999998E-2"/>
    <n v="0.85"/>
    <n v="0.85"/>
    <n v="0"/>
    <m/>
    <n v="0"/>
    <n v="0"/>
    <n v="0"/>
    <n v="0"/>
    <n v="0"/>
    <n v="0"/>
    <n v="0"/>
    <n v="0"/>
    <m/>
  </r>
  <r>
    <x v="4"/>
    <x v="21"/>
    <d v="2026-05-29T00:00:00"/>
    <s v="USD"/>
    <s v="SP.Auto - Tray"/>
    <x v="12"/>
    <s v="Amazon"/>
    <s v="United States"/>
    <s v="close-match"/>
    <s v="-"/>
    <s v="universal stroller snack tray"/>
    <x v="1202"/>
    <n v="1"/>
    <n v="6.6667000000000004E-2"/>
    <n v="1.22"/>
    <n v="1.22"/>
    <n v="0"/>
    <m/>
    <n v="0"/>
    <n v="0"/>
    <n v="0"/>
    <n v="0"/>
    <n v="0"/>
    <n v="0"/>
    <n v="0"/>
    <n v="0"/>
    <m/>
  </r>
  <r>
    <x v="4"/>
    <x v="19"/>
    <d v="2026-05-23T00:00:00"/>
    <s v="USD"/>
    <s v="捡漏SP.Keyword.Mannual - Tray"/>
    <x v="11"/>
    <s v="Amazon"/>
    <s v="United States"/>
    <s v="snack tray for stroller"/>
    <s v="BROAD"/>
    <s v="universal stroller snack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1"/>
    <d v="2026-05-30T00:00:00"/>
    <s v="USD"/>
    <s v="捡漏SP.Keyword.Mannual - Tray"/>
    <x v="11"/>
    <s v="Amazon"/>
    <s v="United States"/>
    <s v="universal stroller tray"/>
    <s v="BROAD"/>
    <s v="universal stroller snack tray"/>
    <x v="1171"/>
    <n v="1"/>
    <n v="0.25"/>
    <n v="0.16"/>
    <n v="0.16"/>
    <n v="0"/>
    <m/>
    <n v="0"/>
    <n v="0"/>
    <n v="0"/>
    <n v="0"/>
    <n v="0"/>
    <n v="0"/>
    <n v="0"/>
    <n v="0"/>
    <m/>
  </r>
  <r>
    <x v="4"/>
    <x v="21"/>
    <d v="2026-05-27T00:00:00"/>
    <s v="USD"/>
    <s v="捡漏SP.Keyword.Mannual - Tray"/>
    <x v="11"/>
    <s v="Amazon"/>
    <s v="United States"/>
    <s v="liuliuby universal stroller snack tray"/>
    <s v="BROAD"/>
    <s v="universal stroller snack tray"/>
    <x v="1170"/>
    <n v="1"/>
    <n v="0.33333299999999999"/>
    <n v="0.2"/>
    <n v="0.2"/>
    <n v="0"/>
    <m/>
    <n v="0"/>
    <n v="0"/>
    <n v="0"/>
    <n v="0"/>
    <n v="0"/>
    <n v="0"/>
    <n v="0"/>
    <n v="0"/>
    <m/>
  </r>
  <r>
    <x v="4"/>
    <x v="21"/>
    <d v="2026-05-30T00:00:00"/>
    <s v="USD"/>
    <s v="捡漏SP.Keyword.Mannual - Tray"/>
    <x v="11"/>
    <s v="Amazon"/>
    <s v="United States"/>
    <s v="universal snack tray"/>
    <s v="BROAD"/>
    <s v="universal stroller snack tray"/>
    <x v="1213"/>
    <n v="1"/>
    <n v="3.4483E-2"/>
    <n v="0.2"/>
    <n v="0.2"/>
    <n v="17.47"/>
    <n v="1.1448E-2"/>
    <n v="87.35"/>
    <n v="1"/>
    <n v="1"/>
    <n v="1"/>
    <n v="1"/>
    <n v="0"/>
    <n v="17.47"/>
    <n v="0"/>
    <m/>
  </r>
  <r>
    <x v="4"/>
    <x v="21"/>
    <d v="2026-05-25T00:00:00"/>
    <s v="USD"/>
    <s v="SP.Auto - Tray"/>
    <x v="12"/>
    <s v="Amazon"/>
    <s v="United States"/>
    <s v="loose-match"/>
    <s v="-"/>
    <s v="universal stroller snack tray no bar"/>
    <x v="1170"/>
    <n v="1"/>
    <n v="0.33333299999999999"/>
    <n v="0.54"/>
    <n v="0.54"/>
    <n v="17.989999999999998"/>
    <n v="3.0016999999999999E-2"/>
    <n v="33.31"/>
    <n v="1"/>
    <n v="1"/>
    <n v="1"/>
    <n v="0"/>
    <n v="1"/>
    <n v="0"/>
    <n v="17.989999999999998"/>
    <m/>
  </r>
  <r>
    <x v="4"/>
    <x v="22"/>
    <d v="2026-05-31T00:00:00"/>
    <s v="USD"/>
    <s v="捡漏SP.Keyword.Mannual - Tray"/>
    <x v="16"/>
    <s v="Amazon"/>
    <s v="United States"/>
    <s v="universal stroller snack tray"/>
    <s v="PHRASE"/>
    <s v="universal stroller snack tray no bar"/>
    <x v="1174"/>
    <n v="1"/>
    <n v="0.2"/>
    <n v="0.3"/>
    <n v="0.3"/>
    <n v="0"/>
    <m/>
    <n v="0"/>
    <n v="0"/>
    <n v="0"/>
    <n v="0"/>
    <n v="0"/>
    <n v="0"/>
    <n v="0"/>
    <n v="0"/>
    <m/>
  </r>
  <r>
    <x v="4"/>
    <x v="21"/>
    <d v="2026-05-29T00:00:00"/>
    <s v="USD"/>
    <s v="捡漏SP.Keyword.Mannual - Tray"/>
    <x v="11"/>
    <s v="Amazon"/>
    <s v="United States"/>
    <s v="stroller tray"/>
    <s v="BROAD"/>
    <s v="universal stroller tray"/>
    <x v="1223"/>
    <n v="1"/>
    <n v="6.25E-2"/>
    <n v="0.2"/>
    <n v="0.2"/>
    <n v="0"/>
    <m/>
    <n v="0"/>
    <n v="0"/>
    <n v="0"/>
    <n v="0"/>
    <n v="0"/>
    <n v="0"/>
    <n v="0"/>
    <n v="0"/>
    <m/>
  </r>
  <r>
    <x v="4"/>
    <x v="21"/>
    <d v="2026-05-24T00:00:00"/>
    <s v="USD"/>
    <s v="捡漏SP.Keyword.Mannual - Tray"/>
    <x v="11"/>
    <s v="Amazon"/>
    <s v="United States"/>
    <s v="universal stroller snack tray"/>
    <s v="BROAD"/>
    <s v="universal umbrella stroller snack tray"/>
    <x v="1169"/>
    <n v="1"/>
    <n v="1"/>
    <n v="0.4"/>
    <n v="0.4"/>
    <n v="0"/>
    <m/>
    <n v="0"/>
    <n v="0"/>
    <n v="0"/>
    <n v="0"/>
    <n v="0"/>
    <n v="0"/>
    <n v="0"/>
    <n v="0"/>
    <m/>
  </r>
  <r>
    <x v="4"/>
    <x v="19"/>
    <d v="2026-05-22T00:00:00"/>
    <s v="USD"/>
    <s v="捡漏SP.Keyword.Mannual - Tray"/>
    <x v="16"/>
    <s v="Amazon"/>
    <s v="United States"/>
    <s v="stroller snack tray"/>
    <s v="PHRASE"/>
    <s v="universal wagon stroller snack tray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21"/>
    <d v="2026-05-30T00:00:00"/>
    <s v="USD"/>
    <s v="捡漏SP.Keyword.Mannual - Tray"/>
    <x v="16"/>
    <s v="Amazon"/>
    <s v="United States"/>
    <s v="wagon cup holder"/>
    <s v="PHRASE"/>
    <s v="wagon cup holders and snack trays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4"/>
    <x v="22"/>
    <d v="2026-05-31T00:00:00"/>
    <s v="USD"/>
    <s v="捡漏SP.Keyword.Mannual - Tray"/>
    <x v="11"/>
    <s v="Amazon"/>
    <s v="United States"/>
    <s v="clip on snack tray"/>
    <s v="BROAD"/>
    <s v="wagon snack tray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21"/>
    <d v="2026-05-30T00:00:00"/>
    <s v="USD"/>
    <s v="捡漏SP.Keyword.Mannual - Tray"/>
    <x v="11"/>
    <s v="Amazon"/>
    <s v="United States"/>
    <s v="stroller wagon child cup holder"/>
    <s v="BROAD"/>
    <s v="wagon stroller accessories"/>
    <x v="1170"/>
    <n v="1"/>
    <n v="0.33333299999999999"/>
    <n v="0.2"/>
    <n v="0.2"/>
    <n v="17.47"/>
    <n v="1.1448E-2"/>
    <n v="87.35"/>
    <n v="1"/>
    <n v="1"/>
    <n v="1"/>
    <n v="1"/>
    <n v="0"/>
    <n v="17.47"/>
    <n v="0"/>
    <m/>
  </r>
  <r>
    <x v="4"/>
    <x v="21"/>
    <d v="2026-05-24T00:00:00"/>
    <s v="USD"/>
    <s v="捡漏SP.Keyword.Mannual - Tray"/>
    <x v="11"/>
    <s v="Amazon"/>
    <s v="United States"/>
    <s v="stroller cup holder"/>
    <s v="BROAD"/>
    <s v="wagon stroller parent console cup holder"/>
    <x v="1168"/>
    <n v="1"/>
    <n v="0.5"/>
    <n v="0.21"/>
    <n v="0.21"/>
    <n v="0"/>
    <m/>
    <n v="0"/>
    <n v="0"/>
    <n v="0"/>
    <n v="0"/>
    <n v="0"/>
    <n v="0"/>
    <n v="0"/>
    <n v="0"/>
    <m/>
  </r>
  <r>
    <x v="4"/>
    <x v="21"/>
    <d v="2026-05-25T00:00:00"/>
    <s v="USD"/>
    <s v="SP.Auto - Tray"/>
    <x v="12"/>
    <s v="Amazon"/>
    <s v="United States"/>
    <s v="loose-match"/>
    <s v="-"/>
    <s v="walker tray"/>
    <x v="1170"/>
    <n v="1"/>
    <n v="0.33333299999999999"/>
    <n v="0.1"/>
    <n v="0.1"/>
    <n v="0"/>
    <m/>
    <n v="0"/>
    <n v="0"/>
    <n v="0"/>
    <n v="0"/>
    <n v="0"/>
    <n v="0"/>
    <n v="0"/>
    <n v="0"/>
    <m/>
  </r>
  <r>
    <x v="4"/>
    <x v="19"/>
    <d v="2026-05-23T00:00:00"/>
    <s v="USD"/>
    <s v="捡漏SP.Keyword.Mannual - Tray"/>
    <x v="11"/>
    <s v="Amazon"/>
    <s v="United States"/>
    <s v="stroller clip on tray"/>
    <s v="BROAD"/>
    <s v="wide clamp stroller snack tray"/>
    <x v="1169"/>
    <n v="1"/>
    <n v="1"/>
    <n v="0.21"/>
    <n v="0.21"/>
    <n v="0"/>
    <m/>
    <n v="0"/>
    <n v="0"/>
    <n v="0"/>
    <n v="0"/>
    <n v="0"/>
    <n v="0"/>
    <n v="0"/>
    <n v="0"/>
    <m/>
  </r>
  <r>
    <x v="4"/>
    <x v="21"/>
    <d v="2026-05-27T00:00:00"/>
    <s v="USD"/>
    <s v="捡漏SP.Keyword.Mannual - Tray"/>
    <x v="11"/>
    <s v="Amazon"/>
    <s v="United States"/>
    <s v="stroller tray"/>
    <s v="BROAD"/>
    <s v="￼adjustable tray for classic stroller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3"/>
    <d v="2026-06-15T00:00:00"/>
    <s v="USD"/>
    <s v="捡漏SP.Keyword.Mannual - Tray"/>
    <x v="11"/>
    <s v="Amazon"/>
    <s v="United States"/>
    <s v="stroller tray"/>
    <s v="BROAD"/>
    <s v="adjustable snack tray for stroller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3"/>
    <d v="2026-06-14T00:00:00"/>
    <s v="USD"/>
    <s v="捡漏SP.Keyword.Mannual - Tray"/>
    <x v="11"/>
    <s v="Amazon"/>
    <s v="United States"/>
    <s v="stroller tray"/>
    <s v="BROAD"/>
    <s v="adult stroller food tray that attaches to both sides"/>
    <x v="1169"/>
    <n v="1"/>
    <n v="1"/>
    <n v="0.4"/>
    <n v="0.4"/>
    <n v="0"/>
    <m/>
    <n v="0"/>
    <n v="0"/>
    <n v="0"/>
    <n v="0"/>
    <n v="0"/>
    <n v="0"/>
    <n v="0"/>
    <n v="0"/>
    <m/>
  </r>
  <r>
    <x v="5"/>
    <x v="22"/>
    <d v="2026-06-06T00:00:00"/>
    <s v="USD"/>
    <s v="捡漏SP.Keyword.Mannual - Tray"/>
    <x v="11"/>
    <s v="Amazon"/>
    <s v="United States"/>
    <s v="universal snack tray"/>
    <s v="BROAD"/>
    <s v="amazing tray attachment"/>
    <x v="1171"/>
    <n v="1"/>
    <n v="0.25"/>
    <n v="0.21"/>
    <n v="0.21"/>
    <n v="0"/>
    <m/>
    <n v="0"/>
    <n v="0"/>
    <n v="0"/>
    <n v="0"/>
    <n v="0"/>
    <n v="0"/>
    <n v="0"/>
    <n v="0"/>
    <m/>
  </r>
  <r>
    <x v="5"/>
    <x v="23"/>
    <d v="2026-06-17T00:00:00"/>
    <s v="USD"/>
    <s v="捡漏SP.Keyword.Mannual - Tray"/>
    <x v="16"/>
    <s v="Amazon"/>
    <s v="United States"/>
    <s v="snack cup for stroller"/>
    <s v="PHRASE"/>
    <s v="attachable snack cup for stroller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3"/>
    <d v="2026-06-16T00:00:00"/>
    <s v="USD"/>
    <s v="捡漏SP.Keyword.Mannual - Tray"/>
    <x v="11"/>
    <s v="Amazon"/>
    <s v="United States"/>
    <s v="stroller tray"/>
    <s v="BROAD"/>
    <s v="attachable snack tray for stroller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3"/>
    <d v="2026-06-17T00:00:00"/>
    <s v="USD"/>
    <s v="捡漏SP.Keyword.Mannual - Tray"/>
    <x v="11"/>
    <s v="Amazon"/>
    <s v="United States"/>
    <s v="stroller snack tray"/>
    <s v="BROAD"/>
    <s v="attachable stroller snack tray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4"/>
    <d v="2026-06-09T00:00:00"/>
    <s v="USD"/>
    <s v="SP.Auto - Tray"/>
    <x v="12"/>
    <s v="Amazon"/>
    <s v="United States"/>
    <s v="substitutes"/>
    <s v="-"/>
    <s v="b079lxvd4f"/>
    <x v="1169"/>
    <n v="1"/>
    <n v="1"/>
    <n v="0.5"/>
    <n v="0.5"/>
    <n v="0"/>
    <m/>
    <n v="0"/>
    <n v="0"/>
    <n v="0"/>
    <n v="0"/>
    <n v="0"/>
    <n v="0"/>
    <n v="0"/>
    <n v="0"/>
    <m/>
  </r>
  <r>
    <x v="5"/>
    <x v="23"/>
    <d v="2026-06-18T00:00:00"/>
    <s v="USD"/>
    <s v="SP.Auto - Tray"/>
    <x v="12"/>
    <s v="Amazon"/>
    <s v="United States"/>
    <s v="substitutes"/>
    <s v="-"/>
    <s v="b07gghvl64"/>
    <x v="1169"/>
    <n v="1"/>
    <n v="1"/>
    <n v="0.5"/>
    <n v="0.5"/>
    <n v="0"/>
    <m/>
    <n v="0"/>
    <n v="0"/>
    <n v="0"/>
    <n v="0"/>
    <n v="0"/>
    <n v="0"/>
    <n v="0"/>
    <n v="0"/>
    <m/>
  </r>
  <r>
    <x v="5"/>
    <x v="22"/>
    <d v="2026-06-04T00:00:00"/>
    <s v="USD"/>
    <s v="SP.Auto - Tray"/>
    <x v="12"/>
    <s v="Amazon"/>
    <s v="United States"/>
    <s v="substitutes"/>
    <s v="-"/>
    <s v="b09t54qzg7"/>
    <x v="1170"/>
    <n v="1"/>
    <n v="0.33333299999999999"/>
    <n v="0.62"/>
    <n v="0.62"/>
    <n v="17.47"/>
    <n v="3.5489E-2"/>
    <n v="28.18"/>
    <n v="1"/>
    <n v="1"/>
    <n v="1"/>
    <n v="1"/>
    <n v="0"/>
    <n v="17.47"/>
    <n v="0"/>
    <m/>
  </r>
  <r>
    <x v="5"/>
    <x v="23"/>
    <d v="2026-06-17T00:00:00"/>
    <s v="USD"/>
    <s v="SP.Auto - Tray"/>
    <x v="12"/>
    <s v="Amazon"/>
    <s v="United States"/>
    <s v="substitutes"/>
    <s v="-"/>
    <s v="b0bjp6c918"/>
    <x v="1171"/>
    <n v="1"/>
    <n v="0.25"/>
    <n v="0.48"/>
    <n v="0.48"/>
    <n v="0"/>
    <m/>
    <n v="0"/>
    <n v="0"/>
    <n v="0"/>
    <n v="0"/>
    <n v="0"/>
    <n v="0"/>
    <n v="0"/>
    <n v="0"/>
    <m/>
  </r>
  <r>
    <x v="5"/>
    <x v="23"/>
    <d v="2026-06-18T00:00:00"/>
    <s v="USD"/>
    <s v="SP.Auto - Tray"/>
    <x v="12"/>
    <s v="Amazon"/>
    <s v="United States"/>
    <s v="substitutes"/>
    <s v="-"/>
    <s v="b0bjp6c918"/>
    <x v="1169"/>
    <n v="1"/>
    <n v="1"/>
    <n v="0.5"/>
    <n v="0.5"/>
    <n v="0"/>
    <m/>
    <n v="0"/>
    <n v="0"/>
    <n v="0"/>
    <n v="0"/>
    <n v="0"/>
    <n v="0"/>
    <n v="0"/>
    <n v="0"/>
    <m/>
  </r>
  <r>
    <x v="5"/>
    <x v="22"/>
    <d v="2026-06-01T00:00:00"/>
    <s v="USD"/>
    <s v="SP.ASIN.Manual - Tray"/>
    <x v="13"/>
    <s v="Amazon"/>
    <s v="United States"/>
    <s v="asin=&quot;B0C1G4985Z&quot;"/>
    <s v="-"/>
    <s v="b0c1g4985z"/>
    <x v="1264"/>
    <n v="2"/>
    <n v="6.3489999999999996E-3"/>
    <n v="0.71"/>
    <n v="1.42"/>
    <n v="17.47"/>
    <n v="8.1281999999999993E-2"/>
    <n v="12.3"/>
    <n v="1"/>
    <n v="1"/>
    <n v="0.5"/>
    <n v="1"/>
    <n v="0"/>
    <n v="17.47"/>
    <n v="0"/>
    <m/>
  </r>
  <r>
    <x v="5"/>
    <x v="22"/>
    <d v="2026-06-02T00:00:00"/>
    <s v="USD"/>
    <s v="SP.ASIN.Manual - Tray"/>
    <x v="13"/>
    <s v="Amazon"/>
    <s v="United States"/>
    <s v="asin=&quot;B0C1G4985Z&quot;"/>
    <s v="-"/>
    <s v="b0c1g4985z"/>
    <x v="1265"/>
    <n v="2"/>
    <n v="1.4599000000000001E-2"/>
    <n v="0.65"/>
    <n v="1.3"/>
    <n v="17.47"/>
    <n v="7.4413000000000007E-2"/>
    <n v="13.44"/>
    <n v="1"/>
    <n v="1"/>
    <n v="0.5"/>
    <n v="1"/>
    <n v="0"/>
    <n v="17.47"/>
    <n v="0"/>
    <m/>
  </r>
  <r>
    <x v="5"/>
    <x v="22"/>
    <d v="2026-06-03T00:00:00"/>
    <s v="USD"/>
    <s v="SP.ASIN.Manual - Tray"/>
    <x v="13"/>
    <s v="Amazon"/>
    <s v="United States"/>
    <s v="asin=&quot;B0C1G4985Z&quot;"/>
    <s v="-"/>
    <s v="b0c1g4985z"/>
    <x v="1266"/>
    <n v="4"/>
    <n v="2.8368999999999998E-2"/>
    <n v="0.61"/>
    <n v="2.42"/>
    <n v="0"/>
    <m/>
    <n v="0"/>
    <n v="0"/>
    <n v="0"/>
    <n v="0"/>
    <n v="0"/>
    <n v="0"/>
    <n v="0"/>
    <n v="0"/>
    <m/>
  </r>
  <r>
    <x v="5"/>
    <x v="22"/>
    <d v="2026-06-04T00:00:00"/>
    <s v="USD"/>
    <s v="SP.ASIN.Manual - Tray"/>
    <x v="13"/>
    <s v="Amazon"/>
    <s v="United States"/>
    <s v="asin=&quot;B0C1G4985Z&quot;"/>
    <s v="-"/>
    <s v="b0c1g4985z"/>
    <x v="1215"/>
    <n v="3"/>
    <n v="1.5956999999999999E-2"/>
    <n v="0.56999999999999995"/>
    <n v="1.71"/>
    <n v="0"/>
    <m/>
    <n v="0"/>
    <n v="0"/>
    <n v="0"/>
    <n v="0"/>
    <n v="0"/>
    <n v="0"/>
    <n v="0"/>
    <n v="0"/>
    <m/>
  </r>
  <r>
    <x v="5"/>
    <x v="22"/>
    <d v="2026-06-05T00:00:00"/>
    <s v="USD"/>
    <s v="SP.ASIN.Manual - Tray"/>
    <x v="13"/>
    <s v="Amazon"/>
    <s v="United States"/>
    <s v="asin=&quot;B0C1G4985Z&quot;"/>
    <s v="-"/>
    <s v="b0c1g4985z"/>
    <x v="1267"/>
    <n v="3"/>
    <n v="8.4749999999999999E-3"/>
    <n v="0.6"/>
    <n v="1.8"/>
    <n v="0"/>
    <m/>
    <n v="0"/>
    <n v="0"/>
    <n v="0"/>
    <n v="0"/>
    <n v="0"/>
    <n v="0"/>
    <n v="0"/>
    <n v="0"/>
    <m/>
  </r>
  <r>
    <x v="5"/>
    <x v="22"/>
    <d v="2026-06-06T00:00:00"/>
    <s v="USD"/>
    <s v="SP.ASIN.Manual - Tray"/>
    <x v="13"/>
    <s v="Amazon"/>
    <s v="United States"/>
    <s v="asin=&quot;B0C1G4985Z&quot;"/>
    <s v="-"/>
    <s v="b0c1g4985z"/>
    <x v="1268"/>
    <n v="1"/>
    <n v="2.5709999999999999E-3"/>
    <n v="0.61"/>
    <n v="0.61"/>
    <n v="0"/>
    <m/>
    <n v="0"/>
    <n v="0"/>
    <n v="0"/>
    <n v="0"/>
    <n v="0"/>
    <n v="0"/>
    <n v="0"/>
    <n v="0"/>
    <m/>
  </r>
  <r>
    <x v="5"/>
    <x v="24"/>
    <d v="2026-06-07T00:00:00"/>
    <s v="USD"/>
    <s v="SP.ASIN.Manual - Tray"/>
    <x v="13"/>
    <s v="Amazon"/>
    <s v="United States"/>
    <s v="asin=&quot;B0C1G4985Z&quot;"/>
    <s v="-"/>
    <s v="b0c1g4985z"/>
    <x v="1269"/>
    <n v="3"/>
    <n v="1.2987E-2"/>
    <n v="0.67"/>
    <n v="2.0099999999999998"/>
    <n v="0"/>
    <m/>
    <n v="0"/>
    <n v="0"/>
    <n v="0"/>
    <n v="0"/>
    <n v="0"/>
    <n v="0"/>
    <n v="0"/>
    <n v="0"/>
    <m/>
  </r>
  <r>
    <x v="5"/>
    <x v="24"/>
    <d v="2026-06-08T00:00:00"/>
    <s v="USD"/>
    <s v="SP.ASIN.Manual - Tray"/>
    <x v="13"/>
    <s v="Amazon"/>
    <s v="United States"/>
    <s v="asin=&quot;B0C1G4985Z&quot;"/>
    <s v="-"/>
    <s v="b0c1g4985z"/>
    <x v="1270"/>
    <n v="3"/>
    <n v="1.1278E-2"/>
    <n v="0.69"/>
    <n v="2.0699999999999998"/>
    <n v="34.94"/>
    <n v="5.9243999999999998E-2"/>
    <n v="16.88"/>
    <n v="1"/>
    <n v="2"/>
    <n v="0.33333299999999999"/>
    <n v="2"/>
    <n v="0"/>
    <n v="34.94"/>
    <n v="0"/>
    <m/>
  </r>
  <r>
    <x v="5"/>
    <x v="24"/>
    <d v="2026-06-09T00:00:00"/>
    <s v="USD"/>
    <s v="SP.ASIN.Manual - Tray"/>
    <x v="13"/>
    <s v="Amazon"/>
    <s v="United States"/>
    <s v="asin=&quot;B0C1G4985Z&quot;"/>
    <s v="-"/>
    <s v="b0c1g4985z"/>
    <x v="1271"/>
    <n v="1"/>
    <n v="1.3158E-2"/>
    <n v="0.67"/>
    <n v="0.67"/>
    <n v="0"/>
    <m/>
    <n v="0"/>
    <n v="0"/>
    <n v="0"/>
    <n v="0"/>
    <n v="0"/>
    <n v="0"/>
    <n v="0"/>
    <n v="0"/>
    <m/>
  </r>
  <r>
    <x v="5"/>
    <x v="24"/>
    <d v="2026-06-10T00:00:00"/>
    <s v="USD"/>
    <s v="SP.ASIN.Manual - Tray"/>
    <x v="13"/>
    <s v="Amazon"/>
    <s v="United States"/>
    <s v="asin=&quot;B0C1G4985Z&quot;"/>
    <s v="-"/>
    <s v="b0c1g4985z"/>
    <x v="1253"/>
    <n v="1"/>
    <n v="7.1939999999999999E-3"/>
    <n v="0.67"/>
    <n v="0.67"/>
    <n v="0"/>
    <m/>
    <n v="0"/>
    <n v="0"/>
    <n v="0"/>
    <n v="0"/>
    <n v="0"/>
    <n v="0"/>
    <n v="0"/>
    <n v="0"/>
    <m/>
  </r>
  <r>
    <x v="5"/>
    <x v="24"/>
    <d v="2026-06-11T00:00:00"/>
    <s v="USD"/>
    <s v="SP.ASIN.Manual - Tray"/>
    <x v="13"/>
    <s v="Amazon"/>
    <s v="United States"/>
    <s v="asin=&quot;B0C1G4985Z&quot;"/>
    <s v="-"/>
    <s v="b0c1g4985z"/>
    <x v="1272"/>
    <n v="3"/>
    <n v="1.7964000000000001E-2"/>
    <n v="0.67"/>
    <n v="2.02"/>
    <n v="0"/>
    <m/>
    <n v="0"/>
    <n v="0"/>
    <n v="0"/>
    <n v="0"/>
    <n v="0"/>
    <n v="0"/>
    <n v="0"/>
    <n v="0"/>
    <m/>
  </r>
  <r>
    <x v="5"/>
    <x v="24"/>
    <d v="2026-06-12T00:00:00"/>
    <s v="USD"/>
    <s v="SP.ASIN.Manual - Tray"/>
    <x v="13"/>
    <s v="Amazon"/>
    <s v="United States"/>
    <s v="asin=&quot;B0C1G4985Z&quot;"/>
    <s v="-"/>
    <s v="b0c1g4985z"/>
    <x v="1273"/>
    <n v="2"/>
    <n v="2.5641000000000001E-2"/>
    <n v="0.67"/>
    <n v="1.33"/>
    <n v="0"/>
    <m/>
    <n v="0"/>
    <n v="0"/>
    <n v="0"/>
    <n v="0"/>
    <n v="0"/>
    <n v="0"/>
    <n v="0"/>
    <n v="0"/>
    <m/>
  </r>
  <r>
    <x v="5"/>
    <x v="24"/>
    <d v="2026-06-13T00:00:00"/>
    <s v="USD"/>
    <s v="SP.ASIN.Manual - Tray"/>
    <x v="13"/>
    <s v="Amazon"/>
    <s v="United States"/>
    <s v="asin=&quot;B0C1G4985Z&quot;"/>
    <s v="-"/>
    <s v="b0c1g4985z"/>
    <x v="1274"/>
    <n v="3"/>
    <n v="1.8405000000000001E-2"/>
    <n v="0.72"/>
    <n v="2.16"/>
    <n v="18.989999999999998"/>
    <n v="0.113744"/>
    <n v="8.7899999999999991"/>
    <n v="1"/>
    <n v="1"/>
    <n v="0.33333299999999999"/>
    <n v="1"/>
    <n v="0"/>
    <n v="18.989999999999998"/>
    <n v="0"/>
    <m/>
  </r>
  <r>
    <x v="5"/>
    <x v="23"/>
    <d v="2026-06-14T00:00:00"/>
    <s v="USD"/>
    <s v="SP.ASIN.Manual - Tray"/>
    <x v="13"/>
    <s v="Amazon"/>
    <s v="United States"/>
    <s v="asin=&quot;B0C1G4985Z&quot;"/>
    <s v="-"/>
    <s v="b0c1g4985z"/>
    <x v="1272"/>
    <n v="2"/>
    <n v="1.1976000000000001E-2"/>
    <n v="0.71"/>
    <n v="1.42"/>
    <n v="0"/>
    <m/>
    <n v="0"/>
    <n v="0"/>
    <n v="0"/>
    <n v="0"/>
    <n v="0"/>
    <n v="0"/>
    <n v="0"/>
    <n v="0"/>
    <m/>
  </r>
  <r>
    <x v="5"/>
    <x v="23"/>
    <d v="2026-06-15T00:00:00"/>
    <s v="USD"/>
    <s v="SP.ASIN.Manual - Tray"/>
    <x v="13"/>
    <s v="Amazon"/>
    <s v="United States"/>
    <s v="asin=&quot;B0C1G4985Z&quot;"/>
    <s v="-"/>
    <s v="b0c1g4985z"/>
    <x v="1275"/>
    <n v="3"/>
    <n v="1.6303999999999999E-2"/>
    <n v="0.5"/>
    <n v="1.5"/>
    <n v="0"/>
    <m/>
    <n v="0"/>
    <n v="0"/>
    <n v="0"/>
    <n v="0"/>
    <n v="0"/>
    <n v="0"/>
    <n v="0"/>
    <n v="0"/>
    <m/>
  </r>
  <r>
    <x v="5"/>
    <x v="23"/>
    <d v="2026-06-16T00:00:00"/>
    <s v="USD"/>
    <s v="SP.ASIN.Manual - Tray"/>
    <x v="13"/>
    <s v="Amazon"/>
    <s v="United States"/>
    <s v="asin=&quot;B0C1G4985Z&quot;"/>
    <s v="-"/>
    <s v="b0c1g4985z"/>
    <x v="1276"/>
    <n v="1"/>
    <n v="2.7550000000000001E-3"/>
    <n v="0.5"/>
    <n v="0.5"/>
    <n v="0"/>
    <m/>
    <n v="0"/>
    <n v="0"/>
    <n v="0"/>
    <n v="0"/>
    <n v="0"/>
    <n v="0"/>
    <n v="0"/>
    <n v="0"/>
    <m/>
  </r>
  <r>
    <x v="5"/>
    <x v="23"/>
    <d v="2026-06-17T00:00:00"/>
    <s v="USD"/>
    <s v="SP.ASIN.Manual - Tray"/>
    <x v="13"/>
    <s v="Amazon"/>
    <s v="United States"/>
    <s v="asin=&quot;B0C1G4985Z&quot;"/>
    <s v="-"/>
    <s v="b0c1g4985z"/>
    <x v="1277"/>
    <n v="4"/>
    <n v="2.3668999999999999E-2"/>
    <n v="0.54"/>
    <n v="2.15"/>
    <n v="0"/>
    <m/>
    <n v="0"/>
    <n v="0"/>
    <n v="0"/>
    <n v="0"/>
    <n v="0"/>
    <n v="0"/>
    <n v="0"/>
    <n v="0"/>
    <m/>
  </r>
  <r>
    <x v="5"/>
    <x v="23"/>
    <d v="2026-06-18T00:00:00"/>
    <s v="USD"/>
    <s v="SP.ASIN.Manual - Tray"/>
    <x v="13"/>
    <s v="Amazon"/>
    <s v="United States"/>
    <s v="asin=&quot;B0C1G4985Z&quot;"/>
    <s v="-"/>
    <s v="b0c1g4985z"/>
    <x v="1278"/>
    <n v="2"/>
    <n v="1.3422999999999999E-2"/>
    <n v="0.65"/>
    <n v="1.3"/>
    <n v="0"/>
    <m/>
    <n v="0"/>
    <n v="0"/>
    <n v="0"/>
    <n v="0"/>
    <n v="0"/>
    <n v="0"/>
    <n v="0"/>
    <n v="0"/>
    <m/>
  </r>
  <r>
    <x v="5"/>
    <x v="23"/>
    <d v="2026-06-19T00:00:00"/>
    <s v="USD"/>
    <s v="SP.ASIN.Manual - Tray"/>
    <x v="13"/>
    <s v="Amazon"/>
    <s v="United States"/>
    <s v="asin=&quot;B0C1G4985Z&quot;"/>
    <s v="-"/>
    <s v="b0c1g4985z"/>
    <x v="1279"/>
    <n v="3"/>
    <n v="1.0989000000000001E-2"/>
    <n v="0.6"/>
    <n v="1.8"/>
    <n v="18.989999999999998"/>
    <n v="9.4786999999999996E-2"/>
    <n v="10.55"/>
    <n v="1"/>
    <n v="1"/>
    <n v="0.33333299999999999"/>
    <n v="1"/>
    <n v="0"/>
    <n v="18.989999999999998"/>
    <n v="0"/>
    <m/>
  </r>
  <r>
    <x v="5"/>
    <x v="23"/>
    <d v="2026-06-20T00:00:00"/>
    <s v="USD"/>
    <s v="SP.ASIN.Manual - Tray"/>
    <x v="13"/>
    <s v="Amazon"/>
    <s v="United States"/>
    <s v="asin=&quot;B0C1G4985Z&quot;"/>
    <s v="-"/>
    <s v="b0c1g4985z"/>
    <x v="1280"/>
    <n v="4"/>
    <n v="1.8349000000000001E-2"/>
    <n v="0.6"/>
    <n v="2.4"/>
    <n v="0"/>
    <m/>
    <n v="0"/>
    <n v="0"/>
    <n v="0"/>
    <n v="0"/>
    <n v="0"/>
    <n v="0"/>
    <n v="0"/>
    <n v="0"/>
    <m/>
  </r>
  <r>
    <x v="5"/>
    <x v="25"/>
    <d v="2026-06-21T00:00:00"/>
    <s v="USD"/>
    <s v="SP.ASIN.Manual - Tray"/>
    <x v="13"/>
    <s v="Amazon"/>
    <s v="United States"/>
    <s v="asin=&quot;B0C1G4985Z&quot;"/>
    <s v="-"/>
    <s v="b0c1g4985z"/>
    <x v="1281"/>
    <n v="3"/>
    <n v="3.3333000000000002E-2"/>
    <n v="0.68"/>
    <n v="2.0299999999999998"/>
    <n v="0"/>
    <m/>
    <n v="0"/>
    <n v="0"/>
    <n v="0"/>
    <n v="0"/>
    <n v="0"/>
    <n v="0"/>
    <n v="0"/>
    <n v="0"/>
    <m/>
  </r>
  <r>
    <x v="5"/>
    <x v="24"/>
    <d v="2026-06-07T00:00:00"/>
    <s v="USD"/>
    <s v="SP.Auto - Tray"/>
    <x v="12"/>
    <s v="Amazon"/>
    <s v="United States"/>
    <s v="substitutes"/>
    <s v="-"/>
    <s v="b0d3xc4kh5"/>
    <x v="1174"/>
    <n v="1"/>
    <n v="0.2"/>
    <n v="0.5"/>
    <n v="0.5"/>
    <n v="0"/>
    <m/>
    <n v="0"/>
    <n v="0"/>
    <n v="0"/>
    <n v="0"/>
    <n v="0"/>
    <n v="0"/>
    <n v="0"/>
    <n v="0"/>
    <m/>
  </r>
  <r>
    <x v="5"/>
    <x v="22"/>
    <d v="2026-06-01T00:00:00"/>
    <s v="USD"/>
    <s v="SP.Auto - Tray"/>
    <x v="12"/>
    <s v="Amazon"/>
    <s v="United States"/>
    <s v="substitutes"/>
    <s v="-"/>
    <s v="b0dh98h2g4"/>
    <x v="1171"/>
    <n v="1"/>
    <n v="0.25"/>
    <n v="0.6"/>
    <n v="0.6"/>
    <n v="0"/>
    <m/>
    <n v="0"/>
    <n v="0"/>
    <n v="0"/>
    <n v="0"/>
    <n v="0"/>
    <n v="0"/>
    <n v="0"/>
    <n v="0"/>
    <m/>
  </r>
  <r>
    <x v="5"/>
    <x v="22"/>
    <d v="2026-06-02T00:00:00"/>
    <s v="USD"/>
    <s v="SP.ASIN.Manual - Tray"/>
    <x v="13"/>
    <s v="Amazon"/>
    <s v="United States"/>
    <s v="asin=&quot;B0DH98H2G4&quot;"/>
    <s v="-"/>
    <s v="b0dh98h2g4"/>
    <x v="1171"/>
    <n v="1"/>
    <n v="0.25"/>
    <n v="0.5"/>
    <n v="0.5"/>
    <n v="0"/>
    <m/>
    <n v="0"/>
    <n v="0"/>
    <n v="0"/>
    <n v="0"/>
    <n v="0"/>
    <n v="0"/>
    <n v="0"/>
    <n v="0"/>
    <m/>
  </r>
  <r>
    <x v="5"/>
    <x v="22"/>
    <d v="2026-06-04T00:00:00"/>
    <s v="USD"/>
    <s v="SP.ASIN.Manual - Tray"/>
    <x v="13"/>
    <s v="Amazon"/>
    <s v="United States"/>
    <s v="asin=&quot;B0DH98H2G4&quot;"/>
    <s v="-"/>
    <s v="b0dh98h2g4"/>
    <x v="1214"/>
    <n v="1"/>
    <n v="4.3478000000000003E-2"/>
    <n v="0.41"/>
    <n v="0.41"/>
    <n v="0"/>
    <m/>
    <n v="0"/>
    <n v="0"/>
    <n v="0"/>
    <n v="0"/>
    <n v="0"/>
    <n v="0"/>
    <n v="0"/>
    <n v="0"/>
    <m/>
  </r>
  <r>
    <x v="5"/>
    <x v="22"/>
    <d v="2026-06-06T00:00:00"/>
    <s v="USD"/>
    <s v="SP.ASIN.Manual - Tray"/>
    <x v="13"/>
    <s v="Amazon"/>
    <s v="United States"/>
    <s v="asin=&quot;B0DH98H2G4&quot;"/>
    <s v="-"/>
    <s v="b0dh98h2g4"/>
    <x v="1193"/>
    <n v="1"/>
    <n v="0.04"/>
    <n v="0.36"/>
    <n v="0.36"/>
    <n v="0"/>
    <m/>
    <n v="0"/>
    <n v="0"/>
    <n v="0"/>
    <n v="0"/>
    <n v="0"/>
    <n v="0"/>
    <n v="0"/>
    <n v="0"/>
    <m/>
  </r>
  <r>
    <x v="5"/>
    <x v="23"/>
    <d v="2026-06-14T00:00:00"/>
    <s v="USD"/>
    <s v="SP.ASIN.Manual - Tray"/>
    <x v="13"/>
    <s v="Amazon"/>
    <s v="United States"/>
    <s v="asin=&quot;B0DH98H2G4&quot;"/>
    <s v="-"/>
    <s v="b0dh98h2g4"/>
    <x v="1282"/>
    <n v="2"/>
    <n v="8.097E-3"/>
    <n v="0.57999999999999996"/>
    <n v="1.1499999999999999"/>
    <n v="0"/>
    <m/>
    <n v="0"/>
    <n v="0"/>
    <n v="0"/>
    <n v="0"/>
    <n v="0"/>
    <n v="0"/>
    <n v="0"/>
    <n v="0"/>
    <m/>
  </r>
  <r>
    <x v="5"/>
    <x v="23"/>
    <d v="2026-06-15T00:00:00"/>
    <s v="USD"/>
    <s v="SP.ASIN.Manual - Tray"/>
    <x v="13"/>
    <s v="Amazon"/>
    <s v="United States"/>
    <s v="asin=&quot;B0DH98H2G4&quot;"/>
    <s v="-"/>
    <s v="b0dh98h2g4"/>
    <x v="1204"/>
    <n v="2"/>
    <n v="1.3072E-2"/>
    <n v="0.47"/>
    <n v="0.94"/>
    <n v="0"/>
    <m/>
    <n v="0"/>
    <n v="0"/>
    <n v="0"/>
    <n v="0"/>
    <n v="0"/>
    <n v="0"/>
    <n v="0"/>
    <n v="0"/>
    <m/>
  </r>
  <r>
    <x v="5"/>
    <x v="23"/>
    <d v="2026-06-16T00:00:00"/>
    <s v="USD"/>
    <s v="SP.ASIN.Manual - Tray"/>
    <x v="13"/>
    <s v="Amazon"/>
    <s v="United States"/>
    <s v="asin=&quot;B0DH98H2G4&quot;"/>
    <s v="-"/>
    <s v="b0dh98h2g4"/>
    <x v="1283"/>
    <n v="1"/>
    <n v="1.4493000000000001E-2"/>
    <n v="0.47"/>
    <n v="0.47"/>
    <n v="0"/>
    <m/>
    <n v="0"/>
    <n v="0"/>
    <n v="0"/>
    <n v="0"/>
    <n v="0"/>
    <n v="0"/>
    <n v="0"/>
    <n v="0"/>
    <m/>
  </r>
  <r>
    <x v="5"/>
    <x v="23"/>
    <d v="2026-06-17T00:00:00"/>
    <s v="USD"/>
    <s v="SP.ASIN.Manual - Tray"/>
    <x v="13"/>
    <s v="Amazon"/>
    <s v="United States"/>
    <s v="asin=&quot;B0DH98H2G4&quot;"/>
    <s v="-"/>
    <s v="b0dh98h2g4"/>
    <x v="1223"/>
    <n v="1"/>
    <n v="6.25E-2"/>
    <n v="0.47"/>
    <n v="0.47"/>
    <n v="0"/>
    <m/>
    <n v="0"/>
    <n v="0"/>
    <n v="0"/>
    <n v="0"/>
    <n v="0"/>
    <n v="0"/>
    <n v="0"/>
    <n v="0"/>
    <m/>
  </r>
  <r>
    <x v="5"/>
    <x v="23"/>
    <d v="2026-06-18T00:00:00"/>
    <s v="USD"/>
    <s v="SP.ASIN.Manual - Tray"/>
    <x v="13"/>
    <s v="Amazon"/>
    <s v="United States"/>
    <s v="asin=&quot;B0DH98H2G4&quot;"/>
    <s v="-"/>
    <s v="b0dh98h2g4"/>
    <x v="1184"/>
    <n v="2"/>
    <n v="1.5504E-2"/>
    <n v="0.47"/>
    <n v="0.94"/>
    <n v="0"/>
    <m/>
    <n v="0"/>
    <n v="0"/>
    <n v="0"/>
    <n v="0"/>
    <n v="0"/>
    <n v="0"/>
    <n v="0"/>
    <n v="0"/>
    <m/>
  </r>
  <r>
    <x v="5"/>
    <x v="23"/>
    <d v="2026-06-19T00:00:00"/>
    <s v="USD"/>
    <s v="SP.ASIN.Manual - Tray"/>
    <x v="13"/>
    <s v="Amazon"/>
    <s v="United States"/>
    <s v="asin=&quot;B0DH98H2G4&quot;"/>
    <s v="-"/>
    <s v="b0dh98h2g4"/>
    <x v="1175"/>
    <n v="1"/>
    <n v="1.6948999999999999E-2"/>
    <n v="0.4"/>
    <n v="0.4"/>
    <n v="0"/>
    <m/>
    <n v="0"/>
    <n v="0"/>
    <n v="0"/>
    <n v="0"/>
    <n v="0"/>
    <n v="0"/>
    <n v="0"/>
    <n v="0"/>
    <m/>
  </r>
  <r>
    <x v="5"/>
    <x v="23"/>
    <d v="2026-06-17T00:00:00"/>
    <s v="USD"/>
    <s v="SP.Auto - BNF Fixed"/>
    <x v="15"/>
    <s v="Amazon"/>
    <s v="United States"/>
    <s v="substitutes"/>
    <s v="-"/>
    <s v="b0djq1st5z"/>
    <x v="1169"/>
    <n v="1"/>
    <n v="1"/>
    <n v="0.52"/>
    <n v="0.52"/>
    <n v="0"/>
    <m/>
    <n v="0"/>
    <n v="0"/>
    <n v="0"/>
    <n v="0"/>
    <n v="0"/>
    <n v="0"/>
    <n v="0"/>
    <n v="0"/>
    <m/>
  </r>
  <r>
    <x v="5"/>
    <x v="22"/>
    <d v="2026-06-05T00:00:00"/>
    <s v="USD"/>
    <s v="SP.Auto - ENC Fixed"/>
    <x v="14"/>
    <s v="Amazon"/>
    <s v="United States"/>
    <s v="substitutes"/>
    <s v="-"/>
    <s v="b0dq54hl53"/>
    <x v="1169"/>
    <n v="1"/>
    <n v="1"/>
    <n v="0.45"/>
    <n v="0.45"/>
    <n v="0"/>
    <m/>
    <n v="0"/>
    <n v="0"/>
    <n v="0"/>
    <n v="0"/>
    <n v="0"/>
    <n v="0"/>
    <n v="0"/>
    <n v="0"/>
    <m/>
  </r>
  <r>
    <x v="5"/>
    <x v="23"/>
    <d v="2026-06-15T00:00:00"/>
    <s v="USD"/>
    <s v="SP.Auto - Tray"/>
    <x v="12"/>
    <s v="Amazon"/>
    <s v="United States"/>
    <s v="substitutes"/>
    <s v="-"/>
    <s v="b0f48ywmq3"/>
    <x v="1169"/>
    <n v="1"/>
    <n v="1"/>
    <n v="0.45"/>
    <n v="0.45"/>
    <n v="0"/>
    <m/>
    <n v="0"/>
    <n v="0"/>
    <n v="0"/>
    <n v="0"/>
    <n v="0"/>
    <n v="0"/>
    <n v="0"/>
    <n v="0"/>
    <m/>
  </r>
  <r>
    <x v="5"/>
    <x v="22"/>
    <d v="2026-06-01T00:00:00"/>
    <s v="USD"/>
    <s v="SP.ASIN.Manual - Tray"/>
    <x v="13"/>
    <s v="Amazon"/>
    <s v="United States"/>
    <s v="asin=&quot;B0F4KJN2VC&quot;"/>
    <s v="-"/>
    <s v="b0f4kjn2vc"/>
    <x v="1202"/>
    <n v="1"/>
    <n v="6.6667000000000004E-2"/>
    <n v="0.6"/>
    <n v="0.6"/>
    <n v="0"/>
    <m/>
    <n v="0"/>
    <n v="0"/>
    <n v="0"/>
    <n v="0"/>
    <n v="0"/>
    <n v="0"/>
    <n v="0"/>
    <n v="0"/>
    <m/>
  </r>
  <r>
    <x v="5"/>
    <x v="24"/>
    <d v="2026-06-11T00:00:00"/>
    <s v="USD"/>
    <s v="SP.ASIN.Manual - Tray"/>
    <x v="13"/>
    <s v="Amazon"/>
    <s v="United States"/>
    <s v="asin=&quot;B0FVF51VYJ&quot;"/>
    <s v="-"/>
    <s v="b0fvf51vyj"/>
    <x v="1220"/>
    <n v="1"/>
    <n v="0.1"/>
    <n v="0.55000000000000004"/>
    <n v="0.55000000000000004"/>
    <n v="0"/>
    <m/>
    <n v="0"/>
    <n v="0"/>
    <n v="0"/>
    <n v="0"/>
    <n v="0"/>
    <n v="0"/>
    <n v="0"/>
    <n v="0"/>
    <m/>
  </r>
  <r>
    <x v="5"/>
    <x v="23"/>
    <d v="2026-06-20T00:00:00"/>
    <s v="USD"/>
    <s v="SP.Auto - Tray"/>
    <x v="12"/>
    <s v="Amazon"/>
    <s v="United States"/>
    <s v="substitutes"/>
    <s v="-"/>
    <s v="b0gl38jyvx"/>
    <x v="1168"/>
    <n v="1"/>
    <n v="0.5"/>
    <n v="0.22"/>
    <n v="0.22"/>
    <n v="0"/>
    <m/>
    <n v="0"/>
    <n v="0"/>
    <n v="0"/>
    <n v="0"/>
    <n v="0"/>
    <n v="0"/>
    <n v="0"/>
    <n v="0"/>
    <m/>
  </r>
  <r>
    <x v="5"/>
    <x v="24"/>
    <d v="2026-06-07T00:00:00"/>
    <s v="USD"/>
    <s v="SP.Auto - Tray"/>
    <x v="12"/>
    <s v="Amazon"/>
    <s v="United States"/>
    <s v="substitutes"/>
    <s v="-"/>
    <s v="b0gvdz98mw"/>
    <x v="1169"/>
    <n v="1"/>
    <n v="1"/>
    <n v="0.5"/>
    <n v="0.5"/>
    <n v="0"/>
    <m/>
    <n v="0"/>
    <n v="0"/>
    <n v="0"/>
    <n v="0"/>
    <n v="0"/>
    <n v="0"/>
    <n v="0"/>
    <n v="0"/>
    <m/>
  </r>
  <r>
    <x v="5"/>
    <x v="23"/>
    <d v="2026-06-17T00:00:00"/>
    <s v="USD"/>
    <s v="SP.Auto - BNF Fixed"/>
    <x v="15"/>
    <s v="Amazon"/>
    <s v="United States"/>
    <s v="close-match"/>
    <s v="-"/>
    <s v="baby grooming"/>
    <x v="1169"/>
    <n v="1"/>
    <n v="1"/>
    <n v="1.44"/>
    <n v="1.44"/>
    <n v="0"/>
    <m/>
    <n v="0"/>
    <n v="0"/>
    <n v="0"/>
    <n v="0"/>
    <n v="0"/>
    <n v="0"/>
    <n v="0"/>
    <n v="0"/>
    <m/>
  </r>
  <r>
    <x v="5"/>
    <x v="24"/>
    <d v="2026-06-09T00:00:00"/>
    <s v="USD"/>
    <s v="捡漏SP.Keyword.Mannual - Tray"/>
    <x v="11"/>
    <s v="Amazon"/>
    <s v="United States"/>
    <s v="stroller tray"/>
    <s v="BROAD"/>
    <s v="baby jogger double stroller food tray without a bar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2"/>
    <d v="2026-06-05T00:00:00"/>
    <s v="USD"/>
    <s v="捡漏SP.Keyword.Mannual - Tray"/>
    <x v="11"/>
    <s v="Amazon"/>
    <s v="United States"/>
    <s v="universal snack tray for stroller"/>
    <s v="BROAD"/>
    <s v="baby jogger snack tray adaptive freedom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2"/>
    <d v="2026-06-01T00:00:00"/>
    <s v="USD"/>
    <s v="SP.Auto - BNF Fixed"/>
    <x v="15"/>
    <s v="Amazon"/>
    <s v="United States"/>
    <s v="close-match"/>
    <s v="-"/>
    <s v="baby nail clippers"/>
    <x v="1229"/>
    <n v="1"/>
    <n v="8.3333000000000004E-2"/>
    <n v="0.89"/>
    <n v="0.89"/>
    <n v="0"/>
    <m/>
    <n v="0"/>
    <n v="0"/>
    <n v="0"/>
    <n v="0"/>
    <n v="0"/>
    <n v="0"/>
    <n v="0"/>
    <n v="0"/>
    <m/>
  </r>
  <r>
    <x v="5"/>
    <x v="23"/>
    <d v="2026-06-18T00:00:00"/>
    <s v="USD"/>
    <s v="捡漏SP.Manual - BNF.Fixed"/>
    <x v="16"/>
    <s v="Amazon"/>
    <s v="United States"/>
    <s v="baby nail file"/>
    <s v="PHRASE"/>
    <s v="baby nail file avocado shape"/>
    <x v="1169"/>
    <n v="1"/>
    <n v="1"/>
    <n v="0.85"/>
    <n v="0.85"/>
    <n v="0"/>
    <m/>
    <n v="0"/>
    <n v="0"/>
    <n v="0"/>
    <n v="0"/>
    <n v="0"/>
    <n v="0"/>
    <n v="0"/>
    <n v="0"/>
    <m/>
  </r>
  <r>
    <x v="5"/>
    <x v="22"/>
    <d v="2026-06-06T00:00:00"/>
    <s v="USD"/>
    <s v="SP.Auto - BNF Fixed"/>
    <x v="15"/>
    <s v="Amazon"/>
    <s v="United States"/>
    <s v="close-match"/>
    <s v="-"/>
    <s v="baby nail trimmer electric"/>
    <x v="1284"/>
    <n v="1"/>
    <n v="1.3698999999999999E-2"/>
    <n v="0.99"/>
    <n v="0.99"/>
    <n v="0"/>
    <m/>
    <n v="0"/>
    <n v="0"/>
    <n v="0"/>
    <n v="0"/>
    <n v="0"/>
    <n v="0"/>
    <n v="0"/>
    <n v="0"/>
    <m/>
  </r>
  <r>
    <x v="5"/>
    <x v="23"/>
    <d v="2026-06-17T00:00:00"/>
    <s v="USD"/>
    <s v="SP.Auto - BNF Fixed"/>
    <x v="15"/>
    <s v="Amazon"/>
    <s v="United States"/>
    <s v="close-match"/>
    <s v="-"/>
    <s v="baby nail trimmer electric"/>
    <x v="1228"/>
    <n v="1"/>
    <n v="3.8462000000000003E-2"/>
    <n v="0.94"/>
    <n v="0.94"/>
    <n v="0"/>
    <m/>
    <n v="0"/>
    <n v="0"/>
    <n v="0"/>
    <n v="0"/>
    <n v="0"/>
    <n v="0"/>
    <n v="0"/>
    <n v="0"/>
    <m/>
  </r>
  <r>
    <x v="5"/>
    <x v="24"/>
    <d v="2026-06-11T00:00:00"/>
    <s v="USD"/>
    <s v="SP.Auto - Tray"/>
    <x v="12"/>
    <s v="Amazon"/>
    <s v="United States"/>
    <s v="loose-match"/>
    <s v="-"/>
    <s v="baby stroller universal cup holder kid"/>
    <x v="1169"/>
    <n v="1"/>
    <n v="1"/>
    <n v="0.77"/>
    <n v="0.77"/>
    <n v="0"/>
    <m/>
    <n v="0"/>
    <n v="0"/>
    <n v="0"/>
    <n v="0"/>
    <n v="0"/>
    <n v="0"/>
    <n v="0"/>
    <n v="0"/>
    <m/>
  </r>
  <r>
    <x v="5"/>
    <x v="22"/>
    <d v="2026-06-04T00:00:00"/>
    <s v="USD"/>
    <s v="SP.Auto - Tray"/>
    <x v="12"/>
    <s v="Amazon"/>
    <s v="United States"/>
    <s v="loose-match"/>
    <s v="-"/>
    <s v="baby trend accessories stroller"/>
    <x v="1171"/>
    <n v="1"/>
    <n v="0.25"/>
    <n v="0.78"/>
    <n v="0.78"/>
    <n v="0"/>
    <m/>
    <n v="0"/>
    <n v="0"/>
    <n v="0"/>
    <n v="0"/>
    <n v="0"/>
    <n v="0"/>
    <n v="0"/>
    <n v="0"/>
    <m/>
  </r>
  <r>
    <x v="5"/>
    <x v="23"/>
    <d v="2026-06-19T00:00:00"/>
    <s v="USD"/>
    <s v="捡漏SP.Keyword.Mannual - Tray"/>
    <x v="16"/>
    <s v="Amazon"/>
    <s v="United States"/>
    <s v="stroller snack tray"/>
    <s v="PHRASE"/>
    <s v="baby trend expedition wagon stroller snack tray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5"/>
    <d v="2026-06-21T00:00:00"/>
    <s v="USD"/>
    <s v="捡漏SP.Keyword.Mannual - Tray"/>
    <x v="11"/>
    <s v="Amazon"/>
    <s v="United States"/>
    <s v="stroller accessories"/>
    <s v="BROAD"/>
    <s v="baby trend jogging stroller accessories"/>
    <x v="1171"/>
    <n v="1"/>
    <n v="0.25"/>
    <n v="0.16"/>
    <n v="0.16"/>
    <n v="0"/>
    <m/>
    <n v="0"/>
    <n v="0"/>
    <n v="0"/>
    <n v="0"/>
    <n v="0"/>
    <n v="0"/>
    <n v="0"/>
    <n v="0"/>
    <m/>
  </r>
  <r>
    <x v="5"/>
    <x v="24"/>
    <d v="2026-06-10T00:00:00"/>
    <s v="USD"/>
    <s v="SP.Auto - Tray"/>
    <x v="12"/>
    <s v="Amazon"/>
    <s v="United States"/>
    <s v="loose-match"/>
    <s v="-"/>
    <s v="baby trend wagon accessories"/>
    <x v="1169"/>
    <n v="1"/>
    <n v="1"/>
    <n v="0.77"/>
    <n v="0.77"/>
    <n v="0"/>
    <m/>
    <n v="0"/>
    <n v="0"/>
    <n v="0"/>
    <n v="0"/>
    <n v="0"/>
    <n v="0"/>
    <n v="0"/>
    <n v="0"/>
    <m/>
  </r>
  <r>
    <x v="5"/>
    <x v="22"/>
    <d v="2026-06-02T00:00:00"/>
    <s v="USD"/>
    <s v="捡漏SP.Keyword.Mannual - Tray"/>
    <x v="11"/>
    <s v="Amazon"/>
    <s v="United States"/>
    <s v="stroller attachment"/>
    <s v="BROAD"/>
    <s v="bob stroller bar attachment"/>
    <x v="1205"/>
    <n v="1"/>
    <n v="0.111111"/>
    <n v="0.2"/>
    <n v="0.2"/>
    <n v="0"/>
    <m/>
    <n v="0"/>
    <n v="0"/>
    <n v="0"/>
    <n v="0"/>
    <n v="0"/>
    <n v="0"/>
    <n v="0"/>
    <n v="0"/>
    <m/>
  </r>
  <r>
    <x v="5"/>
    <x v="24"/>
    <d v="2026-06-07T00:00:00"/>
    <s v="USD"/>
    <s v="捡漏SP.Keyword.Mannual - Tray"/>
    <x v="11"/>
    <s v="Amazon"/>
    <s v="United States"/>
    <s v="stroller cup holder"/>
    <s v="BROAD"/>
    <s v="bob stroller cup holder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3"/>
    <d v="2026-06-20T00:00:00"/>
    <s v="USD"/>
    <s v="捡漏SP.Keyword.Mannual - Tray"/>
    <x v="11"/>
    <s v="Amazon"/>
    <s v="United States"/>
    <s v="stroller tray"/>
    <s v="BROAD"/>
    <s v="bombi double stroller dback tray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4"/>
    <d v="2026-06-11T00:00:00"/>
    <s v="USD"/>
    <s v="捡漏SP.Keyword.Mannual - Tray"/>
    <x v="11"/>
    <s v="Amazon"/>
    <s v="United States"/>
    <s v="stroller tray"/>
    <s v="BROAD"/>
    <s v="britax double stroller tray"/>
    <x v="1170"/>
    <n v="1"/>
    <n v="0.33333299999999999"/>
    <n v="0.2"/>
    <n v="0.2"/>
    <n v="0"/>
    <m/>
    <n v="0"/>
    <n v="0"/>
    <n v="0"/>
    <n v="0"/>
    <n v="0"/>
    <n v="0"/>
    <n v="0"/>
    <n v="0"/>
    <m/>
  </r>
  <r>
    <x v="5"/>
    <x v="22"/>
    <d v="2026-06-05T00:00:00"/>
    <s v="USD"/>
    <s v="捡漏SP.Keyword.Mannual - Tray"/>
    <x v="11"/>
    <s v="Amazon"/>
    <s v="United States"/>
    <s v="stroller snack tray"/>
    <s v="BROAD"/>
    <s v="bugaboo butterfly 1 snack tray"/>
    <x v="1171"/>
    <n v="1"/>
    <n v="0.25"/>
    <n v="0.21"/>
    <n v="0.21"/>
    <n v="0"/>
    <m/>
    <n v="0"/>
    <n v="0"/>
    <n v="0"/>
    <n v="0"/>
    <n v="0"/>
    <n v="0"/>
    <n v="0"/>
    <n v="0"/>
    <m/>
  </r>
  <r>
    <x v="5"/>
    <x v="22"/>
    <d v="2026-06-04T00:00:00"/>
    <s v="USD"/>
    <s v="捡漏SP.Keyword.Mannual - Tray"/>
    <x v="11"/>
    <s v="Amazon"/>
    <s v="United States"/>
    <s v="clip on snack tray"/>
    <s v="BROAD"/>
    <s v="car window clip on snack tray"/>
    <x v="1168"/>
    <n v="1"/>
    <n v="0.5"/>
    <n v="0.21"/>
    <n v="0.21"/>
    <n v="17.47"/>
    <n v="1.2021E-2"/>
    <n v="83.19"/>
    <n v="1"/>
    <n v="1"/>
    <n v="1"/>
    <n v="1"/>
    <n v="0"/>
    <n v="17.47"/>
    <n v="0"/>
    <m/>
  </r>
  <r>
    <x v="5"/>
    <x v="24"/>
    <d v="2026-06-11T00:00:00"/>
    <s v="USD"/>
    <s v="SP.Auto - Tray"/>
    <x v="12"/>
    <s v="Amazon"/>
    <s v="United States"/>
    <s v="loose-match"/>
    <s v="-"/>
    <s v="chicco convertible car seat cup holder"/>
    <x v="1169"/>
    <n v="1"/>
    <n v="1"/>
    <n v="0.77"/>
    <n v="0.77"/>
    <n v="0"/>
    <m/>
    <n v="0"/>
    <n v="0"/>
    <n v="0"/>
    <n v="0"/>
    <n v="0"/>
    <n v="0"/>
    <n v="0"/>
    <n v="0"/>
    <m/>
  </r>
  <r>
    <x v="5"/>
    <x v="24"/>
    <d v="2026-06-07T00:00:00"/>
    <s v="USD"/>
    <s v="捡漏SP.Keyword.Mannual - Tray"/>
    <x v="11"/>
    <s v="Amazon"/>
    <s v="United States"/>
    <s v="stroller accessories"/>
    <s v="BROAD"/>
    <s v="chicco liteway stroller accessories"/>
    <x v="1168"/>
    <n v="1"/>
    <n v="0.5"/>
    <n v="0.15"/>
    <n v="0.15"/>
    <n v="0"/>
    <m/>
    <n v="0"/>
    <n v="0"/>
    <n v="0"/>
    <n v="0"/>
    <n v="0"/>
    <n v="0"/>
    <n v="0"/>
    <n v="0"/>
    <m/>
  </r>
  <r>
    <x v="5"/>
    <x v="24"/>
    <d v="2026-06-09T00:00:00"/>
    <s v="USD"/>
    <s v="捡漏SP.Keyword.Mannual - Tray"/>
    <x v="11"/>
    <s v="Amazon"/>
    <s v="United States"/>
    <s v="stroller tray"/>
    <s v="BROAD"/>
    <s v="chicco liteway stroller tray bar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2"/>
    <d v="2026-06-03T00:00:00"/>
    <s v="USD"/>
    <s v="SP.Auto - Tray"/>
    <x v="12"/>
    <s v="Amazon"/>
    <s v="United States"/>
    <s v="loose-match"/>
    <s v="-"/>
    <s v="city mini gt adult cup holder and tray"/>
    <x v="1169"/>
    <n v="1"/>
    <n v="1"/>
    <n v="0.1"/>
    <n v="0.1"/>
    <n v="0"/>
    <m/>
    <n v="0"/>
    <n v="0"/>
    <n v="0"/>
    <n v="0"/>
    <n v="0"/>
    <n v="0"/>
    <n v="0"/>
    <n v="0"/>
    <m/>
  </r>
  <r>
    <x v="5"/>
    <x v="23"/>
    <d v="2026-06-20T00:00:00"/>
    <s v="USD"/>
    <s v="捡漏SP.Keyword.Mannual - Tray"/>
    <x v="11"/>
    <s v="Amazon"/>
    <s v="United States"/>
    <s v="stroller tray"/>
    <s v="BROAD"/>
    <s v="city mini gt double stroller snack tray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2"/>
    <d v="2026-06-04T00:00:00"/>
    <s v="USD"/>
    <s v="SP.Auto - Tray"/>
    <x v="12"/>
    <s v="Amazon"/>
    <s v="United States"/>
    <s v="loose-match"/>
    <s v="-"/>
    <s v="clip on cup holder for chair"/>
    <x v="1168"/>
    <n v="1"/>
    <n v="0.5"/>
    <n v="0.78"/>
    <n v="0.78"/>
    <n v="0"/>
    <m/>
    <n v="0"/>
    <n v="0"/>
    <n v="0"/>
    <n v="0"/>
    <n v="0"/>
    <n v="0"/>
    <n v="0"/>
    <n v="0"/>
    <m/>
  </r>
  <r>
    <x v="5"/>
    <x v="22"/>
    <d v="2026-06-03T00:00:00"/>
    <s v="USD"/>
    <s v="捡漏SP.Keyword.Mannual - Tray"/>
    <x v="11"/>
    <s v="Amazon"/>
    <s v="United States"/>
    <s v="clip on snack tray"/>
    <s v="BROAD"/>
    <s v="clip on snack holder"/>
    <x v="1171"/>
    <n v="1"/>
    <n v="0.25"/>
    <n v="0.21"/>
    <n v="0.21"/>
    <n v="0"/>
    <m/>
    <n v="0"/>
    <n v="0"/>
    <n v="0"/>
    <n v="0"/>
    <n v="0"/>
    <n v="0"/>
    <n v="0"/>
    <n v="0"/>
    <m/>
  </r>
  <r>
    <x v="5"/>
    <x v="23"/>
    <d v="2026-06-15T00:00:00"/>
    <s v="USD"/>
    <s v="捡漏SP.Keyword.Mannual - Tray"/>
    <x v="11"/>
    <s v="Amazon"/>
    <s v="United States"/>
    <s v="stroller tray"/>
    <s v="BROAD"/>
    <s v="clip on snack tray for stroller"/>
    <x v="1174"/>
    <n v="1"/>
    <n v="0.2"/>
    <n v="0.21"/>
    <n v="0.21"/>
    <n v="37.979999999999997"/>
    <n v="5.5290000000000001E-3"/>
    <n v="180.86"/>
    <n v="1"/>
    <n v="2"/>
    <n v="1"/>
    <n v="2"/>
    <n v="0"/>
    <n v="37.979999999999997"/>
    <n v="0"/>
    <m/>
  </r>
  <r>
    <x v="5"/>
    <x v="25"/>
    <d v="2026-06-21T00:00:00"/>
    <s v="USD"/>
    <s v="捡漏SP.Keyword.Mannual - Tray"/>
    <x v="16"/>
    <s v="Amazon"/>
    <s v="United States"/>
    <s v="clip on snack tray"/>
    <s v="PHRASE"/>
    <s v="clip on snack tray for walker with seat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2"/>
    <d v="2026-06-04T00:00:00"/>
    <s v="USD"/>
    <s v="捡漏SP.Keyword.Mannual - Tray"/>
    <x v="11"/>
    <s v="Amazon"/>
    <s v="United States"/>
    <s v="stroller clip on tray"/>
    <s v="BROAD"/>
    <s v="clip on tray for stroller"/>
    <x v="1168"/>
    <n v="1"/>
    <n v="0.5"/>
    <n v="0.21"/>
    <n v="0.21"/>
    <n v="0"/>
    <m/>
    <n v="0"/>
    <n v="0"/>
    <n v="0"/>
    <n v="0"/>
    <n v="0"/>
    <n v="0"/>
    <n v="0"/>
    <n v="0"/>
    <m/>
  </r>
  <r>
    <x v="5"/>
    <x v="24"/>
    <d v="2026-06-08T00:00:00"/>
    <s v="USD"/>
    <s v="捡漏SP.Keyword.Mannual - Tray"/>
    <x v="11"/>
    <s v="Amazon"/>
    <s v="United States"/>
    <s v="stroller clip on tray"/>
    <s v="BROAD"/>
    <s v="clip-on stroller snack tray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4"/>
    <d v="2026-06-07T00:00:00"/>
    <s v="USD"/>
    <s v="SP.Auto - Tray"/>
    <x v="12"/>
    <s v="Amazon"/>
    <s v="United States"/>
    <s v="close-match"/>
    <s v="-"/>
    <s v="cup holder for stroller"/>
    <x v="1170"/>
    <n v="1"/>
    <n v="0.33333299999999999"/>
    <n v="0.9"/>
    <n v="0.9"/>
    <n v="0"/>
    <m/>
    <n v="0"/>
    <n v="0"/>
    <n v="0"/>
    <n v="0"/>
    <n v="0"/>
    <n v="0"/>
    <n v="0"/>
    <n v="0"/>
    <m/>
  </r>
  <r>
    <x v="5"/>
    <x v="23"/>
    <d v="2026-06-16T00:00:00"/>
    <s v="USD"/>
    <s v="SP.Auto - Tray"/>
    <x v="12"/>
    <s v="Amazon"/>
    <s v="United States"/>
    <s v="close-match"/>
    <s v="-"/>
    <s v="cup holder for stroller"/>
    <x v="1174"/>
    <n v="1"/>
    <n v="0.2"/>
    <n v="0.85"/>
    <n v="0.85"/>
    <n v="0"/>
    <m/>
    <n v="0"/>
    <n v="0"/>
    <n v="0"/>
    <n v="0"/>
    <n v="0"/>
    <n v="0"/>
    <n v="0"/>
    <n v="0"/>
    <m/>
  </r>
  <r>
    <x v="5"/>
    <x v="23"/>
    <d v="2026-06-17T00:00:00"/>
    <s v="USD"/>
    <s v="捡漏SP.Keyword.Mannual - Tray"/>
    <x v="11"/>
    <s v="Amazon"/>
    <s v="United States"/>
    <s v="stroller cup holder"/>
    <s v="BROAD"/>
    <s v="cup holder for stroller"/>
    <x v="1168"/>
    <n v="1"/>
    <n v="0.5"/>
    <n v="0.2"/>
    <n v="0.2"/>
    <n v="37.979999999999997"/>
    <n v="5.2659999999999998E-3"/>
    <n v="189.9"/>
    <n v="1"/>
    <n v="2"/>
    <n v="1"/>
    <n v="2"/>
    <n v="0"/>
    <n v="37.979999999999997"/>
    <n v="0"/>
    <m/>
  </r>
  <r>
    <x v="5"/>
    <x v="23"/>
    <d v="2026-06-18T00:00:00"/>
    <s v="USD"/>
    <s v="捡漏SP.Keyword.Mannual - Tray"/>
    <x v="11"/>
    <s v="Amazon"/>
    <s v="United States"/>
    <s v="cup holder and tray for stroller"/>
    <s v="BROAD"/>
    <s v="cup holder for stroller"/>
    <x v="1171"/>
    <n v="1"/>
    <n v="0.25"/>
    <n v="0.2"/>
    <n v="0.2"/>
    <n v="0"/>
    <m/>
    <n v="0"/>
    <n v="0"/>
    <n v="0"/>
    <n v="0"/>
    <n v="0"/>
    <n v="0"/>
    <n v="0"/>
    <n v="0"/>
    <m/>
  </r>
  <r>
    <x v="5"/>
    <x v="23"/>
    <d v="2026-06-19T00:00:00"/>
    <s v="USD"/>
    <s v="捡漏SP.Keyword.Mannual - Tray"/>
    <x v="11"/>
    <s v="Amazon"/>
    <s v="United States"/>
    <s v="stroller cup holder"/>
    <s v="BROAD"/>
    <s v="cup holder to stroller"/>
    <x v="1171"/>
    <n v="2"/>
    <n v="0.5"/>
    <n v="0.21"/>
    <n v="0.42"/>
    <n v="0"/>
    <m/>
    <n v="0"/>
    <n v="0"/>
    <n v="0"/>
    <n v="0"/>
    <n v="0"/>
    <n v="0"/>
    <n v="0"/>
    <n v="0"/>
    <m/>
  </r>
  <r>
    <x v="5"/>
    <x v="24"/>
    <d v="2026-06-13T00:00:00"/>
    <s v="USD"/>
    <s v="SP.Auto - Tray"/>
    <x v="12"/>
    <s v="Amazon"/>
    <s v="United States"/>
    <s v="close-match"/>
    <s v="-"/>
    <s v="cup holders for stroller"/>
    <x v="1169"/>
    <n v="1"/>
    <n v="1"/>
    <n v="1.1000000000000001"/>
    <n v="1.1000000000000001"/>
    <n v="0"/>
    <m/>
    <n v="0"/>
    <n v="0"/>
    <n v="0"/>
    <n v="0"/>
    <n v="0"/>
    <n v="0"/>
    <n v="0"/>
    <n v="0"/>
    <m/>
  </r>
  <r>
    <x v="5"/>
    <x v="24"/>
    <d v="2026-06-11T00:00:00"/>
    <s v="USD"/>
    <s v="捡漏SP.Keyword.Mannual - Tray"/>
    <x v="11"/>
    <s v="Amazon"/>
    <s v="United States"/>
    <s v="wagon cup holder"/>
    <s v="BROAD"/>
    <s v="cup snack holder wagon 2 pack"/>
    <x v="1171"/>
    <n v="1"/>
    <n v="0.25"/>
    <n v="0.21"/>
    <n v="0.21"/>
    <n v="0"/>
    <m/>
    <n v="0"/>
    <n v="0"/>
    <n v="0"/>
    <n v="0"/>
    <n v="0"/>
    <n v="0"/>
    <n v="0"/>
    <n v="0"/>
    <m/>
  </r>
  <r>
    <x v="5"/>
    <x v="22"/>
    <d v="2026-06-01T00:00:00"/>
    <s v="USD"/>
    <s v="捡漏SP.Keyword.Mannual - Tray"/>
    <x v="11"/>
    <s v="Amazon"/>
    <s v="United States"/>
    <s v="stroller wagon child cup holder"/>
    <s v="BROAD"/>
    <s v="diono cup holder"/>
    <x v="1171"/>
    <n v="1"/>
    <n v="0.25"/>
    <n v="0.2"/>
    <n v="0.2"/>
    <n v="0"/>
    <m/>
    <n v="0"/>
    <n v="0"/>
    <n v="0"/>
    <n v="0"/>
    <n v="0"/>
    <n v="0"/>
    <n v="0"/>
    <n v="0"/>
    <m/>
  </r>
  <r>
    <x v="5"/>
    <x v="24"/>
    <d v="2026-06-09T00:00:00"/>
    <s v="USD"/>
    <s v="SP.Auto - BNF Fixed"/>
    <x v="15"/>
    <s v="Amazon"/>
    <s v="United States"/>
    <s v="close-match"/>
    <s v="-"/>
    <s v="diy baby stuff"/>
    <x v="1170"/>
    <n v="1"/>
    <n v="0.33333299999999999"/>
    <n v="0.12"/>
    <n v="0.12"/>
    <n v="0"/>
    <m/>
    <n v="0"/>
    <n v="0"/>
    <n v="0"/>
    <n v="0"/>
    <n v="0"/>
    <n v="0"/>
    <n v="0"/>
    <n v="0"/>
    <m/>
  </r>
  <r>
    <x v="5"/>
    <x v="25"/>
    <d v="2026-06-21T00:00:00"/>
    <s v="USD"/>
    <s v="捡漏SP.Keyword.Mannual - Tray"/>
    <x v="11"/>
    <s v="Amazon"/>
    <s v="United States"/>
    <s v="stroller tray"/>
    <s v="BROAD"/>
    <s v="double jug stroller tray"/>
    <x v="1169"/>
    <n v="1"/>
    <n v="1"/>
    <n v="0.08"/>
    <n v="0.08"/>
    <n v="0"/>
    <m/>
    <n v="0"/>
    <n v="0"/>
    <n v="0"/>
    <n v="0"/>
    <n v="0"/>
    <n v="0"/>
    <n v="0"/>
    <n v="0"/>
    <m/>
  </r>
  <r>
    <x v="5"/>
    <x v="22"/>
    <d v="2026-06-01T00:00:00"/>
    <s v="USD"/>
    <s v="捡漏SP.Keyword.Mannual - Tray"/>
    <x v="16"/>
    <s v="Amazon"/>
    <s v="United States"/>
    <s v="stroller cup holder"/>
    <s v="PHRASE"/>
    <s v="double stroller cup holder"/>
    <x v="1171"/>
    <n v="1"/>
    <n v="0.25"/>
    <n v="0.2"/>
    <n v="0.2"/>
    <n v="0"/>
    <m/>
    <n v="0"/>
    <n v="0"/>
    <n v="0"/>
    <n v="0"/>
    <n v="0"/>
    <n v="0"/>
    <n v="0"/>
    <n v="0"/>
    <m/>
  </r>
  <r>
    <x v="5"/>
    <x v="23"/>
    <d v="2026-06-16T00:00:00"/>
    <s v="USD"/>
    <s v="捡漏SP.Keyword.Mannual - Tray"/>
    <x v="11"/>
    <s v="Amazon"/>
    <s v="United States"/>
    <s v="stroller tray"/>
    <s v="BROAD"/>
    <s v="double stroller snack tray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5"/>
    <d v="2026-06-21T00:00:00"/>
    <s v="USD"/>
    <s v="捡漏SP.Keyword.Mannual - Tray"/>
    <x v="11"/>
    <s v="Amazon"/>
    <s v="United States"/>
    <s v="stroller tray"/>
    <s v="BROAD"/>
    <s v="double stroller snack tray"/>
    <x v="1192"/>
    <n v="1"/>
    <n v="0.16666700000000001"/>
    <n v="0.21"/>
    <n v="0.21"/>
    <n v="0"/>
    <m/>
    <n v="0"/>
    <n v="0"/>
    <n v="0"/>
    <n v="0"/>
    <n v="0"/>
    <n v="0"/>
    <n v="0"/>
    <n v="0"/>
    <m/>
  </r>
  <r>
    <x v="5"/>
    <x v="25"/>
    <d v="2026-06-21T00:00:00"/>
    <s v="USD"/>
    <s v="捡漏SP.Keyword.Mannual - Tray"/>
    <x v="11"/>
    <s v="Amazon"/>
    <s v="United States"/>
    <s v="stroller tray"/>
    <s v="BROAD"/>
    <s v="double stroller tray"/>
    <x v="1168"/>
    <n v="1"/>
    <n v="0.5"/>
    <n v="0.21"/>
    <n v="0.21"/>
    <n v="0"/>
    <m/>
    <n v="0"/>
    <n v="0"/>
    <n v="0"/>
    <n v="0"/>
    <n v="0"/>
    <n v="0"/>
    <n v="0"/>
    <n v="0"/>
    <m/>
  </r>
  <r>
    <x v="5"/>
    <x v="22"/>
    <d v="2026-06-01T00:00:00"/>
    <s v="USD"/>
    <s v="捡漏SP.Keyword.Mannual - Tray"/>
    <x v="11"/>
    <s v="Amazon"/>
    <s v="United States"/>
    <s v="clip on snack tray"/>
    <s v="BROAD"/>
    <s v="duallie snack tray"/>
    <x v="1168"/>
    <n v="1"/>
    <n v="0.5"/>
    <n v="0.4"/>
    <n v="0.4"/>
    <n v="0"/>
    <m/>
    <n v="0"/>
    <n v="0"/>
    <n v="0"/>
    <n v="0"/>
    <n v="0"/>
    <n v="0"/>
    <n v="0"/>
    <n v="0"/>
    <m/>
  </r>
  <r>
    <x v="5"/>
    <x v="22"/>
    <d v="2026-06-05T00:00:00"/>
    <s v="USD"/>
    <s v="SP.Auto - BNF Fixed"/>
    <x v="15"/>
    <s v="Amazon"/>
    <s v="United States"/>
    <s v="close-match"/>
    <s v="-"/>
    <s v="electric nail trimmer"/>
    <x v="1192"/>
    <n v="1"/>
    <n v="0.16666700000000001"/>
    <n v="1.05"/>
    <n v="1.05"/>
    <n v="0"/>
    <m/>
    <n v="0"/>
    <n v="0"/>
    <n v="0"/>
    <n v="0"/>
    <n v="0"/>
    <n v="0"/>
    <n v="0"/>
    <n v="0"/>
    <m/>
  </r>
  <r>
    <x v="5"/>
    <x v="23"/>
    <d v="2026-06-15T00:00:00"/>
    <s v="USD"/>
    <s v="SP.Auto - Tray"/>
    <x v="12"/>
    <s v="Amazon"/>
    <s v="United States"/>
    <s v="loose-match"/>
    <s v="-"/>
    <s v="familidoo wagon snack tray"/>
    <x v="1169"/>
    <n v="1"/>
    <n v="1"/>
    <n v="0.5"/>
    <n v="0.5"/>
    <n v="0"/>
    <m/>
    <n v="0"/>
    <n v="0"/>
    <n v="0"/>
    <n v="0"/>
    <n v="0"/>
    <n v="0"/>
    <n v="0"/>
    <n v="0"/>
    <m/>
  </r>
  <r>
    <x v="5"/>
    <x v="24"/>
    <d v="2026-06-11T00:00:00"/>
    <s v="USD"/>
    <s v="SP.Auto - ENC Fixed"/>
    <x v="14"/>
    <s v="Amazon"/>
    <s v="United States"/>
    <s v="close-match"/>
    <s v="-"/>
    <s v="fingernail files"/>
    <x v="1197"/>
    <n v="1"/>
    <n v="7.6923000000000005E-2"/>
    <n v="1.3"/>
    <n v="1.3"/>
    <n v="0"/>
    <m/>
    <n v="0"/>
    <n v="0"/>
    <n v="0"/>
    <n v="0"/>
    <n v="0"/>
    <n v="0"/>
    <n v="0"/>
    <n v="0"/>
    <m/>
  </r>
  <r>
    <x v="5"/>
    <x v="24"/>
    <d v="2026-06-13T00:00:00"/>
    <s v="USD"/>
    <s v="SP.Auto - ENC Fixed"/>
    <x v="14"/>
    <s v="Amazon"/>
    <s v="United States"/>
    <s v="close-match"/>
    <s v="-"/>
    <s v="fingernail files"/>
    <x v="1259"/>
    <n v="1"/>
    <n v="2.4389999999999998E-2"/>
    <n v="1.3"/>
    <n v="1.3"/>
    <n v="0"/>
    <m/>
    <n v="0"/>
    <n v="0"/>
    <n v="0"/>
    <n v="0"/>
    <n v="0"/>
    <n v="0"/>
    <n v="0"/>
    <n v="0"/>
    <m/>
  </r>
  <r>
    <x v="5"/>
    <x v="22"/>
    <d v="2026-06-01T00:00:00"/>
    <s v="USD"/>
    <s v="捡漏SP.Keyword.Mannual - Tray"/>
    <x v="11"/>
    <s v="Amazon"/>
    <s v="United States"/>
    <s v="stroller tray"/>
    <s v="BROAD"/>
    <s v="food tray for umbrella stroller without front rod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4"/>
    <d v="2026-06-07T00:00:00"/>
    <s v="USD"/>
    <s v="捡漏SP.Keyword.Mannual - Tray"/>
    <x v="11"/>
    <s v="Amazon"/>
    <s v="United States"/>
    <s v="stroller snack tray"/>
    <s v="BROAD"/>
    <s v="food tray on travel stroller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5"/>
    <d v="2026-06-21T00:00:00"/>
    <s v="USD"/>
    <s v="捡漏SP.Keyword.Mannual - Tray"/>
    <x v="11"/>
    <s v="Amazon"/>
    <s v="United States"/>
    <s v="wagon cup holder"/>
    <s v="BROAD"/>
    <s v="garden cart accessories"/>
    <x v="1168"/>
    <n v="1"/>
    <n v="0.5"/>
    <n v="0.2"/>
    <n v="0.2"/>
    <n v="0"/>
    <m/>
    <n v="0"/>
    <n v="0"/>
    <n v="0"/>
    <n v="0"/>
    <n v="0"/>
    <n v="0"/>
    <n v="0"/>
    <n v="0"/>
    <m/>
  </r>
  <r>
    <x v="5"/>
    <x v="24"/>
    <d v="2026-06-09T00:00:00"/>
    <s v="USD"/>
    <s v="捡漏SP.Keyword.Mannual - Tray"/>
    <x v="11"/>
    <s v="Amazon"/>
    <s v="United States"/>
    <s v="stroller tray"/>
    <s v="BROAD"/>
    <s v="gb pockit stroller snack tray"/>
    <x v="1192"/>
    <n v="1"/>
    <n v="0.16666700000000001"/>
    <n v="0.21"/>
    <n v="0.21"/>
    <n v="0"/>
    <m/>
    <n v="0"/>
    <n v="0"/>
    <n v="0"/>
    <n v="0"/>
    <n v="0"/>
    <n v="0"/>
    <n v="0"/>
    <n v="0"/>
    <m/>
  </r>
  <r>
    <x v="5"/>
    <x v="24"/>
    <d v="2026-06-09T00:00:00"/>
    <s v="USD"/>
    <s v="SP.Auto - ENC Fixed"/>
    <x v="14"/>
    <s v="Amazon"/>
    <s v="United States"/>
    <s v="loose-match"/>
    <s v="-"/>
    <s v="german made nail clipper set"/>
    <x v="1169"/>
    <n v="1"/>
    <n v="1"/>
    <n v="1.36"/>
    <n v="1.36"/>
    <n v="0"/>
    <m/>
    <n v="0"/>
    <n v="0"/>
    <n v="0"/>
    <n v="0"/>
    <n v="0"/>
    <n v="0"/>
    <n v="0"/>
    <n v="0"/>
    <m/>
  </r>
  <r>
    <x v="5"/>
    <x v="23"/>
    <d v="2026-06-18T00:00:00"/>
    <s v="USD"/>
    <s v="捡漏SP.Keyword.Mannual - Tray"/>
    <x v="11"/>
    <s v="Amazon"/>
    <s v="United States"/>
    <s v="stroller attachment"/>
    <s v="BROAD"/>
    <s v="graco ready to grow 2.0 double stroller attachments"/>
    <x v="1168"/>
    <n v="1"/>
    <n v="0.5"/>
    <n v="0.08"/>
    <n v="0.08"/>
    <n v="0"/>
    <m/>
    <n v="0"/>
    <n v="0"/>
    <n v="0"/>
    <n v="0"/>
    <n v="0"/>
    <n v="0"/>
    <n v="0"/>
    <n v="0"/>
    <m/>
  </r>
  <r>
    <x v="5"/>
    <x v="24"/>
    <d v="2026-06-10T00:00:00"/>
    <s v="USD"/>
    <s v="SP.Auto - Tray"/>
    <x v="12"/>
    <s v="Amazon"/>
    <s v="United States"/>
    <s v="loose-match"/>
    <s v="-"/>
    <s v="graco stroller cup holder replacement"/>
    <x v="1168"/>
    <n v="1"/>
    <n v="0.5"/>
    <n v="0.77"/>
    <n v="0.77"/>
    <n v="0"/>
    <m/>
    <n v="0"/>
    <n v="0"/>
    <n v="0"/>
    <n v="0"/>
    <n v="0"/>
    <n v="0"/>
    <n v="0"/>
    <n v="0"/>
    <m/>
  </r>
  <r>
    <x v="5"/>
    <x v="24"/>
    <d v="2026-06-11T00:00:00"/>
    <s v="USD"/>
    <s v="捡漏SP.Keyword.Mannual - Tray"/>
    <x v="11"/>
    <s v="Amazon"/>
    <s v="United States"/>
    <s v="stroller tray"/>
    <s v="BROAD"/>
    <s v="graco stroller replacement parts tray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3"/>
    <d v="2026-06-20T00:00:00"/>
    <s v="USD"/>
    <s v="捡漏SP.Keyword.Mannual - Tray"/>
    <x v="11"/>
    <s v="Amazon"/>
    <s v="United States"/>
    <s v="stroller tray"/>
    <s v="BROAD"/>
    <s v="graco stroller snack tray replacement"/>
    <x v="1172"/>
    <n v="1"/>
    <n v="0.125"/>
    <n v="0.21"/>
    <n v="0.21"/>
    <n v="0"/>
    <m/>
    <n v="0"/>
    <n v="0"/>
    <n v="0"/>
    <n v="0"/>
    <n v="0"/>
    <n v="0"/>
    <n v="0"/>
    <n v="0"/>
    <m/>
  </r>
  <r>
    <x v="5"/>
    <x v="22"/>
    <d v="2026-06-01T00:00:00"/>
    <s v="USD"/>
    <s v="捡漏SP.Keyword.Mannual - Tray"/>
    <x v="11"/>
    <s v="Amazon"/>
    <s v="United States"/>
    <s v="stroller tray"/>
    <s v="BROAD"/>
    <s v="graco stroller tray attachment"/>
    <x v="1169"/>
    <n v="1"/>
    <n v="1"/>
    <n v="0.08"/>
    <n v="0.08"/>
    <n v="0"/>
    <m/>
    <n v="0"/>
    <n v="0"/>
    <n v="0"/>
    <n v="0"/>
    <n v="0"/>
    <n v="0"/>
    <n v="0"/>
    <n v="0"/>
    <m/>
  </r>
  <r>
    <x v="5"/>
    <x v="25"/>
    <d v="2026-06-21T00:00:00"/>
    <s v="USD"/>
    <s v="捡漏SP.Keyword.Mannual - Tray"/>
    <x v="11"/>
    <s v="Amazon"/>
    <s v="United States"/>
    <s v="stroller tray"/>
    <s v="BROAD"/>
    <s v="graco stroller tray attachment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4"/>
    <d v="2026-06-11T00:00:00"/>
    <s v="USD"/>
    <s v="捡漏SP.Keyword.Mannual - Tray"/>
    <x v="11"/>
    <s v="Amazon"/>
    <s v="United States"/>
    <s v="stroller tray"/>
    <s v="BROAD"/>
    <s v="graco stroller tray ready2jet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4"/>
    <d v="2026-06-10T00:00:00"/>
    <s v="USD"/>
    <s v="捡漏SP.Keyword.Mannual - Tray"/>
    <x v="11"/>
    <s v="Amazon"/>
    <s v="United States"/>
    <s v="stroller tray"/>
    <s v="BROAD"/>
    <s v="graco stroller tray replacement stroller without bar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3"/>
    <d v="2026-06-17T00:00:00"/>
    <s v="USD"/>
    <s v="捡漏SP.Keyword.Mannual - Tray"/>
    <x v="11"/>
    <s v="Amazon"/>
    <s v="United States"/>
    <s v="stroller cup holder"/>
    <s v="BROAD"/>
    <s v="ingenuity 3dmini travel stroller cup snack holder attachment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3"/>
    <d v="2026-06-16T00:00:00"/>
    <s v="USD"/>
    <s v="捡漏SP.Keyword.Mannual - Tray"/>
    <x v="11"/>
    <s v="Amazon"/>
    <s v="United States"/>
    <s v="stroller tray"/>
    <s v="BROAD"/>
    <s v="ingenuity snack tray for stroller"/>
    <x v="1168"/>
    <n v="1"/>
    <n v="0.5"/>
    <n v="0.21"/>
    <n v="0.21"/>
    <n v="0"/>
    <m/>
    <n v="0"/>
    <n v="0"/>
    <n v="0"/>
    <n v="0"/>
    <n v="0"/>
    <n v="0"/>
    <n v="0"/>
    <n v="0"/>
    <m/>
  </r>
  <r>
    <x v="5"/>
    <x v="22"/>
    <d v="2026-06-06T00:00:00"/>
    <s v="USD"/>
    <s v="捡漏SP.Keyword.Mannual - Tray"/>
    <x v="11"/>
    <s v="Amazon"/>
    <s v="United States"/>
    <s v="stroller tray"/>
    <s v="BROAD"/>
    <s v="ingenuity stroller snack tray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3"/>
    <d v="2026-06-16T00:00:00"/>
    <s v="USD"/>
    <s v="捡漏SP.Keyword.Mannual - Tray"/>
    <x v="11"/>
    <s v="Amazon"/>
    <s v="United States"/>
    <s v="stroller attachment"/>
    <s v="BROAD"/>
    <s v="jeep double stroller accessories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4"/>
    <d v="2026-06-07T00:00:00"/>
    <s v="USD"/>
    <s v="捡漏SP.Keyword.Mannual - Tray"/>
    <x v="11"/>
    <s v="Amazon"/>
    <s v="United States"/>
    <s v="stroller tray"/>
    <s v="BROAD"/>
    <s v="jeep stroller tray attachment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3"/>
    <d v="2026-06-14T00:00:00"/>
    <s v="USD"/>
    <s v="捡漏SP.Keyword.Mannual - Tray"/>
    <x v="16"/>
    <s v="Amazon"/>
    <s v="United States"/>
    <s v="stroller cup holder"/>
    <s v="PHRASE"/>
    <s v="jogging stroller cup holder"/>
    <x v="1171"/>
    <n v="1"/>
    <n v="0.25"/>
    <n v="0.22"/>
    <n v="0.22"/>
    <n v="18.989999999999998"/>
    <n v="1.1585E-2"/>
    <n v="86.32"/>
    <n v="1"/>
    <n v="1"/>
    <n v="1"/>
    <n v="1"/>
    <n v="0"/>
    <n v="18.989999999999998"/>
    <n v="0"/>
    <m/>
  </r>
  <r>
    <x v="5"/>
    <x v="22"/>
    <d v="2026-06-06T00:00:00"/>
    <s v="USD"/>
    <s v="SP.Auto - Tray"/>
    <x v="12"/>
    <s v="Amazon"/>
    <s v="United States"/>
    <s v="loose-match"/>
    <s v="-"/>
    <s v="kids car snack holder"/>
    <x v="1168"/>
    <n v="1"/>
    <n v="0.5"/>
    <n v="0.67"/>
    <n v="0.67"/>
    <n v="0"/>
    <m/>
    <n v="0"/>
    <n v="0"/>
    <n v="0"/>
    <n v="0"/>
    <n v="0"/>
    <n v="0"/>
    <n v="0"/>
    <n v="0"/>
    <m/>
  </r>
  <r>
    <x v="5"/>
    <x v="22"/>
    <d v="2026-06-02T00:00:00"/>
    <s v="USD"/>
    <s v="捡漏SP.Keyword.Mannual - Tray"/>
    <x v="11"/>
    <s v="Amazon"/>
    <s v="United States"/>
    <s v="clip on snack tray"/>
    <s v="BROAD"/>
    <s v="kids snack tray for city mini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4"/>
    <d v="2026-06-08T00:00:00"/>
    <s v="USD"/>
    <s v="捡漏SP.Keyword.Mannual - Tray"/>
    <x v="11"/>
    <s v="Amazon"/>
    <s v="United States"/>
    <s v="stroller accessories"/>
    <s v="BROAD"/>
    <s v="kolcraft cloud umbrella stroller accessories"/>
    <x v="1169"/>
    <n v="1"/>
    <n v="1"/>
    <n v="0.16"/>
    <n v="0.16"/>
    <n v="17.47"/>
    <n v="9.1590000000000005E-3"/>
    <n v="109.19"/>
    <n v="1"/>
    <n v="1"/>
    <n v="1"/>
    <n v="1"/>
    <n v="0"/>
    <n v="17.47"/>
    <n v="0"/>
    <m/>
  </r>
  <r>
    <x v="5"/>
    <x v="23"/>
    <d v="2026-06-15T00:00:00"/>
    <s v="USD"/>
    <s v="捡漏SP.Keyword.Mannual - Tray"/>
    <x v="11"/>
    <s v="Amazon"/>
    <s v="United States"/>
    <s v="stroller tray"/>
    <s v="BROAD"/>
    <s v="kolcraft cloud umbrella stroller snack tray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4"/>
    <d v="2026-06-07T00:00:00"/>
    <s v="USD"/>
    <s v="捡漏SP.Keyword.Mannual - Tray"/>
    <x v="11"/>
    <s v="Amazon"/>
    <s v="United States"/>
    <s v="stroller attachment"/>
    <s v="BROAD"/>
    <s v="kolcraft stroller attachments"/>
    <x v="1174"/>
    <n v="1"/>
    <n v="0.2"/>
    <n v="0.08"/>
    <n v="0.08"/>
    <n v="0"/>
    <m/>
    <n v="0"/>
    <n v="0"/>
    <n v="0"/>
    <n v="0"/>
    <n v="0"/>
    <n v="0"/>
    <n v="0"/>
    <n v="0"/>
    <m/>
  </r>
  <r>
    <x v="5"/>
    <x v="23"/>
    <d v="2026-06-20T00:00:00"/>
    <s v="USD"/>
    <s v="捡漏SP.Keyword.Mannual - Tray"/>
    <x v="11"/>
    <s v="Amazon"/>
    <s v="United States"/>
    <s v="stroller attachment"/>
    <s v="BROAD"/>
    <s v="kolcraft stroller cup holder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2"/>
    <d v="2026-06-03T00:00:00"/>
    <s v="USD"/>
    <s v="SP.Auto - ENC Fixed"/>
    <x v="14"/>
    <s v="Amazon"/>
    <s v="United States"/>
    <s v="close-match"/>
    <s v="-"/>
    <s v="luffcabo"/>
    <x v="1169"/>
    <n v="1"/>
    <n v="1"/>
    <n v="2.12"/>
    <n v="2.12"/>
    <n v="0"/>
    <m/>
    <n v="0"/>
    <n v="0"/>
    <n v="0"/>
    <n v="0"/>
    <n v="0"/>
    <n v="0"/>
    <n v="0"/>
    <n v="0"/>
    <m/>
  </r>
  <r>
    <x v="5"/>
    <x v="22"/>
    <d v="2026-06-06T00:00:00"/>
    <s v="USD"/>
    <s v="SP.Auto - ENC Fixed"/>
    <x v="14"/>
    <s v="Amazon"/>
    <s v="United States"/>
    <s v="close-match"/>
    <s v="-"/>
    <s v="luffcabo"/>
    <x v="1169"/>
    <n v="1"/>
    <n v="1"/>
    <n v="0.45"/>
    <n v="0.45"/>
    <n v="0"/>
    <m/>
    <n v="0"/>
    <n v="0"/>
    <n v="0"/>
    <n v="0"/>
    <n v="0"/>
    <n v="0"/>
    <n v="0"/>
    <n v="0"/>
    <m/>
  </r>
  <r>
    <x v="5"/>
    <x v="24"/>
    <d v="2026-06-07T00:00:00"/>
    <s v="USD"/>
    <s v="SP.Auto - ENC Fixed"/>
    <x v="14"/>
    <s v="Amazon"/>
    <s v="United States"/>
    <s v="close-match"/>
    <s v="-"/>
    <s v="magnifier electric clippers"/>
    <x v="1169"/>
    <n v="1"/>
    <n v="1"/>
    <n v="2.08"/>
    <n v="2.08"/>
    <n v="0"/>
    <m/>
    <n v="0"/>
    <n v="0"/>
    <n v="0"/>
    <n v="0"/>
    <n v="0"/>
    <n v="0"/>
    <n v="0"/>
    <n v="0"/>
    <m/>
  </r>
  <r>
    <x v="5"/>
    <x v="23"/>
    <d v="2026-06-17T00:00:00"/>
    <s v="USD"/>
    <s v="捡漏SP.Keyword.Mannual - Tray"/>
    <x v="11"/>
    <s v="Amazon"/>
    <s v="United States"/>
    <s v="stroller tray"/>
    <s v="BROAD"/>
    <s v="mockingbird stroller snack tray"/>
    <x v="1171"/>
    <n v="1"/>
    <n v="0.25"/>
    <n v="0.21"/>
    <n v="0.21"/>
    <n v="0"/>
    <m/>
    <n v="0"/>
    <n v="0"/>
    <n v="0"/>
    <n v="0"/>
    <n v="0"/>
    <n v="0"/>
    <n v="0"/>
    <n v="0"/>
    <m/>
  </r>
  <r>
    <x v="5"/>
    <x v="25"/>
    <d v="2026-06-21T00:00:00"/>
    <s v="USD"/>
    <s v="捡漏SP.Keyword.Mannual - Tray"/>
    <x v="11"/>
    <s v="Amazon"/>
    <s v="United States"/>
    <s v="stroller cup holder"/>
    <s v="BROAD"/>
    <s v="momazing travel stroller cup holder"/>
    <x v="1169"/>
    <n v="1"/>
    <n v="1"/>
    <n v="0.21"/>
    <n v="0.21"/>
    <n v="18.989999999999998"/>
    <n v="1.1058E-2"/>
    <n v="90.43"/>
    <n v="1"/>
    <n v="1"/>
    <n v="1"/>
    <n v="1"/>
    <n v="0"/>
    <n v="18.989999999999998"/>
    <n v="0"/>
    <m/>
  </r>
  <r>
    <x v="5"/>
    <x v="23"/>
    <d v="2026-06-14T00:00:00"/>
    <s v="USD"/>
    <s v="捡漏SP.Keyword.Mannual - Tray"/>
    <x v="11"/>
    <s v="Amazon"/>
    <s v="United States"/>
    <s v="stroller attachment"/>
    <s v="BROAD"/>
    <s v="mompush stroller accessories"/>
    <x v="1171"/>
    <n v="1"/>
    <n v="0.25"/>
    <n v="0.21"/>
    <n v="0.21"/>
    <n v="0"/>
    <m/>
    <n v="0"/>
    <n v="0"/>
    <n v="0"/>
    <n v="0"/>
    <n v="0"/>
    <n v="0"/>
    <n v="0"/>
    <n v="0"/>
    <m/>
  </r>
  <r>
    <x v="5"/>
    <x v="23"/>
    <d v="2026-06-19T00:00:00"/>
    <s v="USD"/>
    <s v="捡漏SP.Keyword.Mannual - Tray"/>
    <x v="11"/>
    <s v="Amazon"/>
    <s v="United States"/>
    <s v="stroller tray"/>
    <s v="BROAD"/>
    <s v="momzi wagon snack tray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3"/>
    <d v="2026-06-14T00:00:00"/>
    <s v="USD"/>
    <s v="SP.Auto - ENC Fixed"/>
    <x v="14"/>
    <s v="Amazon"/>
    <s v="United States"/>
    <s v="close-match"/>
    <s v="-"/>
    <s v="nail clippers"/>
    <x v="1192"/>
    <n v="1"/>
    <n v="0.16666700000000001"/>
    <n v="2.2400000000000002"/>
    <n v="2.2400000000000002"/>
    <n v="0"/>
    <m/>
    <n v="0"/>
    <n v="0"/>
    <n v="0"/>
    <n v="0"/>
    <n v="0"/>
    <n v="0"/>
    <n v="0"/>
    <n v="0"/>
    <m/>
  </r>
  <r>
    <x v="5"/>
    <x v="24"/>
    <d v="2026-06-10T00:00:00"/>
    <s v="USD"/>
    <s v="SP.Auto - ENC Fixed"/>
    <x v="14"/>
    <s v="Amazon"/>
    <s v="United States"/>
    <s v="close-match"/>
    <s v="-"/>
    <s v="nail file"/>
    <x v="1224"/>
    <n v="1"/>
    <n v="2.8570999999999999E-2"/>
    <n v="2.14"/>
    <n v="2.14"/>
    <n v="0"/>
    <m/>
    <n v="0"/>
    <n v="0"/>
    <n v="0"/>
    <n v="0"/>
    <n v="0"/>
    <n v="0"/>
    <n v="0"/>
    <n v="0"/>
    <m/>
  </r>
  <r>
    <x v="5"/>
    <x v="24"/>
    <d v="2026-06-12T00:00:00"/>
    <s v="USD"/>
    <s v="SP.Auto - ENC Fixed"/>
    <x v="14"/>
    <s v="Amazon"/>
    <s v="United States"/>
    <s v="close-match"/>
    <s v="-"/>
    <s v="nail file"/>
    <x v="1205"/>
    <n v="1"/>
    <n v="0.111111"/>
    <n v="1.99"/>
    <n v="1.99"/>
    <n v="0"/>
    <m/>
    <n v="0"/>
    <n v="0"/>
    <n v="0"/>
    <n v="0"/>
    <n v="0"/>
    <n v="0"/>
    <n v="0"/>
    <n v="0"/>
    <m/>
  </r>
  <r>
    <x v="5"/>
    <x v="22"/>
    <d v="2026-06-02T00:00:00"/>
    <s v="USD"/>
    <s v="SP.Auto - ENC Fixed"/>
    <x v="14"/>
    <s v="Amazon"/>
    <s v="United States"/>
    <s v="close-match"/>
    <s v="-"/>
    <s v="nail light"/>
    <x v="1220"/>
    <n v="1"/>
    <n v="0.1"/>
    <n v="1.25"/>
    <n v="1.25"/>
    <n v="0"/>
    <m/>
    <n v="0"/>
    <n v="0"/>
    <n v="0"/>
    <n v="0"/>
    <n v="0"/>
    <n v="0"/>
    <n v="0"/>
    <n v="0"/>
    <m/>
  </r>
  <r>
    <x v="5"/>
    <x v="22"/>
    <d v="2026-06-06T00:00:00"/>
    <s v="USD"/>
    <s v="SP.Auto - ENC Fixed"/>
    <x v="14"/>
    <s v="Amazon"/>
    <s v="United States"/>
    <s v="close-match"/>
    <s v="-"/>
    <s v="nail light"/>
    <x v="1173"/>
    <n v="1"/>
    <n v="9.0909000000000004E-2"/>
    <n v="1.3"/>
    <n v="1.3"/>
    <n v="0"/>
    <m/>
    <n v="0"/>
    <n v="0"/>
    <n v="0"/>
    <n v="0"/>
    <n v="0"/>
    <n v="0"/>
    <n v="0"/>
    <n v="0"/>
    <m/>
  </r>
  <r>
    <x v="5"/>
    <x v="23"/>
    <d v="2026-06-18T00:00:00"/>
    <s v="USD"/>
    <s v="SP.Auto - BNF Fixed"/>
    <x v="15"/>
    <s v="Amazon"/>
    <s v="United States"/>
    <s v="loose-match"/>
    <s v="-"/>
    <s v="paci holder for diaper bag"/>
    <x v="1169"/>
    <n v="1"/>
    <n v="1"/>
    <n v="0.68"/>
    <n v="0.68"/>
    <n v="0"/>
    <m/>
    <n v="0"/>
    <n v="0"/>
    <n v="0"/>
    <n v="0"/>
    <n v="0"/>
    <n v="0"/>
    <n v="0"/>
    <n v="0"/>
    <m/>
  </r>
  <r>
    <x v="5"/>
    <x v="23"/>
    <d v="2026-06-15T00:00:00"/>
    <s v="USD"/>
    <s v="捡漏SP.Keyword.Mannual - Tray"/>
    <x v="11"/>
    <s v="Amazon"/>
    <s v="United States"/>
    <s v="stroller tray"/>
    <s v="BROAD"/>
    <s v="parent's choice gray baby umbrella stroller with black canopy, unisex tray for food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5"/>
    <d v="2026-06-21T00:00:00"/>
    <s v="USD"/>
    <s v="捡漏SP.Keyword.Mannual - Tray"/>
    <x v="11"/>
    <s v="Amazon"/>
    <s v="United States"/>
    <s v="stroller cup holder"/>
    <s v="BROAD"/>
    <s v="peg perego stroller cup holder"/>
    <x v="1168"/>
    <n v="1"/>
    <n v="0.5"/>
    <n v="0.2"/>
    <n v="0.2"/>
    <n v="0"/>
    <m/>
    <n v="0"/>
    <n v="0"/>
    <n v="0"/>
    <n v="0"/>
    <n v="0"/>
    <n v="0"/>
    <n v="0"/>
    <n v="0"/>
    <m/>
  </r>
  <r>
    <x v="5"/>
    <x v="22"/>
    <d v="2026-06-01T00:00:00"/>
    <s v="USD"/>
    <s v="捡漏SP.Keyword.Mannual - Tray"/>
    <x v="11"/>
    <s v="Amazon"/>
    <s v="United States"/>
    <s v="clip on snack tray"/>
    <s v="BROAD"/>
    <s v="plastic wagon snack tray clip on"/>
    <x v="1192"/>
    <n v="1"/>
    <n v="0.16666700000000001"/>
    <n v="0.21"/>
    <n v="0.21"/>
    <n v="0"/>
    <m/>
    <n v="0"/>
    <n v="0"/>
    <n v="0"/>
    <n v="0"/>
    <n v="0"/>
    <n v="0"/>
    <n v="0"/>
    <n v="0"/>
    <m/>
  </r>
  <r>
    <x v="5"/>
    <x v="25"/>
    <d v="2026-06-21T00:00:00"/>
    <s v="USD"/>
    <s v="SP.Auto - Tray"/>
    <x v="12"/>
    <s v="Amazon"/>
    <s v="United States"/>
    <s v="loose-match"/>
    <s v="-"/>
    <s v="rollator tray"/>
    <x v="1169"/>
    <n v="1"/>
    <n v="1"/>
    <n v="0.6"/>
    <n v="0.6"/>
    <n v="0"/>
    <m/>
    <n v="0"/>
    <n v="0"/>
    <n v="0"/>
    <n v="0"/>
    <n v="0"/>
    <n v="0"/>
    <n v="0"/>
    <n v="0"/>
    <m/>
  </r>
  <r>
    <x v="5"/>
    <x v="24"/>
    <d v="2026-06-08T00:00:00"/>
    <s v="USD"/>
    <s v="捡漏SP.Keyword.Mannual - Tray"/>
    <x v="11"/>
    <s v="Amazon"/>
    <s v="United States"/>
    <s v="stroller attachment"/>
    <s v="BROAD"/>
    <s v="safety first travel stroller snack tray attachment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3"/>
    <d v="2026-06-18T00:00:00"/>
    <s v="USD"/>
    <s v="捡漏SP.Keyword.Mannual - Tray"/>
    <x v="11"/>
    <s v="Amazon"/>
    <s v="United States"/>
    <s v="stroller attachment"/>
    <s v="BROAD"/>
    <s v="shade attachment for stroller"/>
    <x v="1168"/>
    <n v="1"/>
    <n v="0.5"/>
    <n v="0.2"/>
    <n v="0.2"/>
    <n v="17.989999999999998"/>
    <n v="1.1117E-2"/>
    <n v="89.95"/>
    <n v="1"/>
    <n v="1"/>
    <n v="1"/>
    <n v="1"/>
    <n v="0"/>
    <n v="17.989999999999998"/>
    <n v="0"/>
    <m/>
  </r>
  <r>
    <x v="5"/>
    <x v="22"/>
    <d v="2026-06-06T00:00:00"/>
    <s v="USD"/>
    <s v="捡漏SP.Keyword.Mannual - Tray"/>
    <x v="11"/>
    <s v="Amazon"/>
    <s v="United States"/>
    <s v="snack tray for stroller"/>
    <s v="BROAD"/>
    <s v="side snack tray for stroller"/>
    <x v="1169"/>
    <n v="1"/>
    <n v="1"/>
    <n v="0.09"/>
    <n v="0.09"/>
    <n v="0"/>
    <m/>
    <n v="0"/>
    <n v="0"/>
    <n v="0"/>
    <n v="0"/>
    <n v="0"/>
    <n v="0"/>
    <n v="0"/>
    <n v="0"/>
    <m/>
  </r>
  <r>
    <x v="5"/>
    <x v="23"/>
    <d v="2026-06-17T00:00:00"/>
    <s v="USD"/>
    <s v="SP.Auto - Tray"/>
    <x v="12"/>
    <s v="Amazon"/>
    <s v="United States"/>
    <s v="close-match"/>
    <s v="-"/>
    <s v="silicone cup holder for stroller"/>
    <x v="1168"/>
    <n v="1"/>
    <n v="0.5"/>
    <n v="0.8"/>
    <n v="0.8"/>
    <n v="0"/>
    <m/>
    <n v="0"/>
    <n v="0"/>
    <n v="0"/>
    <n v="0"/>
    <n v="0"/>
    <n v="0"/>
    <n v="0"/>
    <n v="0"/>
    <m/>
  </r>
  <r>
    <x v="5"/>
    <x v="22"/>
    <d v="2026-06-04T00:00:00"/>
    <s v="USD"/>
    <s v="捡漏SP.Keyword.Mannual - Tray"/>
    <x v="11"/>
    <s v="Amazon"/>
    <s v="United States"/>
    <s v="stroller clip on tray"/>
    <s v="BROAD"/>
    <s v="small scooter tray"/>
    <x v="1168"/>
    <n v="1"/>
    <n v="0.5"/>
    <n v="0.21"/>
    <n v="0.21"/>
    <n v="0"/>
    <m/>
    <n v="0"/>
    <n v="0"/>
    <n v="0"/>
    <n v="0"/>
    <n v="0"/>
    <n v="0"/>
    <n v="0"/>
    <n v="0"/>
    <m/>
  </r>
  <r>
    <x v="5"/>
    <x v="24"/>
    <d v="2026-06-08T00:00:00"/>
    <s v="USD"/>
    <s v="捡漏SP.Keyword.Mannual - Tray"/>
    <x v="11"/>
    <s v="Amazon"/>
    <s v="United States"/>
    <s v="snack cup for stroller"/>
    <s v="BROAD"/>
    <s v="snack bowl attaches to stroller"/>
    <x v="1171"/>
    <n v="2"/>
    <n v="0.5"/>
    <n v="0.21"/>
    <n v="0.42"/>
    <n v="0"/>
    <m/>
    <n v="0"/>
    <n v="0"/>
    <n v="0"/>
    <n v="0"/>
    <n v="0"/>
    <n v="0"/>
    <n v="0"/>
    <n v="0"/>
    <m/>
  </r>
  <r>
    <x v="5"/>
    <x v="22"/>
    <d v="2026-06-06T00:00:00"/>
    <s v="USD"/>
    <s v="捡漏SP.Keyword.Mannual - Tray"/>
    <x v="11"/>
    <s v="Amazon"/>
    <s v="United States"/>
    <s v="universal snack tray"/>
    <s v="BROAD"/>
    <s v="snack tray for car connects to arm rest"/>
    <x v="1168"/>
    <n v="1"/>
    <n v="0.5"/>
    <n v="0.21"/>
    <n v="0.21"/>
    <n v="0"/>
    <m/>
    <n v="0"/>
    <n v="0"/>
    <n v="0"/>
    <n v="0"/>
    <n v="0"/>
    <n v="0"/>
    <n v="0"/>
    <n v="0"/>
    <m/>
  </r>
  <r>
    <x v="5"/>
    <x v="23"/>
    <d v="2026-06-15T00:00:00"/>
    <s v="USD"/>
    <s v="捡漏SP.Keyword.Mannual - Tray"/>
    <x v="11"/>
    <s v="Amazon"/>
    <s v="United States"/>
    <s v="stroller tray"/>
    <s v="BROAD"/>
    <s v="snack tray for jeep double umbrella stroller"/>
    <x v="1171"/>
    <n v="1"/>
    <n v="0.25"/>
    <n v="0.21"/>
    <n v="0.21"/>
    <n v="0"/>
    <m/>
    <n v="0"/>
    <n v="0"/>
    <n v="0"/>
    <n v="0"/>
    <n v="0"/>
    <n v="0"/>
    <n v="0"/>
    <n v="0"/>
    <m/>
  </r>
  <r>
    <x v="5"/>
    <x v="24"/>
    <d v="2026-06-09T00:00:00"/>
    <s v="USD"/>
    <s v="捡漏SP.Keyword.Mannual - Tray"/>
    <x v="11"/>
    <s v="Amazon"/>
    <s v="United States"/>
    <s v="stroller tray"/>
    <s v="BROAD"/>
    <s v="snack tray for nuna trvl stroller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4"/>
    <d v="2026-06-07T00:00:00"/>
    <s v="USD"/>
    <s v="捡漏SP.Keyword.Mannual - Tray"/>
    <x v="11"/>
    <s v="Amazon"/>
    <s v="United States"/>
    <s v="stroller tray"/>
    <s v="BROAD"/>
    <s v="snack tray for quid 2 stroller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4"/>
    <d v="2026-06-09T00:00:00"/>
    <s v="USD"/>
    <s v="SP.ASIN.Manual - Tray"/>
    <x v="13"/>
    <s v="Amazon"/>
    <s v="United States"/>
    <s v="asin=&quot;B0C1G4985Z&quot;"/>
    <s v="-"/>
    <s v="snack tray for stroller"/>
    <x v="1182"/>
    <n v="1"/>
    <n v="0.14285700000000001"/>
    <n v="0.67"/>
    <n v="0.67"/>
    <n v="0"/>
    <m/>
    <n v="0"/>
    <n v="0"/>
    <n v="0"/>
    <n v="0"/>
    <n v="0"/>
    <n v="0"/>
    <n v="0"/>
    <n v="0"/>
    <m/>
  </r>
  <r>
    <x v="5"/>
    <x v="24"/>
    <d v="2026-06-10T00:00:00"/>
    <s v="USD"/>
    <s v="SP.ASIN.Manual - Tray"/>
    <x v="13"/>
    <s v="Amazon"/>
    <s v="United States"/>
    <s v="asin=&quot;B0C1G4985Z&quot;"/>
    <s v="-"/>
    <s v="snack tray for stroller"/>
    <x v="1218"/>
    <n v="1"/>
    <n v="5.8824000000000001E-2"/>
    <n v="0.67"/>
    <n v="0.67"/>
    <n v="17.47"/>
    <n v="3.8351000000000003E-2"/>
    <n v="26.07"/>
    <n v="1"/>
    <n v="1"/>
    <n v="1"/>
    <n v="1"/>
    <n v="0"/>
    <n v="17.47"/>
    <n v="0"/>
    <m/>
  </r>
  <r>
    <x v="5"/>
    <x v="22"/>
    <d v="2026-06-05T00:00:00"/>
    <s v="USD"/>
    <s v="SP.Auto - Tray"/>
    <x v="12"/>
    <s v="Amazon"/>
    <s v="United States"/>
    <s v="close-match"/>
    <s v="-"/>
    <s v="snack tray for stroller"/>
    <x v="1173"/>
    <n v="1"/>
    <n v="9.0909000000000004E-2"/>
    <n v="1.1000000000000001"/>
    <n v="1.1000000000000001"/>
    <n v="0"/>
    <m/>
    <n v="0"/>
    <n v="0"/>
    <n v="0"/>
    <n v="0"/>
    <n v="0"/>
    <n v="0"/>
    <n v="0"/>
    <n v="0"/>
    <m/>
  </r>
  <r>
    <x v="5"/>
    <x v="24"/>
    <d v="2026-06-10T00:00:00"/>
    <s v="USD"/>
    <s v="SP.Auto - Tray"/>
    <x v="12"/>
    <s v="Amazon"/>
    <s v="United States"/>
    <s v="close-match"/>
    <s v="-"/>
    <s v="snack tray for stroller"/>
    <x v="1203"/>
    <n v="1"/>
    <n v="4.1667000000000003E-2"/>
    <n v="1.1000000000000001"/>
    <n v="1.1000000000000001"/>
    <n v="0"/>
    <m/>
    <n v="0"/>
    <n v="0"/>
    <n v="0"/>
    <n v="0"/>
    <n v="0"/>
    <n v="0"/>
    <n v="0"/>
    <n v="0"/>
    <m/>
  </r>
  <r>
    <x v="5"/>
    <x v="24"/>
    <d v="2026-06-12T00:00:00"/>
    <s v="USD"/>
    <s v="捡漏SP.Keyword.Mannual - Tray"/>
    <x v="11"/>
    <s v="Amazon"/>
    <s v="United States"/>
    <s v="stroller tray"/>
    <s v="BROAD"/>
    <s v="snack tray for stroller"/>
    <x v="1205"/>
    <n v="1"/>
    <n v="0.111111"/>
    <n v="0.21"/>
    <n v="0.21"/>
    <n v="0"/>
    <m/>
    <n v="0"/>
    <n v="0"/>
    <n v="0"/>
    <n v="0"/>
    <n v="0"/>
    <n v="0"/>
    <n v="0"/>
    <n v="0"/>
    <m/>
  </r>
  <r>
    <x v="5"/>
    <x v="23"/>
    <d v="2026-06-16T00:00:00"/>
    <s v="USD"/>
    <s v="捡漏SP.Keyword.Mannual - Tray"/>
    <x v="11"/>
    <s v="Amazon"/>
    <s v="United States"/>
    <s v="stroller tray"/>
    <s v="BROAD"/>
    <s v="snack tray for stroller"/>
    <x v="1168"/>
    <n v="1"/>
    <n v="0.5"/>
    <n v="0.21"/>
    <n v="0.21"/>
    <n v="0"/>
    <m/>
    <n v="0"/>
    <n v="0"/>
    <n v="0"/>
    <n v="0"/>
    <n v="0"/>
    <n v="0"/>
    <n v="0"/>
    <n v="0"/>
    <m/>
  </r>
  <r>
    <x v="5"/>
    <x v="22"/>
    <d v="2026-06-05T00:00:00"/>
    <s v="USD"/>
    <s v="捡漏SP.Keyword.Mannual - Tray"/>
    <x v="16"/>
    <s v="Amazon"/>
    <s v="United States"/>
    <s v="snack tray for stroller"/>
    <s v="PHRASE"/>
    <s v="snack tray for stroller"/>
    <x v="1229"/>
    <n v="1"/>
    <n v="8.3333000000000004E-2"/>
    <n v="0.2"/>
    <n v="0.2"/>
    <n v="0"/>
    <m/>
    <n v="0"/>
    <n v="0"/>
    <n v="0"/>
    <n v="0"/>
    <n v="0"/>
    <n v="0"/>
    <n v="0"/>
    <n v="0"/>
    <m/>
  </r>
  <r>
    <x v="5"/>
    <x v="22"/>
    <d v="2026-06-06T00:00:00"/>
    <s v="USD"/>
    <s v="捡漏SP.Keyword.Mannual - Tray"/>
    <x v="16"/>
    <s v="Amazon"/>
    <s v="United States"/>
    <s v="snack tray for stroller"/>
    <s v="PHRASE"/>
    <s v="snack tray for stroller"/>
    <x v="1169"/>
    <n v="1"/>
    <n v="1"/>
    <n v="0.4"/>
    <n v="0.4"/>
    <n v="0"/>
    <m/>
    <n v="0"/>
    <n v="0"/>
    <n v="0"/>
    <n v="0"/>
    <n v="0"/>
    <n v="0"/>
    <n v="0"/>
    <n v="0"/>
    <m/>
  </r>
  <r>
    <x v="5"/>
    <x v="22"/>
    <d v="2026-06-06T00:00:00"/>
    <s v="USD"/>
    <s v="捡漏SP.Keyword.Mannual - Tray"/>
    <x v="16"/>
    <s v="Amazon"/>
    <s v="United States"/>
    <s v="snack tray for stroller"/>
    <s v="EXACT"/>
    <s v="snack tray for stroller"/>
    <x v="1285"/>
    <n v="1"/>
    <n v="8.0000000000000002E-3"/>
    <n v="0.2"/>
    <n v="0.2"/>
    <n v="0"/>
    <m/>
    <n v="0"/>
    <n v="0"/>
    <n v="0"/>
    <n v="0"/>
    <n v="0"/>
    <n v="0"/>
    <n v="0"/>
    <n v="0"/>
    <m/>
  </r>
  <r>
    <x v="5"/>
    <x v="24"/>
    <d v="2026-06-07T00:00:00"/>
    <s v="USD"/>
    <s v="捡漏SP.Keyword.Mannual - Tray"/>
    <x v="16"/>
    <s v="Amazon"/>
    <s v="United States"/>
    <s v="snack tray for stroller"/>
    <s v="EXACT"/>
    <s v="snack tray for stroller"/>
    <x v="1171"/>
    <n v="1"/>
    <n v="0.25"/>
    <n v="0.2"/>
    <n v="0.2"/>
    <n v="0"/>
    <m/>
    <n v="0"/>
    <n v="0"/>
    <n v="0"/>
    <n v="0"/>
    <n v="0"/>
    <n v="0"/>
    <n v="0"/>
    <n v="0"/>
    <m/>
  </r>
  <r>
    <x v="5"/>
    <x v="24"/>
    <d v="2026-06-13T00:00:00"/>
    <s v="USD"/>
    <s v="捡漏SP.Keyword.Mannual - Tray"/>
    <x v="16"/>
    <s v="Amazon"/>
    <s v="United States"/>
    <s v="snack tray for stroller"/>
    <s v="EXACT"/>
    <s v="snack tray for stroller"/>
    <x v="1286"/>
    <n v="4"/>
    <n v="1.2461E-2"/>
    <n v="0.2"/>
    <n v="0.8"/>
    <n v="0"/>
    <m/>
    <n v="0"/>
    <n v="0"/>
    <n v="0"/>
    <n v="0"/>
    <n v="0"/>
    <n v="0"/>
    <n v="0"/>
    <n v="0"/>
    <m/>
  </r>
  <r>
    <x v="5"/>
    <x v="23"/>
    <d v="2026-06-15T00:00:00"/>
    <s v="USD"/>
    <s v="捡漏SP.Keyword.Mannual - Tray"/>
    <x v="16"/>
    <s v="Amazon"/>
    <s v="United States"/>
    <s v="snack tray for stroller"/>
    <s v="EXACT"/>
    <s v="snack tray for stroller"/>
    <x v="1287"/>
    <n v="1"/>
    <n v="6.4099999999999999E-3"/>
    <n v="0.2"/>
    <n v="0.2"/>
    <n v="0"/>
    <m/>
    <n v="0"/>
    <n v="0"/>
    <n v="0"/>
    <n v="0"/>
    <n v="0"/>
    <n v="0"/>
    <n v="0"/>
    <n v="0"/>
    <m/>
  </r>
  <r>
    <x v="5"/>
    <x v="24"/>
    <d v="2026-06-12T00:00:00"/>
    <s v="USD"/>
    <s v="捡漏SP.Keyword.Mannual - Tray"/>
    <x v="11"/>
    <s v="Amazon"/>
    <s v="United States"/>
    <s v="snack tray for stroller"/>
    <s v="BROAD"/>
    <s v="snack tray for stroller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4"/>
    <d v="2026-06-11T00:00:00"/>
    <s v="USD"/>
    <s v="捡漏SP.Keyword.Mannual - Tray"/>
    <x v="11"/>
    <s v="Amazon"/>
    <s v="United States"/>
    <s v="stroller clip on tray"/>
    <s v="BROAD"/>
    <s v="snack tray for stroller clip on"/>
    <x v="1168"/>
    <n v="1"/>
    <n v="0.5"/>
    <n v="0.21"/>
    <n v="0.21"/>
    <n v="0"/>
    <m/>
    <n v="0"/>
    <n v="0"/>
    <n v="0"/>
    <n v="0"/>
    <n v="0"/>
    <n v="0"/>
    <n v="0"/>
    <n v="0"/>
    <m/>
  </r>
  <r>
    <x v="5"/>
    <x v="23"/>
    <d v="2026-06-14T00:00:00"/>
    <s v="USD"/>
    <s v="SP.Auto - Tray"/>
    <x v="12"/>
    <s v="Amazon"/>
    <s v="United States"/>
    <s v="loose-match"/>
    <s v="-"/>
    <s v="snack tray for stroller with bar"/>
    <x v="1174"/>
    <n v="1"/>
    <n v="0.2"/>
    <n v="0.77"/>
    <n v="0.77"/>
    <n v="0"/>
    <m/>
    <n v="0"/>
    <n v="0"/>
    <n v="0"/>
    <n v="0"/>
    <n v="0"/>
    <n v="0"/>
    <n v="0"/>
    <n v="0"/>
    <m/>
  </r>
  <r>
    <x v="5"/>
    <x v="22"/>
    <d v="2026-06-02T00:00:00"/>
    <s v="USD"/>
    <s v="SP.ASIN.Manual - Tray"/>
    <x v="13"/>
    <s v="Amazon"/>
    <s v="United States"/>
    <s v="asin=&quot;B0C1G4985Z&quot;"/>
    <s v="-"/>
    <s v="snack tray for stroller with no bar"/>
    <x v="1168"/>
    <n v="1"/>
    <n v="0.5"/>
    <n v="0.65"/>
    <n v="0.65"/>
    <n v="0"/>
    <m/>
    <n v="0"/>
    <n v="0"/>
    <n v="0"/>
    <n v="0"/>
    <n v="0"/>
    <n v="0"/>
    <n v="0"/>
    <n v="0"/>
    <m/>
  </r>
  <r>
    <x v="5"/>
    <x v="23"/>
    <d v="2026-06-19T00:00:00"/>
    <s v="USD"/>
    <s v="捡漏SP.Keyword.Mannual - Tray"/>
    <x v="16"/>
    <s v="Amazon"/>
    <s v="United States"/>
    <s v="snack tray for stroller"/>
    <s v="PHRASE"/>
    <s v="snack tray for stroller with no bar"/>
    <x v="1169"/>
    <n v="1"/>
    <n v="1"/>
    <n v="0.4"/>
    <n v="0.4"/>
    <n v="18.989999999999998"/>
    <n v="2.1063999999999999E-2"/>
    <n v="47.48"/>
    <n v="1"/>
    <n v="1"/>
    <n v="1"/>
    <n v="1"/>
    <n v="0"/>
    <n v="18.989999999999998"/>
    <n v="0"/>
    <m/>
  </r>
  <r>
    <x v="5"/>
    <x v="22"/>
    <d v="2026-06-02T00:00:00"/>
    <s v="USD"/>
    <s v="捡漏SP.Keyword.Mannual - Tray"/>
    <x v="11"/>
    <s v="Amazon"/>
    <s v="United States"/>
    <s v="stroller tray"/>
    <s v="BROAD"/>
    <s v="snack tray for stroller without bar"/>
    <x v="1169"/>
    <n v="1"/>
    <n v="1"/>
    <n v="0.4"/>
    <n v="0.4"/>
    <n v="34.94"/>
    <n v="1.1448E-2"/>
    <n v="87.35"/>
    <n v="1"/>
    <n v="2"/>
    <n v="1"/>
    <n v="2"/>
    <n v="0"/>
    <n v="34.94"/>
    <n v="0"/>
    <m/>
  </r>
  <r>
    <x v="5"/>
    <x v="22"/>
    <d v="2026-06-02T00:00:00"/>
    <s v="USD"/>
    <s v="SP.Auto - Tray"/>
    <x v="12"/>
    <s v="Amazon"/>
    <s v="United States"/>
    <s v="close-match"/>
    <s v="-"/>
    <s v="snack tray for stroller,"/>
    <x v="1171"/>
    <n v="2"/>
    <n v="0.5"/>
    <n v="1.1000000000000001"/>
    <n v="2.2000000000000002"/>
    <n v="0"/>
    <m/>
    <n v="0"/>
    <n v="0"/>
    <n v="0"/>
    <n v="0"/>
    <n v="0"/>
    <n v="0"/>
    <n v="0"/>
    <n v="0"/>
    <m/>
  </r>
  <r>
    <x v="5"/>
    <x v="22"/>
    <d v="2026-06-03T00:00:00"/>
    <s v="USD"/>
    <s v="捡漏SP.Keyword.Mannual - Tray"/>
    <x v="11"/>
    <s v="Amazon"/>
    <s v="United States"/>
    <s v="stroller snack tray"/>
    <s v="BROAD"/>
    <s v="snack tray for thule bike trailer"/>
    <x v="1171"/>
    <n v="1"/>
    <n v="0.25"/>
    <n v="0.21"/>
    <n v="0.21"/>
    <n v="0"/>
    <m/>
    <n v="0"/>
    <n v="0"/>
    <n v="0"/>
    <n v="0"/>
    <n v="0"/>
    <n v="0"/>
    <n v="0"/>
    <n v="0"/>
    <m/>
  </r>
  <r>
    <x v="5"/>
    <x v="24"/>
    <d v="2026-06-12T00:00:00"/>
    <s v="USD"/>
    <s v="SP.Auto - Tray"/>
    <x v="12"/>
    <s v="Amazon"/>
    <s v="United States"/>
    <s v="close-match"/>
    <s v="-"/>
    <s v="snack tray universal stroller"/>
    <x v="1168"/>
    <n v="1"/>
    <n v="0.5"/>
    <n v="1.1000000000000001"/>
    <n v="1.1000000000000001"/>
    <n v="0"/>
    <m/>
    <n v="0"/>
    <n v="0"/>
    <n v="0"/>
    <n v="0"/>
    <n v="0"/>
    <n v="0"/>
    <n v="0"/>
    <n v="0"/>
    <m/>
  </r>
  <r>
    <x v="5"/>
    <x v="23"/>
    <d v="2026-06-20T00:00:00"/>
    <s v="USD"/>
    <s v="SP.Auto - Tray"/>
    <x v="12"/>
    <s v="Amazon"/>
    <s v="United States"/>
    <s v="loose-match"/>
    <s v="-"/>
    <s v="snap on baby cup holder for chicco stroller"/>
    <x v="1169"/>
    <n v="1"/>
    <n v="1"/>
    <n v="0.56999999999999995"/>
    <n v="0.56999999999999995"/>
    <n v="0"/>
    <m/>
    <n v="0"/>
    <n v="0"/>
    <n v="0"/>
    <n v="0"/>
    <n v="0"/>
    <n v="0"/>
    <n v="0"/>
    <n v="0"/>
    <m/>
  </r>
  <r>
    <x v="5"/>
    <x v="23"/>
    <d v="2026-06-20T00:00:00"/>
    <s v="USD"/>
    <s v="捡漏SP.Keyword.Mannual - Tray"/>
    <x v="11"/>
    <s v="Amazon"/>
    <s v="United States"/>
    <s v="stroller cup holder"/>
    <s v="BROAD"/>
    <s v="snap on baby cup holder for chicco stroller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2"/>
    <d v="2026-06-05T00:00:00"/>
    <s v="USD"/>
    <s v="捡漏SP.Keyword.Mannual - Tray"/>
    <x v="11"/>
    <s v="Amazon"/>
    <s v="United States"/>
    <s v="stroller tray"/>
    <s v="BROAD"/>
    <s v="snap on tray for lola ride stroller"/>
    <x v="1168"/>
    <n v="1"/>
    <n v="0.5"/>
    <n v="0.21"/>
    <n v="0.21"/>
    <n v="0"/>
    <m/>
    <n v="0"/>
    <n v="0"/>
    <n v="0"/>
    <n v="0"/>
    <n v="0"/>
    <n v="0"/>
    <n v="0"/>
    <n v="0"/>
    <m/>
  </r>
  <r>
    <x v="5"/>
    <x v="22"/>
    <d v="2026-06-02T00:00:00"/>
    <s v="USD"/>
    <s v="捡漏SP.Keyword.Mannual - Tray"/>
    <x v="11"/>
    <s v="Amazon"/>
    <s v="United States"/>
    <s v="stroller tray"/>
    <s v="BROAD"/>
    <s v="snap on tray for stroller with side handles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2"/>
    <d v="2026-06-01T00:00:00"/>
    <s v="USD"/>
    <s v="捡漏SP.Keyword.Mannual - Tray"/>
    <x v="11"/>
    <s v="Amazon"/>
    <s v="United States"/>
    <s v="stroller attachment"/>
    <s v="BROAD"/>
    <s v="stokke yoyo stroller attachment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2"/>
    <d v="2026-06-02T00:00:00"/>
    <s v="USD"/>
    <s v="捡漏SP.Keyword.Mannual - Tray"/>
    <x v="16"/>
    <s v="Amazon"/>
    <s v="United States"/>
    <s v="stroller accessories"/>
    <s v="EXACT"/>
    <s v="stroller accessories"/>
    <x v="1229"/>
    <n v="1"/>
    <n v="8.3333000000000004E-2"/>
    <n v="0.21"/>
    <n v="0.21"/>
    <n v="17.47"/>
    <n v="1.2021E-2"/>
    <n v="83.19"/>
    <n v="1"/>
    <n v="1"/>
    <n v="1"/>
    <n v="1"/>
    <n v="0"/>
    <n v="17.47"/>
    <n v="0"/>
    <m/>
  </r>
  <r>
    <x v="5"/>
    <x v="22"/>
    <d v="2026-06-03T00:00:00"/>
    <s v="USD"/>
    <s v="捡漏SP.Keyword.Mannual - Tray"/>
    <x v="16"/>
    <s v="Amazon"/>
    <s v="United States"/>
    <s v="stroller accessories"/>
    <s v="EXACT"/>
    <s v="stroller accessories"/>
    <x v="1209"/>
    <n v="1"/>
    <n v="5.2631999999999998E-2"/>
    <n v="0.21"/>
    <n v="0.21"/>
    <n v="0"/>
    <m/>
    <n v="0"/>
    <n v="0"/>
    <n v="0"/>
    <n v="0"/>
    <n v="0"/>
    <n v="0"/>
    <n v="0"/>
    <n v="0"/>
    <m/>
  </r>
  <r>
    <x v="5"/>
    <x v="24"/>
    <d v="2026-06-10T00:00:00"/>
    <s v="USD"/>
    <s v="捡漏SP.Keyword.Mannual - Tray"/>
    <x v="16"/>
    <s v="Amazon"/>
    <s v="United States"/>
    <s v="stroller accessories"/>
    <s v="EXACT"/>
    <s v="stroller accessories"/>
    <x v="1197"/>
    <n v="1"/>
    <n v="7.6923000000000005E-2"/>
    <n v="0.21"/>
    <n v="0.21"/>
    <n v="0"/>
    <m/>
    <n v="0"/>
    <n v="0"/>
    <n v="0"/>
    <n v="0"/>
    <n v="0"/>
    <n v="0"/>
    <n v="0"/>
    <n v="0"/>
    <m/>
  </r>
  <r>
    <x v="5"/>
    <x v="24"/>
    <d v="2026-06-13T00:00:00"/>
    <s v="USD"/>
    <s v="捡漏SP.Keyword.Mannual - Tray"/>
    <x v="16"/>
    <s v="Amazon"/>
    <s v="United States"/>
    <s v="stroller accessories"/>
    <s v="EXACT"/>
    <s v="stroller accessories"/>
    <x v="1201"/>
    <n v="1"/>
    <n v="2.5641000000000001E-2"/>
    <n v="0.21"/>
    <n v="0.21"/>
    <n v="0"/>
    <m/>
    <n v="0"/>
    <n v="0"/>
    <n v="0"/>
    <n v="0"/>
    <n v="0"/>
    <n v="0"/>
    <n v="0"/>
    <n v="0"/>
    <m/>
  </r>
  <r>
    <x v="5"/>
    <x v="23"/>
    <d v="2026-06-20T00:00:00"/>
    <s v="USD"/>
    <s v="捡漏SP.Keyword.Mannual - Tray"/>
    <x v="16"/>
    <s v="Amazon"/>
    <s v="United States"/>
    <s v="stroller accessories"/>
    <s v="EXACT"/>
    <s v="stroller accessories"/>
    <x v="1223"/>
    <n v="1"/>
    <n v="6.25E-2"/>
    <n v="0.21"/>
    <n v="0.21"/>
    <n v="0"/>
    <m/>
    <n v="0"/>
    <n v="0"/>
    <n v="0"/>
    <n v="0"/>
    <n v="0"/>
    <n v="0"/>
    <n v="0"/>
    <n v="0"/>
    <m/>
  </r>
  <r>
    <x v="5"/>
    <x v="23"/>
    <d v="2026-06-19T00:00:00"/>
    <s v="USD"/>
    <s v="捡漏SP.Keyword.Mannual - Tray"/>
    <x v="11"/>
    <s v="Amazon"/>
    <s v="United States"/>
    <s v="stroller accessories"/>
    <s v="BROAD"/>
    <s v="stroller accessories for disney world"/>
    <x v="1288"/>
    <n v="1"/>
    <m/>
    <n v="0.16"/>
    <n v="0.16"/>
    <n v="0"/>
    <m/>
    <n v="0"/>
    <n v="0"/>
    <n v="0"/>
    <n v="0"/>
    <n v="0"/>
    <n v="0"/>
    <n v="0"/>
    <n v="0"/>
    <m/>
  </r>
  <r>
    <x v="5"/>
    <x v="24"/>
    <d v="2026-06-08T00:00:00"/>
    <s v="USD"/>
    <s v="捡漏SP.Keyword.Mannual - Tray"/>
    <x v="11"/>
    <s v="Amazon"/>
    <s v="United States"/>
    <s v="stroller accessories"/>
    <s v="BROAD"/>
    <s v="stroller accessories ingenuity 3d quick"/>
    <x v="1171"/>
    <n v="1"/>
    <n v="0.25"/>
    <n v="0.16"/>
    <n v="0.16"/>
    <n v="0"/>
    <m/>
    <n v="0"/>
    <n v="0"/>
    <n v="0"/>
    <n v="0"/>
    <n v="0"/>
    <n v="0"/>
    <n v="0"/>
    <n v="0"/>
    <m/>
  </r>
  <r>
    <x v="5"/>
    <x v="23"/>
    <d v="2026-06-18T00:00:00"/>
    <s v="USD"/>
    <s v="捡漏SP.Keyword.Mannual - Tray"/>
    <x v="11"/>
    <s v="Amazon"/>
    <s v="United States"/>
    <s v="stroller attachment"/>
    <s v="BROAD"/>
    <s v="stroller attachment for drinks and food on the nuna"/>
    <x v="1174"/>
    <n v="1"/>
    <n v="0.2"/>
    <n v="0.21"/>
    <n v="0.21"/>
    <n v="0"/>
    <m/>
    <n v="0"/>
    <n v="0"/>
    <n v="0"/>
    <n v="0"/>
    <n v="0"/>
    <n v="0"/>
    <n v="0"/>
    <n v="0"/>
    <m/>
  </r>
  <r>
    <x v="5"/>
    <x v="23"/>
    <d v="2026-06-14T00:00:00"/>
    <s v="USD"/>
    <s v="捡漏SP.Keyword.Mannual - Tray"/>
    <x v="11"/>
    <s v="Amazon"/>
    <s v="United States"/>
    <s v="stroller attachment"/>
    <s v="BROAD"/>
    <s v="stroller attachment for toddlers drink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4"/>
    <d v="2026-06-12T00:00:00"/>
    <s v="USD"/>
    <s v="SP.Auto - Tray"/>
    <x v="12"/>
    <s v="Amazon"/>
    <s v="United States"/>
    <s v="loose-match"/>
    <s v="-"/>
    <s v="stroller attachments for umbrella stroller"/>
    <x v="1192"/>
    <n v="1"/>
    <n v="0.16666700000000001"/>
    <n v="0.77"/>
    <n v="0.77"/>
    <n v="0"/>
    <m/>
    <n v="0"/>
    <n v="0"/>
    <n v="0"/>
    <n v="0"/>
    <n v="0"/>
    <n v="0"/>
    <n v="0"/>
    <n v="0"/>
    <m/>
  </r>
  <r>
    <x v="5"/>
    <x v="22"/>
    <d v="2026-06-02T00:00:00"/>
    <s v="USD"/>
    <s v="捡漏SP.Keyword.Mannual - Tray"/>
    <x v="11"/>
    <s v="Amazon"/>
    <s v="United States"/>
    <s v="stroller tray attachment"/>
    <s v="BROAD"/>
    <s v="stroller board attachment"/>
    <x v="1228"/>
    <n v="1"/>
    <n v="3.8462000000000003E-2"/>
    <n v="0.2"/>
    <n v="0.2"/>
    <n v="0"/>
    <m/>
    <n v="0"/>
    <n v="0"/>
    <n v="0"/>
    <n v="0"/>
    <n v="0"/>
    <n v="0"/>
    <n v="0"/>
    <n v="0"/>
    <m/>
  </r>
  <r>
    <x v="5"/>
    <x v="24"/>
    <d v="2026-06-09T00:00:00"/>
    <s v="USD"/>
    <s v="捡漏SP.Keyword.Mannual - Tray"/>
    <x v="11"/>
    <s v="Amazon"/>
    <s v="United States"/>
    <s v="stroller accessories"/>
    <s v="BROAD"/>
    <s v="stroller clamp on box"/>
    <x v="1169"/>
    <n v="1"/>
    <n v="1"/>
    <n v="0.16"/>
    <n v="0.16"/>
    <n v="0"/>
    <m/>
    <n v="0"/>
    <n v="0"/>
    <n v="0"/>
    <n v="0"/>
    <n v="0"/>
    <n v="0"/>
    <n v="0"/>
    <n v="0"/>
    <m/>
  </r>
  <r>
    <x v="5"/>
    <x v="25"/>
    <d v="2026-06-21T00:00:00"/>
    <s v="USD"/>
    <s v="SP.Auto - Tray"/>
    <x v="12"/>
    <s v="Amazon"/>
    <s v="United States"/>
    <s v="close-match"/>
    <s v="-"/>
    <s v="stroller cup and snack holder"/>
    <x v="1170"/>
    <n v="1"/>
    <n v="0.33333299999999999"/>
    <n v="1.1000000000000001"/>
    <n v="1.1000000000000001"/>
    <n v="0"/>
    <m/>
    <n v="0"/>
    <n v="0"/>
    <n v="0"/>
    <n v="0"/>
    <n v="0"/>
    <n v="0"/>
    <n v="0"/>
    <n v="0"/>
    <m/>
  </r>
  <r>
    <x v="5"/>
    <x v="23"/>
    <d v="2026-06-19T00:00:00"/>
    <s v="USD"/>
    <s v="捡漏SP.Keyword.Mannual - Tray"/>
    <x v="11"/>
    <s v="Amazon"/>
    <s v="United States"/>
    <s v="stroller cup holder"/>
    <s v="BROAD"/>
    <s v="stroller cup and snack holder"/>
    <x v="1169"/>
    <n v="1"/>
    <n v="1"/>
    <n v="0.23"/>
    <n v="0.23"/>
    <n v="0"/>
    <m/>
    <n v="0"/>
    <n v="0"/>
    <n v="0"/>
    <n v="0"/>
    <n v="0"/>
    <n v="0"/>
    <n v="0"/>
    <n v="0"/>
    <m/>
  </r>
  <r>
    <x v="5"/>
    <x v="23"/>
    <d v="2026-06-17T00:00:00"/>
    <s v="USD"/>
    <s v="捡漏SP.Keyword.Mannual - Tray"/>
    <x v="11"/>
    <s v="Amazon"/>
    <s v="United States"/>
    <s v="snack cup for stroller"/>
    <s v="BROAD"/>
    <s v="stroller cup and snacks holder"/>
    <x v="1169"/>
    <n v="1"/>
    <n v="1"/>
    <n v="0.4"/>
    <n v="0.4"/>
    <n v="0"/>
    <m/>
    <n v="0"/>
    <n v="0"/>
    <n v="0"/>
    <n v="0"/>
    <n v="0"/>
    <n v="0"/>
    <n v="0"/>
    <n v="0"/>
    <m/>
  </r>
  <r>
    <x v="5"/>
    <x v="24"/>
    <d v="2026-06-13T00:00:00"/>
    <s v="USD"/>
    <s v="SP.Auto - Tray"/>
    <x v="12"/>
    <s v="Amazon"/>
    <s v="United States"/>
    <s v="close-match"/>
    <s v="-"/>
    <s v="stroller cup holder"/>
    <x v="1172"/>
    <n v="1"/>
    <n v="0.125"/>
    <n v="1.21"/>
    <n v="1.21"/>
    <n v="0"/>
    <m/>
    <n v="0"/>
    <n v="0"/>
    <n v="0"/>
    <n v="0"/>
    <n v="0"/>
    <n v="0"/>
    <n v="0"/>
    <n v="0"/>
    <m/>
  </r>
  <r>
    <x v="5"/>
    <x v="23"/>
    <d v="2026-06-15T00:00:00"/>
    <s v="USD"/>
    <s v="SP.Auto - Tray"/>
    <x v="12"/>
    <s v="Amazon"/>
    <s v="United States"/>
    <s v="close-match"/>
    <s v="-"/>
    <s v="stroller cup holder"/>
    <x v="1289"/>
    <n v="1"/>
    <n v="1.9608E-2"/>
    <n v="0.8"/>
    <n v="0.8"/>
    <n v="0"/>
    <m/>
    <n v="0"/>
    <n v="0"/>
    <n v="0"/>
    <n v="0"/>
    <n v="0"/>
    <n v="0"/>
    <n v="0"/>
    <n v="0"/>
    <m/>
  </r>
  <r>
    <x v="5"/>
    <x v="23"/>
    <d v="2026-06-20T00:00:00"/>
    <s v="USD"/>
    <s v="SP.Auto - Tray"/>
    <x v="12"/>
    <s v="Amazon"/>
    <s v="United States"/>
    <s v="close-match"/>
    <s v="-"/>
    <s v="stroller cup holder"/>
    <x v="1223"/>
    <n v="1"/>
    <n v="6.25E-2"/>
    <n v="0.93"/>
    <n v="0.93"/>
    <n v="0"/>
    <m/>
    <n v="0"/>
    <n v="0"/>
    <n v="0"/>
    <n v="0"/>
    <n v="0"/>
    <n v="0"/>
    <n v="0"/>
    <n v="0"/>
    <m/>
  </r>
  <r>
    <x v="5"/>
    <x v="24"/>
    <d v="2026-06-12T00:00:00"/>
    <s v="USD"/>
    <s v="SP.Auto - Tray"/>
    <x v="12"/>
    <s v="Amazon"/>
    <s v="United States"/>
    <s v="loose-match"/>
    <s v="-"/>
    <s v="stroller cup holder"/>
    <x v="1192"/>
    <n v="1"/>
    <n v="0.16666700000000001"/>
    <n v="0.77"/>
    <n v="0.77"/>
    <n v="0"/>
    <m/>
    <n v="0"/>
    <n v="0"/>
    <n v="0"/>
    <n v="0"/>
    <n v="0"/>
    <n v="0"/>
    <n v="0"/>
    <n v="0"/>
    <m/>
  </r>
  <r>
    <x v="5"/>
    <x v="24"/>
    <d v="2026-06-08T00:00:00"/>
    <s v="USD"/>
    <s v="捡漏SP.Keyword.Mannual - Tray"/>
    <x v="11"/>
    <s v="Amazon"/>
    <s v="United States"/>
    <s v="stroller cup holder"/>
    <s v="BROAD"/>
    <s v="stroller cup holder"/>
    <x v="1290"/>
    <n v="1"/>
    <n v="6.6230000000000004E-3"/>
    <n v="0.2"/>
    <n v="0.2"/>
    <n v="0"/>
    <m/>
    <n v="0"/>
    <n v="0"/>
    <n v="0"/>
    <n v="0"/>
    <n v="0"/>
    <n v="0"/>
    <n v="0"/>
    <n v="0"/>
    <m/>
  </r>
  <r>
    <x v="5"/>
    <x v="24"/>
    <d v="2026-06-10T00:00:00"/>
    <s v="USD"/>
    <s v="捡漏SP.Keyword.Mannual - Tray"/>
    <x v="11"/>
    <s v="Amazon"/>
    <s v="United States"/>
    <s v="stroller cup holder"/>
    <s v="BROAD"/>
    <s v="stroller cup holder"/>
    <x v="1205"/>
    <n v="1"/>
    <n v="0.111111"/>
    <n v="0.2"/>
    <n v="0.2"/>
    <n v="0"/>
    <m/>
    <n v="0"/>
    <n v="0"/>
    <n v="0"/>
    <n v="0"/>
    <n v="0"/>
    <n v="0"/>
    <n v="0"/>
    <n v="0"/>
    <m/>
  </r>
  <r>
    <x v="5"/>
    <x v="24"/>
    <d v="2026-06-13T00:00:00"/>
    <s v="USD"/>
    <s v="捡漏SP.Keyword.Mannual - Tray"/>
    <x v="11"/>
    <s v="Amazon"/>
    <s v="United States"/>
    <s v="stroller cup holder"/>
    <s v="BROAD"/>
    <s v="stroller cup holder"/>
    <x v="1228"/>
    <n v="1"/>
    <n v="3.8462000000000003E-2"/>
    <n v="0.2"/>
    <n v="0.2"/>
    <n v="37.979999999999997"/>
    <n v="5.2659999999999998E-3"/>
    <n v="189.9"/>
    <n v="1"/>
    <n v="2"/>
    <n v="1"/>
    <n v="2"/>
    <n v="0"/>
    <n v="37.979999999999997"/>
    <n v="0"/>
    <m/>
  </r>
  <r>
    <x v="5"/>
    <x v="23"/>
    <d v="2026-06-20T00:00:00"/>
    <s v="USD"/>
    <s v="捡漏SP.Keyword.Mannual - Tray"/>
    <x v="11"/>
    <s v="Amazon"/>
    <s v="United States"/>
    <s v="stroller cup holder"/>
    <s v="BROAD"/>
    <s v="stroller cup holder"/>
    <x v="1236"/>
    <n v="2"/>
    <n v="9.0909000000000004E-2"/>
    <n v="0.2"/>
    <n v="0.4"/>
    <n v="0"/>
    <m/>
    <n v="0"/>
    <n v="0"/>
    <n v="0"/>
    <n v="0"/>
    <n v="0"/>
    <n v="0"/>
    <n v="0"/>
    <n v="0"/>
    <m/>
  </r>
  <r>
    <x v="5"/>
    <x v="25"/>
    <d v="2026-06-21T00:00:00"/>
    <s v="USD"/>
    <s v="捡漏SP.Keyword.Mannual - Tray"/>
    <x v="11"/>
    <s v="Amazon"/>
    <s v="United States"/>
    <s v="stroller cup holder"/>
    <s v="BROAD"/>
    <s v="stroller cup holder"/>
    <x v="1193"/>
    <n v="1"/>
    <n v="0.04"/>
    <n v="0.22"/>
    <n v="0.22"/>
    <n v="0"/>
    <m/>
    <n v="0"/>
    <n v="0"/>
    <n v="0"/>
    <n v="0"/>
    <n v="0"/>
    <n v="0"/>
    <n v="0"/>
    <n v="0"/>
    <m/>
  </r>
  <r>
    <x v="5"/>
    <x v="22"/>
    <d v="2026-06-02T00:00:00"/>
    <s v="USD"/>
    <s v="捡漏SP.Keyword.Mannual - Tray"/>
    <x v="16"/>
    <s v="Amazon"/>
    <s v="United States"/>
    <s v="stroller cup holder"/>
    <s v="PHRASE"/>
    <s v="stroller cup holder"/>
    <x v="1291"/>
    <n v="1"/>
    <n v="9.9010000000000001E-3"/>
    <n v="0.2"/>
    <n v="0.2"/>
    <n v="0"/>
    <m/>
    <n v="0"/>
    <n v="0"/>
    <n v="0"/>
    <n v="0"/>
    <n v="0"/>
    <n v="0"/>
    <n v="0"/>
    <n v="0"/>
    <m/>
  </r>
  <r>
    <x v="5"/>
    <x v="24"/>
    <d v="2026-06-13T00:00:00"/>
    <s v="USD"/>
    <s v="捡漏SP.Keyword.Mannual - Tray"/>
    <x v="16"/>
    <s v="Amazon"/>
    <s v="United States"/>
    <s v="stroller cup holder"/>
    <s v="EXACT"/>
    <s v="stroller cup holder"/>
    <x v="1170"/>
    <n v="1"/>
    <n v="0.33333299999999999"/>
    <n v="0.2"/>
    <n v="0.2"/>
    <n v="0"/>
    <m/>
    <n v="0"/>
    <n v="0"/>
    <n v="0"/>
    <n v="0"/>
    <n v="0"/>
    <n v="0"/>
    <n v="0"/>
    <n v="0"/>
    <m/>
  </r>
  <r>
    <x v="5"/>
    <x v="22"/>
    <d v="2026-06-05T00:00:00"/>
    <s v="USD"/>
    <s v="捡漏SP.Keyword.Mannual - Tray"/>
    <x v="11"/>
    <s v="Amazon"/>
    <s v="United States"/>
    <s v="cup holder for stroller"/>
    <s v="BROAD"/>
    <s v="stroller cup holder"/>
    <x v="1171"/>
    <n v="1"/>
    <n v="0.25"/>
    <n v="0.21"/>
    <n v="0.21"/>
    <n v="0"/>
    <m/>
    <n v="0"/>
    <n v="0"/>
    <n v="0"/>
    <n v="0"/>
    <n v="0"/>
    <n v="0"/>
    <n v="0"/>
    <n v="0"/>
    <m/>
  </r>
  <r>
    <x v="5"/>
    <x v="24"/>
    <d v="2026-06-09T00:00:00"/>
    <s v="USD"/>
    <s v="捡漏SP.Keyword.Mannual - Tray"/>
    <x v="11"/>
    <s v="Amazon"/>
    <s v="United States"/>
    <s v="cup holder for stroller"/>
    <s v="BROAD"/>
    <s v="stroller cup holder"/>
    <x v="1168"/>
    <n v="1"/>
    <n v="0.5"/>
    <n v="0.21"/>
    <n v="0.21"/>
    <n v="0"/>
    <m/>
    <n v="0"/>
    <n v="0"/>
    <n v="0"/>
    <n v="0"/>
    <n v="0"/>
    <n v="0"/>
    <n v="0"/>
    <n v="0"/>
    <m/>
  </r>
  <r>
    <x v="5"/>
    <x v="24"/>
    <d v="2026-06-11T00:00:00"/>
    <s v="USD"/>
    <s v="捡漏SP.Keyword.Mannual - Tray"/>
    <x v="11"/>
    <s v="Amazon"/>
    <s v="United States"/>
    <s v="stroller cup holder attachment"/>
    <s v="BROAD"/>
    <s v="stroller cup holder"/>
    <x v="1218"/>
    <n v="1"/>
    <n v="5.8824000000000001E-2"/>
    <n v="0.2"/>
    <n v="0.2"/>
    <n v="0"/>
    <m/>
    <n v="0"/>
    <n v="0"/>
    <n v="0"/>
    <n v="0"/>
    <n v="0"/>
    <n v="0"/>
    <n v="0"/>
    <n v="0"/>
    <m/>
  </r>
  <r>
    <x v="5"/>
    <x v="23"/>
    <d v="2026-06-16T00:00:00"/>
    <s v="USD"/>
    <s v="SP.Auto - Tray"/>
    <x v="12"/>
    <s v="Amazon"/>
    <s v="United States"/>
    <s v="close-match"/>
    <s v="-"/>
    <s v="stroller cup holder attachment"/>
    <x v="1218"/>
    <n v="1"/>
    <n v="5.8824000000000001E-2"/>
    <n v="0.67"/>
    <n v="0.67"/>
    <n v="0"/>
    <m/>
    <n v="0"/>
    <n v="0"/>
    <n v="0"/>
    <n v="0"/>
    <n v="0"/>
    <n v="0"/>
    <n v="0"/>
    <n v="0"/>
    <m/>
  </r>
  <r>
    <x v="5"/>
    <x v="22"/>
    <d v="2026-06-03T00:00:00"/>
    <s v="USD"/>
    <s v="捡漏SP.Keyword.Mannual - Tray"/>
    <x v="11"/>
    <s v="Amazon"/>
    <s v="United States"/>
    <s v="stroller attachment"/>
    <s v="BROAD"/>
    <s v="stroller cup holder attachment"/>
    <x v="1170"/>
    <n v="1"/>
    <n v="0.33333299999999999"/>
    <n v="0.22"/>
    <n v="0.22"/>
    <n v="17.47"/>
    <n v="1.2593E-2"/>
    <n v="79.41"/>
    <n v="1"/>
    <n v="1"/>
    <n v="1"/>
    <n v="1"/>
    <n v="0"/>
    <n v="17.47"/>
    <n v="0"/>
    <m/>
  </r>
  <r>
    <x v="5"/>
    <x v="23"/>
    <d v="2026-06-14T00:00:00"/>
    <s v="USD"/>
    <s v="捡漏SP.Keyword.Mannual - Tray"/>
    <x v="11"/>
    <s v="Amazon"/>
    <s v="United States"/>
    <s v="stroller attachment"/>
    <s v="BROAD"/>
    <s v="stroller cup holder attachment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4"/>
    <d v="2026-06-08T00:00:00"/>
    <s v="USD"/>
    <s v="捡漏SP.Keyword.Mannual - Tray"/>
    <x v="11"/>
    <s v="Amazon"/>
    <s v="United States"/>
    <s v="cup holder for stroller"/>
    <s v="BROAD"/>
    <s v="stroller cup holder attachment"/>
    <x v="1168"/>
    <n v="1"/>
    <n v="0.5"/>
    <n v="0.21"/>
    <n v="0.21"/>
    <n v="0"/>
    <m/>
    <n v="0"/>
    <n v="0"/>
    <n v="0"/>
    <n v="0"/>
    <n v="0"/>
    <n v="0"/>
    <n v="0"/>
    <n v="0"/>
    <m/>
  </r>
  <r>
    <x v="5"/>
    <x v="24"/>
    <d v="2026-06-10T00:00:00"/>
    <s v="USD"/>
    <s v="捡漏SP.Keyword.Mannual - Tray"/>
    <x v="11"/>
    <s v="Amazon"/>
    <s v="United States"/>
    <s v="cup holder for stroller"/>
    <s v="BROAD"/>
    <s v="stroller cup holder attachment"/>
    <x v="1169"/>
    <n v="1"/>
    <n v="1"/>
    <n v="0.2"/>
    <n v="0.2"/>
    <n v="0"/>
    <m/>
    <n v="0"/>
    <n v="0"/>
    <n v="0"/>
    <n v="0"/>
    <n v="0"/>
    <n v="0"/>
    <n v="0"/>
    <n v="0"/>
    <m/>
  </r>
  <r>
    <x v="5"/>
    <x v="24"/>
    <d v="2026-06-07T00:00:00"/>
    <s v="USD"/>
    <s v="捡漏SP.Keyword.Mannual - Tray"/>
    <x v="11"/>
    <s v="Amazon"/>
    <s v="United States"/>
    <s v="stroller cup holder attachment"/>
    <s v="BROAD"/>
    <s v="stroller cup holder attachment"/>
    <x v="1195"/>
    <n v="1"/>
    <n v="3.3333000000000002E-2"/>
    <n v="0.2"/>
    <n v="0.2"/>
    <n v="0"/>
    <m/>
    <n v="0"/>
    <n v="0"/>
    <n v="0"/>
    <n v="0"/>
    <n v="0"/>
    <n v="0"/>
    <n v="0"/>
    <n v="0"/>
    <m/>
  </r>
  <r>
    <x v="5"/>
    <x v="22"/>
    <d v="2026-06-03T00:00:00"/>
    <s v="USD"/>
    <s v="捡漏SP.Keyword.Mannual - Tray"/>
    <x v="16"/>
    <s v="Amazon"/>
    <s v="United States"/>
    <s v="stroller cup holder attachment"/>
    <s v="PHRASE"/>
    <s v="stroller cup holder attachment"/>
    <x v="1192"/>
    <n v="1"/>
    <n v="0.16666700000000001"/>
    <n v="0.21"/>
    <n v="0.21"/>
    <n v="0"/>
    <m/>
    <n v="0"/>
    <n v="0"/>
    <n v="0"/>
    <n v="0"/>
    <n v="0"/>
    <n v="0"/>
    <n v="0"/>
    <n v="0"/>
    <m/>
  </r>
  <r>
    <x v="5"/>
    <x v="23"/>
    <d v="2026-06-15T00:00:00"/>
    <s v="USD"/>
    <s v="捡漏SP.Keyword.Mannual - Tray"/>
    <x v="16"/>
    <s v="Amazon"/>
    <s v="United States"/>
    <s v="stroller cup holder"/>
    <s v="PHRASE"/>
    <s v="stroller cup holder for adult"/>
    <x v="1169"/>
    <n v="1"/>
    <n v="1"/>
    <n v="0.4"/>
    <n v="0.4"/>
    <n v="0"/>
    <m/>
    <n v="0"/>
    <n v="0"/>
    <n v="0"/>
    <n v="0"/>
    <n v="0"/>
    <n v="0"/>
    <n v="0"/>
    <n v="0"/>
    <m/>
  </r>
  <r>
    <x v="5"/>
    <x v="25"/>
    <d v="2026-06-21T00:00:00"/>
    <s v="USD"/>
    <s v="捡漏SP.Keyword.Mannual - Tray"/>
    <x v="16"/>
    <s v="Amazon"/>
    <s v="United States"/>
    <s v="stroller cup holder"/>
    <s v="PHRASE"/>
    <s v="stroller cup holder for toddler chico jogging stroller"/>
    <x v="1170"/>
    <n v="1"/>
    <n v="0.33333299999999999"/>
    <n v="0.4"/>
    <n v="0.4"/>
    <n v="18.989999999999998"/>
    <n v="2.1063999999999999E-2"/>
    <n v="47.48"/>
    <n v="1"/>
    <n v="1"/>
    <n v="1"/>
    <n v="1"/>
    <n v="0"/>
    <n v="18.989999999999998"/>
    <n v="0"/>
    <m/>
  </r>
  <r>
    <x v="5"/>
    <x v="23"/>
    <d v="2026-06-19T00:00:00"/>
    <s v="USD"/>
    <s v="捡漏SP.Keyword.Mannual - Tray"/>
    <x v="11"/>
    <s v="Amazon"/>
    <s v="United States"/>
    <s v="snack tray for stroller"/>
    <s v="BROAD"/>
    <s v="stroller cup snack holder"/>
    <x v="1169"/>
    <n v="1"/>
    <n v="1"/>
    <n v="0.23"/>
    <n v="0.23"/>
    <n v="0"/>
    <m/>
    <n v="0"/>
    <n v="0"/>
    <n v="0"/>
    <n v="0"/>
    <n v="0"/>
    <n v="0"/>
    <n v="0"/>
    <n v="0"/>
    <m/>
  </r>
  <r>
    <x v="5"/>
    <x v="24"/>
    <d v="2026-06-08T00:00:00"/>
    <s v="USD"/>
    <s v="捡漏SP.Keyword.Mannual - Tray"/>
    <x v="11"/>
    <s v="Amazon"/>
    <s v="United States"/>
    <s v="stroller cup holder"/>
    <s v="BROAD"/>
    <s v="stroller drink and snack holder"/>
    <x v="1169"/>
    <n v="1"/>
    <n v="1"/>
    <n v="0.4"/>
    <n v="0.4"/>
    <n v="0"/>
    <m/>
    <n v="0"/>
    <n v="0"/>
    <n v="0"/>
    <n v="0"/>
    <n v="0"/>
    <n v="0"/>
    <n v="0"/>
    <n v="0"/>
    <m/>
  </r>
  <r>
    <x v="5"/>
    <x v="25"/>
    <d v="2026-06-21T00:00:00"/>
    <s v="USD"/>
    <s v="SP.ASIN.Manual - Tray"/>
    <x v="13"/>
    <s v="Amazon"/>
    <s v="United States"/>
    <s v="asin=&quot;B0C1G4985Z&quot;"/>
    <s v="-"/>
    <s v="stroller food tray"/>
    <x v="1170"/>
    <n v="1"/>
    <n v="0.33333299999999999"/>
    <n v="0.6"/>
    <n v="0.6"/>
    <n v="0"/>
    <m/>
    <n v="0"/>
    <n v="0"/>
    <n v="0"/>
    <n v="0"/>
    <n v="0"/>
    <n v="0"/>
    <n v="0"/>
    <n v="0"/>
    <m/>
  </r>
  <r>
    <x v="5"/>
    <x v="23"/>
    <d v="2026-06-19T00:00:00"/>
    <s v="USD"/>
    <s v="SP.Auto - Tray"/>
    <x v="12"/>
    <s v="Amazon"/>
    <s v="United States"/>
    <s v="loose-match"/>
    <s v="-"/>
    <s v="stroller food tray"/>
    <x v="1171"/>
    <n v="1"/>
    <n v="0.25"/>
    <n v="0.56999999999999995"/>
    <n v="0.56999999999999995"/>
    <n v="0"/>
    <m/>
    <n v="0"/>
    <n v="0"/>
    <n v="0"/>
    <n v="0"/>
    <n v="0"/>
    <n v="0"/>
    <n v="0"/>
    <n v="0"/>
    <m/>
  </r>
  <r>
    <x v="5"/>
    <x v="23"/>
    <d v="2026-06-20T00:00:00"/>
    <s v="USD"/>
    <s v="捡漏SP.Keyword.Mannual - Tray"/>
    <x v="11"/>
    <s v="Amazon"/>
    <s v="United States"/>
    <s v="stroller attachment"/>
    <s v="BROAD"/>
    <s v="stroller glider attachment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3"/>
    <d v="2026-06-17T00:00:00"/>
    <s v="USD"/>
    <s v="SP.Auto - Tray"/>
    <x v="12"/>
    <s v="Amazon"/>
    <s v="United States"/>
    <s v="loose-match"/>
    <s v="-"/>
    <s v="stroller lights for disney"/>
    <x v="1169"/>
    <n v="1"/>
    <n v="1"/>
    <n v="0.55000000000000004"/>
    <n v="0.55000000000000004"/>
    <n v="0"/>
    <m/>
    <n v="0"/>
    <n v="0"/>
    <n v="0"/>
    <n v="0"/>
    <n v="0"/>
    <n v="0"/>
    <n v="0"/>
    <n v="0"/>
    <m/>
  </r>
  <r>
    <x v="5"/>
    <x v="24"/>
    <d v="2026-06-11T00:00:00"/>
    <s v="USD"/>
    <s v="SP.Auto - Tray"/>
    <x v="12"/>
    <s v="Amazon"/>
    <s v="United States"/>
    <s v="loose-match"/>
    <s v="-"/>
    <s v="stroller organizer for mini 2"/>
    <x v="1169"/>
    <n v="1"/>
    <n v="1"/>
    <n v="0.77"/>
    <n v="0.77"/>
    <n v="0"/>
    <m/>
    <n v="0"/>
    <n v="0"/>
    <n v="0"/>
    <n v="0"/>
    <n v="0"/>
    <n v="0"/>
    <n v="0"/>
    <n v="0"/>
    <m/>
  </r>
  <r>
    <x v="5"/>
    <x v="23"/>
    <d v="2026-06-20T00:00:00"/>
    <s v="USD"/>
    <s v="SP.Auto - Tray"/>
    <x v="12"/>
    <s v="Amazon"/>
    <s v="United States"/>
    <s v="close-match"/>
    <s v="-"/>
    <s v="stroller phone cup holder"/>
    <x v="1168"/>
    <n v="1"/>
    <n v="0.5"/>
    <n v="0.93"/>
    <n v="0.93"/>
    <n v="18.989999999999998"/>
    <n v="4.8973000000000003E-2"/>
    <n v="20.420000000000002"/>
    <n v="1"/>
    <n v="1"/>
    <n v="1"/>
    <n v="1"/>
    <n v="0"/>
    <n v="18.989999999999998"/>
    <n v="0"/>
    <m/>
  </r>
  <r>
    <x v="5"/>
    <x v="22"/>
    <d v="2026-06-04T00:00:00"/>
    <s v="USD"/>
    <s v="捡漏SP.Keyword.Mannual - Tray"/>
    <x v="11"/>
    <s v="Amazon"/>
    <s v="United States"/>
    <s v="stroller cup holder"/>
    <s v="BROAD"/>
    <s v="stroller replacement lap bar with cup holder"/>
    <x v="1171"/>
    <n v="1"/>
    <n v="0.25"/>
    <n v="0.4"/>
    <n v="0.4"/>
    <n v="0"/>
    <m/>
    <n v="0"/>
    <n v="0"/>
    <n v="0"/>
    <n v="0"/>
    <n v="0"/>
    <n v="0"/>
    <n v="0"/>
    <n v="0"/>
    <m/>
  </r>
  <r>
    <x v="5"/>
    <x v="24"/>
    <d v="2026-06-07T00:00:00"/>
    <s v="USD"/>
    <s v="捡漏SP.Keyword.Mannual - Tray"/>
    <x v="11"/>
    <s v="Amazon"/>
    <s v="United States"/>
    <s v="stroller cup holder"/>
    <s v="BROAD"/>
    <s v="stroller side cup and snack holder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4"/>
    <d v="2026-06-12T00:00:00"/>
    <s v="USD"/>
    <s v="捡漏SP.Keyword.Mannual - Tray"/>
    <x v="11"/>
    <s v="Amazon"/>
    <s v="United States"/>
    <s v="snack tray for stroller"/>
    <s v="BROAD"/>
    <s v="stroller snack caddy"/>
    <x v="1168"/>
    <n v="1"/>
    <n v="0.5"/>
    <n v="0.21"/>
    <n v="0.21"/>
    <n v="0"/>
    <m/>
    <n v="0"/>
    <n v="0"/>
    <n v="0"/>
    <n v="0"/>
    <n v="0"/>
    <n v="0"/>
    <n v="0"/>
    <n v="0"/>
    <m/>
  </r>
  <r>
    <x v="5"/>
    <x v="23"/>
    <d v="2026-06-15T00:00:00"/>
    <s v="USD"/>
    <s v="捡漏SP.Keyword.Mannual - Tray"/>
    <x v="11"/>
    <s v="Amazon"/>
    <s v="United States"/>
    <s v="snack tray for stroller"/>
    <s v="BROAD"/>
    <s v="stroller snack caddy"/>
    <x v="1168"/>
    <n v="1"/>
    <n v="0.5"/>
    <n v="0.21"/>
    <n v="0.21"/>
    <n v="0"/>
    <m/>
    <n v="0"/>
    <n v="0"/>
    <n v="0"/>
    <n v="0"/>
    <n v="0"/>
    <n v="0"/>
    <n v="0"/>
    <n v="0"/>
    <m/>
  </r>
  <r>
    <x v="5"/>
    <x v="24"/>
    <d v="2026-06-10T00:00:00"/>
    <s v="USD"/>
    <s v="捡漏SP.Keyword.Mannual - Tray"/>
    <x v="11"/>
    <s v="Amazon"/>
    <s v="United States"/>
    <s v="snack cup for stroller"/>
    <s v="BROAD"/>
    <s v="stroller snack cup"/>
    <x v="1174"/>
    <n v="1"/>
    <n v="0.2"/>
    <n v="0.21"/>
    <n v="0.21"/>
    <n v="17.47"/>
    <n v="1.2021E-2"/>
    <n v="83.19"/>
    <n v="1"/>
    <n v="1"/>
    <n v="1"/>
    <n v="1"/>
    <n v="0"/>
    <n v="17.47"/>
    <n v="0"/>
    <m/>
  </r>
  <r>
    <x v="5"/>
    <x v="22"/>
    <d v="2026-06-03T00:00:00"/>
    <s v="USD"/>
    <s v="SP.Auto - Tray"/>
    <x v="12"/>
    <s v="Amazon"/>
    <s v="United States"/>
    <s v="close-match"/>
    <s v="-"/>
    <s v="stroller snack tray"/>
    <x v="1229"/>
    <n v="2"/>
    <n v="0.16666700000000001"/>
    <n v="1.1200000000000001"/>
    <n v="2.2400000000000002"/>
    <n v="0"/>
    <m/>
    <n v="0"/>
    <n v="0"/>
    <n v="0"/>
    <n v="0"/>
    <n v="0"/>
    <n v="0"/>
    <n v="0"/>
    <n v="0"/>
    <m/>
  </r>
  <r>
    <x v="5"/>
    <x v="24"/>
    <d v="2026-06-08T00:00:00"/>
    <s v="USD"/>
    <s v="SP.Auto - Tray"/>
    <x v="12"/>
    <s v="Amazon"/>
    <s v="United States"/>
    <s v="close-match"/>
    <s v="-"/>
    <s v="stroller snack tray"/>
    <x v="1223"/>
    <n v="2"/>
    <n v="0.125"/>
    <n v="0.9"/>
    <n v="1.8"/>
    <n v="0"/>
    <m/>
    <n v="0"/>
    <n v="0"/>
    <n v="0"/>
    <n v="0"/>
    <n v="0"/>
    <n v="0"/>
    <n v="0"/>
    <n v="0"/>
    <m/>
  </r>
  <r>
    <x v="5"/>
    <x v="22"/>
    <d v="2026-06-01T00:00:00"/>
    <s v="USD"/>
    <s v="捡漏SP.Keyword.Mannual - Tray"/>
    <x v="11"/>
    <s v="Amazon"/>
    <s v="United States"/>
    <s v="stroller tray"/>
    <s v="BROAD"/>
    <s v="stroller snack tray"/>
    <x v="1292"/>
    <n v="1"/>
    <n v="1.8867999999999999E-2"/>
    <n v="0.21"/>
    <n v="0.21"/>
    <n v="0"/>
    <m/>
    <n v="0"/>
    <n v="0"/>
    <n v="0"/>
    <n v="0"/>
    <n v="0"/>
    <n v="0"/>
    <n v="0"/>
    <n v="0"/>
    <m/>
  </r>
  <r>
    <x v="5"/>
    <x v="24"/>
    <d v="2026-06-07T00:00:00"/>
    <s v="USD"/>
    <s v="捡漏SP.Keyword.Mannual - Tray"/>
    <x v="16"/>
    <s v="Amazon"/>
    <s v="United States"/>
    <s v="stroller snack tray"/>
    <s v="PHRASE"/>
    <s v="stroller snack tray"/>
    <x v="1203"/>
    <n v="1"/>
    <n v="4.1667000000000003E-2"/>
    <n v="0.2"/>
    <n v="0.2"/>
    <n v="0"/>
    <m/>
    <n v="0"/>
    <n v="0"/>
    <n v="0"/>
    <n v="0"/>
    <n v="0"/>
    <n v="0"/>
    <n v="0"/>
    <n v="0"/>
    <m/>
  </r>
  <r>
    <x v="5"/>
    <x v="24"/>
    <d v="2026-06-09T00:00:00"/>
    <s v="USD"/>
    <s v="捡漏SP.Keyword.Mannual - Tray"/>
    <x v="16"/>
    <s v="Amazon"/>
    <s v="United States"/>
    <s v="stroller snack tray"/>
    <s v="PHRASE"/>
    <s v="stroller snack tray"/>
    <x v="1250"/>
    <n v="1"/>
    <n v="3.5714000000000003E-2"/>
    <n v="0.2"/>
    <n v="0.2"/>
    <n v="0"/>
    <m/>
    <n v="0"/>
    <n v="0"/>
    <n v="0"/>
    <n v="0"/>
    <n v="0"/>
    <n v="0"/>
    <n v="0"/>
    <n v="0"/>
    <m/>
  </r>
  <r>
    <x v="5"/>
    <x v="24"/>
    <d v="2026-06-10T00:00:00"/>
    <s v="USD"/>
    <s v="捡漏SP.Keyword.Mannual - Tray"/>
    <x v="16"/>
    <s v="Amazon"/>
    <s v="United States"/>
    <s v="stroller snack tray"/>
    <s v="PHRASE"/>
    <s v="stroller snack tray"/>
    <x v="1293"/>
    <n v="1"/>
    <n v="2.0833000000000001E-2"/>
    <n v="0.2"/>
    <n v="0.2"/>
    <n v="0"/>
    <m/>
    <n v="0"/>
    <n v="0"/>
    <n v="0"/>
    <n v="0"/>
    <n v="0"/>
    <n v="0"/>
    <n v="0"/>
    <n v="0"/>
    <m/>
  </r>
  <r>
    <x v="5"/>
    <x v="23"/>
    <d v="2026-06-14T00:00:00"/>
    <s v="USD"/>
    <s v="捡漏SP.Keyword.Mannual - Tray"/>
    <x v="16"/>
    <s v="Amazon"/>
    <s v="United States"/>
    <s v="stroller snack tray"/>
    <s v="PHRASE"/>
    <s v="stroller snack tray"/>
    <x v="1294"/>
    <n v="3"/>
    <n v="1.3216E-2"/>
    <n v="0.2"/>
    <n v="0.6"/>
    <n v="0"/>
    <m/>
    <n v="0"/>
    <n v="0"/>
    <n v="0"/>
    <n v="0"/>
    <n v="0"/>
    <n v="0"/>
    <n v="0"/>
    <n v="0"/>
    <m/>
  </r>
  <r>
    <x v="5"/>
    <x v="23"/>
    <d v="2026-06-17T00:00:00"/>
    <s v="USD"/>
    <s v="捡漏SP.Keyword.Mannual - Tray"/>
    <x v="16"/>
    <s v="Amazon"/>
    <s v="United States"/>
    <s v="stroller snack tray"/>
    <s v="PHRASE"/>
    <s v="stroller snack tray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3"/>
    <d v="2026-06-19T00:00:00"/>
    <s v="USD"/>
    <s v="捡漏SP.Keyword.Mannual - Tray"/>
    <x v="16"/>
    <s v="Amazon"/>
    <s v="United States"/>
    <s v="stroller snack tray"/>
    <s v="PHRASE"/>
    <s v="stroller snack tray"/>
    <x v="1182"/>
    <n v="1"/>
    <n v="0.14285700000000001"/>
    <n v="0.21"/>
    <n v="0.21"/>
    <n v="18.989999999999998"/>
    <n v="1.1058E-2"/>
    <n v="90.43"/>
    <n v="1"/>
    <n v="1"/>
    <n v="1"/>
    <n v="1"/>
    <n v="0"/>
    <n v="18.989999999999998"/>
    <n v="0"/>
    <m/>
  </r>
  <r>
    <x v="5"/>
    <x v="22"/>
    <d v="2026-06-02T00:00:00"/>
    <s v="USD"/>
    <s v="捡漏SP.Keyword.Mannual - Tray"/>
    <x v="16"/>
    <s v="Amazon"/>
    <s v="United States"/>
    <s v="stroller snack tray"/>
    <s v="EXACT"/>
    <s v="stroller snack tray"/>
    <x v="1295"/>
    <n v="1"/>
    <n v="7.4070000000000004E-3"/>
    <n v="0.2"/>
    <n v="0.2"/>
    <n v="0"/>
    <m/>
    <n v="0"/>
    <n v="0"/>
    <n v="0"/>
    <n v="0"/>
    <n v="0"/>
    <n v="0"/>
    <n v="0"/>
    <n v="0"/>
    <m/>
  </r>
  <r>
    <x v="5"/>
    <x v="23"/>
    <d v="2026-06-20T00:00:00"/>
    <s v="USD"/>
    <s v="捡漏SP.Keyword.Mannual - Tray"/>
    <x v="11"/>
    <s v="Amazon"/>
    <s v="United States"/>
    <s v="snack tray for stroller"/>
    <s v="BROAD"/>
    <s v="stroller snack tray"/>
    <x v="1169"/>
    <n v="1"/>
    <n v="1"/>
    <n v="0.02"/>
    <n v="0.02"/>
    <n v="0"/>
    <m/>
    <n v="0"/>
    <n v="0"/>
    <n v="0"/>
    <n v="0"/>
    <n v="0"/>
    <n v="0"/>
    <n v="0"/>
    <n v="0"/>
    <m/>
  </r>
  <r>
    <x v="5"/>
    <x v="24"/>
    <d v="2026-06-08T00:00:00"/>
    <s v="USD"/>
    <s v="SP.Auto - Tray"/>
    <x v="12"/>
    <s v="Amazon"/>
    <s v="United States"/>
    <s v="close-match"/>
    <s v="-"/>
    <s v="stroller snack tray attachment"/>
    <x v="1205"/>
    <n v="1"/>
    <n v="0.111111"/>
    <n v="0.9"/>
    <n v="0.9"/>
    <n v="0"/>
    <m/>
    <n v="0"/>
    <n v="0"/>
    <n v="0"/>
    <n v="0"/>
    <n v="0"/>
    <n v="0"/>
    <n v="0"/>
    <n v="0"/>
    <m/>
  </r>
  <r>
    <x v="5"/>
    <x v="22"/>
    <d v="2026-06-01T00:00:00"/>
    <s v="USD"/>
    <s v="捡漏SP.Keyword.Mannual - Tray"/>
    <x v="16"/>
    <s v="Amazon"/>
    <s v="United States"/>
    <s v="stroller snack tray"/>
    <s v="PHRASE"/>
    <s v="stroller snack tray attachment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3"/>
    <d v="2026-06-20T00:00:00"/>
    <s v="USD"/>
    <s v="捡漏SP.Keyword.Mannual - Tray"/>
    <x v="11"/>
    <s v="Amazon"/>
    <s v="United States"/>
    <s v="stroller tray"/>
    <s v="BROAD"/>
    <s v="stroller snack tray attachment small"/>
    <x v="1192"/>
    <n v="1"/>
    <n v="0.16666700000000001"/>
    <n v="0.21"/>
    <n v="0.21"/>
    <n v="0"/>
    <m/>
    <n v="0"/>
    <n v="0"/>
    <n v="0"/>
    <n v="0"/>
    <n v="0"/>
    <n v="0"/>
    <n v="0"/>
    <n v="0"/>
    <m/>
  </r>
  <r>
    <x v="5"/>
    <x v="23"/>
    <d v="2026-06-18T00:00:00"/>
    <s v="USD"/>
    <s v="捡漏SP.Keyword.Mannual - Tray"/>
    <x v="11"/>
    <s v="Amazon"/>
    <s v="United States"/>
    <s v="stroller tray"/>
    <s v="BROAD"/>
    <s v="stroller snack tray for attaching on side of stroller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3"/>
    <d v="2026-06-15T00:00:00"/>
    <s v="USD"/>
    <s v="捡漏SP.Keyword.Mannual - Tray"/>
    <x v="11"/>
    <s v="Amazon"/>
    <s v="United States"/>
    <s v="stroller accessories"/>
    <s v="BROAD"/>
    <s v="stroller summer accessories"/>
    <x v="1170"/>
    <n v="1"/>
    <n v="0.33333299999999999"/>
    <n v="0.16"/>
    <n v="0.16"/>
    <n v="0"/>
    <m/>
    <n v="0"/>
    <n v="0"/>
    <n v="0"/>
    <n v="0"/>
    <n v="0"/>
    <n v="0"/>
    <n v="0"/>
    <n v="0"/>
    <m/>
  </r>
  <r>
    <x v="5"/>
    <x v="22"/>
    <d v="2026-06-06T00:00:00"/>
    <s v="USD"/>
    <s v="SP.ASIN.Manual - Tray"/>
    <x v="13"/>
    <s v="Amazon"/>
    <s v="United States"/>
    <s v="asin=&quot;B0C1G4985Z&quot;"/>
    <s v="-"/>
    <s v="stroller tray"/>
    <x v="1210"/>
    <n v="2"/>
    <n v="9.5238000000000003E-2"/>
    <n v="0.67"/>
    <n v="1.34"/>
    <n v="17.47"/>
    <n v="7.6702999999999993E-2"/>
    <n v="13.04"/>
    <n v="1"/>
    <n v="1"/>
    <n v="0.5"/>
    <n v="1"/>
    <n v="0"/>
    <n v="17.47"/>
    <n v="0"/>
    <m/>
  </r>
  <r>
    <x v="5"/>
    <x v="22"/>
    <d v="2026-06-01T00:00:00"/>
    <s v="USD"/>
    <s v="SP.Auto - Tray"/>
    <x v="12"/>
    <s v="Amazon"/>
    <s v="United States"/>
    <s v="close-match"/>
    <s v="-"/>
    <s v="stroller tray"/>
    <x v="1214"/>
    <n v="1"/>
    <n v="4.3478000000000003E-2"/>
    <n v="0.94"/>
    <n v="0.94"/>
    <n v="0"/>
    <m/>
    <n v="0"/>
    <n v="0"/>
    <n v="0"/>
    <n v="0"/>
    <n v="0"/>
    <n v="0"/>
    <n v="0"/>
    <n v="0"/>
    <m/>
  </r>
  <r>
    <x v="5"/>
    <x v="24"/>
    <d v="2026-06-09T00:00:00"/>
    <s v="USD"/>
    <s v="SP.Auto - Tray"/>
    <x v="12"/>
    <s v="Amazon"/>
    <s v="United States"/>
    <s v="close-match"/>
    <s v="-"/>
    <s v="stroller tray"/>
    <x v="1229"/>
    <n v="1"/>
    <n v="8.3333000000000004E-2"/>
    <n v="0.9"/>
    <n v="0.9"/>
    <n v="0"/>
    <m/>
    <n v="0"/>
    <n v="0"/>
    <n v="0"/>
    <n v="0"/>
    <n v="0"/>
    <n v="0"/>
    <n v="0"/>
    <n v="0"/>
    <m/>
  </r>
  <r>
    <x v="5"/>
    <x v="22"/>
    <d v="2026-06-02T00:00:00"/>
    <s v="USD"/>
    <s v="捡漏SP.Keyword.Mannual - Tray"/>
    <x v="11"/>
    <s v="Amazon"/>
    <s v="United States"/>
    <s v="stroller tray"/>
    <s v="BROAD"/>
    <s v="stroller tray"/>
    <x v="1228"/>
    <n v="1"/>
    <n v="3.8462000000000003E-2"/>
    <n v="0.23"/>
    <n v="0.23"/>
    <n v="0"/>
    <m/>
    <n v="0"/>
    <n v="0"/>
    <n v="0"/>
    <n v="0"/>
    <n v="0"/>
    <n v="0"/>
    <n v="0"/>
    <n v="0"/>
    <m/>
  </r>
  <r>
    <x v="5"/>
    <x v="22"/>
    <d v="2026-06-03T00:00:00"/>
    <s v="USD"/>
    <s v="捡漏SP.Keyword.Mannual - Tray"/>
    <x v="11"/>
    <s v="Amazon"/>
    <s v="United States"/>
    <s v="stroller tray"/>
    <s v="BROAD"/>
    <s v="stroller tray"/>
    <x v="1250"/>
    <n v="2"/>
    <n v="7.1429000000000006E-2"/>
    <n v="0.2"/>
    <n v="0.4"/>
    <n v="0"/>
    <m/>
    <n v="0"/>
    <n v="0"/>
    <n v="0"/>
    <n v="0"/>
    <n v="0"/>
    <n v="0"/>
    <n v="0"/>
    <n v="0"/>
    <m/>
  </r>
  <r>
    <x v="5"/>
    <x v="24"/>
    <d v="2026-06-12T00:00:00"/>
    <s v="USD"/>
    <s v="捡漏SP.Keyword.Mannual - Tray"/>
    <x v="11"/>
    <s v="Amazon"/>
    <s v="United States"/>
    <s v="stroller tray"/>
    <s v="BROAD"/>
    <s v="stroller tray"/>
    <x v="1202"/>
    <n v="1"/>
    <n v="6.6667000000000004E-2"/>
    <n v="0.21"/>
    <n v="0.21"/>
    <n v="0"/>
    <m/>
    <n v="0"/>
    <n v="0"/>
    <n v="0"/>
    <n v="0"/>
    <n v="0"/>
    <n v="0"/>
    <n v="0"/>
    <n v="0"/>
    <m/>
  </r>
  <r>
    <x v="5"/>
    <x v="23"/>
    <d v="2026-06-17T00:00:00"/>
    <s v="USD"/>
    <s v="捡漏SP.Keyword.Mannual - Tray"/>
    <x v="11"/>
    <s v="Amazon"/>
    <s v="United States"/>
    <s v="stroller tray"/>
    <s v="BROAD"/>
    <s v="stroller tray"/>
    <x v="1173"/>
    <n v="1"/>
    <n v="9.0909000000000004E-2"/>
    <n v="0.2"/>
    <n v="0.2"/>
    <n v="0"/>
    <m/>
    <n v="0"/>
    <n v="0"/>
    <n v="0"/>
    <n v="0"/>
    <n v="0"/>
    <n v="0"/>
    <n v="0"/>
    <n v="0"/>
    <m/>
  </r>
  <r>
    <x v="5"/>
    <x v="24"/>
    <d v="2026-06-09T00:00:00"/>
    <s v="USD"/>
    <s v="捡漏SP.Keyword.Mannual - Tray"/>
    <x v="11"/>
    <s v="Amazon"/>
    <s v="United States"/>
    <s v="universal stroller tray"/>
    <s v="BROAD"/>
    <s v="stroller tray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4"/>
    <d v="2026-06-12T00:00:00"/>
    <s v="USD"/>
    <s v="SP.ASIN.Manual - Tray"/>
    <x v="13"/>
    <s v="Amazon"/>
    <s v="United States"/>
    <s v="asin=&quot;B0C1G4985Z&quot;"/>
    <s v="-"/>
    <s v="stroller tray attachment"/>
    <x v="1168"/>
    <n v="1"/>
    <n v="0.5"/>
    <n v="0.68"/>
    <n v="0.68"/>
    <n v="0"/>
    <m/>
    <n v="0"/>
    <n v="0"/>
    <n v="0"/>
    <n v="0"/>
    <n v="0"/>
    <n v="0"/>
    <n v="0"/>
    <n v="0"/>
    <m/>
  </r>
  <r>
    <x v="5"/>
    <x v="24"/>
    <d v="2026-06-11T00:00:00"/>
    <s v="USD"/>
    <s v="捡漏SP.Keyword.Mannual - Tray"/>
    <x v="11"/>
    <s v="Amazon"/>
    <s v="United States"/>
    <s v="stroller clip on tray"/>
    <s v="BROAD"/>
    <s v="stroller tray attachment clip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2"/>
    <d v="2026-06-05T00:00:00"/>
    <s v="USD"/>
    <s v="SP.ASIN.Manual - Tray"/>
    <x v="13"/>
    <s v="Amazon"/>
    <s v="United States"/>
    <s v="asin=&quot;B0C1G4985Z&quot;"/>
    <s v="-"/>
    <s v="stroller tray attachment universal"/>
    <x v="1192"/>
    <n v="1"/>
    <n v="0.16666700000000001"/>
    <n v="0.57999999999999996"/>
    <n v="0.57999999999999996"/>
    <n v="0"/>
    <m/>
    <n v="0"/>
    <n v="0"/>
    <n v="0"/>
    <n v="0"/>
    <n v="0"/>
    <n v="0"/>
    <n v="0"/>
    <n v="0"/>
    <m/>
  </r>
  <r>
    <x v="5"/>
    <x v="24"/>
    <d v="2026-06-09T00:00:00"/>
    <s v="USD"/>
    <s v="SP.Auto - Tray"/>
    <x v="12"/>
    <s v="Amazon"/>
    <s v="United States"/>
    <s v="close-match"/>
    <s v="-"/>
    <s v="stroller tray attachment universal"/>
    <x v="1171"/>
    <n v="1"/>
    <n v="0.25"/>
    <n v="1.1000000000000001"/>
    <n v="1.1000000000000001"/>
    <n v="0"/>
    <m/>
    <n v="0"/>
    <n v="0"/>
    <n v="0"/>
    <n v="0"/>
    <n v="0"/>
    <n v="0"/>
    <n v="0"/>
    <n v="0"/>
    <m/>
  </r>
  <r>
    <x v="5"/>
    <x v="23"/>
    <d v="2026-06-18T00:00:00"/>
    <s v="USD"/>
    <s v="SP.Auto - Tray"/>
    <x v="12"/>
    <s v="Amazon"/>
    <s v="United States"/>
    <s v="close-match"/>
    <s v="-"/>
    <s v="stroller tray attachment universal"/>
    <x v="1170"/>
    <n v="1"/>
    <n v="0.33333299999999999"/>
    <n v="1.1000000000000001"/>
    <n v="1.1000000000000001"/>
    <n v="37.979999999999997"/>
    <n v="2.8962999999999999E-2"/>
    <n v="34.53"/>
    <n v="1"/>
    <n v="2"/>
    <n v="1"/>
    <n v="2"/>
    <n v="0"/>
    <n v="37.979999999999997"/>
    <n v="0"/>
    <m/>
  </r>
  <r>
    <x v="5"/>
    <x v="23"/>
    <d v="2026-06-17T00:00:00"/>
    <s v="USD"/>
    <s v="捡漏SP.Keyword.Mannual - Tray"/>
    <x v="16"/>
    <s v="Amazon"/>
    <s v="United States"/>
    <s v="stroller tray attachment"/>
    <s v="PHRASE"/>
    <s v="stroller tray attachment universal"/>
    <x v="1174"/>
    <n v="1"/>
    <n v="0.2"/>
    <n v="0.2"/>
    <n v="0.2"/>
    <n v="0"/>
    <m/>
    <n v="0"/>
    <n v="0"/>
    <n v="0"/>
    <n v="0"/>
    <n v="0"/>
    <n v="0"/>
    <n v="0"/>
    <n v="0"/>
    <m/>
  </r>
  <r>
    <x v="5"/>
    <x v="22"/>
    <d v="2026-06-02T00:00:00"/>
    <s v="USD"/>
    <s v="SP.Auto - Tray"/>
    <x v="12"/>
    <s v="Amazon"/>
    <s v="United States"/>
    <s v="close-match"/>
    <s v="-"/>
    <s v="stroller trays"/>
    <x v="1171"/>
    <n v="1"/>
    <n v="0.25"/>
    <n v="1.23"/>
    <n v="1.23"/>
    <n v="0"/>
    <m/>
    <n v="0"/>
    <n v="0"/>
    <n v="0"/>
    <n v="0"/>
    <n v="0"/>
    <n v="0"/>
    <n v="0"/>
    <n v="0"/>
    <m/>
  </r>
  <r>
    <x v="5"/>
    <x v="22"/>
    <d v="2026-06-03T00:00:00"/>
    <s v="USD"/>
    <s v="捡漏SP.Keyword.Mannual - Tray"/>
    <x v="11"/>
    <s v="Amazon"/>
    <s v="United States"/>
    <s v="stroller attachment"/>
    <s v="BROAD"/>
    <s v="stroller universal standing board attachment"/>
    <x v="1168"/>
    <n v="1"/>
    <n v="0.5"/>
    <n v="0.21"/>
    <n v="0.21"/>
    <n v="0"/>
    <m/>
    <n v="0"/>
    <n v="0"/>
    <n v="0"/>
    <n v="0"/>
    <n v="0"/>
    <n v="0"/>
    <n v="0"/>
    <n v="0"/>
    <m/>
  </r>
  <r>
    <x v="5"/>
    <x v="23"/>
    <d v="2026-06-17T00:00:00"/>
    <s v="USD"/>
    <s v="捡漏SP.Keyword.Mannual - Tray"/>
    <x v="11"/>
    <s v="Amazon"/>
    <s v="United States"/>
    <s v="stroller accessories"/>
    <s v="BROAD"/>
    <s v="stroller wagon accessories"/>
    <x v="1169"/>
    <n v="1"/>
    <n v="1"/>
    <n v="0.16"/>
    <n v="0.16"/>
    <n v="0"/>
    <m/>
    <n v="0"/>
    <n v="0"/>
    <n v="0"/>
    <n v="0"/>
    <n v="0"/>
    <n v="0"/>
    <n v="0"/>
    <n v="0"/>
    <m/>
  </r>
  <r>
    <x v="5"/>
    <x v="22"/>
    <d v="2026-06-05T00:00:00"/>
    <s v="USD"/>
    <s v="捡漏SP.Keyword.Mannual - Tray"/>
    <x v="11"/>
    <s v="Amazon"/>
    <s v="United States"/>
    <s v="snack tray for stroller"/>
    <s v="BROAD"/>
    <s v="stroller wagon snack tray"/>
    <x v="1169"/>
    <n v="1"/>
    <n v="1"/>
    <n v="0.2"/>
    <n v="0.2"/>
    <n v="0"/>
    <m/>
    <n v="0"/>
    <n v="0"/>
    <n v="0"/>
    <n v="0"/>
    <n v="0"/>
    <n v="0"/>
    <n v="0"/>
    <n v="0"/>
    <m/>
  </r>
  <r>
    <x v="5"/>
    <x v="24"/>
    <d v="2026-06-08T00:00:00"/>
    <s v="USD"/>
    <s v="SP.Auto - Tray"/>
    <x v="12"/>
    <s v="Amazon"/>
    <s v="United States"/>
    <s v="loose-match"/>
    <s v="-"/>
    <s v="summer 3d lite stroller accessories"/>
    <x v="1168"/>
    <n v="1"/>
    <n v="0.5"/>
    <n v="0.57999999999999996"/>
    <n v="0.57999999999999996"/>
    <n v="0"/>
    <m/>
    <n v="0"/>
    <n v="0"/>
    <n v="0"/>
    <n v="0"/>
    <n v="0"/>
    <n v="0"/>
    <n v="0"/>
    <n v="0"/>
    <m/>
  </r>
  <r>
    <x v="5"/>
    <x v="24"/>
    <d v="2026-06-07T00:00:00"/>
    <s v="USD"/>
    <s v="捡漏SP.Keyword.Mannual - Tray"/>
    <x v="11"/>
    <s v="Amazon"/>
    <s v="United States"/>
    <s v="stroller tray"/>
    <s v="BROAD"/>
    <s v="summer 3d lite stroller snack tray"/>
    <x v="1174"/>
    <n v="1"/>
    <n v="0.2"/>
    <n v="0.21"/>
    <n v="0.21"/>
    <n v="0"/>
    <m/>
    <n v="0"/>
    <n v="0"/>
    <n v="0"/>
    <n v="0"/>
    <n v="0"/>
    <n v="0"/>
    <n v="0"/>
    <n v="0"/>
    <m/>
  </r>
  <r>
    <x v="5"/>
    <x v="23"/>
    <d v="2026-06-14T00:00:00"/>
    <s v="USD"/>
    <s v="捡漏SP.Keyword.Mannual - Tray"/>
    <x v="11"/>
    <s v="Amazon"/>
    <s v="United States"/>
    <s v="stroller tray"/>
    <s v="BROAD"/>
    <s v="table for stroller"/>
    <x v="1170"/>
    <n v="1"/>
    <n v="0.33333299999999999"/>
    <n v="0.08"/>
    <n v="0.08"/>
    <n v="0"/>
    <m/>
    <n v="0"/>
    <n v="0"/>
    <n v="0"/>
    <n v="0"/>
    <n v="0"/>
    <n v="0"/>
    <n v="0"/>
    <n v="0"/>
    <m/>
  </r>
  <r>
    <x v="5"/>
    <x v="23"/>
    <d v="2026-06-14T00:00:00"/>
    <s v="USD"/>
    <s v="SP.Auto - Tray"/>
    <x v="12"/>
    <s v="Amazon"/>
    <s v="United States"/>
    <s v="loose-match"/>
    <s v="-"/>
    <s v="thule double stroller snack tray"/>
    <x v="1169"/>
    <n v="1"/>
    <n v="1"/>
    <n v="0.77"/>
    <n v="0.77"/>
    <n v="0"/>
    <m/>
    <n v="0"/>
    <n v="0"/>
    <n v="0"/>
    <n v="0"/>
    <n v="0"/>
    <n v="0"/>
    <n v="0"/>
    <n v="0"/>
    <m/>
  </r>
  <r>
    <x v="5"/>
    <x v="23"/>
    <d v="2026-06-19T00:00:00"/>
    <s v="USD"/>
    <s v="SP.Auto - Tray"/>
    <x v="12"/>
    <s v="Amazon"/>
    <s v="United States"/>
    <s v="loose-match"/>
    <s v="-"/>
    <s v="toddler car seat cup holder tray"/>
    <x v="1169"/>
    <n v="1"/>
    <n v="1"/>
    <n v="0.56999999999999995"/>
    <n v="0.56999999999999995"/>
    <n v="0"/>
    <m/>
    <n v="0"/>
    <n v="0"/>
    <n v="0"/>
    <n v="0"/>
    <n v="0"/>
    <n v="0"/>
    <n v="0"/>
    <n v="0"/>
    <m/>
  </r>
  <r>
    <x v="5"/>
    <x v="23"/>
    <d v="2026-06-15T00:00:00"/>
    <s v="USD"/>
    <s v="捡漏SP.Keyword.Mannual - Tray"/>
    <x v="11"/>
    <s v="Amazon"/>
    <s v="United States"/>
    <s v="stroller tray"/>
    <s v="BROAD"/>
    <s v="toddler stroller tray for food"/>
    <x v="1168"/>
    <n v="1"/>
    <n v="0.5"/>
    <n v="0.21"/>
    <n v="0.21"/>
    <n v="0"/>
    <m/>
    <n v="0"/>
    <n v="0"/>
    <n v="0"/>
    <n v="0"/>
    <n v="0"/>
    <n v="0"/>
    <n v="0"/>
    <n v="0"/>
    <m/>
  </r>
  <r>
    <x v="5"/>
    <x v="25"/>
    <d v="2026-06-21T00:00:00"/>
    <s v="USD"/>
    <s v="捡漏SP.Keyword.Mannual - Tray"/>
    <x v="11"/>
    <s v="Amazon"/>
    <s v="United States"/>
    <s v="stroller tray"/>
    <s v="BROAD"/>
    <s v="travel stroller snack tray"/>
    <x v="1169"/>
    <n v="1"/>
    <n v="1"/>
    <n v="0.21"/>
    <n v="0.21"/>
    <n v="18.989999999999998"/>
    <n v="1.1058E-2"/>
    <n v="90.43"/>
    <n v="1"/>
    <n v="1"/>
    <n v="1"/>
    <n v="1"/>
    <n v="0"/>
    <n v="18.989999999999998"/>
    <n v="0"/>
    <m/>
  </r>
  <r>
    <x v="5"/>
    <x v="25"/>
    <d v="2026-06-21T00:00:00"/>
    <s v="USD"/>
    <s v="捡漏SP.Keyword.Mannual - Tray"/>
    <x v="11"/>
    <s v="Amazon"/>
    <s v="United States"/>
    <s v="stroller attachment"/>
    <s v="BROAD"/>
    <s v="tray attachment for stroller with no bar"/>
    <x v="1169"/>
    <n v="1"/>
    <n v="1"/>
    <n v="0.4"/>
    <n v="0.4"/>
    <n v="0"/>
    <m/>
    <n v="0"/>
    <n v="0"/>
    <n v="0"/>
    <n v="0"/>
    <n v="0"/>
    <n v="0"/>
    <n v="0"/>
    <n v="0"/>
    <m/>
  </r>
  <r>
    <x v="5"/>
    <x v="22"/>
    <d v="2026-06-05T00:00:00"/>
    <s v="USD"/>
    <s v="捡漏SP.Keyword.Mannual - Tray"/>
    <x v="11"/>
    <s v="Amazon"/>
    <s v="United States"/>
    <s v="stroller tray"/>
    <s v="BROAD"/>
    <s v="tray compatible with gb stroller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2"/>
    <d v="2026-06-06T00:00:00"/>
    <s v="USD"/>
    <s v="捡漏SP.Keyword.Mannual - Tray"/>
    <x v="11"/>
    <s v="Amazon"/>
    <s v="United States"/>
    <s v="stroller tray"/>
    <s v="BROAD"/>
    <s v="tray food uppa baby glux stroller"/>
    <x v="1174"/>
    <n v="1"/>
    <n v="0.2"/>
    <n v="0.08"/>
    <n v="0.08"/>
    <n v="0"/>
    <m/>
    <n v="0"/>
    <n v="0"/>
    <n v="0"/>
    <n v="0"/>
    <n v="0"/>
    <n v="0"/>
    <n v="0"/>
    <n v="0"/>
    <m/>
  </r>
  <r>
    <x v="5"/>
    <x v="24"/>
    <d v="2026-06-12T00:00:00"/>
    <s v="USD"/>
    <s v="捡漏SP.Keyword.Mannual - Tray"/>
    <x v="11"/>
    <s v="Amazon"/>
    <s v="United States"/>
    <s v="stroller clip on tray"/>
    <s v="BROAD"/>
    <s v="tray for liki trike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5"/>
    <d v="2026-06-21T00:00:00"/>
    <s v="USD"/>
    <s v="SP.Auto - Tray"/>
    <x v="12"/>
    <s v="Amazon"/>
    <s v="United States"/>
    <s v="close-match"/>
    <s v="-"/>
    <s v="tray for stroller"/>
    <x v="1202"/>
    <n v="1"/>
    <n v="6.6667000000000004E-2"/>
    <n v="1"/>
    <n v="1"/>
    <n v="0"/>
    <m/>
    <n v="0"/>
    <n v="0"/>
    <n v="0"/>
    <n v="0"/>
    <n v="0"/>
    <n v="0"/>
    <n v="0"/>
    <n v="0"/>
    <m/>
  </r>
  <r>
    <x v="5"/>
    <x v="22"/>
    <d v="2026-06-05T00:00:00"/>
    <s v="USD"/>
    <s v="捡漏SP.Keyword.Mannual - Tray"/>
    <x v="11"/>
    <s v="Amazon"/>
    <s v="United States"/>
    <s v="stroller tray"/>
    <s v="BROAD"/>
    <s v="tray for umbrella stroller"/>
    <x v="1171"/>
    <n v="1"/>
    <n v="0.25"/>
    <n v="0.44"/>
    <n v="0.44"/>
    <n v="0"/>
    <m/>
    <n v="0"/>
    <n v="0"/>
    <n v="0"/>
    <n v="0"/>
    <n v="0"/>
    <n v="0"/>
    <n v="0"/>
    <n v="0"/>
    <m/>
  </r>
  <r>
    <x v="5"/>
    <x v="22"/>
    <d v="2026-06-01T00:00:00"/>
    <s v="USD"/>
    <s v="捡漏SP.Keyword.Mannual - Tray"/>
    <x v="11"/>
    <s v="Amazon"/>
    <s v="United States"/>
    <s v="stroller accessories"/>
    <s v="BROAD"/>
    <s v="umbrella stroller accessories"/>
    <x v="1182"/>
    <n v="1"/>
    <n v="0.14285700000000001"/>
    <n v="0.16"/>
    <n v="0.16"/>
    <n v="0"/>
    <m/>
    <n v="0"/>
    <n v="0"/>
    <n v="0"/>
    <n v="0"/>
    <n v="0"/>
    <n v="0"/>
    <n v="0"/>
    <n v="0"/>
    <m/>
  </r>
  <r>
    <x v="5"/>
    <x v="23"/>
    <d v="2026-06-15T00:00:00"/>
    <s v="USD"/>
    <s v="捡漏SP.Keyword.Mannual - Tray"/>
    <x v="11"/>
    <s v="Amazon"/>
    <s v="United States"/>
    <s v="stroller tray"/>
    <s v="BROAD"/>
    <s v="umbrella stroller side tray"/>
    <x v="1168"/>
    <n v="1"/>
    <n v="0.5"/>
    <n v="0.4"/>
    <n v="0.4"/>
    <n v="0"/>
    <m/>
    <n v="0"/>
    <n v="0"/>
    <n v="0"/>
    <n v="0"/>
    <n v="0"/>
    <n v="0"/>
    <n v="0"/>
    <n v="0"/>
    <m/>
  </r>
  <r>
    <x v="5"/>
    <x v="25"/>
    <d v="2026-06-21T00:00:00"/>
    <s v="USD"/>
    <s v="捡漏SP.Keyword.Mannual - Tray"/>
    <x v="16"/>
    <s v="Amazon"/>
    <s v="United States"/>
    <s v="stroller snack tray"/>
    <s v="PHRASE"/>
    <s v="umbrella stroller snack tray"/>
    <x v="1168"/>
    <n v="1"/>
    <n v="0.5"/>
    <n v="0.4"/>
    <n v="0.4"/>
    <n v="0"/>
    <m/>
    <n v="0"/>
    <n v="0"/>
    <n v="0"/>
    <n v="0"/>
    <n v="0"/>
    <n v="0"/>
    <n v="0"/>
    <n v="0"/>
    <m/>
  </r>
  <r>
    <x v="5"/>
    <x v="22"/>
    <d v="2026-06-01T00:00:00"/>
    <s v="USD"/>
    <s v="SP.Auto - Tray"/>
    <x v="12"/>
    <s v="Amazon"/>
    <s v="United States"/>
    <s v="loose-match"/>
    <s v="-"/>
    <s v="umbrella stroller snack tray attachment"/>
    <x v="1170"/>
    <n v="1"/>
    <n v="0.33333299999999999"/>
    <n v="0.77"/>
    <n v="0.77"/>
    <n v="0"/>
    <m/>
    <n v="0"/>
    <n v="0"/>
    <n v="0"/>
    <n v="0"/>
    <n v="0"/>
    <n v="0"/>
    <n v="0"/>
    <n v="0"/>
    <m/>
  </r>
  <r>
    <x v="5"/>
    <x v="24"/>
    <d v="2026-06-08T00:00:00"/>
    <s v="USD"/>
    <s v="捡漏SP.Keyword.Mannual - Tray"/>
    <x v="11"/>
    <s v="Amazon"/>
    <s v="United States"/>
    <s v="stroller cup holder"/>
    <s v="BROAD"/>
    <s v="umbrella stroller with cup holders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4"/>
    <d v="2026-06-12T00:00:00"/>
    <s v="USD"/>
    <s v="捡漏SP.Keyword.Mannual - Tray"/>
    <x v="16"/>
    <s v="Amazon"/>
    <s v="United States"/>
    <s v="clip on snack tray"/>
    <s v="PHRASE"/>
    <s v="universal clip on snack tray side"/>
    <x v="1169"/>
    <n v="1"/>
    <n v="1"/>
    <n v="0.4"/>
    <n v="0.4"/>
    <n v="0"/>
    <m/>
    <n v="0"/>
    <n v="0"/>
    <n v="0"/>
    <n v="0"/>
    <n v="0"/>
    <n v="0"/>
    <n v="0"/>
    <n v="0"/>
    <m/>
  </r>
  <r>
    <x v="5"/>
    <x v="22"/>
    <d v="2026-06-06T00:00:00"/>
    <s v="USD"/>
    <s v="捡漏SP.Keyword.Mannual - Tray"/>
    <x v="11"/>
    <s v="Amazon"/>
    <s v="United States"/>
    <s v="stroller cup holder"/>
    <s v="BROAD"/>
    <s v="universal cup holder snack stroller"/>
    <x v="1168"/>
    <n v="1"/>
    <n v="0.5"/>
    <n v="0.21"/>
    <n v="0.21"/>
    <n v="34.94"/>
    <n v="6.0099999999999997E-3"/>
    <n v="166.38"/>
    <n v="1"/>
    <n v="2"/>
    <n v="1"/>
    <n v="2"/>
    <n v="0"/>
    <n v="34.94"/>
    <n v="0"/>
    <m/>
  </r>
  <r>
    <x v="5"/>
    <x v="23"/>
    <d v="2026-06-14T00:00:00"/>
    <s v="USD"/>
    <s v="捡漏SP.Keyword.Mannual - Tray"/>
    <x v="11"/>
    <s v="Amazon"/>
    <s v="United States"/>
    <s v="cup holder for stroller"/>
    <s v="BROAD"/>
    <s v="universal phone and 2 cup holder for stroller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4"/>
    <d v="2026-06-13T00:00:00"/>
    <s v="USD"/>
    <s v="捡漏SP.Keyword.Mannual - Tray"/>
    <x v="11"/>
    <s v="Amazon"/>
    <s v="United States"/>
    <s v="universal stroller tray"/>
    <s v="BROAD"/>
    <s v="universal snack and drink holder for stroller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3"/>
    <d v="2026-06-14T00:00:00"/>
    <s v="USD"/>
    <s v="捡漏SP.Keyword.Mannual - Tray"/>
    <x v="11"/>
    <s v="Amazon"/>
    <s v="United States"/>
    <s v="universal snack tray"/>
    <s v="BROAD"/>
    <s v="universal snack tray"/>
    <x v="1171"/>
    <n v="1"/>
    <n v="0.25"/>
    <n v="0.08"/>
    <n v="0.08"/>
    <n v="0"/>
    <m/>
    <n v="0"/>
    <n v="0"/>
    <n v="0"/>
    <n v="0"/>
    <n v="0"/>
    <n v="0"/>
    <n v="0"/>
    <n v="0"/>
    <m/>
  </r>
  <r>
    <x v="5"/>
    <x v="24"/>
    <d v="2026-06-08T00:00:00"/>
    <s v="USD"/>
    <s v="捡漏SP.Keyword.Mannual - Tray"/>
    <x v="11"/>
    <s v="Amazon"/>
    <s v="United States"/>
    <s v="universal snack tray"/>
    <s v="BROAD"/>
    <s v="universal snack tray for baby jogger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2"/>
    <d v="2026-06-06T00:00:00"/>
    <s v="USD"/>
    <s v="SP.Auto - Tray"/>
    <x v="12"/>
    <s v="Amazon"/>
    <s v="United States"/>
    <s v="close-match"/>
    <s v="-"/>
    <s v="universal snack tray for stroller"/>
    <x v="1220"/>
    <n v="2"/>
    <n v="0.2"/>
    <n v="0.9"/>
    <n v="1.8"/>
    <n v="0"/>
    <m/>
    <n v="0"/>
    <n v="0"/>
    <n v="0"/>
    <n v="0"/>
    <n v="0"/>
    <n v="0"/>
    <n v="0"/>
    <n v="0"/>
    <m/>
  </r>
  <r>
    <x v="5"/>
    <x v="23"/>
    <d v="2026-06-15T00:00:00"/>
    <s v="USD"/>
    <s v="捡漏SP.Keyword.Mannual - Tray"/>
    <x v="11"/>
    <s v="Amazon"/>
    <s v="United States"/>
    <s v="stroller tray"/>
    <s v="BROAD"/>
    <s v="universal snack tray for stroller"/>
    <x v="1168"/>
    <n v="1"/>
    <n v="0.5"/>
    <n v="0.21"/>
    <n v="0.21"/>
    <n v="0"/>
    <m/>
    <n v="0"/>
    <n v="0"/>
    <n v="0"/>
    <n v="0"/>
    <n v="0"/>
    <n v="0"/>
    <n v="0"/>
    <n v="0"/>
    <m/>
  </r>
  <r>
    <x v="5"/>
    <x v="22"/>
    <d v="2026-06-04T00:00:00"/>
    <s v="USD"/>
    <s v="捡漏SP.Keyword.Mannual - Tray"/>
    <x v="16"/>
    <s v="Amazon"/>
    <s v="United States"/>
    <s v="snack tray for stroller"/>
    <s v="PHRASE"/>
    <s v="universal snack tray for stroller"/>
    <x v="1197"/>
    <n v="1"/>
    <n v="7.6923000000000005E-2"/>
    <n v="0.2"/>
    <n v="0.2"/>
    <n v="0"/>
    <m/>
    <n v="0"/>
    <n v="0"/>
    <n v="0"/>
    <n v="0"/>
    <n v="0"/>
    <n v="0"/>
    <n v="0"/>
    <n v="0"/>
    <m/>
  </r>
  <r>
    <x v="5"/>
    <x v="22"/>
    <d v="2026-06-05T00:00:00"/>
    <s v="USD"/>
    <s v="捡漏SP.Keyword.Mannual - Tray"/>
    <x v="16"/>
    <s v="Amazon"/>
    <s v="United States"/>
    <s v="snack tray for stroller"/>
    <s v="PHRASE"/>
    <s v="universal snack tray for stroller"/>
    <x v="1193"/>
    <n v="1"/>
    <n v="0.04"/>
    <n v="0.2"/>
    <n v="0.2"/>
    <n v="0"/>
    <m/>
    <n v="0"/>
    <n v="0"/>
    <n v="0"/>
    <n v="0"/>
    <n v="0"/>
    <n v="0"/>
    <n v="0"/>
    <n v="0"/>
    <m/>
  </r>
  <r>
    <x v="5"/>
    <x v="24"/>
    <d v="2026-06-09T00:00:00"/>
    <s v="USD"/>
    <s v="捡漏SP.Keyword.Mannual - Tray"/>
    <x v="16"/>
    <s v="Amazon"/>
    <s v="United States"/>
    <s v="snack tray for stroller"/>
    <s v="PHRASE"/>
    <s v="universal snack tray for stroller"/>
    <x v="1182"/>
    <n v="1"/>
    <n v="0.14285700000000001"/>
    <n v="0.2"/>
    <n v="0.2"/>
    <n v="0"/>
    <m/>
    <n v="0"/>
    <n v="0"/>
    <n v="0"/>
    <n v="0"/>
    <n v="0"/>
    <n v="0"/>
    <n v="0"/>
    <n v="0"/>
    <m/>
  </r>
  <r>
    <x v="5"/>
    <x v="24"/>
    <d v="2026-06-11T00:00:00"/>
    <s v="USD"/>
    <s v="捡漏SP.Keyword.Mannual - Tray"/>
    <x v="11"/>
    <s v="Amazon"/>
    <s v="United States"/>
    <s v="snack tray for stroller"/>
    <s v="BROAD"/>
    <s v="universal snack tray for stroller"/>
    <x v="1217"/>
    <n v="1"/>
    <n v="7.1429000000000006E-2"/>
    <n v="0.2"/>
    <n v="0.2"/>
    <n v="0"/>
    <m/>
    <n v="0"/>
    <n v="0"/>
    <n v="0"/>
    <n v="0"/>
    <n v="0"/>
    <n v="0"/>
    <n v="0"/>
    <n v="0"/>
    <m/>
  </r>
  <r>
    <x v="5"/>
    <x v="22"/>
    <d v="2026-06-01T00:00:00"/>
    <s v="USD"/>
    <s v="捡漏SP.Keyword.Mannual - Tray"/>
    <x v="11"/>
    <s v="Amazon"/>
    <s v="United States"/>
    <s v="universal stroller snack tray"/>
    <s v="BROAD"/>
    <s v="universal snack tray for stroller"/>
    <x v="1202"/>
    <n v="1"/>
    <n v="6.6667000000000004E-2"/>
    <n v="0.2"/>
    <n v="0.2"/>
    <n v="0"/>
    <m/>
    <n v="0"/>
    <n v="0"/>
    <n v="0"/>
    <n v="0"/>
    <n v="0"/>
    <n v="0"/>
    <n v="0"/>
    <n v="0"/>
    <m/>
  </r>
  <r>
    <x v="5"/>
    <x v="23"/>
    <d v="2026-06-17T00:00:00"/>
    <s v="USD"/>
    <s v="捡漏SP.Keyword.Mannual - Tray"/>
    <x v="11"/>
    <s v="Amazon"/>
    <s v="United States"/>
    <s v="universal stroller tray"/>
    <s v="BROAD"/>
    <s v="universal snack tray for stroller"/>
    <x v="1217"/>
    <n v="1"/>
    <n v="7.1429000000000006E-2"/>
    <n v="0.2"/>
    <n v="0.2"/>
    <n v="0"/>
    <m/>
    <n v="0"/>
    <n v="0"/>
    <n v="0"/>
    <n v="0"/>
    <n v="0"/>
    <n v="0"/>
    <n v="0"/>
    <n v="0"/>
    <m/>
  </r>
  <r>
    <x v="5"/>
    <x v="24"/>
    <d v="2026-06-09T00:00:00"/>
    <s v="USD"/>
    <s v="SP.ASIN.Manual - Tray"/>
    <x v="13"/>
    <s v="Amazon"/>
    <s v="United States"/>
    <s v="asin=&quot;B0C1G4985Z&quot;"/>
    <s v="-"/>
    <s v="universal snack tray for stroller without bar"/>
    <x v="1170"/>
    <n v="1"/>
    <n v="0.33333299999999999"/>
    <n v="0.67"/>
    <n v="0.67"/>
    <n v="0"/>
    <m/>
    <n v="0"/>
    <n v="0"/>
    <n v="0"/>
    <n v="0"/>
    <n v="0"/>
    <n v="0"/>
    <n v="0"/>
    <n v="0"/>
    <m/>
  </r>
  <r>
    <x v="5"/>
    <x v="23"/>
    <d v="2026-06-17T00:00:00"/>
    <s v="USD"/>
    <s v="捡漏SP.Keyword.Mannual - Tray"/>
    <x v="16"/>
    <s v="Amazon"/>
    <s v="United States"/>
    <s v="universal snack tray"/>
    <s v="PHRASE"/>
    <s v="universal snack tray for umbrella stroller"/>
    <x v="1168"/>
    <n v="1"/>
    <n v="0.5"/>
    <n v="0.2"/>
    <n v="0.2"/>
    <n v="0"/>
    <m/>
    <n v="0"/>
    <n v="0"/>
    <n v="0"/>
    <n v="0"/>
    <n v="0"/>
    <n v="0"/>
    <n v="0"/>
    <n v="0"/>
    <m/>
  </r>
  <r>
    <x v="5"/>
    <x v="22"/>
    <d v="2026-06-03T00:00:00"/>
    <s v="USD"/>
    <s v="捡漏SP.Keyword.Mannual - Tray"/>
    <x v="11"/>
    <s v="Amazon"/>
    <s v="United States"/>
    <s v="universal snack tray"/>
    <s v="BROAD"/>
    <s v="universal snack tray for wagon"/>
    <x v="1168"/>
    <n v="1"/>
    <n v="0.5"/>
    <n v="0.21"/>
    <n v="0.21"/>
    <n v="0"/>
    <m/>
    <n v="0"/>
    <n v="0"/>
    <n v="0"/>
    <n v="0"/>
    <n v="0"/>
    <n v="0"/>
    <n v="0"/>
    <n v="0"/>
    <m/>
  </r>
  <r>
    <x v="5"/>
    <x v="24"/>
    <d v="2026-06-09T00:00:00"/>
    <s v="USD"/>
    <s v="捡漏SP.Keyword.Mannual - Tray"/>
    <x v="11"/>
    <s v="Amazon"/>
    <s v="United States"/>
    <s v="universal stroller tray"/>
    <s v="BROAD"/>
    <s v="universal snack tray for wagon stroller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3"/>
    <d v="2026-06-17T00:00:00"/>
    <s v="USD"/>
    <s v="SP.Auto - Tray"/>
    <x v="12"/>
    <s v="Amazon"/>
    <s v="United States"/>
    <s v="loose-match"/>
    <s v="-"/>
    <s v="universal stroller accessories"/>
    <x v="1169"/>
    <n v="1"/>
    <n v="1"/>
    <n v="0.5"/>
    <n v="0.5"/>
    <n v="0"/>
    <m/>
    <n v="0"/>
    <n v="0"/>
    <n v="0"/>
    <n v="0"/>
    <n v="0"/>
    <n v="0"/>
    <n v="0"/>
    <n v="0"/>
    <m/>
  </r>
  <r>
    <x v="5"/>
    <x v="22"/>
    <d v="2026-06-04T00:00:00"/>
    <s v="USD"/>
    <s v="捡漏SP.Keyword.Mannual - Tray"/>
    <x v="11"/>
    <s v="Amazon"/>
    <s v="United States"/>
    <s v="stroller cup holder"/>
    <s v="BROAD"/>
    <s v="universal stroller cup holder"/>
    <x v="1197"/>
    <n v="1"/>
    <n v="7.6923000000000005E-2"/>
    <n v="0.2"/>
    <n v="0.2"/>
    <n v="0"/>
    <m/>
    <n v="0"/>
    <n v="0"/>
    <n v="0"/>
    <n v="0"/>
    <n v="0"/>
    <n v="0"/>
    <n v="0"/>
    <n v="0"/>
    <m/>
  </r>
  <r>
    <x v="5"/>
    <x v="23"/>
    <d v="2026-06-16T00:00:00"/>
    <s v="USD"/>
    <s v="捡漏SP.Keyword.Mannual - Tray"/>
    <x v="11"/>
    <s v="Amazon"/>
    <s v="United States"/>
    <s v="stroller cup holder"/>
    <s v="BROAD"/>
    <s v="universal stroller cup holder"/>
    <x v="1192"/>
    <n v="1"/>
    <n v="0.16666700000000001"/>
    <n v="0.2"/>
    <n v="0.2"/>
    <n v="0"/>
    <m/>
    <n v="0"/>
    <n v="0"/>
    <n v="0"/>
    <n v="0"/>
    <n v="0"/>
    <n v="0"/>
    <n v="0"/>
    <n v="0"/>
    <m/>
  </r>
  <r>
    <x v="5"/>
    <x v="24"/>
    <d v="2026-06-10T00:00:00"/>
    <s v="USD"/>
    <s v="SP.ASIN.Manual - Tray"/>
    <x v="13"/>
    <s v="Amazon"/>
    <s v="United States"/>
    <s v="asin=&quot;B0C1G4985Z&quot;"/>
    <s v="-"/>
    <s v="universal stroller snack tray"/>
    <x v="1173"/>
    <n v="1"/>
    <n v="9.0909000000000004E-2"/>
    <n v="0.67"/>
    <n v="0.67"/>
    <n v="0"/>
    <m/>
    <n v="0"/>
    <n v="0"/>
    <n v="0"/>
    <n v="0"/>
    <n v="0"/>
    <n v="0"/>
    <n v="0"/>
    <n v="0"/>
    <m/>
  </r>
  <r>
    <x v="5"/>
    <x v="23"/>
    <d v="2026-06-16T00:00:00"/>
    <s v="USD"/>
    <s v="SP.ASIN.Manual - Tray"/>
    <x v="13"/>
    <s v="Amazon"/>
    <s v="United States"/>
    <s v="asin=&quot;B0C1G4985Z&quot;"/>
    <s v="-"/>
    <s v="universal stroller snack tray"/>
    <x v="1237"/>
    <n v="1"/>
    <n v="0.05"/>
    <n v="0.5"/>
    <n v="0.5"/>
    <n v="0"/>
    <m/>
    <n v="0"/>
    <n v="0"/>
    <n v="0"/>
    <n v="0"/>
    <n v="0"/>
    <n v="0"/>
    <n v="0"/>
    <n v="0"/>
    <m/>
  </r>
  <r>
    <x v="5"/>
    <x v="22"/>
    <d v="2026-06-05T00:00:00"/>
    <s v="USD"/>
    <s v="SP.Auto - Tray"/>
    <x v="12"/>
    <s v="Amazon"/>
    <s v="United States"/>
    <s v="close-match"/>
    <s v="-"/>
    <s v="universal stroller snack tray"/>
    <x v="1172"/>
    <n v="1"/>
    <n v="0.125"/>
    <n v="1.1499999999999999"/>
    <n v="1.1499999999999999"/>
    <n v="0"/>
    <m/>
    <n v="0"/>
    <n v="0"/>
    <n v="0"/>
    <n v="0"/>
    <n v="0"/>
    <n v="0"/>
    <n v="0"/>
    <n v="0"/>
    <m/>
  </r>
  <r>
    <x v="5"/>
    <x v="23"/>
    <d v="2026-06-16T00:00:00"/>
    <s v="USD"/>
    <s v="SP.Auto - Tray"/>
    <x v="12"/>
    <s v="Amazon"/>
    <s v="United States"/>
    <s v="close-match"/>
    <s v="-"/>
    <s v="universal stroller snack tray"/>
    <x v="1203"/>
    <n v="1"/>
    <n v="4.1667000000000003E-2"/>
    <n v="0.82"/>
    <n v="0.82"/>
    <n v="0"/>
    <m/>
    <n v="0"/>
    <n v="0"/>
    <n v="0"/>
    <n v="0"/>
    <n v="0"/>
    <n v="0"/>
    <n v="0"/>
    <n v="0"/>
    <m/>
  </r>
  <r>
    <x v="5"/>
    <x v="22"/>
    <d v="2026-06-04T00:00:00"/>
    <s v="USD"/>
    <s v="捡漏SP.Keyword.Mannual - Tray"/>
    <x v="11"/>
    <s v="Amazon"/>
    <s v="United States"/>
    <s v="stroller snack tray"/>
    <s v="BROAD"/>
    <s v="universal stroller snack tray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4"/>
    <d v="2026-06-11T00:00:00"/>
    <s v="USD"/>
    <s v="捡漏SP.Keyword.Mannual - Tray"/>
    <x v="11"/>
    <s v="Amazon"/>
    <s v="United States"/>
    <s v="stroller snack tray"/>
    <s v="BROAD"/>
    <s v="universal stroller snack tray"/>
    <x v="1172"/>
    <n v="1"/>
    <n v="0.125"/>
    <n v="0.21"/>
    <n v="0.21"/>
    <n v="17.47"/>
    <n v="1.2021E-2"/>
    <n v="83.19"/>
    <n v="1"/>
    <n v="1"/>
    <n v="1"/>
    <n v="1"/>
    <n v="0"/>
    <n v="17.47"/>
    <n v="0"/>
    <m/>
  </r>
  <r>
    <x v="5"/>
    <x v="22"/>
    <d v="2026-06-04T00:00:00"/>
    <s v="USD"/>
    <s v="捡漏SP.Keyword.Mannual - Tray"/>
    <x v="16"/>
    <s v="Amazon"/>
    <s v="United States"/>
    <s v="universal stroller snack tray"/>
    <s v="PHRASE"/>
    <s v="universal stroller snack tray"/>
    <x v="1179"/>
    <n v="2"/>
    <n v="3.0769000000000001E-2"/>
    <n v="0.2"/>
    <n v="0.4"/>
    <n v="0"/>
    <m/>
    <n v="0"/>
    <n v="0"/>
    <n v="0"/>
    <n v="0"/>
    <n v="0"/>
    <n v="0"/>
    <n v="0"/>
    <n v="0"/>
    <m/>
  </r>
  <r>
    <x v="5"/>
    <x v="24"/>
    <d v="2026-06-09T00:00:00"/>
    <s v="USD"/>
    <s v="捡漏SP.Keyword.Mannual - Tray"/>
    <x v="16"/>
    <s v="Amazon"/>
    <s v="United States"/>
    <s v="universal stroller snack tray"/>
    <s v="PHRASE"/>
    <s v="universal stroller snack tray"/>
    <x v="1217"/>
    <n v="1"/>
    <n v="7.1429000000000006E-2"/>
    <n v="0.2"/>
    <n v="0.2"/>
    <n v="0"/>
    <m/>
    <n v="0"/>
    <n v="0"/>
    <n v="0"/>
    <n v="0"/>
    <n v="0"/>
    <n v="0"/>
    <n v="0"/>
    <n v="0"/>
    <m/>
  </r>
  <r>
    <x v="5"/>
    <x v="24"/>
    <d v="2026-06-10T00:00:00"/>
    <s v="USD"/>
    <s v="捡漏SP.Keyword.Mannual - Tray"/>
    <x v="16"/>
    <s v="Amazon"/>
    <s v="United States"/>
    <s v="universal stroller snack tray"/>
    <s v="PHRASE"/>
    <s v="universal stroller snack tray"/>
    <x v="1170"/>
    <n v="1"/>
    <n v="0.33333299999999999"/>
    <n v="0.2"/>
    <n v="0.2"/>
    <n v="0"/>
    <m/>
    <n v="0"/>
    <n v="0"/>
    <n v="0"/>
    <n v="0"/>
    <n v="0"/>
    <n v="0"/>
    <n v="0"/>
    <n v="0"/>
    <m/>
  </r>
  <r>
    <x v="5"/>
    <x v="22"/>
    <d v="2026-06-01T00:00:00"/>
    <s v="USD"/>
    <s v="捡漏SP.Keyword.Mannual - Tray"/>
    <x v="16"/>
    <s v="Amazon"/>
    <s v="United States"/>
    <s v="universal stroller snack tray"/>
    <s v="EXACT"/>
    <s v="universal stroller snack tray"/>
    <x v="1170"/>
    <n v="1"/>
    <n v="0.33333299999999999"/>
    <n v="0.08"/>
    <n v="0.08"/>
    <n v="0"/>
    <m/>
    <n v="0"/>
    <n v="0"/>
    <n v="0"/>
    <n v="0"/>
    <n v="0"/>
    <n v="0"/>
    <n v="0"/>
    <n v="0"/>
    <m/>
  </r>
  <r>
    <x v="5"/>
    <x v="24"/>
    <d v="2026-06-10T00:00:00"/>
    <s v="USD"/>
    <s v="捡漏SP.Keyword.Mannual - Tray"/>
    <x v="16"/>
    <s v="Amazon"/>
    <s v="United States"/>
    <s v="universal stroller snack tray"/>
    <s v="EXACT"/>
    <s v="universal stroller snack tray"/>
    <x v="1296"/>
    <n v="3"/>
    <n v="3.0612E-2"/>
    <n v="0.2"/>
    <n v="0.6"/>
    <n v="0"/>
    <m/>
    <n v="0"/>
    <n v="0"/>
    <n v="0"/>
    <n v="0"/>
    <n v="0"/>
    <n v="0"/>
    <n v="0"/>
    <n v="0"/>
    <m/>
  </r>
  <r>
    <x v="5"/>
    <x v="23"/>
    <d v="2026-06-14T00:00:00"/>
    <s v="USD"/>
    <s v="捡漏SP.Keyword.Mannual - Tray"/>
    <x v="16"/>
    <s v="Amazon"/>
    <s v="United States"/>
    <s v="universal stroller snack tray"/>
    <s v="EXACT"/>
    <s v="universal stroller snack tray"/>
    <x v="1297"/>
    <n v="1"/>
    <n v="6.3290000000000004E-3"/>
    <n v="0.2"/>
    <n v="0.2"/>
    <n v="0"/>
    <m/>
    <n v="0"/>
    <n v="0"/>
    <n v="0"/>
    <n v="0"/>
    <n v="0"/>
    <n v="0"/>
    <n v="0"/>
    <n v="0"/>
    <m/>
  </r>
  <r>
    <x v="5"/>
    <x v="23"/>
    <d v="2026-06-15T00:00:00"/>
    <s v="USD"/>
    <s v="捡漏SP.Keyword.Mannual - Tray"/>
    <x v="16"/>
    <s v="Amazon"/>
    <s v="United States"/>
    <s v="universal stroller snack tray"/>
    <s v="EXACT"/>
    <s v="universal stroller snack tray"/>
    <x v="1172"/>
    <n v="1"/>
    <n v="0.125"/>
    <n v="0.17"/>
    <n v="0.17"/>
    <n v="0"/>
    <m/>
    <n v="0"/>
    <n v="0"/>
    <n v="0"/>
    <n v="0"/>
    <n v="0"/>
    <n v="0"/>
    <n v="0"/>
    <n v="0"/>
    <m/>
  </r>
  <r>
    <x v="5"/>
    <x v="22"/>
    <d v="2026-06-03T00:00:00"/>
    <s v="USD"/>
    <s v="捡漏SP.Keyword.Mannual - Tray"/>
    <x v="16"/>
    <s v="Amazon"/>
    <s v="United States"/>
    <s v="stroller snack tray"/>
    <s v="PHRASE"/>
    <s v="universal stroller snack tray"/>
    <x v="1298"/>
    <n v="1"/>
    <n v="9.3460000000000001E-3"/>
    <n v="0.2"/>
    <n v="0.2"/>
    <n v="0"/>
    <m/>
    <n v="0"/>
    <n v="0"/>
    <n v="0"/>
    <n v="0"/>
    <n v="0"/>
    <n v="0"/>
    <n v="0"/>
    <n v="0"/>
    <m/>
  </r>
  <r>
    <x v="5"/>
    <x v="24"/>
    <d v="2026-06-09T00:00:00"/>
    <s v="USD"/>
    <s v="捡漏SP.Keyword.Mannual - Tray"/>
    <x v="16"/>
    <s v="Amazon"/>
    <s v="United States"/>
    <s v="stroller snack tray"/>
    <s v="PHRASE"/>
    <s v="universal stroller snack tray"/>
    <x v="1172"/>
    <n v="1"/>
    <n v="0.125"/>
    <n v="0.2"/>
    <n v="0.2"/>
    <n v="0"/>
    <m/>
    <n v="0"/>
    <n v="0"/>
    <n v="0"/>
    <n v="0"/>
    <n v="0"/>
    <n v="0"/>
    <n v="0"/>
    <n v="0"/>
    <m/>
  </r>
  <r>
    <x v="5"/>
    <x v="22"/>
    <d v="2026-06-01T00:00:00"/>
    <s v="USD"/>
    <s v="捡漏SP.Keyword.Mannual - Tray"/>
    <x v="11"/>
    <s v="Amazon"/>
    <s v="United States"/>
    <s v="universal stroller tray"/>
    <s v="BROAD"/>
    <s v="universal stroller snack tray"/>
    <x v="1197"/>
    <n v="1"/>
    <n v="7.6923000000000005E-2"/>
    <n v="0.21"/>
    <n v="0.21"/>
    <n v="0"/>
    <m/>
    <n v="0"/>
    <n v="0"/>
    <n v="0"/>
    <n v="0"/>
    <n v="0"/>
    <n v="0"/>
    <n v="0"/>
    <n v="0"/>
    <m/>
  </r>
  <r>
    <x v="5"/>
    <x v="22"/>
    <d v="2026-06-03T00:00:00"/>
    <s v="USD"/>
    <s v="捡漏SP.Keyword.Mannual - Tray"/>
    <x v="11"/>
    <s v="Amazon"/>
    <s v="United States"/>
    <s v="universal stroller tray"/>
    <s v="BROAD"/>
    <s v="universal stroller snack tray"/>
    <x v="1211"/>
    <n v="2"/>
    <n v="5.4053999999999998E-2"/>
    <n v="0.21"/>
    <n v="0.42"/>
    <n v="0"/>
    <m/>
    <n v="0"/>
    <n v="0"/>
    <n v="0"/>
    <n v="0"/>
    <n v="0"/>
    <n v="0"/>
    <n v="0"/>
    <n v="0"/>
    <m/>
  </r>
  <r>
    <x v="5"/>
    <x v="22"/>
    <d v="2026-06-04T00:00:00"/>
    <s v="USD"/>
    <s v="捡漏SP.Keyword.Mannual - Tray"/>
    <x v="11"/>
    <s v="Amazon"/>
    <s v="United States"/>
    <s v="universal stroller tray"/>
    <s v="BROAD"/>
    <s v="universal stroller snack tray"/>
    <x v="1221"/>
    <n v="2"/>
    <n v="4.2553000000000001E-2"/>
    <n v="0.2"/>
    <n v="0.4"/>
    <n v="0"/>
    <m/>
    <n v="0"/>
    <n v="0"/>
    <n v="0"/>
    <n v="0"/>
    <n v="0"/>
    <n v="0"/>
    <n v="0"/>
    <n v="0"/>
    <m/>
  </r>
  <r>
    <x v="5"/>
    <x v="22"/>
    <d v="2026-06-05T00:00:00"/>
    <s v="USD"/>
    <s v="捡漏SP.Keyword.Mannual - Tray"/>
    <x v="11"/>
    <s v="Amazon"/>
    <s v="United States"/>
    <s v="universal stroller tray"/>
    <s v="BROAD"/>
    <s v="universal stroller snack tray"/>
    <x v="1210"/>
    <n v="1"/>
    <n v="4.7619000000000002E-2"/>
    <n v="0.2"/>
    <n v="0.2"/>
    <n v="0"/>
    <m/>
    <n v="0"/>
    <n v="0"/>
    <n v="0"/>
    <n v="0"/>
    <n v="0"/>
    <n v="0"/>
    <n v="0"/>
    <n v="0"/>
    <m/>
  </r>
  <r>
    <x v="5"/>
    <x v="22"/>
    <d v="2026-06-06T00:00:00"/>
    <s v="USD"/>
    <s v="捡漏SP.Keyword.Mannual - Tray"/>
    <x v="11"/>
    <s v="Amazon"/>
    <s v="United States"/>
    <s v="universal stroller tray"/>
    <s v="BROAD"/>
    <s v="universal stroller snack tray"/>
    <x v="1207"/>
    <n v="5"/>
    <n v="8.0644999999999994E-2"/>
    <n v="0.19"/>
    <n v="0.95"/>
    <n v="0"/>
    <m/>
    <n v="0"/>
    <n v="0"/>
    <n v="0"/>
    <n v="0"/>
    <n v="0"/>
    <n v="0"/>
    <n v="0"/>
    <n v="0"/>
    <m/>
  </r>
  <r>
    <x v="5"/>
    <x v="24"/>
    <d v="2026-06-07T00:00:00"/>
    <s v="USD"/>
    <s v="捡漏SP.Keyword.Mannual - Tray"/>
    <x v="11"/>
    <s v="Amazon"/>
    <s v="United States"/>
    <s v="universal stroller tray"/>
    <s v="BROAD"/>
    <s v="universal stroller snack tray"/>
    <x v="1194"/>
    <n v="1"/>
    <n v="2.6315999999999999E-2"/>
    <n v="0.2"/>
    <n v="0.2"/>
    <n v="0"/>
    <m/>
    <n v="0"/>
    <n v="0"/>
    <n v="0"/>
    <n v="0"/>
    <n v="0"/>
    <n v="0"/>
    <n v="0"/>
    <n v="0"/>
    <m/>
  </r>
  <r>
    <x v="5"/>
    <x v="24"/>
    <d v="2026-06-10T00:00:00"/>
    <s v="USD"/>
    <s v="捡漏SP.Keyword.Mannual - Tray"/>
    <x v="11"/>
    <s v="Amazon"/>
    <s v="United States"/>
    <s v="universal stroller tray"/>
    <s v="BROAD"/>
    <s v="universal stroller snack tray"/>
    <x v="1223"/>
    <n v="1"/>
    <n v="6.25E-2"/>
    <n v="0.2"/>
    <n v="0.2"/>
    <n v="0"/>
    <m/>
    <n v="0"/>
    <n v="0"/>
    <n v="0"/>
    <n v="0"/>
    <n v="0"/>
    <n v="0"/>
    <n v="0"/>
    <n v="0"/>
    <m/>
  </r>
  <r>
    <x v="5"/>
    <x v="24"/>
    <d v="2026-06-11T00:00:00"/>
    <s v="USD"/>
    <s v="捡漏SP.Keyword.Mannual - Tray"/>
    <x v="11"/>
    <s v="Amazon"/>
    <s v="United States"/>
    <s v="universal stroller tray"/>
    <s v="BROAD"/>
    <s v="universal stroller snack tray"/>
    <x v="1201"/>
    <n v="1"/>
    <n v="2.5641000000000001E-2"/>
    <n v="0.2"/>
    <n v="0.2"/>
    <n v="0"/>
    <m/>
    <n v="0"/>
    <n v="0"/>
    <n v="0"/>
    <n v="0"/>
    <n v="0"/>
    <n v="0"/>
    <n v="0"/>
    <n v="0"/>
    <m/>
  </r>
  <r>
    <x v="5"/>
    <x v="24"/>
    <d v="2026-06-12T00:00:00"/>
    <s v="USD"/>
    <s v="捡漏SP.Keyword.Mannual - Tray"/>
    <x v="11"/>
    <s v="Amazon"/>
    <s v="United States"/>
    <s v="universal stroller tray"/>
    <s v="BROAD"/>
    <s v="universal stroller snack tray"/>
    <x v="1214"/>
    <n v="1"/>
    <n v="4.3478000000000003E-2"/>
    <n v="0.21"/>
    <n v="0.21"/>
    <n v="0"/>
    <m/>
    <n v="0"/>
    <n v="0"/>
    <n v="0"/>
    <n v="0"/>
    <n v="0"/>
    <n v="0"/>
    <n v="0"/>
    <n v="0"/>
    <m/>
  </r>
  <r>
    <x v="5"/>
    <x v="23"/>
    <d v="2026-06-17T00:00:00"/>
    <s v="USD"/>
    <s v="捡漏SP.Keyword.Mannual - Tray"/>
    <x v="11"/>
    <s v="Amazon"/>
    <s v="United States"/>
    <s v="universal stroller tray"/>
    <s v="BROAD"/>
    <s v="universal stroller snack tray"/>
    <x v="1195"/>
    <n v="1"/>
    <n v="3.3333000000000002E-2"/>
    <n v="0.2"/>
    <n v="0.2"/>
    <n v="0"/>
    <m/>
    <n v="0"/>
    <n v="0"/>
    <n v="0"/>
    <n v="0"/>
    <n v="0"/>
    <n v="0"/>
    <n v="0"/>
    <n v="0"/>
    <m/>
  </r>
  <r>
    <x v="5"/>
    <x v="23"/>
    <d v="2026-06-20T00:00:00"/>
    <s v="USD"/>
    <s v="捡漏SP.Keyword.Mannual - Tray"/>
    <x v="11"/>
    <s v="Amazon"/>
    <s v="United States"/>
    <s v="universal stroller tray"/>
    <s v="BROAD"/>
    <s v="universal stroller snack tray"/>
    <x v="1252"/>
    <n v="2"/>
    <n v="2.9850999999999999E-2"/>
    <n v="0.2"/>
    <n v="0.4"/>
    <n v="18.989999999999998"/>
    <n v="2.1063999999999999E-2"/>
    <n v="47.48"/>
    <n v="1"/>
    <n v="1"/>
    <n v="0.5"/>
    <n v="1"/>
    <n v="0"/>
    <n v="18.989999999999998"/>
    <n v="0"/>
    <m/>
  </r>
  <r>
    <x v="5"/>
    <x v="24"/>
    <d v="2026-06-08T00:00:00"/>
    <s v="USD"/>
    <s v="捡漏SP.Keyword.Mannual - Tray"/>
    <x v="11"/>
    <s v="Amazon"/>
    <s v="United States"/>
    <s v="universal stroller tray"/>
    <s v="BROAD"/>
    <s v="universal stroller snack tray attachment"/>
    <x v="1169"/>
    <n v="1"/>
    <n v="1"/>
    <n v="0.08"/>
    <n v="0.08"/>
    <n v="0"/>
    <m/>
    <n v="0"/>
    <n v="0"/>
    <n v="0"/>
    <n v="0"/>
    <n v="0"/>
    <n v="0"/>
    <n v="0"/>
    <n v="0"/>
    <m/>
  </r>
  <r>
    <x v="5"/>
    <x v="24"/>
    <d v="2026-06-10T00:00:00"/>
    <s v="USD"/>
    <s v="捡漏SP.Keyword.Mannual - Tray"/>
    <x v="11"/>
    <s v="Amazon"/>
    <s v="United States"/>
    <s v="stroller snack tray"/>
    <s v="BROAD"/>
    <s v="universal stroller snack tray clamp on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3"/>
    <d v="2026-06-17T00:00:00"/>
    <s v="USD"/>
    <s v="捡漏SP.Keyword.Mannual - Tray"/>
    <x v="11"/>
    <s v="Amazon"/>
    <s v="United States"/>
    <s v="universal stroller tray"/>
    <s v="BROAD"/>
    <s v="universal stroller snack tray clip on"/>
    <x v="1172"/>
    <n v="1"/>
    <n v="0.125"/>
    <n v="0.2"/>
    <n v="0.2"/>
    <n v="0"/>
    <m/>
    <n v="0"/>
    <n v="0"/>
    <n v="0"/>
    <n v="0"/>
    <n v="0"/>
    <n v="0"/>
    <n v="0"/>
    <n v="0"/>
    <m/>
  </r>
  <r>
    <x v="5"/>
    <x v="23"/>
    <d v="2026-06-15T00:00:00"/>
    <s v="USD"/>
    <s v="捡漏SP.Keyword.Mannual - Tray"/>
    <x v="11"/>
    <s v="Amazon"/>
    <s v="United States"/>
    <s v="universal stroller tray"/>
    <s v="BROAD"/>
    <s v="universal stroller snack tray no bar"/>
    <x v="1192"/>
    <n v="1"/>
    <n v="0.16666700000000001"/>
    <n v="0.21"/>
    <n v="0.21"/>
    <n v="18.989999999999998"/>
    <n v="1.1058E-2"/>
    <n v="90.43"/>
    <n v="1"/>
    <n v="1"/>
    <n v="1"/>
    <n v="1"/>
    <n v="0"/>
    <n v="18.989999999999998"/>
    <n v="0"/>
    <m/>
  </r>
  <r>
    <x v="5"/>
    <x v="23"/>
    <d v="2026-06-20T00:00:00"/>
    <s v="USD"/>
    <s v="捡漏SP.Keyword.Mannual - Tray"/>
    <x v="16"/>
    <s v="Amazon"/>
    <s v="United States"/>
    <s v="stroller snack tray"/>
    <s v="PHRASE"/>
    <s v="universal stroller snack tray side mount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3"/>
    <d v="2026-06-16T00:00:00"/>
    <s v="USD"/>
    <s v="SP.ASIN.Manual - Tray"/>
    <x v="13"/>
    <s v="Amazon"/>
    <s v="United States"/>
    <s v="asin=&quot;B0C1G4985Z&quot;"/>
    <s v="-"/>
    <s v="universal stroller tray"/>
    <x v="1205"/>
    <n v="2"/>
    <n v="0.222222"/>
    <n v="0.5"/>
    <n v="1"/>
    <n v="0"/>
    <m/>
    <n v="0"/>
    <n v="0"/>
    <n v="0"/>
    <n v="0"/>
    <n v="0"/>
    <n v="0"/>
    <n v="0"/>
    <n v="0"/>
    <m/>
  </r>
  <r>
    <x v="5"/>
    <x v="24"/>
    <d v="2026-06-07T00:00:00"/>
    <s v="USD"/>
    <s v="SP.Auto - Tray"/>
    <x v="12"/>
    <s v="Amazon"/>
    <s v="United States"/>
    <s v="close-match"/>
    <s v="-"/>
    <s v="universal stroller tray"/>
    <x v="1192"/>
    <n v="1"/>
    <n v="0.16666700000000001"/>
    <n v="0.9"/>
    <n v="0.9"/>
    <n v="0"/>
    <m/>
    <n v="0"/>
    <n v="0"/>
    <n v="0"/>
    <n v="0"/>
    <n v="0"/>
    <n v="0"/>
    <n v="0"/>
    <n v="0"/>
    <m/>
  </r>
  <r>
    <x v="5"/>
    <x v="24"/>
    <d v="2026-06-11T00:00:00"/>
    <s v="USD"/>
    <s v="捡漏SP.Keyword.Mannual - Tray"/>
    <x v="11"/>
    <s v="Amazon"/>
    <s v="United States"/>
    <s v="universal stroller tray"/>
    <s v="BROAD"/>
    <s v="universal stroller tray"/>
    <x v="1182"/>
    <n v="1"/>
    <n v="0.14285700000000001"/>
    <n v="0.2"/>
    <n v="0.2"/>
    <n v="0"/>
    <m/>
    <n v="0"/>
    <n v="0"/>
    <n v="0"/>
    <n v="0"/>
    <n v="0"/>
    <n v="0"/>
    <n v="0"/>
    <n v="0"/>
    <m/>
  </r>
  <r>
    <x v="5"/>
    <x v="23"/>
    <d v="2026-06-16T00:00:00"/>
    <s v="USD"/>
    <s v="捡漏SP.Keyword.Mannual - Tray"/>
    <x v="11"/>
    <s v="Amazon"/>
    <s v="United States"/>
    <s v="stroller cup holder"/>
    <s v="BROAD"/>
    <s v="universal stroller tray and cup holder"/>
    <x v="1168"/>
    <n v="1"/>
    <n v="0.5"/>
    <n v="0.21"/>
    <n v="0.21"/>
    <n v="0"/>
    <m/>
    <n v="0"/>
    <n v="0"/>
    <n v="0"/>
    <n v="0"/>
    <n v="0"/>
    <n v="0"/>
    <n v="0"/>
    <n v="0"/>
    <m/>
  </r>
  <r>
    <x v="5"/>
    <x v="25"/>
    <d v="2026-06-21T00:00:00"/>
    <s v="USD"/>
    <s v="SP.Auto - Tray"/>
    <x v="12"/>
    <s v="Amazon"/>
    <s v="United States"/>
    <s v="close-match"/>
    <s v="-"/>
    <s v="universal stroller tray attachment"/>
    <x v="1174"/>
    <n v="1"/>
    <n v="0.2"/>
    <n v="1.1000000000000001"/>
    <n v="1.1000000000000001"/>
    <n v="0"/>
    <m/>
    <n v="0"/>
    <n v="0"/>
    <n v="0"/>
    <n v="0"/>
    <n v="0"/>
    <n v="0"/>
    <n v="0"/>
    <n v="0"/>
    <m/>
  </r>
  <r>
    <x v="5"/>
    <x v="23"/>
    <d v="2026-06-20T00:00:00"/>
    <s v="USD"/>
    <s v="捡漏SP.Keyword.Mannual - Tray"/>
    <x v="16"/>
    <s v="Amazon"/>
    <s v="United States"/>
    <s v="universal stroller tray"/>
    <s v="PHRASE"/>
    <s v="universal stroller tray no bar"/>
    <x v="1168"/>
    <n v="1"/>
    <n v="0.5"/>
    <n v="0.4"/>
    <n v="0.4"/>
    <n v="0"/>
    <m/>
    <n v="0"/>
    <n v="0"/>
    <n v="0"/>
    <n v="0"/>
    <n v="0"/>
    <n v="0"/>
    <n v="0"/>
    <n v="0"/>
    <m/>
  </r>
  <r>
    <x v="5"/>
    <x v="24"/>
    <d v="2026-06-10T00:00:00"/>
    <s v="USD"/>
    <s v="捡漏SP.Keyword.Mannual - Tray"/>
    <x v="11"/>
    <s v="Amazon"/>
    <s v="United States"/>
    <s v="stroller accessories"/>
    <s v="BROAD"/>
    <s v="uppa baby g luxe stroller accessories"/>
    <x v="1169"/>
    <n v="1"/>
    <n v="1"/>
    <n v="0.08"/>
    <n v="0.08"/>
    <n v="0"/>
    <m/>
    <n v="0"/>
    <n v="0"/>
    <n v="0"/>
    <n v="0"/>
    <n v="0"/>
    <n v="0"/>
    <n v="0"/>
    <n v="0"/>
    <m/>
  </r>
  <r>
    <x v="5"/>
    <x v="22"/>
    <d v="2026-06-02T00:00:00"/>
    <s v="USD"/>
    <s v="捡漏SP.Keyword.Mannual - Tray"/>
    <x v="11"/>
    <s v="Amazon"/>
    <s v="United States"/>
    <s v="stroller tray"/>
    <s v="BROAD"/>
    <s v="volgo double stroller snack tray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4"/>
    <d v="2026-06-07T00:00:00"/>
    <s v="USD"/>
    <s v="捡漏SP.Keyword.Mannual - Tray"/>
    <x v="16"/>
    <s v="Amazon"/>
    <s v="United States"/>
    <s v="wagon cup holder"/>
    <s v="PHRASE"/>
    <s v="wagon cup holder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3"/>
    <d v="2026-06-14T00:00:00"/>
    <s v="USD"/>
    <s v="捡漏SP.Keyword.Mannual - Tray"/>
    <x v="11"/>
    <s v="Amazon"/>
    <s v="United States"/>
    <s v="wagon cup holder"/>
    <s v="BROAD"/>
    <s v="wagon cup holder attachment"/>
    <x v="1174"/>
    <n v="1"/>
    <n v="0.2"/>
    <n v="0.2"/>
    <n v="0.2"/>
    <n v="0"/>
    <m/>
    <n v="0"/>
    <n v="0"/>
    <n v="0"/>
    <n v="0"/>
    <n v="0"/>
    <n v="0"/>
    <n v="0"/>
    <n v="0"/>
    <m/>
  </r>
  <r>
    <x v="5"/>
    <x v="23"/>
    <d v="2026-06-19T00:00:00"/>
    <s v="USD"/>
    <s v="捡漏SP.Keyword.Mannual - Tray"/>
    <x v="11"/>
    <s v="Amazon"/>
    <s v="United States"/>
    <s v="stroller tray"/>
    <s v="BROAD"/>
    <s v="wagon r stroller tray"/>
    <x v="1171"/>
    <n v="1"/>
    <n v="0.25"/>
    <n v="0.21"/>
    <n v="0.21"/>
    <n v="18.989999999999998"/>
    <n v="1.1058E-2"/>
    <n v="90.43"/>
    <n v="1"/>
    <n v="1"/>
    <n v="1"/>
    <n v="1"/>
    <n v="0"/>
    <n v="18.989999999999998"/>
    <n v="0"/>
    <m/>
  </r>
  <r>
    <x v="5"/>
    <x v="24"/>
    <d v="2026-06-11T00:00:00"/>
    <s v="USD"/>
    <s v="捡漏SP.Keyword.Mannual - Tray"/>
    <x v="11"/>
    <s v="Amazon"/>
    <s v="United States"/>
    <s v="universal snack tray"/>
    <s v="BROAD"/>
    <s v="wagon snack tray universal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2"/>
    <d v="2026-06-05T00:00:00"/>
    <s v="USD"/>
    <s v="捡漏SP.Keyword.Mannual - Tray"/>
    <x v="11"/>
    <s v="Amazon"/>
    <s v="United States"/>
    <s v="stroller tray"/>
    <s v="BROAD"/>
    <s v="wagon stroller tray"/>
    <x v="1168"/>
    <n v="1"/>
    <n v="0.5"/>
    <n v="0.2"/>
    <n v="0.2"/>
    <n v="0"/>
    <m/>
    <n v="0"/>
    <n v="0"/>
    <n v="0"/>
    <n v="0"/>
    <n v="0"/>
    <n v="0"/>
    <n v="0"/>
    <n v="0"/>
    <m/>
  </r>
  <r>
    <x v="5"/>
    <x v="24"/>
    <d v="2026-06-08T00:00:00"/>
    <s v="USD"/>
    <s v="SP.Auto - ENC Fixed"/>
    <x v="14"/>
    <s v="Amazon"/>
    <s v="United States"/>
    <s v="loose-match"/>
    <s v="-"/>
    <s v="winnie the pooh baby"/>
    <x v="1223"/>
    <n v="1"/>
    <n v="6.25E-2"/>
    <n v="0.85"/>
    <n v="0.85"/>
    <n v="0"/>
    <m/>
    <n v="0"/>
    <n v="0"/>
    <n v="0"/>
    <n v="0"/>
    <n v="0"/>
    <n v="0"/>
    <n v="0"/>
    <n v="0"/>
    <m/>
  </r>
  <r>
    <x v="5"/>
    <x v="23"/>
    <d v="2026-06-15T00:00:00"/>
    <s v="USD"/>
    <s v="SP.Auto - Tray"/>
    <x v="12"/>
    <s v="Amazon"/>
    <s v="United States"/>
    <s v="loose-match"/>
    <s v="-"/>
    <s v="wonderfold 2 tray with cup holder"/>
    <x v="1170"/>
    <n v="1"/>
    <n v="0.33333299999999999"/>
    <n v="0.5"/>
    <n v="0.5"/>
    <n v="0"/>
    <m/>
    <n v="0"/>
    <n v="0"/>
    <n v="0"/>
    <n v="0"/>
    <n v="0"/>
    <n v="0"/>
    <n v="0"/>
    <n v="0"/>
    <m/>
  </r>
  <r>
    <x v="5"/>
    <x v="22"/>
    <d v="2026-06-02T00:00:00"/>
    <s v="USD"/>
    <s v="捡漏SP.Keyword.Mannual - Tray"/>
    <x v="11"/>
    <s v="Amazon"/>
    <s v="United States"/>
    <s v="stroller cup holder"/>
    <s v="BROAD"/>
    <s v="wonderfold kids cup holder"/>
    <x v="1171"/>
    <n v="1"/>
    <n v="0.25"/>
    <n v="0.21"/>
    <n v="0.21"/>
    <n v="0"/>
    <m/>
    <n v="0"/>
    <n v="0"/>
    <n v="0"/>
    <n v="0"/>
    <n v="0"/>
    <n v="0"/>
    <n v="0"/>
    <n v="0"/>
    <m/>
  </r>
  <r>
    <x v="5"/>
    <x v="23"/>
    <d v="2026-06-14T00:00:00"/>
    <s v="USD"/>
    <s v="SP.Auto - Tray"/>
    <x v="12"/>
    <s v="Amazon"/>
    <s v="United States"/>
    <s v="loose-match"/>
    <s v="-"/>
    <s v="wonderfold w2 accessories"/>
    <x v="1170"/>
    <n v="1"/>
    <n v="0.33333299999999999"/>
    <n v="0.77"/>
    <n v="0.77"/>
    <n v="0"/>
    <m/>
    <n v="0"/>
    <n v="0"/>
    <n v="0"/>
    <n v="0"/>
    <n v="0"/>
    <n v="0"/>
    <n v="0"/>
    <n v="0"/>
    <m/>
  </r>
  <r>
    <x v="5"/>
    <x v="23"/>
    <d v="2026-06-19T00:00:00"/>
    <s v="USD"/>
    <s v="捡漏SP.Keyword.Mannual - Tray"/>
    <x v="11"/>
    <s v="Amazon"/>
    <s v="United States"/>
    <s v="clip on snack tray"/>
    <s v="BROAD"/>
    <s v="zoe twin clip on snack tray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4"/>
    <d v="2026-06-09T00:00:00"/>
    <s v="USD"/>
    <s v="SP.Auto - Tray"/>
    <x v="12"/>
    <s v="Amazon"/>
    <s v="United States"/>
    <s v="loose-match"/>
    <s v="-"/>
    <s v="￼drink holder for jeep wagon"/>
    <x v="1169"/>
    <n v="1"/>
    <n v="1"/>
    <n v="0.1"/>
    <n v="0.1"/>
    <n v="0"/>
    <m/>
    <n v="0"/>
    <n v="0"/>
    <n v="0"/>
    <n v="0"/>
    <n v="0"/>
    <n v="0"/>
    <n v="0"/>
    <n v="0"/>
    <m/>
  </r>
  <r>
    <x v="5"/>
    <x v="25"/>
    <d v="2026-06-26T00:00:00"/>
    <s v="USD"/>
    <s v="捡漏SP.Keyword.Mannual - Tray"/>
    <x v="11"/>
    <s v="Amazon"/>
    <s v="United States"/>
    <s v="stroller tray"/>
    <s v="BROAD"/>
    <s v="attachable snack tray for stroller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6"/>
    <d v="2026-06-30T00:00:00"/>
    <s v="USD"/>
    <s v="捡漏SP.Keyword.Mannual - Tray"/>
    <x v="11"/>
    <s v="Amazon"/>
    <s v="United States"/>
    <s v="stroller tray"/>
    <s v="BROAD"/>
    <s v="attachment stroller piece snack tray sun coverage no bat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5"/>
    <d v="2026-06-27T00:00:00"/>
    <s v="USD"/>
    <s v="捡漏SP.Keyword.Mannual - Tray"/>
    <x v="11"/>
    <s v="Amazon"/>
    <s v="United States"/>
    <s v="stroller attachment"/>
    <s v="BROAD"/>
    <s v="attachments for no bar stroller"/>
    <x v="1168"/>
    <n v="1"/>
    <n v="0.5"/>
    <n v="0.08"/>
    <n v="0.08"/>
    <n v="0"/>
    <m/>
    <n v="0"/>
    <n v="0"/>
    <n v="0"/>
    <n v="0"/>
    <n v="0"/>
    <n v="0"/>
    <n v="0"/>
    <n v="0"/>
    <m/>
  </r>
  <r>
    <x v="5"/>
    <x v="26"/>
    <d v="2026-06-30T00:00:00"/>
    <s v="USD"/>
    <s v="捡漏SP.Keyword.Mannual - Tray"/>
    <x v="11"/>
    <s v="Amazon"/>
    <s v="United States"/>
    <s v="stroller accessories"/>
    <s v="BROAD"/>
    <s v="austlen stroller accessories"/>
    <x v="1169"/>
    <n v="1"/>
    <n v="1"/>
    <n v="0.16"/>
    <n v="0.16"/>
    <n v="0"/>
    <m/>
    <n v="0"/>
    <n v="0"/>
    <n v="0"/>
    <n v="0"/>
    <n v="0"/>
    <n v="0"/>
    <n v="0"/>
    <n v="0"/>
    <m/>
  </r>
  <r>
    <x v="5"/>
    <x v="25"/>
    <d v="2026-06-27T00:00:00"/>
    <s v="USD"/>
    <s v="SP.Auto - Tray"/>
    <x v="12"/>
    <s v="Amazon"/>
    <s v="United States"/>
    <s v="substitutes"/>
    <s v="-"/>
    <s v="b01nbj7pdg"/>
    <x v="1169"/>
    <n v="1"/>
    <n v="1"/>
    <n v="0.7"/>
    <n v="0.7"/>
    <n v="0"/>
    <m/>
    <n v="0"/>
    <n v="0"/>
    <n v="0"/>
    <n v="0"/>
    <n v="0"/>
    <n v="0"/>
    <n v="0"/>
    <n v="0"/>
    <m/>
  </r>
  <r>
    <x v="5"/>
    <x v="25"/>
    <d v="2026-06-23T00:00:00"/>
    <s v="USD"/>
    <s v="SP.Auto - Tray"/>
    <x v="12"/>
    <s v="Amazon"/>
    <s v="United States"/>
    <s v="substitutes"/>
    <s v="-"/>
    <s v="b08323q356"/>
    <x v="1169"/>
    <n v="1"/>
    <n v="1"/>
    <n v="0.92"/>
    <n v="0.92"/>
    <n v="0"/>
    <m/>
    <n v="0"/>
    <n v="0"/>
    <n v="0"/>
    <n v="0"/>
    <n v="0"/>
    <n v="0"/>
    <n v="0"/>
    <n v="0"/>
    <m/>
  </r>
  <r>
    <x v="5"/>
    <x v="25"/>
    <d v="2026-06-25T00:00:00"/>
    <s v="USD"/>
    <s v="SP.Auto - Tray"/>
    <x v="12"/>
    <s v="Amazon"/>
    <s v="United States"/>
    <s v="substitutes"/>
    <s v="-"/>
    <s v="b08cglhcvx"/>
    <x v="1168"/>
    <n v="1"/>
    <n v="0.5"/>
    <n v="0.09"/>
    <n v="0.09"/>
    <n v="0"/>
    <m/>
    <n v="0"/>
    <n v="0"/>
    <n v="0"/>
    <n v="0"/>
    <n v="0"/>
    <n v="0"/>
    <n v="0"/>
    <n v="0"/>
    <m/>
  </r>
  <r>
    <x v="5"/>
    <x v="25"/>
    <d v="2026-06-22T00:00:00"/>
    <s v="USD"/>
    <s v="SP.ASIN.Manual - Tray"/>
    <x v="13"/>
    <s v="Amazon"/>
    <s v="United States"/>
    <s v="asin=&quot;B0C1G4985Z&quot;"/>
    <s v="-"/>
    <s v="b0c1g4985z"/>
    <x v="1299"/>
    <n v="3"/>
    <n v="7.1770000000000002E-3"/>
    <n v="0.83"/>
    <n v="2.4900000000000002"/>
    <n v="18.989999999999998"/>
    <n v="0.13112199999999999"/>
    <n v="7.63"/>
    <n v="1"/>
    <n v="1"/>
    <n v="0.33333299999999999"/>
    <n v="1"/>
    <n v="0"/>
    <n v="18.989999999999998"/>
    <n v="0"/>
    <m/>
  </r>
  <r>
    <x v="5"/>
    <x v="25"/>
    <d v="2026-06-23T00:00:00"/>
    <s v="USD"/>
    <s v="SP.ASIN.Manual - Tray"/>
    <x v="13"/>
    <s v="Amazon"/>
    <s v="United States"/>
    <s v="asin=&quot;B0C1G4985Z&quot;"/>
    <s v="-"/>
    <s v="b0c1g4985z"/>
    <x v="1252"/>
    <n v="3"/>
    <n v="4.4776000000000003E-2"/>
    <n v="0.83"/>
    <n v="2.4900000000000002"/>
    <n v="0"/>
    <m/>
    <n v="0"/>
    <n v="0"/>
    <n v="0"/>
    <n v="0"/>
    <n v="0"/>
    <n v="0"/>
    <n v="0"/>
    <n v="0"/>
    <m/>
  </r>
  <r>
    <x v="5"/>
    <x v="25"/>
    <d v="2026-06-24T00:00:00"/>
    <s v="USD"/>
    <s v="SP.ASIN.Manual - Tray"/>
    <x v="13"/>
    <s v="Amazon"/>
    <s v="United States"/>
    <s v="asin=&quot;B0C1G4985Z&quot;"/>
    <s v="-"/>
    <s v="b0c1g4985z"/>
    <x v="1300"/>
    <n v="1"/>
    <n v="8.3330000000000001E-3"/>
    <n v="0.79"/>
    <n v="0.79"/>
    <n v="0"/>
    <m/>
    <n v="0"/>
    <n v="0"/>
    <n v="0"/>
    <n v="0"/>
    <n v="0"/>
    <n v="0"/>
    <n v="0"/>
    <n v="0"/>
    <m/>
  </r>
  <r>
    <x v="5"/>
    <x v="25"/>
    <d v="2026-06-25T00:00:00"/>
    <s v="USD"/>
    <s v="SP.ASIN.Manual - Tray"/>
    <x v="13"/>
    <s v="Amazon"/>
    <s v="United States"/>
    <s v="asin=&quot;B0C1G4985Z&quot;"/>
    <s v="-"/>
    <s v="b0c1g4985z"/>
    <x v="1301"/>
    <n v="3"/>
    <n v="0.02"/>
    <n v="0.88"/>
    <n v="2.63"/>
    <n v="0"/>
    <m/>
    <n v="0"/>
    <n v="0"/>
    <n v="0"/>
    <n v="0"/>
    <n v="0"/>
    <n v="0"/>
    <n v="0"/>
    <n v="0"/>
    <m/>
  </r>
  <r>
    <x v="5"/>
    <x v="25"/>
    <d v="2026-06-27T00:00:00"/>
    <s v="USD"/>
    <s v="SP.ASIN.Manual - Tray"/>
    <x v="13"/>
    <s v="Amazon"/>
    <s v="United States"/>
    <s v="asin=&quot;B0C1G4985Z&quot;"/>
    <s v="-"/>
    <s v="b0c1g4985z"/>
    <x v="1302"/>
    <n v="2"/>
    <n v="3.3333000000000002E-2"/>
    <n v="1.1000000000000001"/>
    <n v="2.2000000000000002"/>
    <n v="0"/>
    <m/>
    <n v="0"/>
    <n v="0"/>
    <n v="0"/>
    <n v="0"/>
    <n v="0"/>
    <n v="0"/>
    <n v="0"/>
    <n v="0"/>
    <m/>
  </r>
  <r>
    <x v="5"/>
    <x v="26"/>
    <d v="2026-06-28T00:00:00"/>
    <s v="USD"/>
    <s v="SP.ASIN.Manual - Tray"/>
    <x v="13"/>
    <s v="Amazon"/>
    <s v="United States"/>
    <s v="asin=&quot;B0C1G4985Z&quot;"/>
    <s v="-"/>
    <s v="b0c1g4985z"/>
    <x v="1181"/>
    <n v="3"/>
    <n v="2.2556E-2"/>
    <n v="0.73"/>
    <n v="2.19"/>
    <n v="0"/>
    <m/>
    <n v="0"/>
    <n v="0"/>
    <n v="0"/>
    <n v="0"/>
    <n v="0"/>
    <n v="0"/>
    <n v="0"/>
    <n v="0"/>
    <m/>
  </r>
  <r>
    <x v="5"/>
    <x v="26"/>
    <d v="2026-06-29T00:00:00"/>
    <s v="USD"/>
    <s v="SP.ASIN.Manual - Tray"/>
    <x v="13"/>
    <s v="Amazon"/>
    <s v="United States"/>
    <s v="asin=&quot;B0C1G4985Z&quot;"/>
    <s v="-"/>
    <s v="b0c1g4985z"/>
    <x v="1303"/>
    <n v="1"/>
    <n v="4.9500000000000004E-3"/>
    <n v="0.78"/>
    <n v="0.78"/>
    <n v="0"/>
    <m/>
    <n v="0"/>
    <n v="0"/>
    <n v="0"/>
    <n v="0"/>
    <n v="0"/>
    <n v="0"/>
    <n v="0"/>
    <n v="0"/>
    <m/>
  </r>
  <r>
    <x v="5"/>
    <x v="26"/>
    <d v="2026-06-30T00:00:00"/>
    <s v="USD"/>
    <s v="SP.ASIN.Manual - Tray"/>
    <x v="13"/>
    <s v="Amazon"/>
    <s v="United States"/>
    <s v="asin=&quot;B0C1G4985Z&quot;"/>
    <s v="-"/>
    <s v="b0c1g4985z"/>
    <x v="1304"/>
    <n v="3"/>
    <n v="2.6315999999999999E-2"/>
    <n v="0.8"/>
    <n v="2.41"/>
    <n v="0"/>
    <m/>
    <n v="0"/>
    <n v="0"/>
    <n v="0"/>
    <n v="0"/>
    <n v="0"/>
    <n v="0"/>
    <n v="0"/>
    <n v="0"/>
    <m/>
  </r>
  <r>
    <x v="5"/>
    <x v="26"/>
    <d v="2026-06-28T00:00:00"/>
    <s v="USD"/>
    <s v="SP.Auto - Tray"/>
    <x v="12"/>
    <s v="Amazon"/>
    <s v="United States"/>
    <s v="substitutes"/>
    <s v="-"/>
    <s v="b0d9q9x59p"/>
    <x v="1170"/>
    <n v="1"/>
    <n v="0.33333299999999999"/>
    <n v="0.51"/>
    <n v="0.51"/>
    <n v="0"/>
    <m/>
    <n v="0"/>
    <n v="0"/>
    <n v="0"/>
    <n v="0"/>
    <n v="0"/>
    <n v="0"/>
    <n v="0"/>
    <n v="0"/>
    <m/>
  </r>
  <r>
    <x v="5"/>
    <x v="25"/>
    <d v="2026-06-27T00:00:00"/>
    <s v="USD"/>
    <s v="SP.Auto - Tray"/>
    <x v="12"/>
    <s v="Amazon"/>
    <s v="United States"/>
    <s v="substitutes"/>
    <s v="-"/>
    <s v="b0dh98h2g4"/>
    <x v="1169"/>
    <n v="1"/>
    <n v="1"/>
    <n v="0.08"/>
    <n v="0.08"/>
    <n v="0"/>
    <m/>
    <n v="0"/>
    <n v="0"/>
    <n v="0"/>
    <n v="0"/>
    <n v="0"/>
    <n v="0"/>
    <n v="0"/>
    <n v="0"/>
    <m/>
  </r>
  <r>
    <x v="5"/>
    <x v="26"/>
    <d v="2026-06-30T00:00:00"/>
    <s v="USD"/>
    <s v="SP.Auto - Tray"/>
    <x v="12"/>
    <s v="Amazon"/>
    <s v="United States"/>
    <s v="substitutes"/>
    <s v="-"/>
    <s v="b0dh98h2g4"/>
    <x v="1218"/>
    <n v="1"/>
    <n v="5.8824000000000001E-2"/>
    <n v="0.53"/>
    <n v="0.53"/>
    <n v="0"/>
    <m/>
    <n v="0"/>
    <n v="0"/>
    <n v="0"/>
    <n v="0"/>
    <n v="0"/>
    <n v="0"/>
    <n v="0"/>
    <n v="0"/>
    <m/>
  </r>
  <r>
    <x v="5"/>
    <x v="25"/>
    <d v="2026-06-24T00:00:00"/>
    <s v="USD"/>
    <s v="SP.Auto - Tray"/>
    <x v="12"/>
    <s v="Amazon"/>
    <s v="United States"/>
    <s v="substitutes"/>
    <s v="-"/>
    <s v="b0dl6h5dd4"/>
    <x v="1171"/>
    <n v="1"/>
    <n v="0.25"/>
    <n v="0.33"/>
    <n v="0.33"/>
    <n v="0"/>
    <m/>
    <n v="0"/>
    <n v="0"/>
    <n v="0"/>
    <n v="0"/>
    <n v="0"/>
    <n v="0"/>
    <n v="0"/>
    <n v="0"/>
    <m/>
  </r>
  <r>
    <x v="5"/>
    <x v="26"/>
    <d v="2026-06-29T00:00:00"/>
    <s v="USD"/>
    <s v="SP.Auto - Tray"/>
    <x v="12"/>
    <s v="Amazon"/>
    <s v="United States"/>
    <s v="substitutes"/>
    <s v="-"/>
    <s v="b0dz16bc3c"/>
    <x v="1192"/>
    <n v="1"/>
    <n v="0.16666700000000001"/>
    <n v="0.48"/>
    <n v="0.48"/>
    <n v="0"/>
    <m/>
    <n v="0"/>
    <n v="0"/>
    <n v="0"/>
    <n v="0"/>
    <n v="0"/>
    <n v="0"/>
    <n v="0"/>
    <n v="0"/>
    <m/>
  </r>
  <r>
    <x v="5"/>
    <x v="26"/>
    <d v="2026-06-28T00:00:00"/>
    <s v="USD"/>
    <s v="SP.Auto - Tray"/>
    <x v="12"/>
    <s v="Amazon"/>
    <s v="United States"/>
    <s v="substitutes"/>
    <s v="-"/>
    <s v="b0f4y5y5rf"/>
    <x v="1169"/>
    <n v="1"/>
    <n v="1"/>
    <n v="0.7"/>
    <n v="0.7"/>
    <n v="0"/>
    <m/>
    <n v="0"/>
    <n v="0"/>
    <n v="0"/>
    <n v="0"/>
    <n v="0"/>
    <n v="0"/>
    <n v="0"/>
    <n v="0"/>
    <m/>
  </r>
  <r>
    <x v="5"/>
    <x v="25"/>
    <d v="2026-06-24T00:00:00"/>
    <s v="USD"/>
    <s v="SP.Auto - Tray"/>
    <x v="12"/>
    <s v="Amazon"/>
    <s v="United States"/>
    <s v="substitutes"/>
    <s v="-"/>
    <s v="b0f9dq7999"/>
    <x v="1174"/>
    <n v="1"/>
    <n v="0.2"/>
    <n v="0.92"/>
    <n v="0.92"/>
    <n v="0"/>
    <m/>
    <n v="0"/>
    <n v="0"/>
    <n v="0"/>
    <n v="0"/>
    <n v="0"/>
    <n v="0"/>
    <n v="0"/>
    <n v="0"/>
    <m/>
  </r>
  <r>
    <x v="5"/>
    <x v="25"/>
    <d v="2026-06-22T00:00:00"/>
    <s v="USD"/>
    <s v="SP.Auto - Tray"/>
    <x v="12"/>
    <s v="Amazon"/>
    <s v="United States"/>
    <s v="substitutes"/>
    <s v="-"/>
    <s v="b0fjf9mvyw"/>
    <x v="1170"/>
    <n v="1"/>
    <n v="0.33333299999999999"/>
    <n v="0.92"/>
    <n v="0.92"/>
    <n v="0"/>
    <m/>
    <n v="0"/>
    <n v="0"/>
    <n v="0"/>
    <n v="0"/>
    <n v="0"/>
    <n v="0"/>
    <n v="0"/>
    <n v="0"/>
    <m/>
  </r>
  <r>
    <x v="5"/>
    <x v="25"/>
    <d v="2026-06-27T00:00:00"/>
    <s v="USD"/>
    <s v="捡漏SP.Keyword.Mannual - Tray"/>
    <x v="11"/>
    <s v="Amazon"/>
    <s v="United States"/>
    <s v="stroller accessories"/>
    <s v="BROAD"/>
    <s v="baby jogger city mini 2 accessories"/>
    <x v="1169"/>
    <n v="1"/>
    <n v="1"/>
    <n v="0.12"/>
    <n v="0.12"/>
    <n v="0"/>
    <m/>
    <n v="0"/>
    <n v="0"/>
    <n v="0"/>
    <n v="0"/>
    <n v="0"/>
    <n v="0"/>
    <n v="0"/>
    <n v="0"/>
    <m/>
  </r>
  <r>
    <x v="5"/>
    <x v="25"/>
    <d v="2026-06-22T00:00:00"/>
    <s v="USD"/>
    <s v="SP.Auto - Tray"/>
    <x v="12"/>
    <s v="Amazon"/>
    <s v="United States"/>
    <s v="loose-match"/>
    <s v="-"/>
    <s v="baby jogger city mini g3 snack tray"/>
    <x v="1170"/>
    <n v="1"/>
    <n v="0.33333299999999999"/>
    <n v="0.6"/>
    <n v="0.6"/>
    <n v="0"/>
    <m/>
    <n v="0"/>
    <n v="0"/>
    <n v="0"/>
    <n v="0"/>
    <n v="0"/>
    <n v="0"/>
    <n v="0"/>
    <n v="0"/>
    <m/>
  </r>
  <r>
    <x v="5"/>
    <x v="25"/>
    <d v="2026-06-24T00:00:00"/>
    <s v="USD"/>
    <s v="SP.Auto - Tray"/>
    <x v="12"/>
    <s v="Amazon"/>
    <s v="United States"/>
    <s v="loose-match"/>
    <s v="-"/>
    <s v="baby trend double jogger snack tray"/>
    <x v="1168"/>
    <n v="1"/>
    <n v="0.5"/>
    <n v="0.1"/>
    <n v="0.1"/>
    <n v="0"/>
    <m/>
    <n v="0"/>
    <n v="0"/>
    <n v="0"/>
    <n v="0"/>
    <n v="0"/>
    <n v="0"/>
    <n v="0"/>
    <n v="0"/>
    <m/>
  </r>
  <r>
    <x v="5"/>
    <x v="26"/>
    <d v="2026-06-30T00:00:00"/>
    <s v="USD"/>
    <s v="SP.Auto - Tray"/>
    <x v="12"/>
    <s v="Amazon"/>
    <s v="United States"/>
    <s v="loose-match"/>
    <s v="-"/>
    <s v="baby trend double stroller snack tray jogger"/>
    <x v="1171"/>
    <n v="2"/>
    <n v="0.5"/>
    <n v="0.51"/>
    <n v="1.02"/>
    <n v="0"/>
    <m/>
    <n v="0"/>
    <n v="0"/>
    <n v="0"/>
    <n v="0"/>
    <n v="0"/>
    <n v="0"/>
    <n v="0"/>
    <n v="0"/>
    <m/>
  </r>
  <r>
    <x v="5"/>
    <x v="25"/>
    <d v="2026-06-22T00:00:00"/>
    <s v="USD"/>
    <s v="SP.Auto - Tray"/>
    <x v="12"/>
    <s v="Amazon"/>
    <s v="United States"/>
    <s v="loose-match"/>
    <s v="-"/>
    <s v="baby trend snack tray attachment"/>
    <x v="1174"/>
    <n v="1"/>
    <n v="0.2"/>
    <n v="0.6"/>
    <n v="0.6"/>
    <n v="0"/>
    <m/>
    <n v="0"/>
    <n v="0"/>
    <n v="0"/>
    <n v="0"/>
    <n v="0"/>
    <n v="0"/>
    <n v="0"/>
    <n v="0"/>
    <m/>
  </r>
  <r>
    <x v="5"/>
    <x v="26"/>
    <d v="2026-06-28T00:00:00"/>
    <s v="USD"/>
    <s v="捡漏SP.Keyword.Mannual - Tray"/>
    <x v="11"/>
    <s v="Amazon"/>
    <s v="United States"/>
    <s v="stroller accessories"/>
    <s v="BROAD"/>
    <s v="baby trend stroller wagon accessories"/>
    <x v="1169"/>
    <n v="1"/>
    <n v="1"/>
    <n v="0.15"/>
    <n v="0.15"/>
    <n v="0"/>
    <m/>
    <n v="0"/>
    <n v="0"/>
    <n v="0"/>
    <n v="0"/>
    <n v="0"/>
    <n v="0"/>
    <n v="0"/>
    <n v="0"/>
    <m/>
  </r>
  <r>
    <x v="5"/>
    <x v="26"/>
    <d v="2026-06-29T00:00:00"/>
    <s v="USD"/>
    <s v="捡漏SP.Keyword.Mannual - Tray"/>
    <x v="11"/>
    <s v="Amazon"/>
    <s v="United States"/>
    <s v="stroller tray"/>
    <s v="BROAD"/>
    <s v="bob deluxe snack tray single stroller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5"/>
    <d v="2026-06-26T00:00:00"/>
    <s v="USD"/>
    <s v="SP.Auto - Tray"/>
    <x v="12"/>
    <s v="Amazon"/>
    <s v="United States"/>
    <s v="close-match"/>
    <s v="-"/>
    <s v="bob double stroller accessories"/>
    <x v="1169"/>
    <n v="1"/>
    <n v="1"/>
    <n v="1.3"/>
    <n v="1.3"/>
    <n v="0"/>
    <m/>
    <n v="0"/>
    <n v="0"/>
    <n v="0"/>
    <n v="0"/>
    <n v="0"/>
    <n v="0"/>
    <n v="0"/>
    <n v="0"/>
    <m/>
  </r>
  <r>
    <x v="5"/>
    <x v="25"/>
    <d v="2026-06-26T00:00:00"/>
    <s v="USD"/>
    <s v="捡漏SP.Keyword.Mannual - Tray"/>
    <x v="11"/>
    <s v="Amazon"/>
    <s v="United States"/>
    <s v="snack tray for stroller"/>
    <s v="BROAD"/>
    <s v="bob duallie snack tray double"/>
    <x v="1168"/>
    <n v="1"/>
    <n v="0.5"/>
    <n v="0.21"/>
    <n v="0.21"/>
    <n v="0"/>
    <m/>
    <n v="0"/>
    <n v="0"/>
    <n v="0"/>
    <n v="0"/>
    <n v="0"/>
    <n v="0"/>
    <n v="0"/>
    <n v="0"/>
    <m/>
  </r>
  <r>
    <x v="5"/>
    <x v="26"/>
    <d v="2026-06-28T00:00:00"/>
    <s v="USD"/>
    <s v="捡漏SP.Keyword.Mannual - Tray"/>
    <x v="11"/>
    <s v="Amazon"/>
    <s v="United States"/>
    <s v="stroller tray"/>
    <s v="BROAD"/>
    <s v="bob stroller snack tray attachment dual"/>
    <x v="1170"/>
    <n v="2"/>
    <n v="0.66666700000000001"/>
    <n v="0.08"/>
    <n v="0.16"/>
    <n v="0"/>
    <m/>
    <n v="0"/>
    <n v="0"/>
    <n v="0"/>
    <n v="0"/>
    <n v="0"/>
    <n v="0"/>
    <n v="0"/>
    <n v="0"/>
    <m/>
  </r>
  <r>
    <x v="5"/>
    <x v="25"/>
    <d v="2026-06-24T00:00:00"/>
    <s v="USD"/>
    <s v="捡漏SP.Keyword.Mannual - Tray"/>
    <x v="11"/>
    <s v="Amazon"/>
    <s v="United States"/>
    <s v="stroller tray"/>
    <s v="BROAD"/>
    <s v="bombi bebee v2 stroller snack tray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5"/>
    <d v="2026-06-24T00:00:00"/>
    <s v="USD"/>
    <s v="捡漏SP.Keyword.Mannual - Tray"/>
    <x v="16"/>
    <s v="Amazon"/>
    <s v="United States"/>
    <s v="universal snack tray"/>
    <s v="PHRASE"/>
    <s v="bombi universal snack tray"/>
    <x v="1169"/>
    <n v="1"/>
    <n v="1"/>
    <n v="0.23"/>
    <n v="0.23"/>
    <n v="0"/>
    <m/>
    <n v="0"/>
    <n v="0"/>
    <n v="0"/>
    <n v="0"/>
    <n v="0"/>
    <n v="0"/>
    <n v="0"/>
    <n v="0"/>
    <m/>
  </r>
  <r>
    <x v="5"/>
    <x v="25"/>
    <d v="2026-06-22T00:00:00"/>
    <s v="USD"/>
    <s v="捡漏SP.Keyword.Mannual - Tray"/>
    <x v="11"/>
    <s v="Amazon"/>
    <s v="United States"/>
    <s v="stroller cup holder"/>
    <s v="BROAD"/>
    <s v="child stroller accessories, cup holder"/>
    <x v="1169"/>
    <n v="1"/>
    <n v="1"/>
    <n v="0.2"/>
    <n v="0.2"/>
    <n v="18.989999999999998"/>
    <n v="1.0532E-2"/>
    <n v="94.95"/>
    <n v="1"/>
    <n v="1"/>
    <n v="1"/>
    <n v="1"/>
    <n v="0"/>
    <n v="18.989999999999998"/>
    <n v="0"/>
    <m/>
  </r>
  <r>
    <x v="5"/>
    <x v="25"/>
    <d v="2026-06-27T00:00:00"/>
    <s v="USD"/>
    <s v="捡漏SP.Keyword.Mannual - Tray"/>
    <x v="11"/>
    <s v="Amazon"/>
    <s v="United States"/>
    <s v="stroller accessories"/>
    <s v="BROAD"/>
    <s v="city mini gt double stroller accessories"/>
    <x v="1170"/>
    <n v="1"/>
    <n v="0.33333299999999999"/>
    <n v="0.16"/>
    <n v="0.16"/>
    <n v="0"/>
    <m/>
    <n v="0"/>
    <n v="0"/>
    <n v="0"/>
    <n v="0"/>
    <n v="0"/>
    <n v="0"/>
    <n v="0"/>
    <n v="0"/>
    <m/>
  </r>
  <r>
    <x v="5"/>
    <x v="25"/>
    <d v="2026-06-24T00:00:00"/>
    <s v="USD"/>
    <s v="捡漏SP.Keyword.Mannual - Tray"/>
    <x v="11"/>
    <s v="Amazon"/>
    <s v="United States"/>
    <s v="stroller attachment"/>
    <s v="BROAD"/>
    <s v="city mini gt stroller attachments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6"/>
    <d v="2026-06-30T00:00:00"/>
    <s v="USD"/>
    <s v="捡漏SP.Keyword.Mannual - Tray"/>
    <x v="11"/>
    <s v="Amazon"/>
    <s v="United States"/>
    <s v="cup holder for stroller"/>
    <s v="BROAD"/>
    <s v="clip on cup holder for stroller"/>
    <x v="1169"/>
    <n v="1"/>
    <n v="1"/>
    <n v="0.23"/>
    <n v="0.23"/>
    <n v="0"/>
    <m/>
    <n v="0"/>
    <n v="0"/>
    <n v="0"/>
    <n v="0"/>
    <n v="0"/>
    <n v="0"/>
    <n v="0"/>
    <n v="0"/>
    <m/>
  </r>
  <r>
    <x v="5"/>
    <x v="25"/>
    <d v="2026-06-23T00:00:00"/>
    <s v="USD"/>
    <s v="捡漏SP.Keyword.Mannual - Tray"/>
    <x v="11"/>
    <s v="Amazon"/>
    <s v="United States"/>
    <s v="clip on snack tray"/>
    <s v="BROAD"/>
    <s v="clip on snack tray for city jogger"/>
    <x v="1168"/>
    <n v="1"/>
    <n v="0.5"/>
    <n v="0.23"/>
    <n v="0.23"/>
    <n v="0"/>
    <m/>
    <n v="0"/>
    <n v="0"/>
    <n v="0"/>
    <n v="0"/>
    <n v="0"/>
    <n v="0"/>
    <n v="0"/>
    <n v="0"/>
    <m/>
  </r>
  <r>
    <x v="5"/>
    <x v="25"/>
    <d v="2026-06-26T00:00:00"/>
    <s v="USD"/>
    <s v="SP.ASIN.Manual - Tray"/>
    <x v="13"/>
    <s v="Amazon"/>
    <s v="United States"/>
    <s v="asin=&quot;B0C1G4985Z&quot;"/>
    <s v="-"/>
    <s v="clip on stroller tray"/>
    <x v="1170"/>
    <n v="1"/>
    <n v="0.33333299999999999"/>
    <n v="1.05"/>
    <n v="1.05"/>
    <n v="0"/>
    <m/>
    <n v="0"/>
    <n v="0"/>
    <n v="0"/>
    <n v="0"/>
    <n v="0"/>
    <n v="0"/>
    <n v="0"/>
    <n v="0"/>
    <m/>
  </r>
  <r>
    <x v="5"/>
    <x v="25"/>
    <d v="2026-06-23T00:00:00"/>
    <s v="USD"/>
    <s v="捡漏SP.Keyword.Mannual - Tray"/>
    <x v="11"/>
    <s v="Amazon"/>
    <s v="United States"/>
    <s v="stroller tray"/>
    <s v="BROAD"/>
    <s v="clip on stroller tray"/>
    <x v="1192"/>
    <n v="1"/>
    <n v="0.16666700000000001"/>
    <n v="0.21"/>
    <n v="0.21"/>
    <n v="0"/>
    <m/>
    <n v="0"/>
    <n v="0"/>
    <n v="0"/>
    <n v="0"/>
    <n v="0"/>
    <n v="0"/>
    <n v="0"/>
    <n v="0"/>
    <m/>
  </r>
  <r>
    <x v="5"/>
    <x v="26"/>
    <d v="2026-06-28T00:00:00"/>
    <s v="USD"/>
    <s v="捡漏SP.Keyword.Mannual - Tray"/>
    <x v="11"/>
    <s v="Amazon"/>
    <s v="United States"/>
    <s v="stroller tray"/>
    <s v="BROAD"/>
    <s v="clip on tray for stroller"/>
    <x v="1174"/>
    <n v="1"/>
    <n v="0.2"/>
    <n v="0.08"/>
    <n v="0.08"/>
    <n v="0"/>
    <m/>
    <n v="0"/>
    <n v="0"/>
    <n v="0"/>
    <n v="0"/>
    <n v="0"/>
    <n v="0"/>
    <n v="0"/>
    <n v="0"/>
    <m/>
  </r>
  <r>
    <x v="5"/>
    <x v="25"/>
    <d v="2026-06-23T00:00:00"/>
    <s v="USD"/>
    <s v="捡漏SP.Keyword.Mannual - Tray"/>
    <x v="11"/>
    <s v="Amazon"/>
    <s v="United States"/>
    <s v="stroller tray"/>
    <s v="BROAD"/>
    <s v="contours legacy stroller tray"/>
    <x v="1171"/>
    <n v="1"/>
    <n v="0.25"/>
    <n v="0.21"/>
    <n v="0.21"/>
    <n v="0"/>
    <m/>
    <n v="0"/>
    <n v="0"/>
    <n v="0"/>
    <n v="0"/>
    <n v="0"/>
    <n v="0"/>
    <n v="0"/>
    <n v="0"/>
    <m/>
  </r>
  <r>
    <x v="5"/>
    <x v="25"/>
    <d v="2026-06-23T00:00:00"/>
    <s v="USD"/>
    <s v="捡漏SP.Keyword.Mannual - Tray"/>
    <x v="11"/>
    <s v="Amazon"/>
    <s v="United States"/>
    <s v="stroller cup holder"/>
    <s v="BROAD"/>
    <s v="cup holder and snack tray for umbrella stroller"/>
    <x v="1168"/>
    <n v="1"/>
    <n v="0.5"/>
    <n v="0.21"/>
    <n v="0.21"/>
    <n v="0"/>
    <m/>
    <n v="0"/>
    <n v="0"/>
    <n v="0"/>
    <n v="0"/>
    <n v="0"/>
    <n v="0"/>
    <n v="0"/>
    <n v="0"/>
    <m/>
  </r>
  <r>
    <x v="5"/>
    <x v="26"/>
    <d v="2026-06-29T00:00:00"/>
    <s v="USD"/>
    <s v="捡漏SP.Keyword.Mannual - Tray"/>
    <x v="11"/>
    <s v="Amazon"/>
    <s v="United States"/>
    <s v="stroller cup holder"/>
    <s v="BROAD"/>
    <s v="cup holder for stroller"/>
    <x v="1192"/>
    <n v="1"/>
    <n v="0.16666700000000001"/>
    <n v="0.21"/>
    <n v="0.21"/>
    <n v="0"/>
    <m/>
    <n v="0"/>
    <n v="0"/>
    <n v="0"/>
    <n v="0"/>
    <n v="0"/>
    <n v="0"/>
    <n v="0"/>
    <n v="0"/>
    <m/>
  </r>
  <r>
    <x v="5"/>
    <x v="26"/>
    <d v="2026-06-30T00:00:00"/>
    <s v="USD"/>
    <s v="捡漏SP.Keyword.Mannual - Tray"/>
    <x v="11"/>
    <s v="Amazon"/>
    <s v="United States"/>
    <s v="stroller cup holder"/>
    <s v="BROAD"/>
    <s v="cup holder for stroller backseat"/>
    <x v="1169"/>
    <n v="1"/>
    <n v="1"/>
    <n v="0.4"/>
    <n v="0.4"/>
    <n v="0"/>
    <m/>
    <n v="0"/>
    <n v="0"/>
    <n v="0"/>
    <n v="0"/>
    <n v="0"/>
    <n v="0"/>
    <n v="0"/>
    <n v="0"/>
    <m/>
  </r>
  <r>
    <x v="5"/>
    <x v="26"/>
    <d v="2026-06-28T00:00:00"/>
    <s v="USD"/>
    <s v="捡漏SP.Keyword.Mannual - Tray"/>
    <x v="11"/>
    <s v="Amazon"/>
    <s v="United States"/>
    <s v="stroller tray"/>
    <s v="BROAD"/>
    <s v="cup tray for stroller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5"/>
    <d v="2026-06-22T00:00:00"/>
    <s v="USD"/>
    <s v="捡漏SP.Keyword.Mannual - Tray"/>
    <x v="11"/>
    <s v="Amazon"/>
    <s v="United States"/>
    <s v="stroller cup holder"/>
    <s v="BROAD"/>
    <s v="delta jeep powerglyde stroller cup holder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6"/>
    <d v="2026-06-28T00:00:00"/>
    <s v="USD"/>
    <s v="捡漏SP.Keyword.Mannual - Tray"/>
    <x v="11"/>
    <s v="Amazon"/>
    <s v="United States"/>
    <s v="stroller accessories"/>
    <s v="BROAD"/>
    <s v="disney stroller accessories"/>
    <x v="1171"/>
    <n v="1"/>
    <n v="0.25"/>
    <n v="0.16"/>
    <n v="0.16"/>
    <n v="0"/>
    <m/>
    <n v="0"/>
    <n v="0"/>
    <n v="0"/>
    <n v="0"/>
    <n v="0"/>
    <n v="0"/>
    <n v="0"/>
    <n v="0"/>
    <m/>
  </r>
  <r>
    <x v="5"/>
    <x v="25"/>
    <d v="2026-06-23T00:00:00"/>
    <s v="USD"/>
    <s v="捡漏SP.Keyword.Mannual - Tray"/>
    <x v="11"/>
    <s v="Amazon"/>
    <s v="United States"/>
    <s v="stroller attachment"/>
    <s v="BROAD"/>
    <s v="dream on me stroller attachment"/>
    <x v="1174"/>
    <n v="1"/>
    <n v="0.2"/>
    <n v="0.21"/>
    <n v="0.21"/>
    <n v="0"/>
    <m/>
    <n v="0"/>
    <n v="0"/>
    <n v="0"/>
    <n v="0"/>
    <n v="0"/>
    <n v="0"/>
    <n v="0"/>
    <n v="0"/>
    <m/>
  </r>
  <r>
    <x v="5"/>
    <x v="26"/>
    <d v="2026-06-30T00:00:00"/>
    <s v="USD"/>
    <s v="捡漏SP.Keyword.Mannual - Tray"/>
    <x v="11"/>
    <s v="Amazon"/>
    <s v="United States"/>
    <s v="stroller accessories"/>
    <s v="BROAD"/>
    <s v="evenflo pivot xplore wagon accessories"/>
    <x v="1171"/>
    <n v="1"/>
    <n v="0.25"/>
    <n v="0.16"/>
    <n v="0.16"/>
    <n v="0"/>
    <m/>
    <n v="0"/>
    <n v="0"/>
    <n v="0"/>
    <n v="0"/>
    <n v="0"/>
    <n v="0"/>
    <n v="0"/>
    <n v="0"/>
    <m/>
  </r>
  <r>
    <x v="5"/>
    <x v="25"/>
    <d v="2026-06-24T00:00:00"/>
    <s v="USD"/>
    <s v="捡漏SP.Keyword.Mannual - Tray"/>
    <x v="11"/>
    <s v="Amazon"/>
    <s v="United States"/>
    <s v="stroller cup holder"/>
    <s v="BROAD"/>
    <s v="ingenuity stroller cup holder attachment for front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6"/>
    <d v="2026-06-28T00:00:00"/>
    <s v="USD"/>
    <s v="捡漏SP.Keyword.Mannual - Tray"/>
    <x v="11"/>
    <s v="Amazon"/>
    <s v="United States"/>
    <s v="stroller accessories"/>
    <s v="BROAD"/>
    <s v="jeep stroller accessories"/>
    <x v="1168"/>
    <n v="1"/>
    <n v="0.5"/>
    <n v="0.16"/>
    <n v="0.16"/>
    <n v="0"/>
    <m/>
    <n v="0"/>
    <n v="0"/>
    <n v="0"/>
    <n v="0"/>
    <n v="0"/>
    <n v="0"/>
    <n v="0"/>
    <n v="0"/>
    <m/>
  </r>
  <r>
    <x v="5"/>
    <x v="26"/>
    <d v="2026-06-29T00:00:00"/>
    <s v="USD"/>
    <s v="捡漏SP.Keyword.Mannual - Tray"/>
    <x v="11"/>
    <s v="Amazon"/>
    <s v="United States"/>
    <s v="stroller tray"/>
    <s v="BROAD"/>
    <s v="jeep stroller childs snack tray"/>
    <x v="1168"/>
    <n v="1"/>
    <n v="0.5"/>
    <n v="0.21"/>
    <n v="0.21"/>
    <n v="0"/>
    <m/>
    <n v="0"/>
    <n v="0"/>
    <n v="0"/>
    <n v="0"/>
    <n v="0"/>
    <n v="0"/>
    <n v="0"/>
    <n v="0"/>
    <m/>
  </r>
  <r>
    <x v="5"/>
    <x v="25"/>
    <d v="2026-06-25T00:00:00"/>
    <s v="USD"/>
    <s v="捡漏SP.Keyword.Mannual - Tray"/>
    <x v="11"/>
    <s v="Amazon"/>
    <s v="United States"/>
    <s v="stroller tray"/>
    <s v="BROAD"/>
    <s v="jeep stroller tray compatible with model dt-006"/>
    <x v="1171"/>
    <n v="1"/>
    <n v="0.25"/>
    <n v="0.08"/>
    <n v="0.08"/>
    <n v="0"/>
    <m/>
    <n v="0"/>
    <n v="0"/>
    <n v="0"/>
    <n v="0"/>
    <n v="0"/>
    <n v="0"/>
    <n v="0"/>
    <n v="0"/>
    <m/>
  </r>
  <r>
    <x v="5"/>
    <x v="25"/>
    <d v="2026-06-26T00:00:00"/>
    <s v="USD"/>
    <s v="捡漏SP.Keyword.Mannual - Tray"/>
    <x v="11"/>
    <s v="Amazon"/>
    <s v="United States"/>
    <s v="stroller accessories"/>
    <s v="BROAD"/>
    <s v="jeep wagon stroller accessories"/>
    <x v="1169"/>
    <n v="1"/>
    <n v="1"/>
    <n v="0.16"/>
    <n v="0.16"/>
    <n v="0"/>
    <m/>
    <n v="0"/>
    <n v="0"/>
    <n v="0"/>
    <n v="0"/>
    <n v="0"/>
    <n v="0"/>
    <n v="0"/>
    <n v="0"/>
    <m/>
  </r>
  <r>
    <x v="5"/>
    <x v="25"/>
    <d v="2026-06-25T00:00:00"/>
    <s v="USD"/>
    <s v="SP.Auto - Tray"/>
    <x v="12"/>
    <s v="Amazon"/>
    <s v="United States"/>
    <s v="loose-match"/>
    <s v="-"/>
    <s v="jl childress stroller organizer"/>
    <x v="1168"/>
    <n v="1"/>
    <n v="0.5"/>
    <n v="0.6"/>
    <n v="0.6"/>
    <n v="0"/>
    <m/>
    <n v="0"/>
    <n v="0"/>
    <n v="0"/>
    <n v="0"/>
    <n v="0"/>
    <n v="0"/>
    <n v="0"/>
    <n v="0"/>
    <m/>
  </r>
  <r>
    <x v="5"/>
    <x v="25"/>
    <d v="2026-06-22T00:00:00"/>
    <s v="USD"/>
    <s v="捡漏SP.Keyword.Mannual - Tray"/>
    <x v="11"/>
    <s v="Amazon"/>
    <s v="United States"/>
    <s v="stroller tray"/>
    <s v="BROAD"/>
    <s v="kid wagon stroller tray"/>
    <x v="1168"/>
    <n v="1"/>
    <n v="0.5"/>
    <n v="0.21"/>
    <n v="0.21"/>
    <n v="0"/>
    <m/>
    <n v="0"/>
    <n v="0"/>
    <n v="0"/>
    <n v="0"/>
    <n v="0"/>
    <n v="0"/>
    <n v="0"/>
    <n v="0"/>
    <m/>
  </r>
  <r>
    <x v="5"/>
    <x v="26"/>
    <d v="2026-06-30T00:00:00"/>
    <s v="USD"/>
    <s v="捡漏SP.Keyword.Mannual - Tray"/>
    <x v="11"/>
    <s v="Amazon"/>
    <s v="United States"/>
    <s v="stroller tray"/>
    <s v="BROAD"/>
    <s v="kolcraft stroller replacement tray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5"/>
    <d v="2026-06-22T00:00:00"/>
    <s v="USD"/>
    <s v="捡漏SP.Keyword.Mannual - Tray"/>
    <x v="11"/>
    <s v="Amazon"/>
    <s v="United States"/>
    <s v="stroller accessories"/>
    <s v="BROAD"/>
    <s v="mickey stroller accessories"/>
    <x v="1168"/>
    <n v="1"/>
    <n v="0.5"/>
    <n v="0.16"/>
    <n v="0.16"/>
    <n v="0"/>
    <m/>
    <n v="0"/>
    <n v="0"/>
    <n v="0"/>
    <n v="0"/>
    <n v="0"/>
    <n v="0"/>
    <n v="0"/>
    <n v="0"/>
    <m/>
  </r>
  <r>
    <x v="5"/>
    <x v="25"/>
    <d v="2026-06-26T00:00:00"/>
    <s v="USD"/>
    <s v="捡漏SP.Keyword.Mannual - Tray"/>
    <x v="11"/>
    <s v="Amazon"/>
    <s v="United States"/>
    <s v="stroller tray"/>
    <s v="BROAD"/>
    <s v="mom push stroller snack tray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5"/>
    <d v="2026-06-25T00:00:00"/>
    <s v="USD"/>
    <s v="捡漏SP.Keyword.Mannual - Tray"/>
    <x v="11"/>
    <s v="Amazon"/>
    <s v="United States"/>
    <s v="stroller accessories"/>
    <s v="BROAD"/>
    <s v="mompush stroller accessories"/>
    <x v="1174"/>
    <n v="2"/>
    <n v="0.4"/>
    <n v="0.16"/>
    <n v="0.32"/>
    <n v="0"/>
    <m/>
    <n v="0"/>
    <n v="0"/>
    <n v="0"/>
    <n v="0"/>
    <n v="0"/>
    <n v="0"/>
    <n v="0"/>
    <n v="0"/>
    <m/>
  </r>
  <r>
    <x v="5"/>
    <x v="26"/>
    <d v="2026-06-29T00:00:00"/>
    <s v="USD"/>
    <s v="捡漏SP.Keyword.Mannual - Tray"/>
    <x v="11"/>
    <s v="Amazon"/>
    <s v="United States"/>
    <s v="stroller snack tray"/>
    <s v="BROAD"/>
    <s v="mompush stroller snack tray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5"/>
    <d v="2026-06-23T00:00:00"/>
    <s v="USD"/>
    <s v="SP.Auto - ENC Fixed"/>
    <x v="14"/>
    <s v="Amazon"/>
    <s v="United States"/>
    <s v="close-match"/>
    <s v="-"/>
    <s v="nail clippers"/>
    <x v="1220"/>
    <n v="1"/>
    <n v="0.1"/>
    <n v="1.1000000000000001"/>
    <n v="1.1000000000000001"/>
    <n v="0"/>
    <m/>
    <n v="0"/>
    <n v="0"/>
    <n v="0"/>
    <n v="0"/>
    <n v="0"/>
    <n v="0"/>
    <n v="0"/>
    <n v="0"/>
    <m/>
  </r>
  <r>
    <x v="5"/>
    <x v="25"/>
    <d v="2026-06-23T00:00:00"/>
    <s v="USD"/>
    <s v="捡漏SP.Keyword.Mannual - Tray"/>
    <x v="11"/>
    <s v="Amazon"/>
    <s v="United States"/>
    <s v="stroller attachment"/>
    <s v="BROAD"/>
    <s v="prime day stroller attachment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5"/>
    <d v="2026-06-24T00:00:00"/>
    <s v="USD"/>
    <s v="SP.Auto - Tray"/>
    <x v="12"/>
    <s v="Amazon"/>
    <s v="United States"/>
    <s v="close-match"/>
    <s v="-"/>
    <s v="snack cup for stroller"/>
    <x v="1170"/>
    <n v="1"/>
    <n v="0.33333299999999999"/>
    <n v="1.43"/>
    <n v="1.43"/>
    <n v="18.989999999999998"/>
    <n v="7.5302999999999995E-2"/>
    <n v="13.28"/>
    <n v="1"/>
    <n v="1"/>
    <n v="1"/>
    <n v="1"/>
    <n v="0"/>
    <n v="18.989999999999998"/>
    <n v="0"/>
    <m/>
  </r>
  <r>
    <x v="5"/>
    <x v="25"/>
    <d v="2026-06-25T00:00:00"/>
    <s v="USD"/>
    <s v="捡漏SP.Keyword.Mannual - Tray"/>
    <x v="11"/>
    <s v="Amazon"/>
    <s v="United States"/>
    <s v="nuna snack tray for stroller"/>
    <s v="BROAD"/>
    <s v="snack tray fits nuna trvl"/>
    <x v="1169"/>
    <n v="1"/>
    <n v="1"/>
    <n v="0.2"/>
    <n v="0.2"/>
    <n v="18.989999999999998"/>
    <n v="1.0532E-2"/>
    <n v="94.95"/>
    <n v="1"/>
    <n v="1"/>
    <n v="1"/>
    <n v="1"/>
    <n v="0"/>
    <n v="18.989999999999998"/>
    <n v="0"/>
    <m/>
  </r>
  <r>
    <x v="5"/>
    <x v="25"/>
    <d v="2026-06-25T00:00:00"/>
    <s v="USD"/>
    <s v="捡漏SP.Keyword.Mannual - Tray"/>
    <x v="11"/>
    <s v="Amazon"/>
    <s v="United States"/>
    <s v="stroller tray"/>
    <s v="BROAD"/>
    <s v="snack tray for city select lux jogger stroller"/>
    <x v="1170"/>
    <n v="1"/>
    <n v="0.33333299999999999"/>
    <n v="0.44"/>
    <n v="0.44"/>
    <n v="0"/>
    <m/>
    <n v="0"/>
    <n v="0"/>
    <n v="0"/>
    <n v="0"/>
    <n v="0"/>
    <n v="0"/>
    <n v="0"/>
    <n v="0"/>
    <m/>
  </r>
  <r>
    <x v="5"/>
    <x v="25"/>
    <d v="2026-06-24T00:00:00"/>
    <s v="USD"/>
    <s v="捡漏SP.Keyword.Mannual - Tray"/>
    <x v="11"/>
    <s v="Amazon"/>
    <s v="United States"/>
    <s v="stroller tray"/>
    <s v="BROAD"/>
    <s v="snack tray for graco ready 2 jet stroller"/>
    <x v="1168"/>
    <n v="1"/>
    <n v="0.5"/>
    <n v="0.21"/>
    <n v="0.21"/>
    <n v="0"/>
    <m/>
    <n v="0"/>
    <n v="0"/>
    <n v="0"/>
    <n v="0"/>
    <n v="0"/>
    <n v="0"/>
    <n v="0"/>
    <n v="0"/>
    <m/>
  </r>
  <r>
    <x v="5"/>
    <x v="25"/>
    <d v="2026-06-26T00:00:00"/>
    <s v="USD"/>
    <s v="捡漏SP.Keyword.Mannual - Tray"/>
    <x v="16"/>
    <s v="Amazon"/>
    <s v="United States"/>
    <s v="snack tray for stroller"/>
    <s v="PHRASE"/>
    <s v="snack tray for stroller"/>
    <x v="1262"/>
    <n v="1"/>
    <n v="2.2221999999999999E-2"/>
    <n v="0.2"/>
    <n v="0.2"/>
    <n v="0"/>
    <m/>
    <n v="0"/>
    <n v="0"/>
    <n v="0"/>
    <n v="0"/>
    <n v="0"/>
    <n v="0"/>
    <n v="0"/>
    <n v="0"/>
    <m/>
  </r>
  <r>
    <x v="5"/>
    <x v="25"/>
    <d v="2026-06-27T00:00:00"/>
    <s v="USD"/>
    <s v="捡漏SP.Keyword.Mannual - Tray"/>
    <x v="16"/>
    <s v="Amazon"/>
    <s v="United States"/>
    <s v="snack tray for stroller"/>
    <s v="EXACT"/>
    <s v="snack tray for stroller"/>
    <x v="1228"/>
    <n v="2"/>
    <n v="7.6923000000000005E-2"/>
    <n v="0.21"/>
    <n v="0.42"/>
    <n v="0"/>
    <m/>
    <n v="0"/>
    <n v="0"/>
    <n v="0"/>
    <n v="0"/>
    <n v="0"/>
    <n v="0"/>
    <n v="0"/>
    <n v="0"/>
    <m/>
  </r>
  <r>
    <x v="5"/>
    <x v="26"/>
    <d v="2026-06-28T00:00:00"/>
    <s v="USD"/>
    <s v="捡漏SP.Keyword.Mannual - Tray"/>
    <x v="16"/>
    <s v="Amazon"/>
    <s v="United States"/>
    <s v="snack tray for stroller"/>
    <s v="EXACT"/>
    <s v="snack tray for stroller"/>
    <x v="1172"/>
    <n v="1"/>
    <n v="0.125"/>
    <n v="0.2"/>
    <n v="0.2"/>
    <n v="0"/>
    <m/>
    <n v="0"/>
    <n v="0"/>
    <n v="0"/>
    <n v="0"/>
    <n v="0"/>
    <n v="0"/>
    <n v="0"/>
    <n v="0"/>
    <m/>
  </r>
  <r>
    <x v="5"/>
    <x v="25"/>
    <d v="2026-06-26T00:00:00"/>
    <s v="USD"/>
    <s v="SP.ASIN.Manual - Tray"/>
    <x v="13"/>
    <s v="Amazon"/>
    <s v="United States"/>
    <s v="asin=&quot;B0C1G4985Z&quot;"/>
    <s v="-"/>
    <s v="snack tray mockingbird stroller"/>
    <x v="1168"/>
    <n v="1"/>
    <n v="0.5"/>
    <n v="1.05"/>
    <n v="1.05"/>
    <n v="0"/>
    <m/>
    <n v="0"/>
    <n v="0"/>
    <n v="0"/>
    <n v="0"/>
    <n v="0"/>
    <n v="0"/>
    <n v="0"/>
    <n v="0"/>
    <m/>
  </r>
  <r>
    <x v="5"/>
    <x v="25"/>
    <d v="2026-06-27T00:00:00"/>
    <s v="USD"/>
    <s v="捡漏SP.Keyword.Mannual - Tray"/>
    <x v="11"/>
    <s v="Amazon"/>
    <s v="United States"/>
    <s v="stroller tray"/>
    <s v="BROAD"/>
    <s v="snack tray mockingbird stroller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5"/>
    <d v="2026-06-27T00:00:00"/>
    <s v="USD"/>
    <s v="捡漏SP.Keyword.Mannual - Tray"/>
    <x v="11"/>
    <s v="Amazon"/>
    <s v="United States"/>
    <s v="snack tray for stroller"/>
    <s v="BROAD"/>
    <s v="snack tray mockingbird stroller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5"/>
    <d v="2026-06-23T00:00:00"/>
    <s v="USD"/>
    <s v="捡漏SP.Keyword.Mannual - Tray"/>
    <x v="11"/>
    <s v="Amazon"/>
    <s v="United States"/>
    <s v="stroller tray"/>
    <s v="BROAD"/>
    <s v="snap on snack tray for stroller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6"/>
    <d v="2026-06-29T00:00:00"/>
    <s v="USD"/>
    <s v="捡漏SP.Keyword.Mannual - Tray"/>
    <x v="16"/>
    <s v="Amazon"/>
    <s v="United States"/>
    <s v="wagon cup holder"/>
    <s v="PHRASE"/>
    <s v="stroller and wagon cup holder tray"/>
    <x v="1169"/>
    <n v="1"/>
    <n v="1"/>
    <n v="0.4"/>
    <n v="0.4"/>
    <n v="0"/>
    <m/>
    <n v="0"/>
    <n v="0"/>
    <n v="0"/>
    <n v="0"/>
    <n v="0"/>
    <n v="0"/>
    <n v="0"/>
    <n v="0"/>
    <m/>
  </r>
  <r>
    <x v="5"/>
    <x v="25"/>
    <d v="2026-06-23T00:00:00"/>
    <s v="USD"/>
    <s v="捡漏SP.Keyword.Mannual - Tray"/>
    <x v="11"/>
    <s v="Amazon"/>
    <s v="United States"/>
    <s v="stroller cup holder"/>
    <s v="BROAD"/>
    <s v="stroller cup and snack holder add on"/>
    <x v="1170"/>
    <n v="1"/>
    <n v="0.33333299999999999"/>
    <n v="0.4"/>
    <n v="0.4"/>
    <n v="0"/>
    <m/>
    <n v="0"/>
    <n v="0"/>
    <n v="0"/>
    <n v="0"/>
    <n v="0"/>
    <n v="0"/>
    <n v="0"/>
    <n v="0"/>
    <m/>
  </r>
  <r>
    <x v="5"/>
    <x v="25"/>
    <d v="2026-06-24T00:00:00"/>
    <s v="USD"/>
    <s v="SP.Auto - Tray"/>
    <x v="12"/>
    <s v="Amazon"/>
    <s v="United States"/>
    <s v="close-match"/>
    <s v="-"/>
    <s v="stroller cup holder"/>
    <x v="1211"/>
    <n v="1"/>
    <n v="2.7026999999999999E-2"/>
    <n v="1.3"/>
    <n v="1.3"/>
    <n v="0"/>
    <m/>
    <n v="0"/>
    <n v="0"/>
    <n v="0"/>
    <n v="0"/>
    <n v="0"/>
    <n v="0"/>
    <n v="0"/>
    <n v="0"/>
    <m/>
  </r>
  <r>
    <x v="5"/>
    <x v="25"/>
    <d v="2026-06-22T00:00:00"/>
    <s v="USD"/>
    <s v="捡漏SP.Keyword.Mannual - Tray"/>
    <x v="11"/>
    <s v="Amazon"/>
    <s v="United States"/>
    <s v="stroller cup holder"/>
    <s v="BROAD"/>
    <s v="stroller cup holder"/>
    <x v="1250"/>
    <n v="1"/>
    <n v="3.5714000000000003E-2"/>
    <n v="0.2"/>
    <n v="0.2"/>
    <n v="0"/>
    <m/>
    <n v="0"/>
    <n v="0"/>
    <n v="0"/>
    <n v="0"/>
    <n v="0"/>
    <n v="0"/>
    <n v="0"/>
    <n v="0"/>
    <m/>
  </r>
  <r>
    <x v="5"/>
    <x v="25"/>
    <d v="2026-06-26T00:00:00"/>
    <s v="USD"/>
    <s v="捡漏SP.Keyword.Mannual - Tray"/>
    <x v="11"/>
    <s v="Amazon"/>
    <s v="United States"/>
    <s v="stroller cup holder"/>
    <s v="BROAD"/>
    <s v="stroller cup holder"/>
    <x v="1172"/>
    <n v="1"/>
    <n v="0.125"/>
    <n v="0.2"/>
    <n v="0.2"/>
    <n v="0"/>
    <m/>
    <n v="0"/>
    <n v="0"/>
    <n v="0"/>
    <n v="0"/>
    <n v="0"/>
    <n v="0"/>
    <n v="0"/>
    <n v="0"/>
    <m/>
  </r>
  <r>
    <x v="5"/>
    <x v="26"/>
    <d v="2026-06-30T00:00:00"/>
    <s v="USD"/>
    <s v="捡漏SP.Keyword.Mannual - Tray"/>
    <x v="11"/>
    <s v="Amazon"/>
    <s v="United States"/>
    <s v="stroller cup holder"/>
    <s v="BROAD"/>
    <s v="stroller cup holder"/>
    <x v="1229"/>
    <n v="1"/>
    <n v="8.3333000000000004E-2"/>
    <n v="0.2"/>
    <n v="0.2"/>
    <n v="0"/>
    <m/>
    <n v="0"/>
    <n v="0"/>
    <n v="0"/>
    <n v="0"/>
    <n v="0"/>
    <n v="0"/>
    <n v="0"/>
    <n v="0"/>
    <m/>
  </r>
  <r>
    <x v="5"/>
    <x v="25"/>
    <d v="2026-06-27T00:00:00"/>
    <s v="USD"/>
    <s v="捡漏SP.Keyword.Mannual - Tray"/>
    <x v="16"/>
    <s v="Amazon"/>
    <s v="United States"/>
    <s v="stroller cup holder"/>
    <s v="EXACT"/>
    <s v="stroller cup holder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5"/>
    <d v="2026-06-25T00:00:00"/>
    <s v="USD"/>
    <s v="捡漏SP.Keyword.Mannual - Tray"/>
    <x v="11"/>
    <s v="Amazon"/>
    <s v="United States"/>
    <s v="stroller cup holder attachment"/>
    <s v="BROAD"/>
    <s v="stroller cup holder"/>
    <x v="1202"/>
    <n v="2"/>
    <n v="0.13333300000000001"/>
    <n v="0.2"/>
    <n v="0.4"/>
    <n v="0"/>
    <m/>
    <n v="0"/>
    <n v="0"/>
    <n v="0"/>
    <n v="0"/>
    <n v="0"/>
    <n v="0"/>
    <n v="0"/>
    <n v="0"/>
    <m/>
  </r>
  <r>
    <x v="5"/>
    <x v="25"/>
    <d v="2026-06-26T00:00:00"/>
    <s v="USD"/>
    <s v="捡漏SP.Keyword.Mannual - Tray"/>
    <x v="11"/>
    <s v="Amazon"/>
    <s v="United States"/>
    <s v="stroller cup holder attachment"/>
    <s v="BROAD"/>
    <s v="stroller cup holder"/>
    <x v="1182"/>
    <n v="1"/>
    <n v="0.14285700000000001"/>
    <n v="0.2"/>
    <n v="0.2"/>
    <n v="0"/>
    <m/>
    <n v="0"/>
    <n v="0"/>
    <n v="0"/>
    <n v="0"/>
    <n v="0"/>
    <n v="0"/>
    <n v="0"/>
    <n v="0"/>
    <m/>
  </r>
  <r>
    <x v="5"/>
    <x v="25"/>
    <d v="2026-06-22T00:00:00"/>
    <s v="USD"/>
    <s v="捡漏SP.Keyword.Mannual - Tray"/>
    <x v="11"/>
    <s v="Amazon"/>
    <s v="United States"/>
    <s v="stroller attachment"/>
    <s v="BROAD"/>
    <s v="stroller cup holder attachment"/>
    <x v="1173"/>
    <n v="1"/>
    <n v="9.0909000000000004E-2"/>
    <n v="0.2"/>
    <n v="0.2"/>
    <n v="0"/>
    <m/>
    <n v="0"/>
    <n v="0"/>
    <n v="0"/>
    <n v="0"/>
    <n v="0"/>
    <n v="0"/>
    <n v="0"/>
    <n v="0"/>
    <m/>
  </r>
  <r>
    <x v="5"/>
    <x v="25"/>
    <d v="2026-06-23T00:00:00"/>
    <s v="USD"/>
    <s v="捡漏SP.Keyword.Mannual - Tray"/>
    <x v="11"/>
    <s v="Amazon"/>
    <s v="United States"/>
    <s v="stroller attachment"/>
    <s v="BROAD"/>
    <s v="stroller cup holder attachment"/>
    <x v="1174"/>
    <n v="1"/>
    <n v="0.2"/>
    <n v="0.2"/>
    <n v="0.2"/>
    <n v="18.989999999999998"/>
    <n v="1.0532E-2"/>
    <n v="94.95"/>
    <n v="1"/>
    <n v="1"/>
    <n v="1"/>
    <n v="1"/>
    <n v="0"/>
    <n v="18.989999999999998"/>
    <n v="0"/>
    <m/>
  </r>
  <r>
    <x v="5"/>
    <x v="25"/>
    <d v="2026-06-24T00:00:00"/>
    <s v="USD"/>
    <s v="捡漏SP.Keyword.Mannual - Tray"/>
    <x v="11"/>
    <s v="Amazon"/>
    <s v="United States"/>
    <s v="stroller cup holder"/>
    <s v="BROAD"/>
    <s v="stroller double cup holder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5"/>
    <d v="2026-06-24T00:00:00"/>
    <s v="USD"/>
    <s v="SP.ASIN.Manual - Tray"/>
    <x v="13"/>
    <s v="Amazon"/>
    <s v="United States"/>
    <s v="asin=&quot;B0C1G4985Z&quot;"/>
    <s v="-"/>
    <s v="stroller food tray attachment"/>
    <x v="1220"/>
    <n v="1"/>
    <n v="0.1"/>
    <n v="0.79"/>
    <n v="0.79"/>
    <n v="0"/>
    <m/>
    <n v="0"/>
    <n v="0"/>
    <n v="0"/>
    <n v="0"/>
    <n v="0"/>
    <n v="0"/>
    <n v="0"/>
    <n v="0"/>
    <m/>
  </r>
  <r>
    <x v="5"/>
    <x v="25"/>
    <d v="2026-06-27T00:00:00"/>
    <s v="USD"/>
    <s v="捡漏SP.Keyword.Mannual - Tray"/>
    <x v="11"/>
    <s v="Amazon"/>
    <s v="United States"/>
    <s v="stroller attachment"/>
    <s v="BROAD"/>
    <s v="stroller snack attachment"/>
    <x v="1169"/>
    <n v="1"/>
    <n v="1"/>
    <n v="0.21"/>
    <n v="0.21"/>
    <n v="18.989999999999998"/>
    <n v="1.1058E-2"/>
    <n v="90.43"/>
    <n v="1"/>
    <n v="1"/>
    <n v="1"/>
    <n v="1"/>
    <n v="0"/>
    <n v="18.989999999999998"/>
    <n v="0"/>
    <m/>
  </r>
  <r>
    <x v="5"/>
    <x v="26"/>
    <d v="2026-06-28T00:00:00"/>
    <s v="USD"/>
    <s v="捡漏SP.Keyword.Mannual - Tray"/>
    <x v="11"/>
    <s v="Amazon"/>
    <s v="United States"/>
    <s v="snack cup for stroller"/>
    <s v="BROAD"/>
    <s v="stroller snack cup"/>
    <x v="1174"/>
    <n v="1"/>
    <n v="0.2"/>
    <n v="0.21"/>
    <n v="0.21"/>
    <n v="17.989999999999998"/>
    <n v="1.1672999999999999E-2"/>
    <n v="85.67"/>
    <n v="1"/>
    <n v="1"/>
    <n v="1"/>
    <n v="0"/>
    <n v="1"/>
    <n v="0"/>
    <n v="17.989999999999998"/>
    <m/>
  </r>
  <r>
    <x v="5"/>
    <x v="25"/>
    <d v="2026-06-22T00:00:00"/>
    <s v="USD"/>
    <s v="捡漏SP.Keyword.Mannual - Tray"/>
    <x v="11"/>
    <s v="Amazon"/>
    <s v="United States"/>
    <s v="snack cup for stroller"/>
    <s v="BROAD"/>
    <s v="stroller snack holder"/>
    <x v="1174"/>
    <n v="1"/>
    <n v="0.2"/>
    <n v="0.21"/>
    <n v="0.21"/>
    <n v="0"/>
    <m/>
    <n v="0"/>
    <n v="0"/>
    <n v="0"/>
    <n v="0"/>
    <n v="0"/>
    <n v="0"/>
    <n v="0"/>
    <n v="0"/>
    <m/>
  </r>
  <r>
    <x v="5"/>
    <x v="25"/>
    <d v="2026-06-24T00:00:00"/>
    <s v="USD"/>
    <s v="SP.ASIN.Manual - Tray"/>
    <x v="13"/>
    <s v="Amazon"/>
    <s v="United States"/>
    <s v="asin=&quot;B0C1G4985Z&quot;"/>
    <s v="-"/>
    <s v="stroller snack tray"/>
    <x v="1190"/>
    <n v="1"/>
    <n v="1.6393000000000001E-2"/>
    <n v="0.83"/>
    <n v="0.83"/>
    <n v="0"/>
    <m/>
    <n v="0"/>
    <n v="0"/>
    <n v="0"/>
    <n v="0"/>
    <n v="0"/>
    <n v="0"/>
    <n v="0"/>
    <n v="0"/>
    <m/>
  </r>
  <r>
    <x v="5"/>
    <x v="25"/>
    <d v="2026-06-25T00:00:00"/>
    <s v="USD"/>
    <s v="SP.Auto - Tray"/>
    <x v="12"/>
    <s v="Amazon"/>
    <s v="United States"/>
    <s v="close-match"/>
    <s v="-"/>
    <s v="stroller snack tray"/>
    <x v="1205"/>
    <n v="1"/>
    <n v="0.111111"/>
    <n v="1.3"/>
    <n v="1.3"/>
    <n v="18.989999999999998"/>
    <n v="6.8457000000000004E-2"/>
    <n v="14.61"/>
    <n v="1"/>
    <n v="1"/>
    <n v="1"/>
    <n v="1"/>
    <n v="0"/>
    <n v="18.989999999999998"/>
    <n v="0"/>
    <m/>
  </r>
  <r>
    <x v="5"/>
    <x v="25"/>
    <d v="2026-06-22T00:00:00"/>
    <s v="USD"/>
    <s v="捡漏SP.Keyword.Mannual - Tray"/>
    <x v="11"/>
    <s v="Amazon"/>
    <s v="United States"/>
    <s v="stroller tray"/>
    <s v="BROAD"/>
    <s v="stroller snack tray"/>
    <x v="1248"/>
    <n v="1"/>
    <n v="2.7778000000000001E-2"/>
    <n v="0.21"/>
    <n v="0.21"/>
    <n v="0"/>
    <m/>
    <n v="0"/>
    <n v="0"/>
    <n v="0"/>
    <n v="0"/>
    <n v="0"/>
    <n v="0"/>
    <n v="0"/>
    <n v="0"/>
    <m/>
  </r>
  <r>
    <x v="5"/>
    <x v="25"/>
    <d v="2026-06-24T00:00:00"/>
    <s v="USD"/>
    <s v="捡漏SP.Keyword.Mannual - Tray"/>
    <x v="11"/>
    <s v="Amazon"/>
    <s v="United States"/>
    <s v="stroller tray"/>
    <s v="BROAD"/>
    <s v="stroller snack tray"/>
    <x v="1224"/>
    <n v="1"/>
    <n v="2.8570999999999999E-2"/>
    <n v="0.21"/>
    <n v="0.21"/>
    <n v="0"/>
    <m/>
    <n v="0"/>
    <n v="0"/>
    <n v="0"/>
    <n v="0"/>
    <n v="0"/>
    <n v="0"/>
    <n v="0"/>
    <n v="0"/>
    <m/>
  </r>
  <r>
    <x v="5"/>
    <x v="26"/>
    <d v="2026-06-30T00:00:00"/>
    <s v="USD"/>
    <s v="捡漏SP.Keyword.Mannual - Tray"/>
    <x v="16"/>
    <s v="Amazon"/>
    <s v="United States"/>
    <s v="stroller snack tray"/>
    <s v="PHRASE"/>
    <s v="stroller snack tray"/>
    <x v="1259"/>
    <n v="1"/>
    <n v="2.4389999999999998E-2"/>
    <n v="0.22"/>
    <n v="0.22"/>
    <n v="0"/>
    <m/>
    <n v="0"/>
    <n v="0"/>
    <n v="0"/>
    <n v="0"/>
    <n v="0"/>
    <n v="0"/>
    <n v="0"/>
    <n v="0"/>
    <m/>
  </r>
  <r>
    <x v="5"/>
    <x v="26"/>
    <d v="2026-06-29T00:00:00"/>
    <s v="USD"/>
    <s v="捡漏SP.Keyword.Mannual - Tray"/>
    <x v="11"/>
    <s v="Amazon"/>
    <s v="United States"/>
    <s v="snack tray for stroller"/>
    <s v="BROAD"/>
    <s v="stroller snack tray"/>
    <x v="1205"/>
    <n v="1"/>
    <n v="0.111111"/>
    <n v="0.2"/>
    <n v="0.2"/>
    <n v="0"/>
    <m/>
    <n v="0"/>
    <n v="0"/>
    <n v="0"/>
    <n v="0"/>
    <n v="0"/>
    <n v="0"/>
    <n v="0"/>
    <n v="0"/>
    <m/>
  </r>
  <r>
    <x v="5"/>
    <x v="26"/>
    <d v="2026-06-28T00:00:00"/>
    <s v="USD"/>
    <s v="SP.Auto - Tray"/>
    <x v="12"/>
    <s v="Amazon"/>
    <s v="United States"/>
    <s v="close-match"/>
    <s v="-"/>
    <s v="stroller snack tray attachment"/>
    <x v="1202"/>
    <n v="1"/>
    <n v="6.6667000000000004E-2"/>
    <n v="1.1399999999999999"/>
    <n v="1.1399999999999999"/>
    <n v="0"/>
    <m/>
    <n v="0"/>
    <n v="0"/>
    <n v="0"/>
    <n v="0"/>
    <n v="0"/>
    <n v="0"/>
    <n v="0"/>
    <n v="0"/>
    <m/>
  </r>
  <r>
    <x v="5"/>
    <x v="25"/>
    <d v="2026-06-27T00:00:00"/>
    <s v="USD"/>
    <s v="捡漏SP.Keyword.Mannual - Tray"/>
    <x v="16"/>
    <s v="Amazon"/>
    <s v="United States"/>
    <s v="stroller snack tray"/>
    <s v="PHRASE"/>
    <s v="stroller snack tray attachment"/>
    <x v="1229"/>
    <n v="1"/>
    <n v="8.3333000000000004E-2"/>
    <n v="0.2"/>
    <n v="0.2"/>
    <n v="0"/>
    <m/>
    <n v="0"/>
    <n v="0"/>
    <n v="0"/>
    <n v="0"/>
    <n v="0"/>
    <n v="0"/>
    <n v="0"/>
    <n v="0"/>
    <m/>
  </r>
  <r>
    <x v="5"/>
    <x v="26"/>
    <d v="2026-06-30T00:00:00"/>
    <s v="USD"/>
    <s v="捡漏SP.Keyword.Mannual - Tray"/>
    <x v="11"/>
    <s v="Amazon"/>
    <s v="United States"/>
    <s v="stroller attachment"/>
    <s v="BROAD"/>
    <s v="stroller snack tray attachment"/>
    <x v="1168"/>
    <n v="1"/>
    <n v="0.5"/>
    <n v="0.2"/>
    <n v="0.2"/>
    <n v="0"/>
    <m/>
    <n v="0"/>
    <n v="0"/>
    <n v="0"/>
    <n v="0"/>
    <n v="0"/>
    <n v="0"/>
    <n v="0"/>
    <n v="0"/>
    <m/>
  </r>
  <r>
    <x v="5"/>
    <x v="25"/>
    <d v="2026-06-26T00:00:00"/>
    <s v="USD"/>
    <s v="捡漏SP.Keyword.Mannual - Tray"/>
    <x v="16"/>
    <s v="Amazon"/>
    <s v="United States"/>
    <s v="stroller snack tray attachment"/>
    <s v="PHRASE"/>
    <s v="stroller snack tray attachment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6"/>
    <d v="2026-06-28T00:00:00"/>
    <s v="USD"/>
    <s v="捡漏SP.Keyword.Mannual - Tray"/>
    <x v="16"/>
    <s v="Amazon"/>
    <s v="United States"/>
    <s v="stroller snack tray attachment"/>
    <s v="PHRASE"/>
    <s v="stroller snack tray attachment"/>
    <x v="1168"/>
    <n v="1"/>
    <n v="0.5"/>
    <n v="0.2"/>
    <n v="0.2"/>
    <n v="0"/>
    <m/>
    <n v="0"/>
    <n v="0"/>
    <n v="0"/>
    <n v="0"/>
    <n v="0"/>
    <n v="0"/>
    <n v="0"/>
    <n v="0"/>
    <m/>
  </r>
  <r>
    <x v="5"/>
    <x v="26"/>
    <d v="2026-06-28T00:00:00"/>
    <s v="USD"/>
    <s v="捡漏SP.Keyword.Mannual - Tray"/>
    <x v="11"/>
    <s v="Amazon"/>
    <s v="United States"/>
    <s v="stroller tray attachment"/>
    <s v="BROAD"/>
    <s v="stroller snack tray attachment bugaboo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5"/>
    <d v="2026-06-24T00:00:00"/>
    <s v="USD"/>
    <s v="捡漏SP.Keyword.Mannual - Tray"/>
    <x v="11"/>
    <s v="Amazon"/>
    <s v="United States"/>
    <s v="stroller tray"/>
    <s v="BROAD"/>
    <s v="stroller snack tray attachment on the sides"/>
    <x v="1168"/>
    <n v="1"/>
    <n v="0.5"/>
    <n v="0.08"/>
    <n v="0.08"/>
    <n v="0"/>
    <m/>
    <n v="0"/>
    <n v="0"/>
    <n v="0"/>
    <n v="0"/>
    <n v="0"/>
    <n v="0"/>
    <n v="0"/>
    <n v="0"/>
    <m/>
  </r>
  <r>
    <x v="5"/>
    <x v="25"/>
    <d v="2026-06-24T00:00:00"/>
    <s v="USD"/>
    <s v="捡漏SP.Keyword.Mannual - Tray"/>
    <x v="16"/>
    <s v="Amazon"/>
    <s v="United States"/>
    <s v="stroller snack tray"/>
    <s v="PHRASE"/>
    <s v="stroller snack tray no bar"/>
    <x v="1169"/>
    <n v="1"/>
    <n v="1"/>
    <n v="0.4"/>
    <n v="0.4"/>
    <n v="0"/>
    <m/>
    <n v="0"/>
    <n v="0"/>
    <n v="0"/>
    <n v="0"/>
    <n v="0"/>
    <n v="0"/>
    <n v="0"/>
    <n v="0"/>
    <m/>
  </r>
  <r>
    <x v="5"/>
    <x v="25"/>
    <d v="2026-06-24T00:00:00"/>
    <s v="USD"/>
    <s v="捡漏SP.Keyword.Mannual - Tray"/>
    <x v="11"/>
    <s v="Amazon"/>
    <s v="United States"/>
    <s v="stroller cup holder"/>
    <s v="BROAD"/>
    <s v="stroller stanley cup holder"/>
    <x v="1169"/>
    <n v="1"/>
    <n v="1"/>
    <n v="0.44"/>
    <n v="0.44"/>
    <n v="0"/>
    <m/>
    <n v="0"/>
    <n v="0"/>
    <n v="0"/>
    <n v="0"/>
    <n v="0"/>
    <n v="0"/>
    <n v="0"/>
    <n v="0"/>
    <m/>
  </r>
  <r>
    <x v="5"/>
    <x v="25"/>
    <d v="2026-06-27T00:00:00"/>
    <s v="USD"/>
    <s v="捡漏SP.Keyword.Mannual - Tray"/>
    <x v="11"/>
    <s v="Amazon"/>
    <s v="United States"/>
    <s v="stroller tray"/>
    <s v="BROAD"/>
    <s v="stroller tray"/>
    <x v="1236"/>
    <n v="1"/>
    <n v="4.5455000000000002E-2"/>
    <n v="0.21"/>
    <n v="0.21"/>
    <n v="0"/>
    <m/>
    <n v="0"/>
    <n v="0"/>
    <n v="0"/>
    <n v="0"/>
    <n v="0"/>
    <n v="0"/>
    <n v="0"/>
    <n v="0"/>
    <m/>
  </r>
  <r>
    <x v="5"/>
    <x v="25"/>
    <d v="2026-06-22T00:00:00"/>
    <s v="USD"/>
    <s v="捡漏SP.Keyword.Mannual - Tray"/>
    <x v="11"/>
    <s v="Amazon"/>
    <s v="United States"/>
    <s v="cup holder and tray for stroller"/>
    <s v="BROAD"/>
    <s v="stroller tray"/>
    <x v="1169"/>
    <n v="1"/>
    <n v="1"/>
    <n v="0.2"/>
    <n v="0.2"/>
    <n v="0"/>
    <m/>
    <n v="0"/>
    <n v="0"/>
    <n v="0"/>
    <n v="0"/>
    <n v="0"/>
    <n v="0"/>
    <n v="0"/>
    <n v="0"/>
    <m/>
  </r>
  <r>
    <x v="5"/>
    <x v="25"/>
    <d v="2026-06-23T00:00:00"/>
    <s v="USD"/>
    <s v="SP.Auto - Tray"/>
    <x v="12"/>
    <s v="Amazon"/>
    <s v="United States"/>
    <s v="close-match"/>
    <s v="-"/>
    <s v="stroller tray attachment"/>
    <x v="1262"/>
    <n v="1"/>
    <n v="2.2221999999999999E-2"/>
    <n v="1.1299999999999999"/>
    <n v="1.1299999999999999"/>
    <n v="0"/>
    <m/>
    <n v="0"/>
    <n v="0"/>
    <n v="0"/>
    <n v="0"/>
    <n v="0"/>
    <n v="0"/>
    <n v="0"/>
    <n v="0"/>
    <m/>
  </r>
  <r>
    <x v="5"/>
    <x v="25"/>
    <d v="2026-06-26T00:00:00"/>
    <s v="USD"/>
    <s v="SP.Auto - Tray"/>
    <x v="12"/>
    <s v="Amazon"/>
    <s v="United States"/>
    <s v="close-match"/>
    <s v="-"/>
    <s v="stroller tray attachment"/>
    <x v="1192"/>
    <n v="1"/>
    <n v="0.16666700000000001"/>
    <n v="1.3"/>
    <n v="1.3"/>
    <n v="0"/>
    <m/>
    <n v="0"/>
    <n v="0"/>
    <n v="0"/>
    <n v="0"/>
    <n v="0"/>
    <n v="0"/>
    <n v="0"/>
    <n v="0"/>
    <m/>
  </r>
  <r>
    <x v="5"/>
    <x v="25"/>
    <d v="2026-06-22T00:00:00"/>
    <s v="USD"/>
    <s v="捡漏SP.Keyword.Mannual - Tray"/>
    <x v="11"/>
    <s v="Amazon"/>
    <s v="United States"/>
    <s v="stroller tray"/>
    <s v="BROAD"/>
    <s v="tray for stroller"/>
    <x v="1172"/>
    <n v="1"/>
    <n v="0.125"/>
    <n v="0.21"/>
    <n v="0.21"/>
    <n v="0"/>
    <m/>
    <n v="0"/>
    <n v="0"/>
    <n v="0"/>
    <n v="0"/>
    <n v="0"/>
    <n v="0"/>
    <n v="0"/>
    <n v="0"/>
    <m/>
  </r>
  <r>
    <x v="5"/>
    <x v="26"/>
    <d v="2026-06-29T00:00:00"/>
    <s v="USD"/>
    <s v="捡漏SP.Keyword.Mannual - Tray"/>
    <x v="11"/>
    <s v="Amazon"/>
    <s v="United States"/>
    <s v="stroller tray"/>
    <s v="BROAD"/>
    <s v="tray for umbrella stroller"/>
    <x v="1220"/>
    <n v="1"/>
    <n v="0.1"/>
    <n v="0.21"/>
    <n v="0.21"/>
    <n v="0"/>
    <m/>
    <n v="0"/>
    <n v="0"/>
    <n v="0"/>
    <n v="0"/>
    <n v="0"/>
    <n v="0"/>
    <n v="0"/>
    <n v="0"/>
    <m/>
  </r>
  <r>
    <x v="5"/>
    <x v="25"/>
    <d v="2026-06-27T00:00:00"/>
    <s v="USD"/>
    <s v="捡漏SP.Keyword.Mannual - Tray"/>
    <x v="16"/>
    <s v="Amazon"/>
    <s v="United States"/>
    <s v="stroller cup holder"/>
    <s v="PHRASE"/>
    <s v="umbrella stroller cup holder"/>
    <x v="1170"/>
    <n v="1"/>
    <n v="0.33333299999999999"/>
    <n v="0.4"/>
    <n v="0.4"/>
    <n v="0"/>
    <m/>
    <n v="0"/>
    <n v="0"/>
    <n v="0"/>
    <n v="0"/>
    <n v="0"/>
    <n v="0"/>
    <n v="0"/>
    <n v="0"/>
    <m/>
  </r>
  <r>
    <x v="5"/>
    <x v="25"/>
    <d v="2026-06-26T00:00:00"/>
    <s v="USD"/>
    <s v="捡漏SP.Keyword.Mannual - Tray"/>
    <x v="11"/>
    <s v="Amazon"/>
    <s v="United States"/>
    <s v="stroller tray"/>
    <s v="BROAD"/>
    <s v="umbrella stroller snack tray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5"/>
    <d v="2026-06-22T00:00:00"/>
    <s v="USD"/>
    <s v="捡漏SP.Keyword.Mannual - Tray"/>
    <x v="11"/>
    <s v="Amazon"/>
    <s v="United States"/>
    <s v="stroller tray"/>
    <s v="BROAD"/>
    <s v="umbrella stroller tray"/>
    <x v="1174"/>
    <n v="1"/>
    <n v="0.2"/>
    <n v="0.4"/>
    <n v="0.4"/>
    <n v="0"/>
    <m/>
    <n v="0"/>
    <n v="0"/>
    <n v="0"/>
    <n v="0"/>
    <n v="0"/>
    <n v="0"/>
    <n v="0"/>
    <n v="0"/>
    <m/>
  </r>
  <r>
    <x v="5"/>
    <x v="25"/>
    <d v="2026-06-26T00:00:00"/>
    <s v="USD"/>
    <s v="捡漏SP.Keyword.Mannual - Tray"/>
    <x v="11"/>
    <s v="Amazon"/>
    <s v="United States"/>
    <s v="stroller tray"/>
    <s v="BROAD"/>
    <s v="umbrella stroller tray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5"/>
    <d v="2026-06-25T00:00:00"/>
    <s v="USD"/>
    <s v="捡漏SP.Keyword.Mannual - Tray"/>
    <x v="16"/>
    <s v="Amazon"/>
    <s v="United States"/>
    <s v="stroller tray attachment"/>
    <s v="PHRASE"/>
    <s v="umbrella stroller tray attachment"/>
    <x v="1169"/>
    <n v="1"/>
    <n v="1"/>
    <n v="0.4"/>
    <n v="0.4"/>
    <n v="0"/>
    <m/>
    <n v="0"/>
    <n v="0"/>
    <n v="0"/>
    <n v="0"/>
    <n v="0"/>
    <n v="0"/>
    <n v="0"/>
    <n v="0"/>
    <m/>
  </r>
  <r>
    <x v="5"/>
    <x v="25"/>
    <d v="2026-06-22T00:00:00"/>
    <s v="USD"/>
    <s v="捡漏SP.Keyword.Mannual - Tray"/>
    <x v="11"/>
    <s v="Amazon"/>
    <s v="United States"/>
    <s v="stroller tray"/>
    <s v="BROAD"/>
    <s v="umbrella stroller with side snack tray lays back"/>
    <x v="1168"/>
    <n v="1"/>
    <n v="0.5"/>
    <n v="0.21"/>
    <n v="0.21"/>
    <n v="0"/>
    <m/>
    <n v="0"/>
    <n v="0"/>
    <n v="0"/>
    <n v="0"/>
    <n v="0"/>
    <n v="0"/>
    <n v="0"/>
    <n v="0"/>
    <m/>
  </r>
  <r>
    <x v="5"/>
    <x v="25"/>
    <d v="2026-06-23T00:00:00"/>
    <s v="USD"/>
    <s v="捡漏SP.Keyword.Mannual - Tray"/>
    <x v="11"/>
    <s v="Amazon"/>
    <s v="United States"/>
    <s v="wagon cup holder"/>
    <s v="BROAD"/>
    <s v="universal cup holder for wagon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6"/>
    <d v="2026-06-30T00:00:00"/>
    <s v="USD"/>
    <s v="捡漏SP.Keyword.Mannual - Tray"/>
    <x v="11"/>
    <s v="Amazon"/>
    <s v="United States"/>
    <s v="universal snack tray"/>
    <s v="BROAD"/>
    <s v="universal snack tray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5"/>
    <d v="2026-06-25T00:00:00"/>
    <s v="USD"/>
    <s v="捡漏SP.Keyword.Mannual - Tray"/>
    <x v="11"/>
    <s v="Amazon"/>
    <s v="United States"/>
    <s v="universal snack tray"/>
    <s v="BROAD"/>
    <s v="universal snack tray for city select lux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5"/>
    <d v="2026-06-25T00:00:00"/>
    <s v="USD"/>
    <s v="捡漏SP.Keyword.Mannual - Tray"/>
    <x v="11"/>
    <s v="Amazon"/>
    <s v="United States"/>
    <s v="universal stroller tray"/>
    <s v="BROAD"/>
    <s v="universal snack tray for jogging stroller"/>
    <x v="1169"/>
    <n v="1"/>
    <n v="1"/>
    <n v="0.08"/>
    <n v="0.08"/>
    <n v="0"/>
    <m/>
    <n v="0"/>
    <n v="0"/>
    <n v="0"/>
    <n v="0"/>
    <n v="0"/>
    <n v="0"/>
    <n v="0"/>
    <n v="0"/>
    <m/>
  </r>
  <r>
    <x v="5"/>
    <x v="26"/>
    <d v="2026-06-29T00:00:00"/>
    <s v="USD"/>
    <s v="SP.ASIN.Manual - Tray"/>
    <x v="13"/>
    <s v="Amazon"/>
    <s v="United States"/>
    <s v="asin=&quot;B0C1G4985Z&quot;"/>
    <s v="-"/>
    <s v="universal snack tray for stroller"/>
    <x v="1174"/>
    <n v="2"/>
    <n v="0.4"/>
    <n v="0.87"/>
    <n v="1.74"/>
    <n v="0"/>
    <m/>
    <n v="0"/>
    <n v="0"/>
    <n v="0"/>
    <n v="0"/>
    <n v="0"/>
    <n v="0"/>
    <n v="0"/>
    <n v="0"/>
    <m/>
  </r>
  <r>
    <x v="5"/>
    <x v="26"/>
    <d v="2026-06-29T00:00:00"/>
    <s v="USD"/>
    <s v="SP.Auto - Tray"/>
    <x v="12"/>
    <s v="Amazon"/>
    <s v="United States"/>
    <s v="close-match"/>
    <s v="-"/>
    <s v="universal snack tray for stroller"/>
    <x v="1193"/>
    <n v="1"/>
    <n v="0.04"/>
    <n v="0.95"/>
    <n v="0.95"/>
    <n v="0"/>
    <m/>
    <n v="0"/>
    <n v="0"/>
    <n v="0"/>
    <n v="0"/>
    <n v="0"/>
    <n v="0"/>
    <n v="0"/>
    <n v="0"/>
    <m/>
  </r>
  <r>
    <x v="5"/>
    <x v="25"/>
    <d v="2026-06-24T00:00:00"/>
    <s v="USD"/>
    <s v="捡漏SP.Keyword.Mannual - Tray"/>
    <x v="16"/>
    <s v="Amazon"/>
    <s v="United States"/>
    <s v="snack tray for stroller"/>
    <s v="PHRASE"/>
    <s v="universal snack tray for stroller"/>
    <x v="1171"/>
    <n v="1"/>
    <n v="0.25"/>
    <n v="0.2"/>
    <n v="0.2"/>
    <n v="0"/>
    <m/>
    <n v="0"/>
    <n v="0"/>
    <n v="0"/>
    <n v="0"/>
    <n v="0"/>
    <n v="0"/>
    <n v="0"/>
    <n v="0"/>
    <m/>
  </r>
  <r>
    <x v="5"/>
    <x v="25"/>
    <d v="2026-06-23T00:00:00"/>
    <s v="USD"/>
    <s v="捡漏SP.Keyword.Mannual - Tray"/>
    <x v="11"/>
    <s v="Amazon"/>
    <s v="United States"/>
    <s v="universal snack tray"/>
    <s v="BROAD"/>
    <s v="universal snack tray for wagons"/>
    <x v="1170"/>
    <n v="1"/>
    <n v="0.33333299999999999"/>
    <n v="0.21"/>
    <n v="0.21"/>
    <n v="0"/>
    <m/>
    <n v="0"/>
    <n v="0"/>
    <n v="0"/>
    <n v="0"/>
    <n v="0"/>
    <n v="0"/>
    <n v="0"/>
    <n v="0"/>
    <m/>
  </r>
  <r>
    <x v="5"/>
    <x v="25"/>
    <d v="2026-06-23T00:00:00"/>
    <s v="USD"/>
    <s v="捡漏SP.Keyword.Mannual - Tray"/>
    <x v="11"/>
    <s v="Amazon"/>
    <s v="United States"/>
    <s v="stroller accessories"/>
    <s v="BROAD"/>
    <s v="universal stroller accessories"/>
    <x v="1171"/>
    <n v="1"/>
    <n v="0.25"/>
    <n v="0.17"/>
    <n v="0.17"/>
    <n v="18.989999999999998"/>
    <n v="8.9519999999999999E-3"/>
    <n v="111.71"/>
    <n v="1"/>
    <n v="1"/>
    <n v="1"/>
    <n v="1"/>
    <n v="0"/>
    <n v="18.989999999999998"/>
    <n v="0"/>
    <m/>
  </r>
  <r>
    <x v="5"/>
    <x v="26"/>
    <d v="2026-06-29T00:00:00"/>
    <s v="USD"/>
    <s v="SP.Auto - Tray"/>
    <x v="12"/>
    <s v="Amazon"/>
    <s v="United States"/>
    <s v="close-match"/>
    <s v="-"/>
    <s v="universal stroller cup holder"/>
    <x v="1202"/>
    <n v="1"/>
    <n v="6.6667000000000004E-2"/>
    <n v="0.91"/>
    <n v="0.91"/>
    <n v="0"/>
    <m/>
    <n v="0"/>
    <n v="0"/>
    <n v="0"/>
    <n v="0"/>
    <n v="0"/>
    <n v="0"/>
    <n v="0"/>
    <n v="0"/>
    <m/>
  </r>
  <r>
    <x v="5"/>
    <x v="25"/>
    <d v="2026-06-26T00:00:00"/>
    <s v="USD"/>
    <s v="捡漏SP.Keyword.Mannual - Tray"/>
    <x v="11"/>
    <s v="Amazon"/>
    <s v="United States"/>
    <s v="stroller cup holder"/>
    <s v="BROAD"/>
    <s v="universal stroller cup holder"/>
    <x v="1170"/>
    <n v="1"/>
    <n v="0.33333299999999999"/>
    <n v="0.2"/>
    <n v="0.2"/>
    <n v="0"/>
    <m/>
    <n v="0"/>
    <n v="0"/>
    <n v="0"/>
    <n v="0"/>
    <n v="0"/>
    <n v="0"/>
    <n v="0"/>
    <n v="0"/>
    <m/>
  </r>
  <r>
    <x v="5"/>
    <x v="25"/>
    <d v="2026-06-25T00:00:00"/>
    <s v="USD"/>
    <s v="捡漏SP.Keyword.Mannual - Tray"/>
    <x v="11"/>
    <s v="Amazon"/>
    <s v="United States"/>
    <s v="cup holder for stroller"/>
    <s v="BROAD"/>
    <s v="universal stroller cup holder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6"/>
    <d v="2026-06-29T00:00:00"/>
    <s v="USD"/>
    <s v="捡漏SP.Keyword.Mannual - Tray"/>
    <x v="11"/>
    <s v="Amazon"/>
    <s v="United States"/>
    <s v="cup and snack holder attachment for stroller"/>
    <s v="BROAD"/>
    <s v="universal stroller cup holder snack tray"/>
    <x v="1168"/>
    <n v="1"/>
    <n v="0.5"/>
    <n v="0.2"/>
    <n v="0.2"/>
    <n v="0"/>
    <m/>
    <n v="0"/>
    <n v="0"/>
    <n v="0"/>
    <n v="0"/>
    <n v="0"/>
    <n v="0"/>
    <n v="0"/>
    <n v="0"/>
    <m/>
  </r>
  <r>
    <x v="5"/>
    <x v="25"/>
    <d v="2026-06-22T00:00:00"/>
    <s v="USD"/>
    <s v="SP.Auto - Tray"/>
    <x v="12"/>
    <s v="Amazon"/>
    <s v="United States"/>
    <s v="close-match"/>
    <s v="-"/>
    <s v="universal stroller snack tray"/>
    <x v="1223"/>
    <n v="1"/>
    <n v="6.25E-2"/>
    <n v="1.41"/>
    <n v="1.41"/>
    <n v="0"/>
    <m/>
    <n v="0"/>
    <n v="0"/>
    <n v="0"/>
    <n v="0"/>
    <n v="0"/>
    <n v="0"/>
    <n v="0"/>
    <n v="0"/>
    <m/>
  </r>
  <r>
    <x v="5"/>
    <x v="25"/>
    <d v="2026-06-27T00:00:00"/>
    <s v="USD"/>
    <s v="SP.Auto - Tray"/>
    <x v="12"/>
    <s v="Amazon"/>
    <s v="United States"/>
    <s v="close-match"/>
    <s v="-"/>
    <s v="universal stroller snack tray"/>
    <x v="1172"/>
    <n v="1"/>
    <n v="0.125"/>
    <n v="1.3"/>
    <n v="1.3"/>
    <n v="0"/>
    <m/>
    <n v="0"/>
    <n v="0"/>
    <n v="0"/>
    <n v="0"/>
    <n v="0"/>
    <n v="0"/>
    <n v="0"/>
    <n v="0"/>
    <m/>
  </r>
  <r>
    <x v="5"/>
    <x v="26"/>
    <d v="2026-06-30T00:00:00"/>
    <s v="USD"/>
    <s v="SP.Auto - Tray"/>
    <x v="12"/>
    <s v="Amazon"/>
    <s v="United States"/>
    <s v="close-match"/>
    <s v="-"/>
    <s v="universal stroller snack tray"/>
    <x v="1220"/>
    <n v="1"/>
    <n v="0.1"/>
    <n v="1.05"/>
    <n v="1.05"/>
    <n v="0"/>
    <m/>
    <n v="0"/>
    <n v="0"/>
    <n v="0"/>
    <n v="0"/>
    <n v="0"/>
    <n v="0"/>
    <n v="0"/>
    <n v="0"/>
    <m/>
  </r>
  <r>
    <x v="5"/>
    <x v="25"/>
    <d v="2026-06-24T00:00:00"/>
    <s v="USD"/>
    <s v="捡漏SP.Keyword.Mannual - Tray"/>
    <x v="16"/>
    <s v="Amazon"/>
    <s v="United States"/>
    <s v="universal stroller snack tray"/>
    <s v="EXACT"/>
    <s v="universal stroller snack tray"/>
    <x v="1200"/>
    <n v="1"/>
    <n v="1.4706E-2"/>
    <n v="0.2"/>
    <n v="0.2"/>
    <n v="0"/>
    <m/>
    <n v="0"/>
    <n v="0"/>
    <n v="0"/>
    <n v="0"/>
    <n v="0"/>
    <n v="0"/>
    <n v="0"/>
    <n v="0"/>
    <m/>
  </r>
  <r>
    <x v="5"/>
    <x v="26"/>
    <d v="2026-06-29T00:00:00"/>
    <s v="USD"/>
    <s v="捡漏SP.Keyword.Mannual - Tray"/>
    <x v="16"/>
    <s v="Amazon"/>
    <s v="United States"/>
    <s v="universal stroller snack tray"/>
    <s v="EXACT"/>
    <s v="universal stroller snack tray"/>
    <x v="1172"/>
    <n v="1"/>
    <n v="0.125"/>
    <n v="0.2"/>
    <n v="0.2"/>
    <n v="0"/>
    <m/>
    <n v="0"/>
    <n v="0"/>
    <n v="0"/>
    <n v="0"/>
    <n v="0"/>
    <n v="0"/>
    <n v="0"/>
    <n v="0"/>
    <m/>
  </r>
  <r>
    <x v="5"/>
    <x v="25"/>
    <d v="2026-06-27T00:00:00"/>
    <s v="USD"/>
    <s v="捡漏SP.Keyword.Mannual - Tray"/>
    <x v="16"/>
    <s v="Amazon"/>
    <s v="United States"/>
    <s v="stroller snack tray"/>
    <s v="PHRASE"/>
    <s v="universal stroller snack tray"/>
    <x v="1172"/>
    <n v="1"/>
    <n v="0.125"/>
    <n v="0.21"/>
    <n v="0.21"/>
    <n v="0"/>
    <m/>
    <n v="0"/>
    <n v="0"/>
    <n v="0"/>
    <n v="0"/>
    <n v="0"/>
    <n v="0"/>
    <n v="0"/>
    <n v="0"/>
    <m/>
  </r>
  <r>
    <x v="5"/>
    <x v="25"/>
    <d v="2026-06-22T00:00:00"/>
    <s v="USD"/>
    <s v="捡漏SP.Keyword.Mannual - Tray"/>
    <x v="11"/>
    <s v="Amazon"/>
    <s v="United States"/>
    <s v="universal stroller tray"/>
    <s v="BROAD"/>
    <s v="universal stroller snack tray"/>
    <x v="1305"/>
    <n v="3"/>
    <n v="4.0541000000000001E-2"/>
    <n v="0.2"/>
    <n v="0.6"/>
    <n v="0"/>
    <m/>
    <n v="0"/>
    <n v="0"/>
    <n v="0"/>
    <n v="0"/>
    <n v="0"/>
    <n v="0"/>
    <n v="0"/>
    <n v="0"/>
    <m/>
  </r>
  <r>
    <x v="5"/>
    <x v="25"/>
    <d v="2026-06-23T00:00:00"/>
    <s v="USD"/>
    <s v="捡漏SP.Keyword.Mannual - Tray"/>
    <x v="11"/>
    <s v="Amazon"/>
    <s v="United States"/>
    <s v="universal stroller tray"/>
    <s v="BROAD"/>
    <s v="universal stroller snack tray"/>
    <x v="1290"/>
    <n v="2"/>
    <n v="1.3245E-2"/>
    <n v="0.2"/>
    <n v="0.4"/>
    <n v="0"/>
    <m/>
    <n v="0"/>
    <n v="0"/>
    <n v="0"/>
    <n v="0"/>
    <n v="0"/>
    <n v="0"/>
    <n v="0"/>
    <n v="0"/>
    <m/>
  </r>
  <r>
    <x v="5"/>
    <x v="25"/>
    <d v="2026-06-25T00:00:00"/>
    <s v="USD"/>
    <s v="捡漏SP.Keyword.Mannual - Tray"/>
    <x v="11"/>
    <s v="Amazon"/>
    <s v="United States"/>
    <s v="universal stroller tray"/>
    <s v="BROAD"/>
    <s v="universal stroller snack tray"/>
    <x v="1178"/>
    <n v="1"/>
    <n v="7.463E-3"/>
    <n v="0.08"/>
    <n v="0.08"/>
    <n v="0"/>
    <m/>
    <n v="0"/>
    <n v="0"/>
    <n v="0"/>
    <n v="0"/>
    <n v="0"/>
    <n v="0"/>
    <n v="0"/>
    <n v="0"/>
    <m/>
  </r>
  <r>
    <x v="5"/>
    <x v="25"/>
    <d v="2026-06-26T00:00:00"/>
    <s v="USD"/>
    <s v="捡漏SP.Keyword.Mannual - Tray"/>
    <x v="11"/>
    <s v="Amazon"/>
    <s v="United States"/>
    <s v="universal stroller tray"/>
    <s v="BROAD"/>
    <s v="universal stroller snack tray"/>
    <x v="1302"/>
    <n v="1"/>
    <n v="1.6667000000000001E-2"/>
    <n v="0.22"/>
    <n v="0.22"/>
    <n v="0"/>
    <m/>
    <n v="0"/>
    <n v="0"/>
    <n v="0"/>
    <n v="0"/>
    <n v="0"/>
    <n v="0"/>
    <n v="0"/>
    <n v="0"/>
    <m/>
  </r>
  <r>
    <x v="5"/>
    <x v="26"/>
    <d v="2026-06-28T00:00:00"/>
    <s v="USD"/>
    <s v="捡漏SP.Keyword.Mannual - Tray"/>
    <x v="11"/>
    <s v="Amazon"/>
    <s v="United States"/>
    <s v="universal stroller tray"/>
    <s v="BROAD"/>
    <s v="universal stroller snack tray"/>
    <x v="1306"/>
    <n v="1"/>
    <n v="1.3332999999999999E-2"/>
    <n v="0.22"/>
    <n v="0.22"/>
    <n v="0"/>
    <m/>
    <n v="0"/>
    <n v="0"/>
    <n v="0"/>
    <n v="0"/>
    <n v="0"/>
    <n v="0"/>
    <n v="0"/>
    <n v="0"/>
    <m/>
  </r>
  <r>
    <x v="5"/>
    <x v="26"/>
    <d v="2026-06-29T00:00:00"/>
    <s v="USD"/>
    <s v="捡漏SP.Keyword.Mannual - Tray"/>
    <x v="11"/>
    <s v="Amazon"/>
    <s v="United States"/>
    <s v="universal stroller tray"/>
    <s v="BROAD"/>
    <s v="universal stroller snack tray"/>
    <x v="1256"/>
    <n v="2"/>
    <n v="4.5455000000000002E-2"/>
    <n v="0.2"/>
    <n v="0.4"/>
    <n v="0"/>
    <m/>
    <n v="0"/>
    <n v="0"/>
    <n v="0"/>
    <n v="0"/>
    <n v="0"/>
    <n v="0"/>
    <n v="0"/>
    <n v="0"/>
    <m/>
  </r>
  <r>
    <x v="5"/>
    <x v="26"/>
    <d v="2026-06-30T00:00:00"/>
    <s v="USD"/>
    <s v="捡漏SP.Keyword.Mannual - Tray"/>
    <x v="11"/>
    <s v="Amazon"/>
    <s v="United States"/>
    <s v="universal snack tray for stroller"/>
    <s v="BROAD"/>
    <s v="universal stroller snack tray"/>
    <x v="1168"/>
    <n v="1"/>
    <n v="0.5"/>
    <n v="0.2"/>
    <n v="0.2"/>
    <n v="0"/>
    <m/>
    <n v="0"/>
    <n v="0"/>
    <n v="0"/>
    <n v="0"/>
    <n v="0"/>
    <n v="0"/>
    <n v="0"/>
    <n v="0"/>
    <m/>
  </r>
  <r>
    <x v="5"/>
    <x v="25"/>
    <d v="2026-06-23T00:00:00"/>
    <s v="USD"/>
    <s v="捡漏SP.Keyword.Mannual - Tray"/>
    <x v="11"/>
    <s v="Amazon"/>
    <s v="United States"/>
    <s v="stroller tray"/>
    <s v="BROAD"/>
    <s v="universal stroller snack tray no bar"/>
    <x v="1170"/>
    <n v="1"/>
    <n v="0.33333299999999999"/>
    <n v="0.21"/>
    <n v="0.21"/>
    <n v="18.989999999999998"/>
    <n v="1.1058E-2"/>
    <n v="90.43"/>
    <n v="1"/>
    <n v="1"/>
    <n v="1"/>
    <n v="1"/>
    <n v="0"/>
    <n v="18.989999999999998"/>
    <n v="0"/>
    <m/>
  </r>
  <r>
    <x v="5"/>
    <x v="25"/>
    <d v="2026-06-25T00:00:00"/>
    <s v="USD"/>
    <s v="SP.Auto - Tray"/>
    <x v="12"/>
    <s v="Amazon"/>
    <s v="United States"/>
    <s v="loose-match"/>
    <s v="-"/>
    <s v="wagon snack tray baby trend"/>
    <x v="1171"/>
    <n v="2"/>
    <n v="0.5"/>
    <n v="0.1"/>
    <n v="0.2"/>
    <n v="0"/>
    <m/>
    <n v="0"/>
    <n v="0"/>
    <n v="0"/>
    <n v="0"/>
    <n v="0"/>
    <n v="0"/>
    <n v="0"/>
    <n v="0"/>
    <m/>
  </r>
  <r>
    <x v="5"/>
    <x v="26"/>
    <d v="2026-06-28T00:00:00"/>
    <s v="USD"/>
    <s v="SP.Auto - Tray"/>
    <x v="12"/>
    <s v="Amazon"/>
    <s v="United States"/>
    <s v="loose-match"/>
    <s v="-"/>
    <s v="walker tray"/>
    <x v="1169"/>
    <n v="1"/>
    <n v="1"/>
    <n v="0.5"/>
    <n v="0.5"/>
    <n v="0"/>
    <m/>
    <n v="0"/>
    <n v="0"/>
    <n v="0"/>
    <n v="0"/>
    <n v="0"/>
    <n v="0"/>
    <n v="0"/>
    <n v="0"/>
    <m/>
  </r>
  <r>
    <x v="5"/>
    <x v="26"/>
    <d v="2026-06-28T00:00:00"/>
    <s v="USD"/>
    <s v="捡漏SP.Keyword.Mannual - Tray"/>
    <x v="11"/>
    <s v="Amazon"/>
    <s v="United States"/>
    <s v="stroller tray"/>
    <s v="BROAD"/>
    <s v="water and snack tray for pet stroller"/>
    <x v="1169"/>
    <n v="1"/>
    <n v="1"/>
    <n v="0.21"/>
    <n v="0.21"/>
    <n v="0"/>
    <m/>
    <n v="0"/>
    <n v="0"/>
    <n v="0"/>
    <n v="0"/>
    <n v="0"/>
    <n v="0"/>
    <n v="0"/>
    <n v="0"/>
    <m/>
  </r>
  <r>
    <x v="5"/>
    <x v="26"/>
    <d v="2026-06-30T00:00:00"/>
    <s v="USD"/>
    <s v="捡漏SP.Keyword.Mannual - Tray"/>
    <x v="11"/>
    <s v="Amazon"/>
    <s v="United States"/>
    <s v="wagon cup holder"/>
    <s v="BROAD"/>
    <s v="wonderfold wagon cup holder"/>
    <x v="1169"/>
    <n v="1"/>
    <n v="1"/>
    <n v="0.22"/>
    <n v="0.22"/>
    <n v="0"/>
    <m/>
    <n v="0"/>
    <n v="0"/>
    <n v="0"/>
    <n v="0"/>
    <n v="0"/>
    <n v="0"/>
    <n v="0"/>
    <n v="0"/>
    <m/>
  </r>
  <r>
    <x v="6"/>
    <x v="27"/>
    <m/>
    <m/>
    <m/>
    <x v="18"/>
    <m/>
    <m/>
    <m/>
    <m/>
    <m/>
    <x v="1307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D52E38-F851-8344-B2B7-6F98F89FD2EE}" name="PivotTable6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K320" firstHeaderRow="0" firstDataRow="1" firstDataCol="1" rowPageCount="3" colPageCount="1"/>
  <pivotFields count="31">
    <pivotField axis="axisPage" showAll="0">
      <items count="8">
        <item x="0"/>
        <item x="1"/>
        <item x="2"/>
        <item x="6"/>
        <item x="3"/>
        <item x="4"/>
        <item x="5"/>
        <item t="default"/>
      </items>
    </pivotField>
    <pivotField axis="axisPage" showAll="0">
      <items count="29">
        <item x="3"/>
        <item x="1"/>
        <item x="2"/>
        <item x="0"/>
        <item x="4"/>
        <item x="7"/>
        <item x="6"/>
        <item x="5"/>
        <item x="8"/>
        <item x="10"/>
        <item x="9"/>
        <item x="11"/>
        <item x="13"/>
        <item x="12"/>
        <item x="27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axis="axisPage" multipleItemSelectionAllowed="1" showAll="0">
      <items count="20">
        <item h="1" x="2"/>
        <item h="1" x="6"/>
        <item x="4"/>
        <item h="1" x="1"/>
        <item h="1" x="8"/>
        <item h="1" x="5"/>
        <item h="1" x="3"/>
        <item h="1" x="0"/>
        <item h="1" x="7"/>
        <item h="1" x="9"/>
        <item h="1" x="18"/>
        <item h="1" x="10"/>
        <item h="1" x="11"/>
        <item h="1" x="12"/>
        <item h="1" x="13"/>
        <item h="1" x="14"/>
        <item h="1" x="15"/>
        <item h="1" x="16"/>
        <item h="1" x="1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09">
        <item x="901"/>
        <item x="326"/>
        <item x="793"/>
        <item x="902"/>
        <item x="605"/>
        <item x="525"/>
        <item x="903"/>
        <item x="327"/>
        <item x="328"/>
        <item x="794"/>
        <item x="526"/>
        <item x="796"/>
        <item x="795"/>
        <item x="606"/>
        <item x="607"/>
        <item x="0"/>
        <item x="608"/>
        <item x="797"/>
        <item x="1"/>
        <item x="248"/>
        <item x="527"/>
        <item x="2"/>
        <item x="528"/>
        <item x="529"/>
        <item x="530"/>
        <item x="3"/>
        <item x="798"/>
        <item x="609"/>
        <item x="531"/>
        <item x="799"/>
        <item x="249"/>
        <item x="250"/>
        <item x="251"/>
        <item x="329"/>
        <item x="4"/>
        <item x="800"/>
        <item x="330"/>
        <item x="610"/>
        <item x="532"/>
        <item x="611"/>
        <item x="801"/>
        <item x="5"/>
        <item x="6"/>
        <item x="612"/>
        <item x="331"/>
        <item x="613"/>
        <item x="614"/>
        <item x="7"/>
        <item x="615"/>
        <item x="8"/>
        <item x="252"/>
        <item x="616"/>
        <item x="9"/>
        <item x="332"/>
        <item x="253"/>
        <item x="617"/>
        <item x="802"/>
        <item x="618"/>
        <item x="10"/>
        <item x="11"/>
        <item x="12"/>
        <item x="13"/>
        <item x="619"/>
        <item x="254"/>
        <item x="14"/>
        <item x="333"/>
        <item x="620"/>
        <item x="334"/>
        <item x="621"/>
        <item x="15"/>
        <item x="622"/>
        <item x="623"/>
        <item x="803"/>
        <item x="624"/>
        <item x="625"/>
        <item x="335"/>
        <item x="626"/>
        <item x="336"/>
        <item x="337"/>
        <item x="338"/>
        <item x="16"/>
        <item x="17"/>
        <item x="255"/>
        <item x="533"/>
        <item x="18"/>
        <item x="627"/>
        <item x="19"/>
        <item x="628"/>
        <item x="256"/>
        <item x="339"/>
        <item x="340"/>
        <item x="20"/>
        <item x="257"/>
        <item x="21"/>
        <item x="629"/>
        <item x="534"/>
        <item x="22"/>
        <item x="23"/>
        <item x="630"/>
        <item x="631"/>
        <item x="24"/>
        <item x="25"/>
        <item x="26"/>
        <item x="27"/>
        <item x="341"/>
        <item x="342"/>
        <item x="258"/>
        <item x="343"/>
        <item x="344"/>
        <item x="28"/>
        <item x="535"/>
        <item x="259"/>
        <item x="345"/>
        <item x="260"/>
        <item x="632"/>
        <item x="804"/>
        <item x="805"/>
        <item x="346"/>
        <item x="633"/>
        <item x="29"/>
        <item x="30"/>
        <item x="31"/>
        <item x="32"/>
        <item x="33"/>
        <item x="34"/>
        <item x="35"/>
        <item x="806"/>
        <item x="36"/>
        <item x="37"/>
        <item x="634"/>
        <item x="347"/>
        <item x="536"/>
        <item x="348"/>
        <item x="635"/>
        <item x="349"/>
        <item x="636"/>
        <item x="38"/>
        <item x="350"/>
        <item x="39"/>
        <item x="637"/>
        <item x="351"/>
        <item x="638"/>
        <item x="261"/>
        <item x="262"/>
        <item x="352"/>
        <item x="639"/>
        <item x="40"/>
        <item x="640"/>
        <item x="41"/>
        <item x="263"/>
        <item x="807"/>
        <item x="641"/>
        <item x="642"/>
        <item x="42"/>
        <item x="808"/>
        <item x="353"/>
        <item x="537"/>
        <item x="354"/>
        <item x="643"/>
        <item x="809"/>
        <item x="644"/>
        <item x="43"/>
        <item x="44"/>
        <item x="355"/>
        <item x="45"/>
        <item x="46"/>
        <item x="356"/>
        <item x="47"/>
        <item x="645"/>
        <item x="538"/>
        <item x="48"/>
        <item x="357"/>
        <item x="49"/>
        <item x="539"/>
        <item x="810"/>
        <item x="264"/>
        <item x="358"/>
        <item x="50"/>
        <item x="359"/>
        <item x="360"/>
        <item x="361"/>
        <item x="51"/>
        <item x="811"/>
        <item x="52"/>
        <item x="362"/>
        <item x="646"/>
        <item x="647"/>
        <item x="812"/>
        <item x="363"/>
        <item x="364"/>
        <item x="365"/>
        <item x="53"/>
        <item x="540"/>
        <item x="541"/>
        <item x="54"/>
        <item x="648"/>
        <item x="542"/>
        <item x="55"/>
        <item x="56"/>
        <item x="649"/>
        <item x="650"/>
        <item x="366"/>
        <item x="367"/>
        <item x="368"/>
        <item x="651"/>
        <item x="543"/>
        <item x="369"/>
        <item x="370"/>
        <item x="371"/>
        <item x="57"/>
        <item x="652"/>
        <item x="372"/>
        <item x="813"/>
        <item x="373"/>
        <item x="814"/>
        <item x="815"/>
        <item x="816"/>
        <item x="653"/>
        <item x="374"/>
        <item x="817"/>
        <item x="58"/>
        <item x="59"/>
        <item x="375"/>
        <item x="654"/>
        <item x="60"/>
        <item x="265"/>
        <item x="376"/>
        <item x="655"/>
        <item x="544"/>
        <item x="61"/>
        <item x="62"/>
        <item x="818"/>
        <item x="63"/>
        <item x="64"/>
        <item x="819"/>
        <item x="545"/>
        <item x="65"/>
        <item x="66"/>
        <item x="656"/>
        <item x="67"/>
        <item x="657"/>
        <item x="658"/>
        <item x="68"/>
        <item x="820"/>
        <item x="266"/>
        <item x="69"/>
        <item x="821"/>
        <item x="546"/>
        <item x="267"/>
        <item x="70"/>
        <item x="659"/>
        <item x="71"/>
        <item x="377"/>
        <item x="268"/>
        <item x="269"/>
        <item x="822"/>
        <item x="378"/>
        <item x="270"/>
        <item x="72"/>
        <item x="379"/>
        <item x="823"/>
        <item x="824"/>
        <item x="73"/>
        <item x="74"/>
        <item x="75"/>
        <item x="380"/>
        <item x="76"/>
        <item x="660"/>
        <item x="271"/>
        <item x="77"/>
        <item x="381"/>
        <item x="825"/>
        <item x="826"/>
        <item x="661"/>
        <item x="662"/>
        <item x="78"/>
        <item x="827"/>
        <item x="547"/>
        <item x="663"/>
        <item x="664"/>
        <item x="382"/>
        <item x="665"/>
        <item x="548"/>
        <item x="828"/>
        <item x="79"/>
        <item x="272"/>
        <item x="549"/>
        <item x="550"/>
        <item x="829"/>
        <item x="551"/>
        <item x="383"/>
        <item x="80"/>
        <item x="666"/>
        <item x="273"/>
        <item x="81"/>
        <item x="384"/>
        <item x="830"/>
        <item x="82"/>
        <item x="83"/>
        <item x="84"/>
        <item x="85"/>
        <item x="86"/>
        <item x="385"/>
        <item x="386"/>
        <item x="667"/>
        <item x="831"/>
        <item x="832"/>
        <item x="833"/>
        <item x="387"/>
        <item x="668"/>
        <item x="669"/>
        <item x="388"/>
        <item x="87"/>
        <item x="389"/>
        <item x="670"/>
        <item x="552"/>
        <item x="88"/>
        <item x="89"/>
        <item x="390"/>
        <item x="391"/>
        <item x="671"/>
        <item x="392"/>
        <item x="90"/>
        <item x="91"/>
        <item x="92"/>
        <item x="393"/>
        <item x="394"/>
        <item x="672"/>
        <item x="834"/>
        <item x="93"/>
        <item x="395"/>
        <item x="396"/>
        <item x="397"/>
        <item x="94"/>
        <item x="398"/>
        <item x="399"/>
        <item x="95"/>
        <item x="400"/>
        <item x="96"/>
        <item x="97"/>
        <item x="835"/>
        <item x="98"/>
        <item x="836"/>
        <item x="99"/>
        <item x="401"/>
        <item x="837"/>
        <item x="673"/>
        <item x="100"/>
        <item x="101"/>
        <item x="102"/>
        <item x="103"/>
        <item x="402"/>
        <item x="104"/>
        <item x="674"/>
        <item x="105"/>
        <item x="106"/>
        <item x="403"/>
        <item x="107"/>
        <item x="404"/>
        <item x="108"/>
        <item x="675"/>
        <item x="109"/>
        <item x="110"/>
        <item x="111"/>
        <item x="112"/>
        <item x="676"/>
        <item x="113"/>
        <item x="553"/>
        <item x="554"/>
        <item x="677"/>
        <item x="678"/>
        <item x="555"/>
        <item x="274"/>
        <item x="114"/>
        <item x="405"/>
        <item x="115"/>
        <item x="679"/>
        <item x="116"/>
        <item x="680"/>
        <item x="117"/>
        <item x="275"/>
        <item x="118"/>
        <item x="119"/>
        <item x="556"/>
        <item x="120"/>
        <item x="121"/>
        <item x="122"/>
        <item x="123"/>
        <item x="124"/>
        <item x="276"/>
        <item x="277"/>
        <item x="125"/>
        <item x="126"/>
        <item x="127"/>
        <item x="278"/>
        <item x="128"/>
        <item x="279"/>
        <item x="838"/>
        <item x="557"/>
        <item x="406"/>
        <item x="129"/>
        <item x="407"/>
        <item x="681"/>
        <item x="839"/>
        <item x="408"/>
        <item x="682"/>
        <item x="840"/>
        <item x="841"/>
        <item x="409"/>
        <item x="130"/>
        <item x="131"/>
        <item x="280"/>
        <item x="410"/>
        <item x="281"/>
        <item x="411"/>
        <item x="132"/>
        <item x="683"/>
        <item x="412"/>
        <item x="684"/>
        <item x="558"/>
        <item x="559"/>
        <item x="133"/>
        <item x="685"/>
        <item x="413"/>
        <item x="686"/>
        <item x="687"/>
        <item x="688"/>
        <item x="689"/>
        <item x="690"/>
        <item x="414"/>
        <item x="134"/>
        <item x="691"/>
        <item x="135"/>
        <item x="415"/>
        <item x="692"/>
        <item x="693"/>
        <item x="282"/>
        <item x="136"/>
        <item x="137"/>
        <item x="694"/>
        <item x="842"/>
        <item x="695"/>
        <item x="416"/>
        <item x="417"/>
        <item x="696"/>
        <item x="697"/>
        <item x="283"/>
        <item x="698"/>
        <item x="699"/>
        <item x="700"/>
        <item x="138"/>
        <item x="418"/>
        <item x="419"/>
        <item x="420"/>
        <item x="421"/>
        <item x="139"/>
        <item x="701"/>
        <item x="422"/>
        <item x="140"/>
        <item x="141"/>
        <item x="423"/>
        <item x="843"/>
        <item x="844"/>
        <item x="845"/>
        <item x="142"/>
        <item x="846"/>
        <item x="143"/>
        <item x="560"/>
        <item x="847"/>
        <item x="702"/>
        <item x="424"/>
        <item x="144"/>
        <item x="703"/>
        <item x="145"/>
        <item x="848"/>
        <item x="425"/>
        <item x="849"/>
        <item x="426"/>
        <item x="704"/>
        <item x="146"/>
        <item x="561"/>
        <item x="705"/>
        <item x="427"/>
        <item x="706"/>
        <item x="707"/>
        <item x="428"/>
        <item x="562"/>
        <item x="147"/>
        <item x="708"/>
        <item x="709"/>
        <item x="850"/>
        <item x="429"/>
        <item x="148"/>
        <item x="149"/>
        <item x="430"/>
        <item x="150"/>
        <item x="710"/>
        <item x="151"/>
        <item x="152"/>
        <item x="153"/>
        <item x="563"/>
        <item x="154"/>
        <item x="431"/>
        <item x="851"/>
        <item x="852"/>
        <item x="155"/>
        <item x="564"/>
        <item x="432"/>
        <item x="156"/>
        <item x="711"/>
        <item x="565"/>
        <item x="433"/>
        <item x="157"/>
        <item x="158"/>
        <item x="284"/>
        <item x="566"/>
        <item x="285"/>
        <item x="286"/>
        <item x="712"/>
        <item x="159"/>
        <item x="160"/>
        <item x="161"/>
        <item x="713"/>
        <item x="567"/>
        <item x="434"/>
        <item x="435"/>
        <item x="162"/>
        <item x="568"/>
        <item x="287"/>
        <item x="714"/>
        <item x="436"/>
        <item x="853"/>
        <item x="569"/>
        <item x="288"/>
        <item x="854"/>
        <item x="437"/>
        <item x="855"/>
        <item x="163"/>
        <item x="438"/>
        <item x="289"/>
        <item x="439"/>
        <item x="164"/>
        <item x="165"/>
        <item x="570"/>
        <item x="166"/>
        <item x="167"/>
        <item x="168"/>
        <item x="290"/>
        <item x="440"/>
        <item x="715"/>
        <item x="441"/>
        <item x="716"/>
        <item x="717"/>
        <item x="169"/>
        <item x="170"/>
        <item x="718"/>
        <item x="442"/>
        <item x="291"/>
        <item x="719"/>
        <item x="443"/>
        <item x="571"/>
        <item x="171"/>
        <item x="720"/>
        <item x="444"/>
        <item x="292"/>
        <item x="721"/>
        <item x="856"/>
        <item x="293"/>
        <item x="172"/>
        <item x="857"/>
        <item x="722"/>
        <item x="445"/>
        <item x="446"/>
        <item x="723"/>
        <item x="447"/>
        <item x="724"/>
        <item x="725"/>
        <item x="173"/>
        <item x="174"/>
        <item x="175"/>
        <item x="448"/>
        <item x="176"/>
        <item x="726"/>
        <item x="727"/>
        <item x="177"/>
        <item x="728"/>
        <item x="178"/>
        <item x="449"/>
        <item x="729"/>
        <item x="294"/>
        <item x="858"/>
        <item x="179"/>
        <item x="730"/>
        <item x="731"/>
        <item x="180"/>
        <item x="859"/>
        <item x="732"/>
        <item x="450"/>
        <item x="295"/>
        <item x="733"/>
        <item x="451"/>
        <item x="181"/>
        <item x="452"/>
        <item x="182"/>
        <item x="453"/>
        <item x="454"/>
        <item x="860"/>
        <item x="183"/>
        <item x="296"/>
        <item x="455"/>
        <item x="572"/>
        <item x="861"/>
        <item x="184"/>
        <item x="456"/>
        <item x="734"/>
        <item x="735"/>
        <item x="185"/>
        <item x="457"/>
        <item x="736"/>
        <item x="458"/>
        <item x="186"/>
        <item x="737"/>
        <item x="862"/>
        <item x="738"/>
        <item x="297"/>
        <item x="187"/>
        <item x="573"/>
        <item x="739"/>
        <item x="188"/>
        <item x="189"/>
        <item x="863"/>
        <item x="740"/>
        <item x="741"/>
        <item x="298"/>
        <item x="864"/>
        <item x="190"/>
        <item x="742"/>
        <item x="459"/>
        <item x="743"/>
        <item x="460"/>
        <item x="299"/>
        <item x="865"/>
        <item x="744"/>
        <item x="461"/>
        <item x="745"/>
        <item x="574"/>
        <item x="866"/>
        <item x="746"/>
        <item x="462"/>
        <item x="747"/>
        <item x="748"/>
        <item x="463"/>
        <item x="191"/>
        <item x="464"/>
        <item x="867"/>
        <item x="192"/>
        <item x="465"/>
        <item x="868"/>
        <item x="749"/>
        <item x="193"/>
        <item x="300"/>
        <item x="869"/>
        <item x="466"/>
        <item x="870"/>
        <item x="575"/>
        <item x="576"/>
        <item x="301"/>
        <item x="194"/>
        <item x="577"/>
        <item x="750"/>
        <item x="467"/>
        <item x="195"/>
        <item x="302"/>
        <item x="196"/>
        <item x="578"/>
        <item x="303"/>
        <item x="751"/>
        <item x="871"/>
        <item x="752"/>
        <item x="197"/>
        <item x="468"/>
        <item x="304"/>
        <item x="305"/>
        <item x="198"/>
        <item x="471"/>
        <item x="199"/>
        <item x="469"/>
        <item x="872"/>
        <item x="753"/>
        <item x="754"/>
        <item x="470"/>
        <item x="755"/>
        <item x="306"/>
        <item x="200"/>
        <item x="307"/>
        <item x="756"/>
        <item x="308"/>
        <item x="472"/>
        <item x="309"/>
        <item x="201"/>
        <item x="757"/>
        <item x="202"/>
        <item x="873"/>
        <item x="874"/>
        <item x="473"/>
        <item x="758"/>
        <item x="759"/>
        <item x="875"/>
        <item x="876"/>
        <item x="310"/>
        <item x="877"/>
        <item x="760"/>
        <item x="203"/>
        <item x="474"/>
        <item x="579"/>
        <item x="204"/>
        <item x="475"/>
        <item x="878"/>
        <item x="205"/>
        <item x="206"/>
        <item x="761"/>
        <item x="762"/>
        <item x="476"/>
        <item x="477"/>
        <item x="879"/>
        <item x="763"/>
        <item x="478"/>
        <item x="580"/>
        <item x="311"/>
        <item x="207"/>
        <item x="764"/>
        <item x="581"/>
        <item x="479"/>
        <item x="480"/>
        <item x="765"/>
        <item x="481"/>
        <item x="766"/>
        <item x="482"/>
        <item x="767"/>
        <item x="768"/>
        <item x="208"/>
        <item x="209"/>
        <item x="210"/>
        <item x="483"/>
        <item x="211"/>
        <item x="212"/>
        <item x="484"/>
        <item x="880"/>
        <item x="881"/>
        <item x="769"/>
        <item x="213"/>
        <item x="485"/>
        <item x="486"/>
        <item x="770"/>
        <item x="771"/>
        <item x="214"/>
        <item x="487"/>
        <item x="488"/>
        <item x="489"/>
        <item x="882"/>
        <item x="883"/>
        <item x="582"/>
        <item x="312"/>
        <item x="313"/>
        <item x="314"/>
        <item x="490"/>
        <item x="884"/>
        <item x="215"/>
        <item x="772"/>
        <item x="583"/>
        <item x="491"/>
        <item x="885"/>
        <item x="492"/>
        <item x="216"/>
        <item x="886"/>
        <item x="217"/>
        <item x="218"/>
        <item x="493"/>
        <item x="584"/>
        <item x="494"/>
        <item x="773"/>
        <item x="495"/>
        <item x="496"/>
        <item x="497"/>
        <item x="219"/>
        <item x="220"/>
        <item x="585"/>
        <item x="498"/>
        <item x="774"/>
        <item x="499"/>
        <item x="315"/>
        <item x="586"/>
        <item x="775"/>
        <item x="500"/>
        <item x="501"/>
        <item x="887"/>
        <item x="587"/>
        <item x="588"/>
        <item x="888"/>
        <item x="776"/>
        <item x="777"/>
        <item x="221"/>
        <item x="589"/>
        <item x="889"/>
        <item x="222"/>
        <item x="223"/>
        <item x="778"/>
        <item x="779"/>
        <item x="502"/>
        <item x="890"/>
        <item x="224"/>
        <item x="225"/>
        <item x="226"/>
        <item x="891"/>
        <item x="503"/>
        <item x="316"/>
        <item x="227"/>
        <item x="228"/>
        <item x="780"/>
        <item x="317"/>
        <item x="590"/>
        <item x="229"/>
        <item x="230"/>
        <item x="231"/>
        <item x="504"/>
        <item x="505"/>
        <item x="781"/>
        <item x="892"/>
        <item x="782"/>
        <item x="318"/>
        <item x="893"/>
        <item x="783"/>
        <item x="319"/>
        <item x="784"/>
        <item x="506"/>
        <item x="320"/>
        <item x="591"/>
        <item x="592"/>
        <item x="232"/>
        <item x="233"/>
        <item x="234"/>
        <item x="321"/>
        <item x="593"/>
        <item x="235"/>
        <item x="236"/>
        <item x="507"/>
        <item x="785"/>
        <item x="508"/>
        <item x="786"/>
        <item x="594"/>
        <item x="787"/>
        <item x="237"/>
        <item x="509"/>
        <item x="510"/>
        <item x="894"/>
        <item x="788"/>
        <item x="895"/>
        <item x="238"/>
        <item x="239"/>
        <item x="322"/>
        <item x="240"/>
        <item x="511"/>
        <item x="323"/>
        <item x="512"/>
        <item x="241"/>
        <item x="513"/>
        <item x="514"/>
        <item x="595"/>
        <item x="896"/>
        <item x="242"/>
        <item x="243"/>
        <item x="515"/>
        <item x="596"/>
        <item x="516"/>
        <item x="597"/>
        <item x="517"/>
        <item x="598"/>
        <item x="518"/>
        <item x="789"/>
        <item x="897"/>
        <item x="244"/>
        <item x="898"/>
        <item x="324"/>
        <item x="599"/>
        <item x="245"/>
        <item x="899"/>
        <item x="790"/>
        <item x="791"/>
        <item x="600"/>
        <item x="325"/>
        <item x="519"/>
        <item x="900"/>
        <item x="520"/>
        <item x="521"/>
        <item x="601"/>
        <item x="602"/>
        <item x="603"/>
        <item x="522"/>
        <item x="523"/>
        <item x="604"/>
        <item x="524"/>
        <item x="246"/>
        <item x="792"/>
        <item x="247"/>
        <item x="1307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t="default"/>
      </items>
    </pivotField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11"/>
  </rowFields>
  <rowItems count="315">
    <i>
      <x v="1"/>
    </i>
    <i>
      <x v="10"/>
    </i>
    <i>
      <x v="14"/>
    </i>
    <i>
      <x v="17"/>
    </i>
    <i>
      <x v="23"/>
    </i>
    <i>
      <x v="35"/>
    </i>
    <i>
      <x v="36"/>
    </i>
    <i>
      <x v="37"/>
    </i>
    <i>
      <x v="38"/>
    </i>
    <i>
      <x v="39"/>
    </i>
    <i>
      <x v="40"/>
    </i>
    <i>
      <x v="41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6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7"/>
    </i>
    <i>
      <x v="88"/>
    </i>
    <i>
      <x v="94"/>
    </i>
    <i>
      <x v="95"/>
    </i>
    <i>
      <x v="96"/>
    </i>
    <i>
      <x v="98"/>
    </i>
    <i>
      <x v="99"/>
    </i>
    <i>
      <x v="101"/>
    </i>
    <i>
      <x v="102"/>
    </i>
    <i>
      <x v="104"/>
    </i>
    <i>
      <x v="105"/>
    </i>
    <i>
      <x v="106"/>
    </i>
    <i>
      <x v="107"/>
    </i>
    <i>
      <x v="110"/>
    </i>
    <i>
      <x v="111"/>
    </i>
    <i>
      <x v="139"/>
    </i>
    <i>
      <x v="142"/>
    </i>
    <i>
      <x v="143"/>
    </i>
    <i>
      <x v="144"/>
    </i>
    <i>
      <x v="145"/>
    </i>
    <i>
      <x v="148"/>
    </i>
    <i>
      <x v="149"/>
    </i>
    <i>
      <x v="150"/>
    </i>
    <i>
      <x v="153"/>
    </i>
    <i>
      <x v="183"/>
    </i>
    <i>
      <x v="189"/>
    </i>
    <i>
      <x v="193"/>
    </i>
    <i>
      <x v="194"/>
    </i>
    <i>
      <x v="205"/>
    </i>
    <i>
      <x v="214"/>
    </i>
    <i>
      <x v="220"/>
    </i>
    <i>
      <x v="224"/>
    </i>
    <i>
      <x v="225"/>
    </i>
    <i>
      <x v="229"/>
    </i>
    <i>
      <x v="242"/>
    </i>
    <i>
      <x v="248"/>
    </i>
    <i>
      <x v="251"/>
    </i>
    <i>
      <x v="252"/>
    </i>
    <i>
      <x v="254"/>
    </i>
    <i>
      <x v="255"/>
    </i>
    <i>
      <x v="256"/>
    </i>
    <i>
      <x v="258"/>
    </i>
    <i>
      <x v="259"/>
    </i>
    <i>
      <x v="264"/>
    </i>
    <i>
      <x v="265"/>
    </i>
    <i>
      <x v="268"/>
    </i>
    <i>
      <x v="269"/>
    </i>
    <i>
      <x v="271"/>
    </i>
    <i>
      <x v="275"/>
    </i>
    <i>
      <x v="279"/>
    </i>
    <i>
      <x v="284"/>
    </i>
    <i>
      <x v="287"/>
    </i>
    <i>
      <x v="290"/>
    </i>
    <i>
      <x v="294"/>
    </i>
    <i>
      <x v="295"/>
    </i>
    <i>
      <x v="296"/>
    </i>
    <i>
      <x v="297"/>
    </i>
    <i>
      <x v="299"/>
    </i>
    <i>
      <x v="300"/>
    </i>
    <i>
      <x v="301"/>
    </i>
    <i>
      <x v="303"/>
    </i>
    <i>
      <x v="305"/>
    </i>
    <i>
      <x v="307"/>
    </i>
    <i>
      <x v="308"/>
    </i>
    <i>
      <x v="312"/>
    </i>
    <i>
      <x v="313"/>
    </i>
    <i>
      <x v="317"/>
    </i>
    <i>
      <x v="319"/>
    </i>
    <i>
      <x v="321"/>
    </i>
    <i>
      <x v="322"/>
    </i>
    <i>
      <x v="324"/>
    </i>
    <i>
      <x v="325"/>
    </i>
    <i>
      <x v="329"/>
    </i>
    <i>
      <x v="336"/>
    </i>
    <i>
      <x v="337"/>
    </i>
    <i>
      <x v="339"/>
    </i>
    <i>
      <x v="340"/>
    </i>
    <i>
      <x v="344"/>
    </i>
    <i>
      <x v="347"/>
    </i>
    <i>
      <x v="396"/>
    </i>
    <i>
      <x v="404"/>
    </i>
    <i>
      <x v="411"/>
    </i>
    <i>
      <x v="413"/>
    </i>
    <i>
      <x v="417"/>
    </i>
    <i>
      <x v="419"/>
    </i>
    <i>
      <x v="425"/>
    </i>
    <i>
      <x v="427"/>
    </i>
    <i>
      <x v="436"/>
    </i>
    <i>
      <x v="446"/>
    </i>
    <i>
      <x v="454"/>
    </i>
    <i>
      <x v="456"/>
    </i>
    <i>
      <x v="457"/>
    </i>
    <i>
      <x v="458"/>
    </i>
    <i>
      <x v="467"/>
    </i>
    <i>
      <x v="470"/>
    </i>
    <i>
      <x v="479"/>
    </i>
    <i>
      <x v="499"/>
    </i>
    <i>
      <x v="501"/>
    </i>
    <i>
      <x v="547"/>
    </i>
    <i>
      <x v="556"/>
    </i>
    <i>
      <x v="557"/>
    </i>
    <i>
      <x v="560"/>
    </i>
    <i>
      <x v="574"/>
    </i>
    <i>
      <x v="580"/>
    </i>
    <i>
      <x v="581"/>
    </i>
    <i>
      <x v="585"/>
    </i>
    <i>
      <x v="587"/>
    </i>
    <i>
      <x v="591"/>
    </i>
    <i>
      <x v="594"/>
    </i>
    <i>
      <x v="595"/>
    </i>
    <i>
      <x v="598"/>
    </i>
    <i>
      <x v="599"/>
    </i>
    <i>
      <x v="600"/>
    </i>
    <i>
      <x v="602"/>
    </i>
    <i>
      <x v="604"/>
    </i>
    <i>
      <x v="605"/>
    </i>
    <i>
      <x v="609"/>
    </i>
    <i>
      <x v="610"/>
    </i>
    <i>
      <x v="612"/>
    </i>
    <i>
      <x v="614"/>
    </i>
    <i>
      <x v="616"/>
    </i>
    <i>
      <x v="623"/>
    </i>
    <i>
      <x v="625"/>
    </i>
    <i>
      <x v="633"/>
    </i>
    <i>
      <x v="634"/>
    </i>
    <i>
      <x v="645"/>
    </i>
    <i>
      <x v="646"/>
    </i>
    <i>
      <x v="651"/>
    </i>
    <i>
      <x v="654"/>
    </i>
    <i>
      <x v="656"/>
    </i>
    <i>
      <x v="659"/>
    </i>
    <i>
      <x v="660"/>
    </i>
    <i>
      <x v="661"/>
    </i>
    <i>
      <x v="664"/>
    </i>
    <i>
      <x v="665"/>
    </i>
    <i>
      <x v="671"/>
    </i>
    <i>
      <x v="672"/>
    </i>
    <i>
      <x v="674"/>
    </i>
    <i>
      <x v="676"/>
    </i>
    <i>
      <x v="677"/>
    </i>
    <i>
      <x v="678"/>
    </i>
    <i>
      <x v="679"/>
    </i>
    <i>
      <x v="680"/>
    </i>
    <i>
      <x v="681"/>
    </i>
    <i>
      <x v="683"/>
    </i>
    <i>
      <x v="685"/>
    </i>
    <i>
      <x v="692"/>
    </i>
    <i>
      <x v="694"/>
    </i>
    <i>
      <x v="697"/>
    </i>
    <i>
      <x v="698"/>
    </i>
    <i>
      <x v="700"/>
    </i>
    <i>
      <x v="701"/>
    </i>
    <i>
      <x v="703"/>
    </i>
    <i>
      <x v="704"/>
    </i>
    <i>
      <x v="707"/>
    </i>
    <i>
      <x v="710"/>
    </i>
    <i>
      <x v="712"/>
    </i>
    <i>
      <x v="713"/>
    </i>
    <i>
      <x v="715"/>
    </i>
    <i>
      <x v="716"/>
    </i>
    <i>
      <x v="718"/>
    </i>
    <i>
      <x v="719"/>
    </i>
    <i>
      <x v="727"/>
    </i>
    <i>
      <x v="733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9"/>
    </i>
    <i>
      <x v="750"/>
    </i>
    <i>
      <x v="753"/>
    </i>
    <i>
      <x v="757"/>
    </i>
    <i>
      <x v="759"/>
    </i>
    <i>
      <x v="760"/>
    </i>
    <i>
      <x v="767"/>
    </i>
    <i>
      <x v="769"/>
    </i>
    <i>
      <x v="781"/>
    </i>
    <i>
      <x v="782"/>
    </i>
    <i>
      <x v="793"/>
    </i>
    <i>
      <x v="796"/>
    </i>
    <i>
      <x v="797"/>
    </i>
    <i>
      <x v="804"/>
    </i>
    <i>
      <x v="805"/>
    </i>
    <i>
      <x v="813"/>
    </i>
    <i>
      <x v="814"/>
    </i>
    <i>
      <x v="822"/>
    </i>
    <i>
      <x v="824"/>
    </i>
    <i>
      <x v="828"/>
    </i>
    <i>
      <x v="829"/>
    </i>
    <i>
      <x v="838"/>
    </i>
    <i>
      <x v="839"/>
    </i>
    <i>
      <x v="840"/>
    </i>
    <i>
      <x v="841"/>
    </i>
    <i>
      <x v="843"/>
    </i>
    <i>
      <x v="845"/>
    </i>
    <i>
      <x v="847"/>
    </i>
    <i>
      <x v="851"/>
    </i>
    <i>
      <x v="852"/>
    </i>
    <i>
      <x v="857"/>
    </i>
    <i>
      <x v="858"/>
    </i>
    <i>
      <x v="859"/>
    </i>
    <i>
      <x v="860"/>
    </i>
    <i>
      <x v="869"/>
    </i>
    <i>
      <x v="870"/>
    </i>
    <i>
      <x v="875"/>
    </i>
    <i>
      <x v="876"/>
    </i>
    <i>
      <x v="884"/>
    </i>
    <i>
      <x v="888"/>
    </i>
    <i>
      <x v="893"/>
    </i>
    <i>
      <x v="894"/>
    </i>
    <i>
      <x v="895"/>
    </i>
    <i>
      <x v="899"/>
    </i>
    <i>
      <x v="900"/>
    </i>
    <i>
      <x v="903"/>
    </i>
    <i>
      <x v="911"/>
    </i>
    <i>
      <x v="913"/>
    </i>
    <i>
      <x v="914"/>
    </i>
    <i>
      <x v="915"/>
    </i>
    <i>
      <x v="916"/>
    </i>
    <i>
      <x v="918"/>
    </i>
    <i>
      <x v="919"/>
    </i>
    <i>
      <x v="920"/>
    </i>
    <i>
      <x v="921"/>
    </i>
    <i>
      <x v="922"/>
    </i>
    <i>
      <x v="925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45"/>
    </i>
    <i>
      <x v="946"/>
    </i>
    <i>
      <x v="955"/>
    </i>
    <i>
      <x v="959"/>
    </i>
    <i>
      <x v="971"/>
    </i>
    <i>
      <x v="972"/>
    </i>
    <i>
      <x v="978"/>
    </i>
    <i>
      <x v="983"/>
    </i>
    <i>
      <x v="984"/>
    </i>
    <i>
      <x v="1027"/>
    </i>
    <i>
      <x v="1044"/>
    </i>
    <i>
      <x v="1048"/>
    </i>
    <i>
      <x v="1055"/>
    </i>
    <i>
      <x v="1067"/>
    </i>
    <i>
      <x v="1073"/>
    </i>
    <i>
      <x v="1091"/>
    </i>
    <i>
      <x v="1098"/>
    </i>
    <i>
      <x v="1101"/>
    </i>
    <i>
      <x v="1106"/>
    </i>
    <i>
      <x v="1119"/>
    </i>
    <i>
      <x v="1124"/>
    </i>
    <i>
      <x v="1127"/>
    </i>
    <i>
      <x v="1140"/>
    </i>
    <i>
      <x v="1142"/>
    </i>
    <i>
      <x v="1158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3">
    <pageField fld="5" hier="-1"/>
    <pageField fld="0" hier="-1"/>
    <pageField fld="1" hier="-1"/>
  </pageFields>
  <dataFields count="9">
    <dataField name="Sum of Impressions" fld="12" baseField="0" baseItem="0"/>
    <dataField name="Sum of Clicks" fld="13" baseField="0" baseItem="0"/>
    <dataField name="Sum of Spend" fld="16" baseField="0" baseItem="0" numFmtId="167"/>
    <dataField name="Sum of 7 Day Total Sales " fld="17" baseField="0" baseItem="0"/>
    <dataField name="Sum of 7 Day Total Orders (#)" fld="20" baseField="0" baseItem="0"/>
    <dataField name="Sum of CPC" fld="27" baseField="0" baseItem="0" numFmtId="2"/>
    <dataField name="Sum of ACOS" fld="28" baseField="0" baseItem="0" numFmtId="10"/>
    <dataField name="Sum of CTR" fld="29" baseField="0" baseItem="0" numFmtId="10"/>
    <dataField name="Sum of CVR" fld="30" baseField="0" baseItem="0" numFmtId="10"/>
  </dataFields>
  <formats count="92">
    <format dxfId="202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20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00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199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98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19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96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195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94">
      <pivotArea dataOnly="0" labelOnly="1" fieldPosition="0">
        <references count="1">
          <reference field="11" count="6">
            <x v="625"/>
            <x v="683"/>
            <x v="685"/>
            <x v="718"/>
            <x v="843"/>
            <x v="857"/>
          </reference>
        </references>
      </pivotArea>
    </format>
    <format dxfId="193">
      <pivotArea dataOnly="0" labelOnly="1" fieldPosition="0">
        <references count="1">
          <reference field="11" count="6">
            <x v="625"/>
            <x v="683"/>
            <x v="685"/>
            <x v="718"/>
            <x v="843"/>
            <x v="857"/>
          </reference>
        </references>
      </pivotArea>
    </format>
    <format dxfId="192">
      <pivotArea dataOnly="0" labelOnly="1" fieldPosition="0">
        <references count="1">
          <reference field="11" count="1">
            <x v="719"/>
          </reference>
        </references>
      </pivotArea>
    </format>
    <format dxfId="191">
      <pivotArea dataOnly="0" labelOnly="1" fieldPosition="0">
        <references count="1">
          <reference field="11" count="2">
            <x v="45"/>
            <x v="84"/>
          </reference>
        </references>
      </pivotArea>
    </format>
    <format dxfId="190">
      <pivotArea dataOnly="0" labelOnly="1" fieldPosition="0">
        <references count="1">
          <reference field="11" count="1">
            <x v="106"/>
          </reference>
        </references>
      </pivotArea>
    </format>
    <format dxfId="189">
      <pivotArea dataOnly="0" labelOnly="1" fieldPosition="0">
        <references count="1">
          <reference field="11" count="1">
            <x v="713"/>
          </reference>
        </references>
      </pivotArea>
    </format>
    <format dxfId="188">
      <pivotArea dataOnly="0" labelOnly="1" fieldPosition="0">
        <references count="1">
          <reference field="11" count="1">
            <x v="659"/>
          </reference>
        </references>
      </pivotArea>
    </format>
    <format dxfId="187">
      <pivotArea dataOnly="0" labelOnly="1" fieldPosition="0">
        <references count="1">
          <reference field="11" count="1">
            <x v="41"/>
          </reference>
        </references>
      </pivotArea>
    </format>
    <format dxfId="186">
      <pivotArea dataOnly="0" labelOnly="1" fieldPosition="0">
        <references count="1">
          <reference field="11" count="1">
            <x v="741"/>
          </reference>
        </references>
      </pivotArea>
    </format>
    <format dxfId="185">
      <pivotArea dataOnly="0" labelOnly="1" fieldPosition="0">
        <references count="1">
          <reference field="11" count="1">
            <x v="82"/>
          </reference>
        </references>
      </pivotArea>
    </format>
    <format dxfId="18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8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82">
      <pivotArea dataOnly="0" labelOnly="1" fieldPosition="0">
        <references count="1">
          <reference field="11" count="1">
            <x v="85"/>
          </reference>
        </references>
      </pivotArea>
    </format>
    <format dxfId="181">
      <pivotArea dataOnly="0" labelOnly="1" fieldPosition="0">
        <references count="1">
          <reference field="11" count="1">
            <x v="64"/>
          </reference>
        </references>
      </pivotArea>
    </format>
    <format dxfId="180">
      <pivotArea dataOnly="0" labelOnly="1" fieldPosition="0">
        <references count="1">
          <reference field="11" count="1">
            <x v="446"/>
          </reference>
        </references>
      </pivotArea>
    </format>
    <format dxfId="179">
      <pivotArea dataOnly="0" labelOnly="1" fieldPosition="0">
        <references count="1">
          <reference field="11" count="1">
            <x v="57"/>
          </reference>
        </references>
      </pivotArea>
    </format>
    <format dxfId="178">
      <pivotArea dataOnly="0" labelOnly="1" fieldPosition="0">
        <references count="1">
          <reference field="11" count="1">
            <x v="107"/>
          </reference>
        </references>
      </pivotArea>
    </format>
    <format dxfId="177">
      <pivotArea dataOnly="0" labelOnly="1" fieldPosition="0">
        <references count="1">
          <reference field="11" count="1">
            <x v="48"/>
          </reference>
        </references>
      </pivotArea>
    </format>
    <format dxfId="176">
      <pivotArea dataOnly="0" labelOnly="1" fieldPosition="0">
        <references count="1">
          <reference field="11" count="1">
            <x v="35"/>
          </reference>
        </references>
      </pivotArea>
    </format>
    <format dxfId="175">
      <pivotArea dataOnly="0" labelOnly="1" fieldPosition="0">
        <references count="1">
          <reference field="11" count="1">
            <x v="55"/>
          </reference>
        </references>
      </pivotArea>
    </format>
    <format dxfId="174">
      <pivotArea dataOnly="0" labelOnly="1" fieldPosition="0">
        <references count="1">
          <reference field="11" count="1">
            <x v="692"/>
          </reference>
        </references>
      </pivotArea>
    </format>
    <format dxfId="173">
      <pivotArea dataOnly="0" labelOnly="1" fieldPosition="0">
        <references count="1">
          <reference field="11" count="1">
            <x v="753"/>
          </reference>
        </references>
      </pivotArea>
    </format>
    <format dxfId="172">
      <pivotArea dataOnly="0" labelOnly="1" fieldPosition="0">
        <references count="1">
          <reference field="11" count="1">
            <x v="612"/>
          </reference>
        </references>
      </pivotArea>
    </format>
    <format dxfId="171">
      <pivotArea dataOnly="0" labelOnly="1" fieldPosition="0">
        <references count="1">
          <reference field="11" count="1">
            <x v="876"/>
          </reference>
        </references>
      </pivotArea>
    </format>
    <format dxfId="170">
      <pivotArea dataOnly="0" labelOnly="1" fieldPosition="0">
        <references count="1">
          <reference field="11" count="1">
            <x v="74"/>
          </reference>
        </references>
      </pivotArea>
    </format>
    <format dxfId="169">
      <pivotArea dataOnly="0" labelOnly="1" fieldPosition="0">
        <references count="1">
          <reference field="11" count="2">
            <x v="63"/>
            <x v="81"/>
          </reference>
        </references>
      </pivotArea>
    </format>
    <format dxfId="168">
      <pivotArea dataOnly="0" labelOnly="1" fieldPosition="0">
        <references count="1">
          <reference field="11" count="1">
            <x v="67"/>
          </reference>
        </references>
      </pivotArea>
    </format>
    <format dxfId="167">
      <pivotArea dataOnly="0" labelOnly="1" fieldPosition="0">
        <references count="1">
          <reference field="11" count="3">
            <x v="69"/>
            <x v="256"/>
            <x v="672"/>
          </reference>
        </references>
      </pivotArea>
    </format>
    <format dxfId="166">
      <pivotArea dataOnly="0" labelOnly="1" fieldPosition="0">
        <references count="1">
          <reference field="11" count="1">
            <x v="225"/>
          </reference>
        </references>
      </pivotArea>
    </format>
    <format dxfId="165">
      <pivotArea dataOnly="0" labelOnly="1" fieldPosition="0">
        <references count="1">
          <reference field="11" count="1">
            <x v="99"/>
          </reference>
        </references>
      </pivotArea>
    </format>
    <format dxfId="164">
      <pivotArea dataOnly="0" labelOnly="1" fieldPosition="0">
        <references count="1">
          <reference field="11" count="1">
            <x v="65"/>
          </reference>
        </references>
      </pivotArea>
    </format>
    <format dxfId="163">
      <pivotArea dataOnly="0" labelOnly="1" fieldPosition="0">
        <references count="1">
          <reference field="11" count="2">
            <x v="53"/>
            <x v="60"/>
          </reference>
        </references>
      </pivotArea>
    </format>
    <format dxfId="162">
      <pivotArea dataOnly="0" labelOnly="1" fieldPosition="0">
        <references count="1">
          <reference field="11" count="1">
            <x v="580"/>
          </reference>
        </references>
      </pivotArea>
    </format>
    <format dxfId="161">
      <pivotArea dataOnly="0" labelOnly="1" fieldPosition="0">
        <references count="1">
          <reference field="11" count="1">
            <x v="259"/>
          </reference>
        </references>
      </pivotArea>
    </format>
    <format dxfId="160">
      <pivotArea dataOnly="0" labelOnly="1" fieldPosition="0">
        <references count="1">
          <reference field="11" count="2">
            <x v="79"/>
            <x v="436"/>
          </reference>
        </references>
      </pivotArea>
    </format>
    <format dxfId="159">
      <pivotArea dataOnly="0" labelOnly="1" fieldPosition="0">
        <references count="1">
          <reference field="11" count="1">
            <x v="66"/>
          </reference>
        </references>
      </pivotArea>
    </format>
    <format dxfId="158">
      <pivotArea dataOnly="0" labelOnly="1" fieldPosition="0">
        <references count="1">
          <reference field="11" count="1">
            <x v="36"/>
          </reference>
        </references>
      </pivotArea>
    </format>
    <format dxfId="157">
      <pivotArea dataOnly="0" labelOnly="1" fieldPosition="0">
        <references count="1">
          <reference field="11" count="1">
            <x v="899"/>
          </reference>
        </references>
      </pivotArea>
    </format>
    <format dxfId="156">
      <pivotArea dataOnly="0" labelOnly="1" fieldPosition="0">
        <references count="1">
          <reference field="11" count="6">
            <x v="111"/>
            <x v="224"/>
            <x v="396"/>
            <x v="556"/>
            <x v="557"/>
            <x v="591"/>
          </reference>
        </references>
      </pivotArea>
    </format>
    <format dxfId="155">
      <pivotArea dataOnly="0" labelOnly="1" fieldPosition="0">
        <references count="1">
          <reference field="11" count="1">
            <x v="49"/>
          </reference>
        </references>
      </pivotArea>
    </format>
    <format dxfId="154">
      <pivotArea dataOnly="0" labelOnly="1" fieldPosition="0">
        <references count="1">
          <reference field="11" count="1">
            <x v="73"/>
          </reference>
        </references>
      </pivotArea>
    </format>
    <format dxfId="153">
      <pivotArea dataOnly="0" labelOnly="1" fieldPosition="0">
        <references count="1">
          <reference field="11" count="2">
            <x v="94"/>
            <x v="782"/>
          </reference>
        </references>
      </pivotArea>
    </format>
    <format dxfId="152">
      <pivotArea dataOnly="0" labelOnly="1" fieldPosition="0">
        <references count="1">
          <reference field="11" count="1">
            <x v="265"/>
          </reference>
        </references>
      </pivotArea>
    </format>
    <format dxfId="151">
      <pivotArea dataOnly="0" labelOnly="1" fieldPosition="0">
        <references count="1">
          <reference field="11" count="1">
            <x v="633"/>
          </reference>
        </references>
      </pivotArea>
    </format>
    <format dxfId="150">
      <pivotArea dataOnly="0" labelOnly="1" fieldPosition="0">
        <references count="1">
          <reference field="11" count="1">
            <x v="269"/>
          </reference>
        </references>
      </pivotArea>
    </format>
    <format dxfId="149">
      <pivotArea dataOnly="0" labelOnly="1" fieldPosition="0">
        <references count="1">
          <reference field="11" count="2">
            <x v="654"/>
            <x v="739"/>
          </reference>
        </references>
      </pivotArea>
    </format>
    <format dxfId="148">
      <pivotArea dataOnly="0" labelOnly="1" fieldPosition="0">
        <references count="1">
          <reference field="11" count="1">
            <x v="139"/>
          </reference>
        </references>
      </pivotArea>
    </format>
    <format dxfId="147">
      <pivotArea dataOnly="0" labelOnly="1" fieldPosition="0">
        <references count="1">
          <reference field="11" count="1">
            <x v="661"/>
          </reference>
        </references>
      </pivotArea>
    </format>
    <format dxfId="146">
      <pivotArea dataOnly="0" labelOnly="1" fieldPosition="0">
        <references count="1">
          <reference field="11" count="2">
            <x v="294"/>
            <x v="404"/>
          </reference>
        </references>
      </pivotArea>
    </format>
    <format dxfId="145">
      <pivotArea dataOnly="0" labelOnly="1" fieldPosition="0">
        <references count="1">
          <reference field="11" count="2">
            <x v="419"/>
            <x v="679"/>
          </reference>
        </references>
      </pivotArea>
    </format>
    <format dxfId="144">
      <pivotArea dataOnly="0" labelOnly="1" fieldPosition="0">
        <references count="1">
          <reference field="11" count="1">
            <x v="427"/>
          </reference>
        </references>
      </pivotArea>
    </format>
    <format dxfId="143">
      <pivotArea dataOnly="0" labelOnly="1" fieldPosition="0">
        <references count="1">
          <reference field="11" count="1">
            <x v="547"/>
          </reference>
        </references>
      </pivotArea>
    </format>
    <format dxfId="142">
      <pivotArea dataOnly="0" labelOnly="1" fieldPosition="0">
        <references count="1">
          <reference field="11" count="3">
            <x v="339"/>
            <x v="417"/>
            <x v="707"/>
          </reference>
        </references>
      </pivotArea>
    </format>
    <format dxfId="141">
      <pivotArea dataOnly="0" labelOnly="1" fieldPosition="0">
        <references count="1">
          <reference field="11" count="4">
            <x v="205"/>
            <x v="313"/>
            <x v="467"/>
            <x v="767"/>
          </reference>
        </references>
      </pivotArea>
    </format>
    <format dxfId="140">
      <pivotArea dataOnly="0" labelOnly="1" fieldPosition="0">
        <references count="1">
          <reference field="11" count="1">
            <x v="411"/>
          </reference>
        </references>
      </pivotArea>
    </format>
    <format dxfId="139">
      <pivotArea dataOnly="0" labelOnly="1" fieldPosition="0">
        <references count="1">
          <reference field="11" count="1">
            <x v="893"/>
          </reference>
        </references>
      </pivotArea>
    </format>
    <format dxfId="138">
      <pivotArea dataOnly="0" labelOnly="1" fieldPosition="0">
        <references count="1">
          <reference field="11" count="1">
            <x v="72"/>
          </reference>
        </references>
      </pivotArea>
    </format>
    <format dxfId="137">
      <pivotArea dataOnly="0" labelOnly="1" fieldPosition="0">
        <references count="1">
          <reference field="11" count="2">
            <x v="220"/>
            <x v="737"/>
          </reference>
        </references>
      </pivotArea>
    </format>
    <format dxfId="136">
      <pivotArea dataOnly="0" labelOnly="1" fieldPosition="0">
        <references count="1">
          <reference field="11" count="1">
            <x v="40"/>
          </reference>
        </references>
      </pivotArea>
    </format>
    <format dxfId="135">
      <pivotArea dataOnly="0" labelOnly="1" fieldPosition="0">
        <references count="1">
          <reference field="11" count="2">
            <x v="144"/>
            <x v="574"/>
          </reference>
        </references>
      </pivotArea>
    </format>
    <format dxfId="134">
      <pivotArea dataOnly="0" labelOnly="1" fieldPosition="0">
        <references count="1">
          <reference field="11" count="1">
            <x v="581"/>
          </reference>
        </references>
      </pivotArea>
    </format>
    <format dxfId="133">
      <pivotArea dataOnly="0" labelOnly="1" fieldPosition="0">
        <references count="1">
          <reference field="11" count="1">
            <x v="585"/>
          </reference>
        </references>
      </pivotArea>
    </format>
    <format dxfId="132">
      <pivotArea dataOnly="0" labelOnly="1" fieldPosition="0">
        <references count="1">
          <reference field="11" count="1">
            <x v="735"/>
          </reference>
        </references>
      </pivotArea>
    </format>
    <format dxfId="131">
      <pivotArea dataOnly="0" labelOnly="1" fieldPosition="0">
        <references count="1">
          <reference field="11" count="2">
            <x v="242"/>
            <x v="317"/>
          </reference>
        </references>
      </pivotArea>
    </format>
    <format dxfId="130">
      <pivotArea dataOnly="0" labelOnly="1" fieldPosition="0">
        <references count="1">
          <reference field="11" count="3">
            <x v="325"/>
            <x v="598"/>
            <x v="599"/>
          </reference>
        </references>
      </pivotArea>
    </format>
    <format dxfId="129">
      <pivotArea dataOnly="0" labelOnly="1" fieldPosition="0">
        <references count="1">
          <reference field="11" count="3">
            <x v="248"/>
            <x v="602"/>
            <x v="797"/>
          </reference>
        </references>
      </pivotArea>
    </format>
    <format dxfId="128">
      <pivotArea dataOnly="0" labelOnly="1" fieldPosition="0">
        <references count="1">
          <reference field="11" count="1">
            <x v="78"/>
          </reference>
        </references>
      </pivotArea>
    </format>
    <format dxfId="127">
      <pivotArea dataOnly="0" labelOnly="1" fieldPosition="0">
        <references count="1">
          <reference field="11" count="1">
            <x v="254"/>
          </reference>
        </references>
      </pivotArea>
    </format>
    <format dxfId="126">
      <pivotArea dataOnly="0" labelOnly="1" fieldPosition="0">
        <references count="1">
          <reference field="11" count="1">
            <x v="23"/>
          </reference>
        </references>
      </pivotArea>
    </format>
    <format dxfId="125">
      <pivotArea dataOnly="0" labelOnly="1" fieldPosition="0">
        <references count="1">
          <reference field="11" count="3">
            <x v="105"/>
            <x v="258"/>
            <x v="710"/>
          </reference>
        </references>
      </pivotArea>
    </format>
    <format dxfId="124">
      <pivotArea dataOnly="0" labelOnly="1" fieldPosition="0">
        <references count="1">
          <reference field="11" count="2">
            <x v="88"/>
            <x v="307"/>
          </reference>
        </references>
      </pivotArea>
    </format>
    <format dxfId="123">
      <pivotArea dataOnly="0" labelOnly="1" fieldPosition="0">
        <references count="1">
          <reference field="11" count="1">
            <x v="733"/>
          </reference>
        </references>
      </pivotArea>
    </format>
    <format dxfId="122">
      <pivotArea dataOnly="0" labelOnly="1" fieldPosition="0">
        <references count="1">
          <reference field="11" count="1">
            <x v="738"/>
          </reference>
        </references>
      </pivotArea>
    </format>
    <format dxfId="121">
      <pivotArea dataOnly="0" labelOnly="1" fieldPosition="0">
        <references count="1">
          <reference field="11" count="1">
            <x v="656"/>
          </reference>
        </references>
      </pivotArea>
    </format>
    <format dxfId="120">
      <pivotArea dataOnly="0" labelOnly="1" fieldPosition="0">
        <references count="1">
          <reference field="11" count="1">
            <x v="10"/>
          </reference>
        </references>
      </pivotArea>
    </format>
    <format dxfId="119">
      <pivotArea dataOnly="0" labelOnly="1" fieldPosition="0">
        <references count="1">
          <reference field="11" count="1">
            <x v="757"/>
          </reference>
        </references>
      </pivotArea>
    </format>
    <format dxfId="118">
      <pivotArea dataOnly="0" labelOnly="1" fieldPosition="0">
        <references count="1">
          <reference field="11" count="2">
            <x v="329"/>
            <x v="664"/>
          </reference>
        </references>
      </pivotArea>
    </format>
    <format dxfId="117">
      <pivotArea dataOnly="0" labelOnly="1" fieldPosition="0">
        <references count="1">
          <reference field="11" count="2">
            <x v="14"/>
            <x v="284"/>
          </reference>
        </references>
      </pivotArea>
    </format>
    <format dxfId="116">
      <pivotArea dataOnly="0" labelOnly="1" fieldPosition="0">
        <references count="1">
          <reference field="11" count="7">
            <x v="38"/>
            <x v="143"/>
            <x v="287"/>
            <x v="674"/>
            <x v="676"/>
            <x v="677"/>
            <x v="813"/>
          </reference>
        </references>
      </pivotArea>
    </format>
    <format dxfId="115">
      <pivotArea dataOnly="0" labelOnly="1" fieldPosition="0">
        <references count="1">
          <reference field="11" count="3">
            <x v="148"/>
            <x v="290"/>
            <x v="678"/>
          </reference>
        </references>
      </pivotArea>
    </format>
    <format dxfId="114">
      <pivotArea dataOnly="0" labelOnly="1" fieldPosition="0">
        <references count="1">
          <reference field="11" count="4">
            <x v="17"/>
            <x v="56"/>
            <x v="98"/>
            <x v="183"/>
          </reference>
        </references>
      </pivotArea>
    </format>
    <format dxfId="113">
      <pivotArea dataOnly="0" labelOnly="1" fieldPosition="0">
        <references count="1">
          <reference field="11" count="1">
            <x v="297"/>
          </reference>
        </references>
      </pivotArea>
    </format>
    <format dxfId="112">
      <pivotArea dataOnly="0" labelOnly="1" fieldPosition="0">
        <references count="1">
          <reference field="11" count="3">
            <x v="698"/>
            <x v="700"/>
            <x v="894"/>
          </reference>
        </references>
      </pivotArea>
    </format>
    <format dxfId="111">
      <pivotArea dataOnly="0" labelOnly="1" fieldPosition="0">
        <references count="1">
          <reference field="11" count="2">
            <x v="102"/>
            <x v="90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AB19E-2253-9C43-BB11-4D37258D011B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K172" firstHeaderRow="0" firstDataRow="1" firstDataCol="1" rowPageCount="3" colPageCount="1"/>
  <pivotFields count="31">
    <pivotField axis="axisPage" showAll="0">
      <items count="8">
        <item x="0"/>
        <item x="1"/>
        <item x="2"/>
        <item x="6"/>
        <item x="3"/>
        <item x="4"/>
        <item x="5"/>
        <item t="default"/>
      </items>
    </pivotField>
    <pivotField axis="axisPage" showAll="0">
      <items count="29">
        <item x="3"/>
        <item x="1"/>
        <item x="2"/>
        <item x="0"/>
        <item x="4"/>
        <item x="7"/>
        <item x="6"/>
        <item x="5"/>
        <item x="8"/>
        <item x="10"/>
        <item x="9"/>
        <item x="11"/>
        <item x="13"/>
        <item x="12"/>
        <item x="27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axis="axisPage" multipleItemSelectionAllowed="1" showAll="0">
      <items count="20">
        <item h="1" x="2"/>
        <item x="6"/>
        <item h="1" x="4"/>
        <item h="1" x="1"/>
        <item h="1" x="8"/>
        <item h="1" x="5"/>
        <item x="3"/>
        <item h="1" x="0"/>
        <item h="1" x="7"/>
        <item h="1" x="9"/>
        <item h="1" x="18"/>
        <item h="1" x="10"/>
        <item h="1" x="11"/>
        <item h="1" x="12"/>
        <item h="1" x="13"/>
        <item h="1" x="14"/>
        <item h="1" x="15"/>
        <item h="1" x="16"/>
        <item h="1" x="17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1309">
        <item x="901"/>
        <item x="326"/>
        <item x="793"/>
        <item x="902"/>
        <item x="605"/>
        <item x="525"/>
        <item x="903"/>
        <item x="327"/>
        <item x="328"/>
        <item x="794"/>
        <item x="526"/>
        <item x="796"/>
        <item x="795"/>
        <item x="606"/>
        <item x="607"/>
        <item x="0"/>
        <item x="608"/>
        <item x="797"/>
        <item x="1"/>
        <item x="248"/>
        <item x="527"/>
        <item x="2"/>
        <item x="528"/>
        <item x="529"/>
        <item x="530"/>
        <item x="3"/>
        <item x="798"/>
        <item x="609"/>
        <item x="531"/>
        <item x="799"/>
        <item x="249"/>
        <item x="250"/>
        <item x="251"/>
        <item x="329"/>
        <item x="4"/>
        <item x="800"/>
        <item x="330"/>
        <item x="610"/>
        <item x="532"/>
        <item x="611"/>
        <item x="801"/>
        <item x="5"/>
        <item x="6"/>
        <item x="612"/>
        <item x="331"/>
        <item x="613"/>
        <item x="614"/>
        <item x="7"/>
        <item x="615"/>
        <item x="8"/>
        <item x="252"/>
        <item x="616"/>
        <item x="9"/>
        <item x="332"/>
        <item x="253"/>
        <item x="617"/>
        <item x="802"/>
        <item x="618"/>
        <item x="10"/>
        <item x="11"/>
        <item x="12"/>
        <item x="13"/>
        <item x="619"/>
        <item x="254"/>
        <item x="14"/>
        <item x="333"/>
        <item x="620"/>
        <item x="334"/>
        <item x="621"/>
        <item x="15"/>
        <item x="622"/>
        <item x="623"/>
        <item x="803"/>
        <item x="624"/>
        <item x="625"/>
        <item x="335"/>
        <item x="626"/>
        <item x="336"/>
        <item x="337"/>
        <item x="338"/>
        <item x="16"/>
        <item x="17"/>
        <item x="255"/>
        <item x="533"/>
        <item x="18"/>
        <item x="627"/>
        <item x="19"/>
        <item x="628"/>
        <item x="256"/>
        <item x="339"/>
        <item x="340"/>
        <item x="20"/>
        <item x="257"/>
        <item x="21"/>
        <item x="629"/>
        <item x="534"/>
        <item x="22"/>
        <item x="23"/>
        <item x="630"/>
        <item x="631"/>
        <item x="24"/>
        <item x="25"/>
        <item x="26"/>
        <item x="27"/>
        <item x="341"/>
        <item x="342"/>
        <item x="258"/>
        <item x="343"/>
        <item x="344"/>
        <item x="28"/>
        <item x="535"/>
        <item x="259"/>
        <item x="345"/>
        <item x="260"/>
        <item x="632"/>
        <item x="804"/>
        <item x="805"/>
        <item x="346"/>
        <item x="633"/>
        <item x="29"/>
        <item x="30"/>
        <item x="31"/>
        <item x="32"/>
        <item x="33"/>
        <item x="34"/>
        <item x="35"/>
        <item x="806"/>
        <item x="36"/>
        <item x="37"/>
        <item x="634"/>
        <item x="347"/>
        <item x="536"/>
        <item x="348"/>
        <item x="635"/>
        <item x="349"/>
        <item x="636"/>
        <item x="38"/>
        <item x="350"/>
        <item x="39"/>
        <item x="637"/>
        <item x="351"/>
        <item x="638"/>
        <item x="261"/>
        <item x="262"/>
        <item x="352"/>
        <item x="639"/>
        <item x="40"/>
        <item x="640"/>
        <item x="41"/>
        <item x="263"/>
        <item x="807"/>
        <item x="641"/>
        <item x="642"/>
        <item x="42"/>
        <item x="808"/>
        <item x="353"/>
        <item x="537"/>
        <item x="354"/>
        <item x="643"/>
        <item x="809"/>
        <item x="644"/>
        <item x="43"/>
        <item x="44"/>
        <item x="355"/>
        <item x="45"/>
        <item x="46"/>
        <item x="356"/>
        <item x="47"/>
        <item x="645"/>
        <item x="538"/>
        <item x="48"/>
        <item x="357"/>
        <item x="49"/>
        <item x="539"/>
        <item x="810"/>
        <item x="264"/>
        <item x="358"/>
        <item x="50"/>
        <item x="359"/>
        <item x="360"/>
        <item x="361"/>
        <item x="51"/>
        <item x="811"/>
        <item x="52"/>
        <item x="362"/>
        <item x="646"/>
        <item x="647"/>
        <item x="812"/>
        <item x="363"/>
        <item x="364"/>
        <item x="365"/>
        <item x="53"/>
        <item x="540"/>
        <item x="541"/>
        <item x="54"/>
        <item x="648"/>
        <item x="542"/>
        <item x="55"/>
        <item x="56"/>
        <item x="649"/>
        <item x="650"/>
        <item x="366"/>
        <item x="367"/>
        <item x="368"/>
        <item x="651"/>
        <item x="543"/>
        <item x="369"/>
        <item x="370"/>
        <item x="371"/>
        <item x="57"/>
        <item x="652"/>
        <item x="372"/>
        <item x="813"/>
        <item x="373"/>
        <item x="814"/>
        <item x="815"/>
        <item x="816"/>
        <item x="653"/>
        <item x="374"/>
        <item x="817"/>
        <item x="58"/>
        <item x="59"/>
        <item x="375"/>
        <item x="654"/>
        <item x="60"/>
        <item x="265"/>
        <item x="376"/>
        <item x="655"/>
        <item x="544"/>
        <item x="61"/>
        <item x="62"/>
        <item x="818"/>
        <item x="63"/>
        <item x="64"/>
        <item x="819"/>
        <item x="545"/>
        <item x="65"/>
        <item x="66"/>
        <item x="656"/>
        <item x="67"/>
        <item x="657"/>
        <item x="658"/>
        <item x="68"/>
        <item x="820"/>
        <item x="266"/>
        <item x="69"/>
        <item x="821"/>
        <item x="546"/>
        <item x="267"/>
        <item x="70"/>
        <item x="659"/>
        <item x="71"/>
        <item x="377"/>
        <item x="268"/>
        <item x="269"/>
        <item x="822"/>
        <item x="378"/>
        <item x="270"/>
        <item x="72"/>
        <item x="379"/>
        <item x="823"/>
        <item x="824"/>
        <item x="73"/>
        <item x="74"/>
        <item x="75"/>
        <item x="380"/>
        <item x="76"/>
        <item x="660"/>
        <item x="271"/>
        <item x="77"/>
        <item x="381"/>
        <item x="825"/>
        <item x="826"/>
        <item x="661"/>
        <item x="662"/>
        <item x="78"/>
        <item x="827"/>
        <item x="547"/>
        <item x="663"/>
        <item x="664"/>
        <item x="382"/>
        <item x="665"/>
        <item x="548"/>
        <item x="828"/>
        <item x="79"/>
        <item x="272"/>
        <item x="549"/>
        <item x="550"/>
        <item x="829"/>
        <item x="551"/>
        <item x="383"/>
        <item x="80"/>
        <item x="666"/>
        <item x="273"/>
        <item x="81"/>
        <item x="384"/>
        <item x="830"/>
        <item x="82"/>
        <item x="83"/>
        <item x="84"/>
        <item x="85"/>
        <item x="86"/>
        <item x="385"/>
        <item x="386"/>
        <item x="667"/>
        <item x="831"/>
        <item x="832"/>
        <item x="833"/>
        <item x="387"/>
        <item x="668"/>
        <item x="669"/>
        <item x="388"/>
        <item x="87"/>
        <item x="389"/>
        <item x="670"/>
        <item x="552"/>
        <item x="88"/>
        <item x="89"/>
        <item x="390"/>
        <item x="391"/>
        <item x="671"/>
        <item x="392"/>
        <item x="90"/>
        <item x="91"/>
        <item x="92"/>
        <item x="393"/>
        <item x="394"/>
        <item x="672"/>
        <item x="834"/>
        <item x="93"/>
        <item x="395"/>
        <item x="396"/>
        <item x="397"/>
        <item x="94"/>
        <item x="398"/>
        <item x="399"/>
        <item x="95"/>
        <item x="400"/>
        <item x="96"/>
        <item x="97"/>
        <item x="835"/>
        <item x="98"/>
        <item x="836"/>
        <item x="99"/>
        <item x="401"/>
        <item x="837"/>
        <item x="673"/>
        <item x="100"/>
        <item x="101"/>
        <item x="102"/>
        <item x="103"/>
        <item x="402"/>
        <item x="104"/>
        <item x="674"/>
        <item x="105"/>
        <item x="106"/>
        <item x="403"/>
        <item x="107"/>
        <item x="404"/>
        <item x="108"/>
        <item x="675"/>
        <item x="109"/>
        <item x="110"/>
        <item x="111"/>
        <item x="112"/>
        <item x="676"/>
        <item x="113"/>
        <item x="553"/>
        <item x="554"/>
        <item x="677"/>
        <item x="678"/>
        <item x="555"/>
        <item x="274"/>
        <item x="114"/>
        <item x="405"/>
        <item x="115"/>
        <item x="679"/>
        <item x="116"/>
        <item x="680"/>
        <item x="117"/>
        <item x="275"/>
        <item x="118"/>
        <item x="119"/>
        <item x="556"/>
        <item x="120"/>
        <item x="121"/>
        <item x="122"/>
        <item x="123"/>
        <item x="124"/>
        <item x="276"/>
        <item x="277"/>
        <item x="125"/>
        <item x="126"/>
        <item x="127"/>
        <item x="278"/>
        <item x="128"/>
        <item x="279"/>
        <item x="838"/>
        <item x="557"/>
        <item x="406"/>
        <item x="129"/>
        <item x="407"/>
        <item x="681"/>
        <item x="839"/>
        <item x="408"/>
        <item x="682"/>
        <item x="840"/>
        <item x="841"/>
        <item x="409"/>
        <item x="130"/>
        <item x="131"/>
        <item x="280"/>
        <item x="410"/>
        <item x="281"/>
        <item x="411"/>
        <item x="132"/>
        <item x="683"/>
        <item x="412"/>
        <item x="684"/>
        <item x="558"/>
        <item x="559"/>
        <item x="133"/>
        <item x="685"/>
        <item x="413"/>
        <item x="686"/>
        <item x="687"/>
        <item x="688"/>
        <item x="689"/>
        <item x="690"/>
        <item x="414"/>
        <item x="134"/>
        <item x="691"/>
        <item x="135"/>
        <item x="415"/>
        <item x="692"/>
        <item x="693"/>
        <item x="282"/>
        <item x="136"/>
        <item x="137"/>
        <item x="694"/>
        <item x="842"/>
        <item x="695"/>
        <item x="416"/>
        <item x="417"/>
        <item x="696"/>
        <item x="697"/>
        <item x="283"/>
        <item x="698"/>
        <item x="699"/>
        <item x="700"/>
        <item x="138"/>
        <item x="418"/>
        <item x="419"/>
        <item x="420"/>
        <item x="421"/>
        <item x="139"/>
        <item x="701"/>
        <item x="422"/>
        <item x="140"/>
        <item x="141"/>
        <item x="423"/>
        <item x="843"/>
        <item x="844"/>
        <item x="845"/>
        <item x="142"/>
        <item x="846"/>
        <item x="143"/>
        <item x="560"/>
        <item x="847"/>
        <item x="702"/>
        <item x="424"/>
        <item x="144"/>
        <item x="703"/>
        <item x="145"/>
        <item x="848"/>
        <item x="425"/>
        <item x="849"/>
        <item x="426"/>
        <item x="704"/>
        <item x="146"/>
        <item x="561"/>
        <item x="705"/>
        <item x="427"/>
        <item x="706"/>
        <item x="707"/>
        <item x="428"/>
        <item x="562"/>
        <item x="147"/>
        <item x="708"/>
        <item x="709"/>
        <item x="850"/>
        <item x="429"/>
        <item x="148"/>
        <item x="149"/>
        <item x="430"/>
        <item x="150"/>
        <item x="710"/>
        <item x="151"/>
        <item x="152"/>
        <item x="153"/>
        <item x="563"/>
        <item x="154"/>
        <item x="431"/>
        <item x="851"/>
        <item x="852"/>
        <item x="155"/>
        <item x="564"/>
        <item x="432"/>
        <item x="156"/>
        <item x="711"/>
        <item x="565"/>
        <item x="433"/>
        <item x="157"/>
        <item x="158"/>
        <item x="284"/>
        <item x="566"/>
        <item x="285"/>
        <item x="286"/>
        <item x="712"/>
        <item x="159"/>
        <item x="160"/>
        <item x="161"/>
        <item x="713"/>
        <item x="567"/>
        <item x="434"/>
        <item x="435"/>
        <item x="162"/>
        <item x="568"/>
        <item x="287"/>
        <item x="714"/>
        <item x="436"/>
        <item x="853"/>
        <item x="569"/>
        <item x="288"/>
        <item x="854"/>
        <item x="437"/>
        <item x="855"/>
        <item x="163"/>
        <item x="438"/>
        <item x="289"/>
        <item x="439"/>
        <item x="164"/>
        <item x="165"/>
        <item x="570"/>
        <item x="166"/>
        <item x="167"/>
        <item x="168"/>
        <item x="290"/>
        <item x="440"/>
        <item x="715"/>
        <item x="441"/>
        <item x="716"/>
        <item x="717"/>
        <item x="169"/>
        <item x="170"/>
        <item x="718"/>
        <item x="442"/>
        <item x="291"/>
        <item x="719"/>
        <item x="443"/>
        <item x="571"/>
        <item x="171"/>
        <item x="720"/>
        <item x="444"/>
        <item x="292"/>
        <item x="721"/>
        <item x="856"/>
        <item x="293"/>
        <item x="172"/>
        <item x="857"/>
        <item x="722"/>
        <item x="445"/>
        <item x="446"/>
        <item x="723"/>
        <item x="447"/>
        <item x="724"/>
        <item x="725"/>
        <item x="173"/>
        <item x="174"/>
        <item x="175"/>
        <item x="448"/>
        <item x="176"/>
        <item x="726"/>
        <item x="727"/>
        <item x="177"/>
        <item x="728"/>
        <item x="178"/>
        <item x="449"/>
        <item x="729"/>
        <item x="294"/>
        <item x="858"/>
        <item x="179"/>
        <item x="730"/>
        <item x="731"/>
        <item x="180"/>
        <item x="859"/>
        <item x="732"/>
        <item x="450"/>
        <item x="295"/>
        <item x="733"/>
        <item x="451"/>
        <item x="181"/>
        <item x="452"/>
        <item x="182"/>
        <item x="453"/>
        <item x="454"/>
        <item x="860"/>
        <item x="183"/>
        <item x="296"/>
        <item x="455"/>
        <item x="572"/>
        <item x="861"/>
        <item x="184"/>
        <item x="456"/>
        <item x="734"/>
        <item x="735"/>
        <item x="185"/>
        <item x="457"/>
        <item x="736"/>
        <item x="458"/>
        <item x="186"/>
        <item x="737"/>
        <item x="862"/>
        <item x="738"/>
        <item x="297"/>
        <item x="187"/>
        <item x="573"/>
        <item x="739"/>
        <item x="188"/>
        <item x="189"/>
        <item x="863"/>
        <item x="740"/>
        <item x="741"/>
        <item x="298"/>
        <item x="864"/>
        <item x="190"/>
        <item x="742"/>
        <item x="459"/>
        <item x="743"/>
        <item x="460"/>
        <item x="299"/>
        <item x="865"/>
        <item x="744"/>
        <item x="461"/>
        <item x="745"/>
        <item x="574"/>
        <item x="866"/>
        <item x="746"/>
        <item x="462"/>
        <item x="747"/>
        <item x="748"/>
        <item x="463"/>
        <item x="191"/>
        <item x="464"/>
        <item x="867"/>
        <item x="192"/>
        <item x="465"/>
        <item x="868"/>
        <item x="749"/>
        <item x="193"/>
        <item x="300"/>
        <item x="869"/>
        <item x="466"/>
        <item x="870"/>
        <item x="575"/>
        <item x="576"/>
        <item x="301"/>
        <item x="194"/>
        <item x="577"/>
        <item x="750"/>
        <item x="467"/>
        <item x="195"/>
        <item x="302"/>
        <item x="196"/>
        <item x="578"/>
        <item x="303"/>
        <item x="751"/>
        <item x="871"/>
        <item x="752"/>
        <item x="197"/>
        <item x="468"/>
        <item x="304"/>
        <item x="305"/>
        <item x="198"/>
        <item x="471"/>
        <item x="199"/>
        <item x="469"/>
        <item x="872"/>
        <item x="753"/>
        <item x="754"/>
        <item x="470"/>
        <item x="755"/>
        <item x="306"/>
        <item x="200"/>
        <item x="307"/>
        <item x="756"/>
        <item x="308"/>
        <item x="472"/>
        <item x="309"/>
        <item x="201"/>
        <item x="757"/>
        <item x="202"/>
        <item x="873"/>
        <item x="874"/>
        <item x="473"/>
        <item x="758"/>
        <item x="759"/>
        <item x="875"/>
        <item x="876"/>
        <item x="310"/>
        <item x="877"/>
        <item x="760"/>
        <item x="203"/>
        <item x="474"/>
        <item x="579"/>
        <item x="204"/>
        <item x="475"/>
        <item x="878"/>
        <item x="205"/>
        <item x="206"/>
        <item x="761"/>
        <item x="762"/>
        <item x="476"/>
        <item x="477"/>
        <item x="879"/>
        <item x="763"/>
        <item x="478"/>
        <item x="580"/>
        <item x="311"/>
        <item x="207"/>
        <item x="764"/>
        <item x="581"/>
        <item x="479"/>
        <item x="480"/>
        <item x="765"/>
        <item x="481"/>
        <item x="766"/>
        <item x="482"/>
        <item x="767"/>
        <item x="768"/>
        <item x="208"/>
        <item x="209"/>
        <item x="210"/>
        <item x="483"/>
        <item x="211"/>
        <item x="212"/>
        <item x="484"/>
        <item x="880"/>
        <item x="881"/>
        <item x="769"/>
        <item x="213"/>
        <item x="485"/>
        <item x="486"/>
        <item x="770"/>
        <item x="771"/>
        <item x="214"/>
        <item x="487"/>
        <item x="488"/>
        <item x="489"/>
        <item x="882"/>
        <item x="883"/>
        <item x="582"/>
        <item x="312"/>
        <item x="313"/>
        <item x="314"/>
        <item x="490"/>
        <item x="884"/>
        <item x="215"/>
        <item x="772"/>
        <item x="583"/>
        <item x="491"/>
        <item x="885"/>
        <item x="492"/>
        <item x="216"/>
        <item x="886"/>
        <item x="217"/>
        <item x="218"/>
        <item x="493"/>
        <item x="584"/>
        <item x="494"/>
        <item x="773"/>
        <item x="495"/>
        <item x="496"/>
        <item x="497"/>
        <item x="219"/>
        <item x="220"/>
        <item x="585"/>
        <item x="498"/>
        <item x="774"/>
        <item x="499"/>
        <item x="315"/>
        <item x="586"/>
        <item x="775"/>
        <item x="500"/>
        <item x="501"/>
        <item x="887"/>
        <item x="587"/>
        <item x="588"/>
        <item x="888"/>
        <item x="776"/>
        <item x="777"/>
        <item x="221"/>
        <item x="589"/>
        <item x="889"/>
        <item x="222"/>
        <item x="223"/>
        <item x="778"/>
        <item x="779"/>
        <item x="502"/>
        <item x="890"/>
        <item x="224"/>
        <item x="225"/>
        <item x="226"/>
        <item x="891"/>
        <item x="503"/>
        <item x="316"/>
        <item x="227"/>
        <item x="228"/>
        <item x="780"/>
        <item x="317"/>
        <item x="590"/>
        <item x="229"/>
        <item x="230"/>
        <item x="231"/>
        <item x="504"/>
        <item x="505"/>
        <item x="781"/>
        <item x="892"/>
        <item x="782"/>
        <item x="318"/>
        <item x="893"/>
        <item x="783"/>
        <item x="319"/>
        <item x="784"/>
        <item x="506"/>
        <item x="320"/>
        <item x="591"/>
        <item x="592"/>
        <item x="232"/>
        <item x="233"/>
        <item x="234"/>
        <item x="321"/>
        <item x="593"/>
        <item x="235"/>
        <item x="236"/>
        <item x="507"/>
        <item x="785"/>
        <item x="508"/>
        <item x="786"/>
        <item x="594"/>
        <item x="787"/>
        <item x="237"/>
        <item x="509"/>
        <item x="510"/>
        <item x="894"/>
        <item x="788"/>
        <item x="895"/>
        <item x="238"/>
        <item x="239"/>
        <item x="322"/>
        <item x="240"/>
        <item x="511"/>
        <item x="323"/>
        <item x="512"/>
        <item x="241"/>
        <item x="513"/>
        <item x="514"/>
        <item x="595"/>
        <item x="896"/>
        <item x="242"/>
        <item x="243"/>
        <item x="515"/>
        <item x="596"/>
        <item x="516"/>
        <item x="597"/>
        <item x="517"/>
        <item x="598"/>
        <item x="518"/>
        <item x="789"/>
        <item x="897"/>
        <item x="244"/>
        <item x="898"/>
        <item x="324"/>
        <item x="599"/>
        <item x="245"/>
        <item x="899"/>
        <item x="790"/>
        <item x="791"/>
        <item x="600"/>
        <item x="325"/>
        <item x="519"/>
        <item x="900"/>
        <item x="520"/>
        <item x="521"/>
        <item x="601"/>
        <item x="602"/>
        <item x="603"/>
        <item x="522"/>
        <item x="523"/>
        <item x="604"/>
        <item x="524"/>
        <item x="246"/>
        <item x="792"/>
        <item x="247"/>
        <item x="1307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11"/>
  </rowFields>
  <rowItems count="167">
    <i>
      <x v="366"/>
    </i>
    <i>
      <x v="519"/>
    </i>
    <i>
      <x v="536"/>
    </i>
    <i>
      <x v="780"/>
    </i>
    <i>
      <x v="926"/>
    </i>
    <i>
      <x v="357"/>
    </i>
    <i>
      <x v="165"/>
    </i>
    <i>
      <x v="514"/>
    </i>
    <i>
      <x v="388"/>
    </i>
    <i>
      <x v="537"/>
    </i>
    <i>
      <x v="539"/>
    </i>
    <i>
      <x v="527"/>
    </i>
    <i>
      <x v="515"/>
    </i>
    <i>
      <x v="115"/>
    </i>
    <i>
      <x v="387"/>
    </i>
    <i>
      <x v="772"/>
    </i>
    <i>
      <x v="938"/>
    </i>
    <i>
      <x v="364"/>
    </i>
    <i>
      <x v="1016"/>
    </i>
    <i>
      <x v="939"/>
    </i>
    <i>
      <x v="75"/>
    </i>
    <i>
      <x v="90"/>
    </i>
    <i>
      <x v="942"/>
    </i>
    <i>
      <x v="766"/>
    </i>
    <i>
      <x v="794"/>
    </i>
    <i>
      <x v="114"/>
    </i>
    <i>
      <x v="377"/>
    </i>
    <i>
      <x v="953"/>
    </i>
    <i>
      <x v="348"/>
    </i>
    <i>
      <x v="186"/>
    </i>
    <i>
      <x v="1060"/>
    </i>
    <i>
      <x v="172"/>
    </i>
    <i>
      <x v="1064"/>
    </i>
    <i>
      <x v="116"/>
    </i>
    <i>
      <x v="535"/>
    </i>
    <i>
      <x v="195"/>
    </i>
    <i>
      <x v="285"/>
    </i>
    <i>
      <x v="33"/>
    </i>
    <i>
      <x v="378"/>
    </i>
    <i>
      <x v="32"/>
    </i>
    <i>
      <x v="787"/>
    </i>
    <i>
      <x v="940"/>
    </i>
    <i>
      <x v="528"/>
    </i>
    <i>
      <x v="103"/>
    </i>
    <i>
      <x v="133"/>
    </i>
    <i>
      <x v="1012"/>
    </i>
    <i>
      <x v="159"/>
    </i>
    <i>
      <x v="368"/>
    </i>
    <i>
      <x v="791"/>
    </i>
    <i>
      <x v="381"/>
    </i>
    <i>
      <x v="202"/>
    </i>
    <i>
      <x v="1077"/>
    </i>
    <i>
      <x v="993"/>
    </i>
    <i>
      <x v="774"/>
    </i>
    <i>
      <x v="1057"/>
    </i>
    <i>
      <x v="790"/>
    </i>
    <i>
      <x v="171"/>
    </i>
    <i>
      <x v="992"/>
    </i>
    <i>
      <x v="792"/>
    </i>
    <i>
      <x v="1050"/>
    </i>
    <i>
      <x v="365"/>
    </i>
    <i>
      <x v="354"/>
    </i>
    <i>
      <x v="179"/>
    </i>
    <i>
      <x v="1004"/>
    </i>
    <i>
      <x v="177"/>
    </i>
    <i>
      <x v="350"/>
    </i>
    <i>
      <x v="384"/>
    </i>
    <i>
      <x v="126"/>
    </i>
    <i>
      <x v="20"/>
    </i>
    <i>
      <x v="944"/>
    </i>
    <i>
      <x v="108"/>
    </i>
    <i>
      <x v="1002"/>
    </i>
    <i>
      <x v="534"/>
    </i>
    <i>
      <x v="162"/>
    </i>
    <i>
      <x v="187"/>
    </i>
    <i>
      <x v="118"/>
    </i>
    <i>
      <x v="1059"/>
    </i>
    <i>
      <x v="973"/>
    </i>
    <i>
      <x v="4"/>
    </i>
    <i>
      <x v="376"/>
    </i>
    <i>
      <x v="1063"/>
    </i>
    <i>
      <x v="928"/>
    </i>
    <i>
      <x v="1071"/>
    </i>
    <i>
      <x v="1010"/>
    </i>
    <i>
      <x v="323"/>
    </i>
    <i>
      <x v="788"/>
    </i>
    <i>
      <x v="1163"/>
    </i>
    <i>
      <x v="905"/>
    </i>
    <i>
      <x v="408"/>
    </i>
    <i>
      <x v="137"/>
    </i>
    <i>
      <x v="439"/>
    </i>
    <i>
      <x v="996"/>
    </i>
    <i>
      <x v="442"/>
    </i>
    <i>
      <x v="390"/>
    </i>
    <i>
      <x v="491"/>
    </i>
    <i>
      <x v="786"/>
    </i>
    <i>
      <x v="493"/>
    </i>
    <i>
      <x v="349"/>
    </i>
    <i>
      <x v="504"/>
    </i>
    <i>
      <x v="879"/>
    </i>
    <i>
      <x v="512"/>
    </i>
    <i>
      <x v="130"/>
    </i>
    <i>
      <x v="92"/>
    </i>
    <i>
      <x v="136"/>
    </i>
    <i>
      <x v="97"/>
    </i>
    <i>
      <x v="59"/>
    </i>
    <i>
      <x v="516"/>
    </i>
    <i>
      <x v="386"/>
    </i>
    <i>
      <x v="517"/>
    </i>
    <i>
      <x v="1003"/>
    </i>
    <i>
      <x v="518"/>
    </i>
    <i>
      <x v="389"/>
    </i>
    <i>
      <x v="30"/>
    </i>
    <i>
      <x v="391"/>
    </i>
    <i>
      <x v="520"/>
    </i>
    <i>
      <x v="785"/>
    </i>
    <i>
      <x v="521"/>
    </i>
    <i>
      <x v="201"/>
    </i>
    <i>
      <x v="522"/>
    </i>
    <i>
      <x v="789"/>
    </i>
    <i>
      <x v="526"/>
    </i>
    <i>
      <x v="86"/>
    </i>
    <i>
      <x v="370"/>
    </i>
    <i>
      <x v="77"/>
    </i>
    <i>
      <x v="203"/>
    </i>
    <i>
      <x v="891"/>
    </i>
    <i>
      <x v="373"/>
    </i>
    <i>
      <x v="923"/>
    </i>
    <i>
      <x v="375"/>
    </i>
    <i>
      <x v="927"/>
    </i>
    <i>
      <x v="109"/>
    </i>
    <i>
      <x v="353"/>
    </i>
    <i>
      <x v="112"/>
    </i>
    <i>
      <x v="383"/>
    </i>
    <i>
      <x v="361"/>
    </i>
    <i>
      <x v="215"/>
    </i>
    <i>
      <x v="164"/>
    </i>
    <i>
      <x v="960"/>
    </i>
    <i>
      <x v="563"/>
    </i>
    <i>
      <x v="976"/>
    </i>
    <i>
      <x v="567"/>
    </i>
    <i>
      <x v="359"/>
    </i>
    <i>
      <x v="568"/>
    </i>
    <i>
      <x v="89"/>
    </i>
    <i>
      <x v="579"/>
    </i>
    <i>
      <x v="369"/>
    </i>
    <i>
      <x v="590"/>
    </i>
    <i>
      <x v="360"/>
    </i>
    <i>
      <x v="29"/>
    </i>
    <i>
      <x v="1046"/>
    </i>
    <i>
      <x v="167"/>
    </i>
    <i>
      <x v="1053"/>
    </i>
    <i>
      <x v="773"/>
    </i>
    <i>
      <x v="34"/>
    </i>
    <i>
      <x v="28"/>
    </i>
    <i>
      <x v="363"/>
    </i>
    <i>
      <x v="552"/>
    </i>
    <i>
      <x v="393"/>
    </i>
    <i>
      <x v="1075"/>
    </i>
    <i>
      <x v="394"/>
    </i>
    <i>
      <x v="1083"/>
    </i>
    <i>
      <x v="395"/>
    </i>
    <i>
      <x v="1166"/>
    </i>
    <i>
      <x v="3"/>
    </i>
    <i>
      <x v="407"/>
    </i>
    <i>
      <x v="11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3">
    <pageField fld="5" hier="-1"/>
    <pageField fld="0" hier="-1"/>
    <pageField fld="1" hier="-1"/>
  </pageFields>
  <dataFields count="9">
    <dataField name="Sum of Impressions" fld="12" baseField="0" baseItem="0"/>
    <dataField name="Sum of Clicks" fld="13" baseField="0" baseItem="0"/>
    <dataField name="Sum of Spend" fld="16" baseField="0" baseItem="0" numFmtId="167"/>
    <dataField name="Sum of 7 Day Total Sales " fld="17" baseField="0" baseItem="0"/>
    <dataField name="Sum of 7 Day Total Orders (#)" fld="20" baseField="0" baseItem="0"/>
    <dataField name="Sum of CPC" fld="27" baseField="0" baseItem="0" numFmtId="2"/>
    <dataField name="Sum of ACOS" fld="28" baseField="0" baseItem="0" numFmtId="10"/>
    <dataField name="Sum of CTR" fld="29" baseField="0" baseItem="0" numFmtId="10"/>
    <dataField name="Sum of CVR" fld="30" baseField="0" baseItem="0" numFmtId="10"/>
  </dataFields>
  <formats count="61">
    <format dxfId="11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8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0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06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105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04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103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02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101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00">
      <pivotArea dataOnly="0" labelOnly="1" fieldPosition="0">
        <references count="1">
          <reference field="11" count="1">
            <x v="366"/>
          </reference>
        </references>
      </pivotArea>
    </format>
    <format dxfId="99">
      <pivotArea dataOnly="0" labelOnly="1" fieldPosition="0">
        <references count="1">
          <reference field="11" count="1">
            <x v="388"/>
          </reference>
        </references>
      </pivotArea>
    </format>
    <format dxfId="98">
      <pivotArea dataOnly="0" labelOnly="1" fieldPosition="0">
        <references count="1">
          <reference field="11" count="1">
            <x v="285"/>
          </reference>
        </references>
      </pivotArea>
    </format>
    <format dxfId="97">
      <pivotArea dataOnly="0" labelOnly="1" fieldPosition="0">
        <references count="1">
          <reference field="11" count="1">
            <x v="171"/>
          </reference>
        </references>
      </pivotArea>
    </format>
    <format dxfId="96">
      <pivotArea dataOnly="0" labelOnly="1" fieldPosition="0">
        <references count="1">
          <reference field="11" count="1">
            <x v="791"/>
          </reference>
        </references>
      </pivotArea>
    </format>
    <format dxfId="95">
      <pivotArea dataOnly="0" labelOnly="1" fieldPosition="0">
        <references count="1">
          <reference field="11" count="1">
            <x v="108"/>
          </reference>
        </references>
      </pivotArea>
    </format>
    <format dxfId="94">
      <pivotArea dataOnly="0" labelOnly="1" fieldPosition="0">
        <references count="1">
          <reference field="11" count="1">
            <x v="112"/>
          </reference>
        </references>
      </pivotArea>
    </format>
    <format dxfId="93">
      <pivotArea dataOnly="0" labelOnly="1" fieldPosition="0">
        <references count="1">
          <reference field="11" count="1">
            <x v="92"/>
          </reference>
        </references>
      </pivotArea>
    </format>
    <format dxfId="92">
      <pivotArea dataOnly="0" labelOnly="1" fieldPosition="0">
        <references count="1">
          <reference field="11" count="1">
            <x v="109"/>
          </reference>
        </references>
      </pivotArea>
    </format>
    <format dxfId="91">
      <pivotArea dataOnly="0" labelOnly="1" fieldPosition="0">
        <references count="1">
          <reference field="11" count="1">
            <x v="97"/>
          </reference>
        </references>
      </pivotArea>
    </format>
    <format dxfId="90">
      <pivotArea dataOnly="0" labelOnly="1" fieldPosition="0">
        <references count="1">
          <reference field="11" count="1">
            <x v="77"/>
          </reference>
        </references>
      </pivotArea>
    </format>
    <format dxfId="89">
      <pivotArea dataOnly="0" labelOnly="1" fieldPosition="0">
        <references count="1">
          <reference field="11" count="1">
            <x v="113"/>
          </reference>
        </references>
      </pivotArea>
    </format>
    <format dxfId="88">
      <pivotArea dataOnly="0" labelOnly="1" fieldPosition="0">
        <references count="1">
          <reference field="11" count="1">
            <x v="350"/>
          </reference>
        </references>
      </pivotArea>
    </format>
    <format dxfId="87">
      <pivotArea dataOnly="0" labelOnly="1" fieldPosition="0">
        <references count="1">
          <reference field="11" count="1">
            <x v="359"/>
          </reference>
        </references>
      </pivotArea>
    </format>
    <format dxfId="86">
      <pivotArea dataOnly="0" labelOnly="1" fieldPosition="0">
        <references count="1">
          <reference field="11" count="1">
            <x v="3"/>
          </reference>
        </references>
      </pivotArea>
    </format>
    <format dxfId="85">
      <pivotArea dataOnly="0" labelOnly="1" fieldPosition="0">
        <references count="1">
          <reference field="11" count="2">
            <x v="527"/>
            <x v="539"/>
          </reference>
        </references>
      </pivotArea>
    </format>
    <format dxfId="84">
      <pivotArea dataOnly="0" labelOnly="1" fieldPosition="0">
        <references count="1">
          <reference field="11" count="3">
            <x v="115"/>
            <x v="536"/>
            <x v="537"/>
          </reference>
        </references>
      </pivotArea>
    </format>
    <format dxfId="83">
      <pivotArea dataOnly="0" labelOnly="1" fieldPosition="0">
        <references count="1">
          <reference field="11" count="1">
            <x v="772"/>
          </reference>
        </references>
      </pivotArea>
    </format>
    <format dxfId="82">
      <pivotArea dataOnly="0" labelOnly="1" fieldPosition="0">
        <references count="1">
          <reference field="11" count="4">
            <x v="75"/>
            <x v="90"/>
            <x v="766"/>
            <x v="794"/>
          </reference>
        </references>
      </pivotArea>
    </format>
    <format dxfId="81">
      <pivotArea dataOnly="0" labelOnly="1" fieldPosition="0">
        <references count="1">
          <reference field="11" count="1">
            <x v="186"/>
          </reference>
        </references>
      </pivotArea>
    </format>
    <format dxfId="80">
      <pivotArea dataOnly="0" labelOnly="1" fieldPosition="0">
        <references count="1">
          <reference field="11" count="3">
            <x v="116"/>
            <x v="195"/>
            <x v="535"/>
          </reference>
        </references>
      </pivotArea>
    </format>
    <format dxfId="79">
      <pivotArea dataOnly="0" labelOnly="1" fieldPosition="0">
        <references count="1">
          <reference field="11" count="1">
            <x v="103"/>
          </reference>
        </references>
      </pivotArea>
    </format>
    <format dxfId="78">
      <pivotArea dataOnly="0" labelOnly="1" fieldPosition="0">
        <references count="1">
          <reference field="11" count="1">
            <x v="787"/>
          </reference>
        </references>
      </pivotArea>
    </format>
    <format dxfId="77">
      <pivotArea dataOnly="0" labelOnly="1" fieldPosition="0">
        <references count="1">
          <reference field="11" count="1">
            <x v="159"/>
          </reference>
        </references>
      </pivotArea>
    </format>
    <format dxfId="76">
      <pivotArea dataOnly="0" labelOnly="1" fieldPosition="0">
        <references count="1">
          <reference field="11" count="1">
            <x v="774"/>
          </reference>
        </references>
      </pivotArea>
    </format>
    <format dxfId="75">
      <pivotArea dataOnly="0" labelOnly="1" fieldPosition="0">
        <references count="1">
          <reference field="11" count="1">
            <x v="790"/>
          </reference>
        </references>
      </pivotArea>
    </format>
    <format dxfId="74">
      <pivotArea dataOnly="0" labelOnly="1" fieldPosition="0">
        <references count="1">
          <reference field="11" count="3">
            <x v="118"/>
            <x v="126"/>
            <x v="792"/>
          </reference>
        </references>
      </pivotArea>
    </format>
    <format dxfId="73">
      <pivotArea dataOnly="0" labelOnly="1" fieldPosition="0">
        <references count="1">
          <reference field="11" count="1">
            <x v="534"/>
          </reference>
        </references>
      </pivotArea>
    </format>
    <format dxfId="72">
      <pivotArea dataOnly="0" labelOnly="1" fieldPosition="0">
        <references count="1">
          <reference field="11" count="2">
            <x v="177"/>
            <x v="179"/>
          </reference>
        </references>
      </pivotArea>
    </format>
    <format dxfId="71">
      <pivotArea dataOnly="0" labelOnly="1" fieldPosition="0">
        <references count="1">
          <reference field="11" count="2">
            <x v="526"/>
            <x v="552"/>
          </reference>
        </references>
      </pivotArea>
    </format>
    <format dxfId="70">
      <pivotArea dataOnly="0" labelOnly="1" fieldPosition="0">
        <references count="1">
          <reference field="11" count="2">
            <x v="86"/>
            <x v="164"/>
          </reference>
        </references>
      </pivotArea>
    </format>
    <format dxfId="69">
      <pivotArea dataOnly="0" labelOnly="1" fieldPosition="0">
        <references count="1">
          <reference field="11" count="1">
            <x v="29"/>
          </reference>
        </references>
      </pivotArea>
    </format>
    <format dxfId="68">
      <pivotArea dataOnly="0" labelOnly="1" fieldPosition="0">
        <references count="1">
          <reference field="11" count="1">
            <x v="879"/>
          </reference>
        </references>
      </pivotArea>
    </format>
    <format dxfId="67">
      <pivotArea dataOnly="0" labelOnly="1" fieldPosition="0">
        <references count="1">
          <reference field="11" count="1">
            <x v="517"/>
          </reference>
        </references>
      </pivotArea>
    </format>
    <format dxfId="66">
      <pivotArea dataOnly="0" labelOnly="1" fieldPosition="0">
        <references count="1">
          <reference field="11" count="3">
            <x v="323"/>
            <x v="376"/>
            <x v="521"/>
          </reference>
        </references>
      </pivotArea>
    </format>
    <format dxfId="65">
      <pivotArea dataOnly="0" labelOnly="1" fieldPosition="0">
        <references count="1">
          <reference field="11" count="1">
            <x v="215"/>
          </reference>
        </references>
      </pivotArea>
    </format>
    <format dxfId="64">
      <pivotArea dataOnly="0" labelOnly="1" fieldPosition="0">
        <references count="1">
          <reference field="11" count="1">
            <x v="788"/>
          </reference>
        </references>
      </pivotArea>
    </format>
    <format dxfId="63">
      <pivotArea dataOnly="0" labelOnly="1" fieldPosition="0">
        <references count="1">
          <reference field="11" count="1">
            <x v="137"/>
          </reference>
        </references>
      </pivotArea>
    </format>
    <format dxfId="62">
      <pivotArea dataOnly="0" labelOnly="1" fieldPosition="0">
        <references count="1">
          <reference field="11" count="2">
            <x v="59"/>
            <x v="518"/>
          </reference>
        </references>
      </pivotArea>
    </format>
    <format dxfId="61">
      <pivotArea dataOnly="0" labelOnly="1" fieldPosition="0">
        <references count="1">
          <reference field="11" count="1">
            <x v="522"/>
          </reference>
        </references>
      </pivotArea>
    </format>
    <format dxfId="60">
      <pivotArea dataOnly="0" labelOnly="1" fieldPosition="0">
        <references count="1">
          <reference field="11" count="1">
            <x v="89"/>
          </reference>
        </references>
      </pivotArea>
    </format>
    <format dxfId="59">
      <pivotArea dataOnly="0" labelOnly="1" fieldPosition="0">
        <references count="1">
          <reference field="11" count="1">
            <x v="130"/>
          </reference>
        </references>
      </pivotArea>
    </format>
    <format dxfId="58">
      <pivotArea dataOnly="0" labelOnly="1" fieldPosition="0">
        <references count="1">
          <reference field="11" count="1">
            <x v="28"/>
          </reference>
        </references>
      </pivotArea>
    </format>
    <format dxfId="57">
      <pivotArea dataOnly="0" labelOnly="1" fieldPosition="0">
        <references count="1">
          <reference field="11" count="1">
            <x v="563"/>
          </reference>
        </references>
      </pivotArea>
    </format>
    <format dxfId="56">
      <pivotArea dataOnly="0" labelOnly="1" fieldPosition="0">
        <references count="1">
          <reference field="11" count="1">
            <x v="568"/>
          </reference>
        </references>
      </pivotArea>
    </format>
    <format dxfId="55">
      <pivotArea dataOnly="0" labelOnly="1" fieldPosition="0">
        <references count="1">
          <reference field="11" count="1">
            <x v="408"/>
          </reference>
        </references>
      </pivotArea>
    </format>
    <format dxfId="54">
      <pivotArea dataOnly="0" labelOnly="1" fieldPosition="0">
        <references count="1">
          <reference field="11" count="1">
            <x v="590"/>
          </reference>
        </references>
      </pivotArea>
    </format>
    <format dxfId="53">
      <pivotArea dataOnly="0" labelOnly="1" fieldPosition="0">
        <references count="1">
          <reference field="11" count="1">
            <x v="136"/>
          </reference>
        </references>
      </pivotArea>
    </format>
    <format dxfId="52">
      <pivotArea dataOnly="0" labelOnly="1" fieldPosition="0">
        <references count="1">
          <reference field="11" count="2">
            <x v="493"/>
            <x v="785"/>
          </reference>
        </references>
      </pivotArea>
    </format>
    <format dxfId="51">
      <pivotArea dataOnly="0" labelOnly="1" fieldPosition="0">
        <references count="1">
          <reference field="11" count="1">
            <x v="789"/>
          </reference>
        </references>
      </pivotArea>
    </format>
    <format dxfId="50">
      <pivotArea dataOnly="0" labelOnly="1" fieldPosition="0">
        <references count="1">
          <reference field="11" count="1">
            <x v="89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AA0E3-2965-9348-B954-71FB6BAA7762}" name="PivotTable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K78" firstHeaderRow="0" firstDataRow="1" firstDataCol="1" rowPageCount="3" colPageCount="1"/>
  <pivotFields count="31">
    <pivotField axis="axisPage" showAll="0">
      <items count="8">
        <item x="0"/>
        <item x="1"/>
        <item x="2"/>
        <item x="6"/>
        <item x="3"/>
        <item x="4"/>
        <item x="5"/>
        <item t="default"/>
      </items>
    </pivotField>
    <pivotField axis="axisPage" showAll="0">
      <items count="29">
        <item x="3"/>
        <item x="1"/>
        <item x="2"/>
        <item x="0"/>
        <item x="4"/>
        <item x="7"/>
        <item x="6"/>
        <item x="5"/>
        <item x="8"/>
        <item x="10"/>
        <item x="9"/>
        <item x="11"/>
        <item x="13"/>
        <item x="12"/>
        <item x="27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axis="axisPage" multipleItemSelectionAllowed="1" showAll="0">
      <items count="20">
        <item h="1" x="2"/>
        <item h="1" x="6"/>
        <item h="1" x="4"/>
        <item h="1" x="1"/>
        <item h="1" x="8"/>
        <item x="5"/>
        <item h="1" x="3"/>
        <item h="1" x="0"/>
        <item h="1" x="7"/>
        <item h="1" x="9"/>
        <item h="1" x="18"/>
        <item h="1" x="10"/>
        <item h="1" x="11"/>
        <item h="1" x="12"/>
        <item h="1" x="13"/>
        <item h="1" x="14"/>
        <item h="1" x="15"/>
        <item h="1" x="16"/>
        <item h="1" x="17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1309">
        <item x="1307"/>
        <item x="247"/>
        <item x="792"/>
        <item x="246"/>
        <item x="524"/>
        <item x="604"/>
        <item x="523"/>
        <item x="522"/>
        <item x="603"/>
        <item x="602"/>
        <item x="601"/>
        <item x="521"/>
        <item x="520"/>
        <item x="900"/>
        <item x="519"/>
        <item x="325"/>
        <item x="600"/>
        <item x="791"/>
        <item x="790"/>
        <item x="899"/>
        <item x="245"/>
        <item x="599"/>
        <item x="324"/>
        <item x="898"/>
        <item x="244"/>
        <item x="897"/>
        <item x="789"/>
        <item x="518"/>
        <item x="598"/>
        <item x="517"/>
        <item x="597"/>
        <item x="516"/>
        <item x="596"/>
        <item x="515"/>
        <item x="243"/>
        <item x="242"/>
        <item x="896"/>
        <item x="595"/>
        <item x="514"/>
        <item x="513"/>
        <item x="241"/>
        <item x="512"/>
        <item x="323"/>
        <item x="511"/>
        <item x="240"/>
        <item x="322"/>
        <item x="239"/>
        <item x="238"/>
        <item x="895"/>
        <item x="788"/>
        <item x="894"/>
        <item x="510"/>
        <item x="509"/>
        <item x="237"/>
        <item x="787"/>
        <item x="594"/>
        <item x="786"/>
        <item x="508"/>
        <item x="785"/>
        <item x="507"/>
        <item x="236"/>
        <item x="235"/>
        <item x="593"/>
        <item x="321"/>
        <item x="234"/>
        <item x="233"/>
        <item x="232"/>
        <item x="592"/>
        <item x="591"/>
        <item x="320"/>
        <item x="506"/>
        <item x="784"/>
        <item x="319"/>
        <item x="783"/>
        <item x="893"/>
        <item x="318"/>
        <item x="782"/>
        <item x="892"/>
        <item x="781"/>
        <item x="505"/>
        <item x="504"/>
        <item x="231"/>
        <item x="230"/>
        <item x="229"/>
        <item x="590"/>
        <item x="317"/>
        <item x="780"/>
        <item x="228"/>
        <item x="227"/>
        <item x="316"/>
        <item x="503"/>
        <item x="891"/>
        <item x="226"/>
        <item x="225"/>
        <item x="224"/>
        <item x="890"/>
        <item x="502"/>
        <item x="779"/>
        <item x="778"/>
        <item x="223"/>
        <item x="222"/>
        <item x="889"/>
        <item x="589"/>
        <item x="221"/>
        <item x="777"/>
        <item x="776"/>
        <item x="888"/>
        <item x="588"/>
        <item x="587"/>
        <item x="887"/>
        <item x="501"/>
        <item x="500"/>
        <item x="775"/>
        <item x="586"/>
        <item x="315"/>
        <item x="499"/>
        <item x="774"/>
        <item x="498"/>
        <item x="585"/>
        <item x="220"/>
        <item x="219"/>
        <item x="497"/>
        <item x="496"/>
        <item x="495"/>
        <item x="773"/>
        <item x="494"/>
        <item x="584"/>
        <item x="493"/>
        <item x="218"/>
        <item x="217"/>
        <item x="886"/>
        <item x="216"/>
        <item x="492"/>
        <item x="885"/>
        <item x="491"/>
        <item x="583"/>
        <item x="772"/>
        <item x="215"/>
        <item x="884"/>
        <item x="490"/>
        <item x="314"/>
        <item x="313"/>
        <item x="312"/>
        <item x="582"/>
        <item x="883"/>
        <item x="882"/>
        <item x="489"/>
        <item x="488"/>
        <item x="487"/>
        <item x="214"/>
        <item x="771"/>
        <item x="770"/>
        <item x="486"/>
        <item x="485"/>
        <item x="213"/>
        <item x="769"/>
        <item x="881"/>
        <item x="880"/>
        <item x="484"/>
        <item x="212"/>
        <item x="211"/>
        <item x="483"/>
        <item x="210"/>
        <item x="209"/>
        <item x="208"/>
        <item x="768"/>
        <item x="767"/>
        <item x="482"/>
        <item x="766"/>
        <item x="481"/>
        <item x="765"/>
        <item x="480"/>
        <item x="479"/>
        <item x="581"/>
        <item x="764"/>
        <item x="207"/>
        <item x="311"/>
        <item x="580"/>
        <item x="478"/>
        <item x="763"/>
        <item x="879"/>
        <item x="477"/>
        <item x="476"/>
        <item x="762"/>
        <item x="761"/>
        <item x="206"/>
        <item x="205"/>
        <item x="878"/>
        <item x="475"/>
        <item x="204"/>
        <item x="579"/>
        <item x="474"/>
        <item x="203"/>
        <item x="760"/>
        <item x="877"/>
        <item x="310"/>
        <item x="876"/>
        <item x="875"/>
        <item x="759"/>
        <item x="758"/>
        <item x="473"/>
        <item x="874"/>
        <item x="873"/>
        <item x="202"/>
        <item x="757"/>
        <item x="201"/>
        <item x="309"/>
        <item x="472"/>
        <item x="308"/>
        <item x="756"/>
        <item x="307"/>
        <item x="200"/>
        <item x="306"/>
        <item x="755"/>
        <item x="470"/>
        <item x="754"/>
        <item x="753"/>
        <item x="872"/>
        <item x="469"/>
        <item x="199"/>
        <item x="471"/>
        <item x="198"/>
        <item x="305"/>
        <item x="304"/>
        <item x="468"/>
        <item x="197"/>
        <item x="752"/>
        <item x="871"/>
        <item x="751"/>
        <item x="303"/>
        <item x="578"/>
        <item x="196"/>
        <item x="302"/>
        <item x="195"/>
        <item x="467"/>
        <item x="750"/>
        <item x="577"/>
        <item x="194"/>
        <item x="301"/>
        <item x="576"/>
        <item x="575"/>
        <item x="870"/>
        <item x="466"/>
        <item x="869"/>
        <item x="300"/>
        <item x="193"/>
        <item x="749"/>
        <item x="868"/>
        <item x="465"/>
        <item x="192"/>
        <item x="867"/>
        <item x="464"/>
        <item x="191"/>
        <item x="463"/>
        <item x="748"/>
        <item x="747"/>
        <item x="462"/>
        <item x="746"/>
        <item x="866"/>
        <item x="574"/>
        <item x="745"/>
        <item x="461"/>
        <item x="744"/>
        <item x="865"/>
        <item x="299"/>
        <item x="460"/>
        <item x="743"/>
        <item x="459"/>
        <item x="742"/>
        <item x="190"/>
        <item x="864"/>
        <item x="298"/>
        <item x="741"/>
        <item x="740"/>
        <item x="863"/>
        <item x="189"/>
        <item x="188"/>
        <item x="739"/>
        <item x="573"/>
        <item x="187"/>
        <item x="297"/>
        <item x="738"/>
        <item x="862"/>
        <item x="737"/>
        <item x="186"/>
        <item x="458"/>
        <item x="736"/>
        <item x="457"/>
        <item x="185"/>
        <item x="735"/>
        <item x="734"/>
        <item x="456"/>
        <item x="184"/>
        <item x="861"/>
        <item x="572"/>
        <item x="455"/>
        <item x="296"/>
        <item x="183"/>
        <item x="860"/>
        <item x="454"/>
        <item x="453"/>
        <item x="182"/>
        <item x="452"/>
        <item x="181"/>
        <item x="451"/>
        <item x="733"/>
        <item x="295"/>
        <item x="450"/>
        <item x="732"/>
        <item x="859"/>
        <item x="180"/>
        <item x="731"/>
        <item x="730"/>
        <item x="179"/>
        <item x="858"/>
        <item x="294"/>
        <item x="729"/>
        <item x="449"/>
        <item x="178"/>
        <item x="728"/>
        <item x="177"/>
        <item x="727"/>
        <item x="726"/>
        <item x="176"/>
        <item x="448"/>
        <item x="175"/>
        <item x="174"/>
        <item x="173"/>
        <item x="725"/>
        <item x="724"/>
        <item x="447"/>
        <item x="723"/>
        <item x="446"/>
        <item x="445"/>
        <item x="722"/>
        <item x="857"/>
        <item x="172"/>
        <item x="293"/>
        <item x="856"/>
        <item x="721"/>
        <item x="292"/>
        <item x="444"/>
        <item x="720"/>
        <item x="171"/>
        <item x="571"/>
        <item x="443"/>
        <item x="719"/>
        <item x="291"/>
        <item x="442"/>
        <item x="718"/>
        <item x="170"/>
        <item x="169"/>
        <item x="717"/>
        <item x="716"/>
        <item x="441"/>
        <item x="715"/>
        <item x="440"/>
        <item x="290"/>
        <item x="168"/>
        <item x="167"/>
        <item x="166"/>
        <item x="570"/>
        <item x="165"/>
        <item x="164"/>
        <item x="439"/>
        <item x="289"/>
        <item x="438"/>
        <item x="163"/>
        <item x="855"/>
        <item x="437"/>
        <item x="854"/>
        <item x="288"/>
        <item x="569"/>
        <item x="853"/>
        <item x="436"/>
        <item x="714"/>
        <item x="287"/>
        <item x="568"/>
        <item x="162"/>
        <item x="435"/>
        <item x="434"/>
        <item x="567"/>
        <item x="713"/>
        <item x="161"/>
        <item x="160"/>
        <item x="159"/>
        <item x="712"/>
        <item x="286"/>
        <item x="285"/>
        <item x="566"/>
        <item x="284"/>
        <item x="158"/>
        <item x="157"/>
        <item x="433"/>
        <item x="565"/>
        <item x="711"/>
        <item x="156"/>
        <item x="432"/>
        <item x="564"/>
        <item x="155"/>
        <item x="852"/>
        <item x="851"/>
        <item x="431"/>
        <item x="154"/>
        <item x="563"/>
        <item x="153"/>
        <item x="152"/>
        <item x="151"/>
        <item x="710"/>
        <item x="150"/>
        <item x="430"/>
        <item x="149"/>
        <item x="148"/>
        <item x="429"/>
        <item x="850"/>
        <item x="709"/>
        <item x="708"/>
        <item x="147"/>
        <item x="562"/>
        <item x="428"/>
        <item x="707"/>
        <item x="706"/>
        <item x="427"/>
        <item x="705"/>
        <item x="561"/>
        <item x="146"/>
        <item x="704"/>
        <item x="426"/>
        <item x="849"/>
        <item x="425"/>
        <item x="848"/>
        <item x="145"/>
        <item x="703"/>
        <item x="144"/>
        <item x="424"/>
        <item x="702"/>
        <item x="847"/>
        <item x="560"/>
        <item x="143"/>
        <item x="846"/>
        <item x="142"/>
        <item x="845"/>
        <item x="844"/>
        <item x="843"/>
        <item x="423"/>
        <item x="141"/>
        <item x="140"/>
        <item x="422"/>
        <item x="701"/>
        <item x="139"/>
        <item x="421"/>
        <item x="420"/>
        <item x="419"/>
        <item x="418"/>
        <item x="138"/>
        <item x="700"/>
        <item x="699"/>
        <item x="698"/>
        <item x="283"/>
        <item x="697"/>
        <item x="696"/>
        <item x="417"/>
        <item x="416"/>
        <item x="695"/>
        <item x="842"/>
        <item x="694"/>
        <item x="137"/>
        <item x="136"/>
        <item x="282"/>
        <item x="693"/>
        <item x="692"/>
        <item x="415"/>
        <item x="135"/>
        <item x="691"/>
        <item x="134"/>
        <item x="414"/>
        <item x="690"/>
        <item x="689"/>
        <item x="688"/>
        <item x="687"/>
        <item x="686"/>
        <item x="413"/>
        <item x="685"/>
        <item x="133"/>
        <item x="559"/>
        <item x="558"/>
        <item x="684"/>
        <item x="412"/>
        <item x="683"/>
        <item x="132"/>
        <item x="411"/>
        <item x="281"/>
        <item x="410"/>
        <item x="280"/>
        <item x="131"/>
        <item x="130"/>
        <item x="409"/>
        <item x="841"/>
        <item x="840"/>
        <item x="682"/>
        <item x="408"/>
        <item x="839"/>
        <item x="681"/>
        <item x="407"/>
        <item x="129"/>
        <item x="406"/>
        <item x="557"/>
        <item x="838"/>
        <item x="279"/>
        <item x="128"/>
        <item x="278"/>
        <item x="127"/>
        <item x="126"/>
        <item x="125"/>
        <item x="277"/>
        <item x="276"/>
        <item x="124"/>
        <item x="123"/>
        <item x="122"/>
        <item x="121"/>
        <item x="120"/>
        <item x="556"/>
        <item x="119"/>
        <item x="118"/>
        <item x="275"/>
        <item x="117"/>
        <item x="680"/>
        <item x="116"/>
        <item x="679"/>
        <item x="115"/>
        <item x="405"/>
        <item x="114"/>
        <item x="274"/>
        <item x="555"/>
        <item x="678"/>
        <item x="677"/>
        <item x="554"/>
        <item x="553"/>
        <item x="113"/>
        <item x="676"/>
        <item x="112"/>
        <item x="111"/>
        <item x="110"/>
        <item x="109"/>
        <item x="675"/>
        <item x="108"/>
        <item x="404"/>
        <item x="107"/>
        <item x="403"/>
        <item x="106"/>
        <item x="105"/>
        <item x="674"/>
        <item x="104"/>
        <item x="402"/>
        <item x="103"/>
        <item x="102"/>
        <item x="101"/>
        <item x="100"/>
        <item x="673"/>
        <item x="837"/>
        <item x="401"/>
        <item x="99"/>
        <item x="836"/>
        <item x="98"/>
        <item x="835"/>
        <item x="97"/>
        <item x="96"/>
        <item x="400"/>
        <item x="95"/>
        <item x="399"/>
        <item x="398"/>
        <item x="94"/>
        <item x="397"/>
        <item x="396"/>
        <item x="395"/>
        <item x="93"/>
        <item x="834"/>
        <item x="672"/>
        <item x="394"/>
        <item x="393"/>
        <item x="92"/>
        <item x="91"/>
        <item x="90"/>
        <item x="392"/>
        <item x="671"/>
        <item x="391"/>
        <item x="390"/>
        <item x="89"/>
        <item x="88"/>
        <item x="552"/>
        <item x="670"/>
        <item x="389"/>
        <item x="87"/>
        <item x="388"/>
        <item x="669"/>
        <item x="668"/>
        <item x="387"/>
        <item x="833"/>
        <item x="832"/>
        <item x="831"/>
        <item x="667"/>
        <item x="386"/>
        <item x="385"/>
        <item x="86"/>
        <item x="85"/>
        <item x="84"/>
        <item x="83"/>
        <item x="82"/>
        <item x="830"/>
        <item x="384"/>
        <item x="81"/>
        <item x="273"/>
        <item x="666"/>
        <item x="80"/>
        <item x="383"/>
        <item x="551"/>
        <item x="829"/>
        <item x="550"/>
        <item x="549"/>
        <item x="272"/>
        <item x="79"/>
        <item x="828"/>
        <item x="548"/>
        <item x="665"/>
        <item x="382"/>
        <item x="664"/>
        <item x="663"/>
        <item x="547"/>
        <item x="827"/>
        <item x="78"/>
        <item x="662"/>
        <item x="661"/>
        <item x="826"/>
        <item x="825"/>
        <item x="381"/>
        <item x="77"/>
        <item x="271"/>
        <item x="660"/>
        <item x="76"/>
        <item x="380"/>
        <item x="75"/>
        <item x="74"/>
        <item x="73"/>
        <item x="824"/>
        <item x="823"/>
        <item x="379"/>
        <item x="72"/>
        <item x="270"/>
        <item x="378"/>
        <item x="822"/>
        <item x="269"/>
        <item x="268"/>
        <item x="377"/>
        <item x="71"/>
        <item x="659"/>
        <item x="70"/>
        <item x="267"/>
        <item x="546"/>
        <item x="821"/>
        <item x="69"/>
        <item x="266"/>
        <item x="820"/>
        <item x="68"/>
        <item x="658"/>
        <item x="657"/>
        <item x="67"/>
        <item x="656"/>
        <item x="66"/>
        <item x="65"/>
        <item x="545"/>
        <item x="819"/>
        <item x="64"/>
        <item x="63"/>
        <item x="818"/>
        <item x="62"/>
        <item x="61"/>
        <item x="544"/>
        <item x="655"/>
        <item x="376"/>
        <item x="265"/>
        <item x="60"/>
        <item x="654"/>
        <item x="375"/>
        <item x="59"/>
        <item x="58"/>
        <item x="817"/>
        <item x="374"/>
        <item x="653"/>
        <item x="816"/>
        <item x="815"/>
        <item x="814"/>
        <item x="373"/>
        <item x="813"/>
        <item x="372"/>
        <item x="652"/>
        <item x="57"/>
        <item x="371"/>
        <item x="370"/>
        <item x="369"/>
        <item x="543"/>
        <item x="651"/>
        <item x="368"/>
        <item x="367"/>
        <item x="366"/>
        <item x="650"/>
        <item x="649"/>
        <item x="56"/>
        <item x="55"/>
        <item x="542"/>
        <item x="648"/>
        <item x="54"/>
        <item x="541"/>
        <item x="540"/>
        <item x="53"/>
        <item x="365"/>
        <item x="364"/>
        <item x="363"/>
        <item x="812"/>
        <item x="647"/>
        <item x="646"/>
        <item x="362"/>
        <item x="52"/>
        <item x="811"/>
        <item x="51"/>
        <item x="361"/>
        <item x="360"/>
        <item x="359"/>
        <item x="50"/>
        <item x="358"/>
        <item x="264"/>
        <item x="810"/>
        <item x="539"/>
        <item x="49"/>
        <item x="357"/>
        <item x="48"/>
        <item x="538"/>
        <item x="645"/>
        <item x="47"/>
        <item x="356"/>
        <item x="46"/>
        <item x="45"/>
        <item x="355"/>
        <item x="44"/>
        <item x="43"/>
        <item x="644"/>
        <item x="809"/>
        <item x="643"/>
        <item x="354"/>
        <item x="537"/>
        <item x="353"/>
        <item x="808"/>
        <item x="42"/>
        <item x="642"/>
        <item x="641"/>
        <item x="807"/>
        <item x="263"/>
        <item x="41"/>
        <item x="640"/>
        <item x="40"/>
        <item x="639"/>
        <item x="352"/>
        <item x="262"/>
        <item x="261"/>
        <item x="638"/>
        <item x="351"/>
        <item x="637"/>
        <item x="39"/>
        <item x="350"/>
        <item x="38"/>
        <item x="636"/>
        <item x="349"/>
        <item x="635"/>
        <item x="348"/>
        <item x="536"/>
        <item x="347"/>
        <item x="634"/>
        <item x="37"/>
        <item x="36"/>
        <item x="806"/>
        <item x="35"/>
        <item x="34"/>
        <item x="33"/>
        <item x="32"/>
        <item x="31"/>
        <item x="30"/>
        <item x="29"/>
        <item x="633"/>
        <item x="346"/>
        <item x="805"/>
        <item x="804"/>
        <item x="632"/>
        <item x="260"/>
        <item x="345"/>
        <item x="259"/>
        <item x="535"/>
        <item x="28"/>
        <item x="344"/>
        <item x="343"/>
        <item x="258"/>
        <item x="342"/>
        <item x="341"/>
        <item x="27"/>
        <item x="26"/>
        <item x="25"/>
        <item x="24"/>
        <item x="631"/>
        <item x="630"/>
        <item x="23"/>
        <item x="22"/>
        <item x="534"/>
        <item x="629"/>
        <item x="21"/>
        <item x="257"/>
        <item x="20"/>
        <item x="340"/>
        <item x="339"/>
        <item x="256"/>
        <item x="628"/>
        <item x="19"/>
        <item x="627"/>
        <item x="18"/>
        <item x="533"/>
        <item x="255"/>
        <item x="17"/>
        <item x="16"/>
        <item x="338"/>
        <item x="337"/>
        <item x="336"/>
        <item x="626"/>
        <item x="335"/>
        <item x="625"/>
        <item x="624"/>
        <item x="803"/>
        <item x="623"/>
        <item x="622"/>
        <item x="15"/>
        <item x="621"/>
        <item x="334"/>
        <item x="620"/>
        <item x="333"/>
        <item x="14"/>
        <item x="254"/>
        <item x="619"/>
        <item x="13"/>
        <item x="12"/>
        <item x="11"/>
        <item x="10"/>
        <item x="618"/>
        <item x="802"/>
        <item x="617"/>
        <item x="253"/>
        <item x="332"/>
        <item x="9"/>
        <item x="616"/>
        <item x="252"/>
        <item x="8"/>
        <item x="615"/>
        <item x="7"/>
        <item x="614"/>
        <item x="613"/>
        <item x="331"/>
        <item x="612"/>
        <item x="6"/>
        <item x="5"/>
        <item x="801"/>
        <item x="611"/>
        <item x="532"/>
        <item x="610"/>
        <item x="330"/>
        <item x="800"/>
        <item x="4"/>
        <item x="329"/>
        <item x="251"/>
        <item x="250"/>
        <item x="249"/>
        <item x="799"/>
        <item x="531"/>
        <item x="609"/>
        <item x="798"/>
        <item x="3"/>
        <item x="530"/>
        <item x="529"/>
        <item x="528"/>
        <item x="2"/>
        <item x="527"/>
        <item x="248"/>
        <item x="1"/>
        <item x="797"/>
        <item x="608"/>
        <item x="0"/>
        <item x="607"/>
        <item x="606"/>
        <item x="795"/>
        <item x="796"/>
        <item x="526"/>
        <item x="794"/>
        <item x="328"/>
        <item x="327"/>
        <item x="903"/>
        <item x="525"/>
        <item x="605"/>
        <item x="902"/>
        <item x="793"/>
        <item x="326"/>
        <item x="901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11"/>
  </rowFields>
  <rowItems count="73">
    <i>
      <x v="737"/>
    </i>
    <i>
      <x v="743"/>
    </i>
    <i>
      <x v="732"/>
    </i>
    <i>
      <x v="734"/>
    </i>
    <i>
      <x v="862"/>
    </i>
    <i>
      <x v="739"/>
    </i>
    <i>
      <x v="733"/>
    </i>
    <i>
      <x v="731"/>
    </i>
    <i>
      <x v="776"/>
    </i>
    <i>
      <x v="384"/>
    </i>
    <i>
      <x v="727"/>
    </i>
    <i>
      <x v="366"/>
    </i>
    <i>
      <x v="724"/>
    </i>
    <i>
      <x v="552"/>
    </i>
    <i>
      <x v="846"/>
    </i>
    <i>
      <x v="547"/>
    </i>
    <i>
      <x v="729"/>
    </i>
    <i>
      <x v="397"/>
    </i>
    <i>
      <x v="399"/>
    </i>
    <i>
      <x v="398"/>
    </i>
    <i>
      <x v="546"/>
    </i>
    <i>
      <x v="530"/>
    </i>
    <i>
      <x v="708"/>
    </i>
    <i>
      <x v="363"/>
    </i>
    <i>
      <x v="736"/>
    </i>
    <i>
      <x v="746"/>
    </i>
    <i>
      <x v="548"/>
    </i>
    <i>
      <x v="704"/>
    </i>
    <i>
      <x v="742"/>
    </i>
    <i>
      <x v="373"/>
    </i>
    <i>
      <x v="381"/>
    </i>
    <i>
      <x v="726"/>
    </i>
    <i>
      <x v="532"/>
    </i>
    <i>
      <x v="553"/>
    </i>
    <i>
      <x v="744"/>
    </i>
    <i>
      <x v="362"/>
    </i>
    <i>
      <x v="773"/>
    </i>
    <i>
      <x v="681"/>
    </i>
    <i>
      <x v="735"/>
    </i>
    <i>
      <x v="375"/>
    </i>
    <i>
      <x v="415"/>
    </i>
    <i>
      <x v="770"/>
    </i>
    <i>
      <x v="139"/>
    </i>
    <i>
      <x v="717"/>
    </i>
    <i>
      <x v="372"/>
    </i>
    <i>
      <x v="419"/>
    </i>
    <i>
      <x v="125"/>
    </i>
    <i>
      <x v="393"/>
    </i>
    <i>
      <x v="748"/>
    </i>
    <i>
      <x v="341"/>
    </i>
    <i>
      <x v="391"/>
    </i>
    <i>
      <x v="728"/>
    </i>
    <i>
      <x v="787"/>
    </i>
    <i>
      <x v="394"/>
    </i>
    <i>
      <x v="741"/>
    </i>
    <i>
      <x v="730"/>
    </i>
    <i>
      <x v="371"/>
    </i>
    <i>
      <x v="354"/>
    </i>
    <i>
      <x v="618"/>
    </i>
    <i>
      <x v="533"/>
    </i>
    <i>
      <x v="769"/>
    </i>
    <i>
      <x v="395"/>
    </i>
    <i>
      <x v="772"/>
    </i>
    <i>
      <x v="364"/>
    </i>
    <i>
      <x v="775"/>
    </i>
    <i>
      <x v="396"/>
    </i>
    <i>
      <x v="777"/>
    </i>
    <i>
      <x v="379"/>
    </i>
    <i>
      <x v="400"/>
    </i>
    <i>
      <x v="126"/>
    </i>
    <i>
      <x v="367"/>
    </i>
    <i>
      <x v="335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3">
    <pageField fld="5" hier="-1"/>
    <pageField fld="0" hier="-1"/>
    <pageField fld="1" hier="-1"/>
  </pageFields>
  <dataFields count="9">
    <dataField name="Sum of Impressions" fld="12" baseField="0" baseItem="0"/>
    <dataField name="Sum of Clicks" fld="13" baseField="0" baseItem="0"/>
    <dataField name="Sum of Spend" fld="16" baseField="0" baseItem="0" numFmtId="167"/>
    <dataField name="Sum of 7 Day Total Sales " fld="17" baseField="0" baseItem="0"/>
    <dataField name="Sum of 7 Day Total Orders (#)" fld="20" baseField="0" baseItem="0"/>
    <dataField name="Sum of CPC" fld="27" baseField="0" baseItem="0" numFmtId="2"/>
    <dataField name="Sum of ACOS" fld="28" baseField="0" baseItem="0" numFmtId="10"/>
    <dataField name="Sum of CTR" fld="29" baseField="0" baseItem="0" numFmtId="10"/>
    <dataField name="Sum of CVR" fld="30" baseField="0" baseItem="0" numFmtId="10"/>
  </dataFields>
  <formats count="31">
    <format dxfId="4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7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4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5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39">
      <pivotArea dataOnly="0" labelOnly="1" fieldPosition="0">
        <references count="1">
          <reference field="11" count="1">
            <x v="737"/>
          </reference>
        </references>
      </pivotArea>
    </format>
    <format dxfId="38">
      <pivotArea dataOnly="0" labelOnly="1" fieldPosition="0">
        <references count="1">
          <reference field="11" count="1">
            <x v="733"/>
          </reference>
        </references>
      </pivotArea>
    </format>
    <format dxfId="37">
      <pivotArea dataOnly="0" labelOnly="1" fieldPosition="0">
        <references count="1">
          <reference field="11" count="1">
            <x v="552"/>
          </reference>
        </references>
      </pivotArea>
    </format>
    <format dxfId="36">
      <pivotArea dataOnly="0" labelOnly="1" fieldPosition="0">
        <references count="1">
          <reference field="11" count="1">
            <x v="362"/>
          </reference>
        </references>
      </pivotArea>
    </format>
    <format dxfId="35">
      <pivotArea dataOnly="0" labelOnly="1" fieldPosition="0">
        <references count="1">
          <reference field="11" count="2">
            <x v="734"/>
            <x v="862"/>
          </reference>
        </references>
      </pivotArea>
    </format>
    <format dxfId="34">
      <pivotArea dataOnly="0" labelOnly="1" fieldPosition="0">
        <references count="1">
          <reference field="11" count="3">
            <x v="366"/>
            <x v="724"/>
            <x v="727"/>
          </reference>
        </references>
      </pivotArea>
    </format>
    <format dxfId="33">
      <pivotArea dataOnly="0" labelOnly="1" fieldPosition="0">
        <references count="1">
          <reference field="11" count="2">
            <x v="734"/>
            <x v="862"/>
          </reference>
        </references>
      </pivotArea>
    </format>
    <format dxfId="32">
      <pivotArea dataOnly="0" labelOnly="1" fieldPosition="0">
        <references count="1">
          <reference field="11" count="3">
            <x v="366"/>
            <x v="724"/>
            <x v="727"/>
          </reference>
        </references>
      </pivotArea>
    </format>
    <format dxfId="31">
      <pivotArea dataOnly="0" labelOnly="1" fieldPosition="0">
        <references count="1">
          <reference field="11" count="1">
            <x v="846"/>
          </reference>
        </references>
      </pivotArea>
    </format>
    <format dxfId="30">
      <pivotArea dataOnly="0" labelOnly="1" fieldPosition="0">
        <references count="1">
          <reference field="11" count="1">
            <x v="398"/>
          </reference>
        </references>
      </pivotArea>
    </format>
    <format dxfId="29">
      <pivotArea dataOnly="0" labelOnly="1" fieldPosition="0">
        <references count="1">
          <reference field="11" count="1">
            <x v="708"/>
          </reference>
        </references>
      </pivotArea>
    </format>
    <format dxfId="28">
      <pivotArea dataOnly="0" labelOnly="1" fieldPosition="0">
        <references count="1">
          <reference field="11" count="1">
            <x v="746"/>
          </reference>
        </references>
      </pivotArea>
    </format>
    <format dxfId="27">
      <pivotArea dataOnly="0" labelOnly="1" fieldPosition="0">
        <references count="1">
          <reference field="11" count="1">
            <x v="704"/>
          </reference>
        </references>
      </pivotArea>
    </format>
    <format dxfId="26">
      <pivotArea dataOnly="0" labelOnly="1" fieldPosition="0">
        <references count="1">
          <reference field="11" count="1">
            <x v="726"/>
          </reference>
        </references>
      </pivotArea>
    </format>
    <format dxfId="25">
      <pivotArea dataOnly="0" labelOnly="1" fieldPosition="0">
        <references count="1">
          <reference field="11" count="5">
            <x v="139"/>
            <x v="372"/>
            <x v="415"/>
            <x v="717"/>
            <x v="770"/>
          </reference>
        </references>
      </pivotArea>
    </format>
    <format dxfId="24">
      <pivotArea dataOnly="0" labelOnly="1" fieldPosition="0">
        <references count="1">
          <reference field="11" count="3">
            <x v="341"/>
            <x v="393"/>
            <x v="748"/>
          </reference>
        </references>
      </pivotArea>
    </format>
    <format dxfId="23">
      <pivotArea dataOnly="0" labelOnly="1" fieldPosition="0">
        <references count="1">
          <reference field="11" count="8">
            <x v="354"/>
            <x v="371"/>
            <x v="394"/>
            <x v="618"/>
            <x v="728"/>
            <x v="730"/>
            <x v="741"/>
            <x v="787"/>
          </reference>
        </references>
      </pivotArea>
    </format>
    <format dxfId="22">
      <pivotArea dataOnly="0" labelOnly="1" fieldPosition="0">
        <references count="1">
          <reference field="11" count="2">
            <x v="395"/>
            <x v="769"/>
          </reference>
        </references>
      </pivotArea>
    </format>
    <format dxfId="21">
      <pivotArea dataOnly="0" labelOnly="1" fieldPosition="0">
        <references count="1">
          <reference field="11" count="3">
            <x v="364"/>
            <x v="396"/>
            <x v="775"/>
          </reference>
        </references>
      </pivotArea>
    </format>
    <format dxfId="20">
      <pivotArea dataOnly="0" labelOnly="1" fieldPosition="0">
        <references count="1">
          <reference field="11" count="1">
            <x v="400"/>
          </reference>
        </references>
      </pivotArea>
    </format>
    <format dxfId="19">
      <pivotArea dataOnly="0" labelOnly="1" fieldPosition="0">
        <references count="1">
          <reference field="11" count="2">
            <x v="335"/>
            <x v="36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B30D7-B4A6-F447-9F8D-E5D47B04E588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K78" firstHeaderRow="0" firstDataRow="1" firstDataCol="1" rowPageCount="3" colPageCount="1"/>
  <pivotFields count="31">
    <pivotField axis="axisPage" multipleItemSelectionAllowed="1" showAll="0">
      <items count="8">
        <item h="1" x="0"/>
        <item h="1" x="1"/>
        <item h="1" x="2"/>
        <item h="1" x="6"/>
        <item x="3"/>
        <item x="4"/>
        <item x="5"/>
        <item t="default"/>
      </items>
    </pivotField>
    <pivotField axis="axisPage" showAll="0">
      <items count="29">
        <item x="3"/>
        <item x="1"/>
        <item x="2"/>
        <item x="0"/>
        <item x="4"/>
        <item x="7"/>
        <item x="6"/>
        <item x="5"/>
        <item x="8"/>
        <item x="10"/>
        <item x="9"/>
        <item x="11"/>
        <item x="13"/>
        <item x="12"/>
        <item x="27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axis="axisPage" multipleItemSelectionAllowed="1" showAll="0">
      <items count="20">
        <item h="1" x="2"/>
        <item h="1" x="6"/>
        <item x="4"/>
        <item h="1" x="1"/>
        <item h="1" x="8"/>
        <item h="1" x="5"/>
        <item h="1" x="3"/>
        <item h="1" x="0"/>
        <item h="1" x="7"/>
        <item h="1" x="9"/>
        <item h="1" x="18"/>
        <item h="1" x="10"/>
        <item h="1" x="11"/>
        <item h="1" x="12"/>
        <item h="1" x="13"/>
        <item h="1" x="14"/>
        <item h="1" x="15"/>
        <item h="1" x="16"/>
        <item h="1" x="17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1309">
        <item x="901"/>
        <item x="326"/>
        <item x="793"/>
        <item x="902"/>
        <item x="605"/>
        <item x="525"/>
        <item x="903"/>
        <item x="327"/>
        <item x="328"/>
        <item x="794"/>
        <item x="526"/>
        <item x="796"/>
        <item x="795"/>
        <item x="606"/>
        <item x="607"/>
        <item x="0"/>
        <item x="608"/>
        <item x="797"/>
        <item x="1"/>
        <item x="248"/>
        <item x="527"/>
        <item x="2"/>
        <item x="528"/>
        <item x="529"/>
        <item x="530"/>
        <item x="3"/>
        <item x="798"/>
        <item x="609"/>
        <item x="531"/>
        <item x="799"/>
        <item x="249"/>
        <item x="250"/>
        <item x="251"/>
        <item x="329"/>
        <item x="4"/>
        <item x="800"/>
        <item x="330"/>
        <item x="610"/>
        <item x="532"/>
        <item x="611"/>
        <item x="801"/>
        <item x="5"/>
        <item x="6"/>
        <item x="612"/>
        <item x="331"/>
        <item x="613"/>
        <item x="614"/>
        <item x="7"/>
        <item x="615"/>
        <item x="8"/>
        <item x="252"/>
        <item x="616"/>
        <item x="9"/>
        <item x="332"/>
        <item x="253"/>
        <item x="617"/>
        <item x="802"/>
        <item x="618"/>
        <item x="10"/>
        <item x="11"/>
        <item x="12"/>
        <item x="13"/>
        <item x="619"/>
        <item x="254"/>
        <item x="14"/>
        <item x="333"/>
        <item x="620"/>
        <item x="334"/>
        <item x="621"/>
        <item x="15"/>
        <item x="622"/>
        <item x="623"/>
        <item x="803"/>
        <item x="624"/>
        <item x="625"/>
        <item x="335"/>
        <item x="626"/>
        <item x="336"/>
        <item x="337"/>
        <item x="338"/>
        <item x="16"/>
        <item x="17"/>
        <item x="255"/>
        <item x="533"/>
        <item x="18"/>
        <item x="627"/>
        <item x="19"/>
        <item x="628"/>
        <item x="256"/>
        <item x="339"/>
        <item x="340"/>
        <item x="20"/>
        <item x="257"/>
        <item x="21"/>
        <item x="629"/>
        <item x="534"/>
        <item x="22"/>
        <item x="23"/>
        <item x="630"/>
        <item x="631"/>
        <item x="24"/>
        <item x="25"/>
        <item x="26"/>
        <item x="27"/>
        <item x="341"/>
        <item x="342"/>
        <item x="258"/>
        <item x="343"/>
        <item x="344"/>
        <item x="28"/>
        <item x="535"/>
        <item x="259"/>
        <item x="345"/>
        <item x="260"/>
        <item x="632"/>
        <item x="804"/>
        <item x="805"/>
        <item x="346"/>
        <item x="633"/>
        <item x="29"/>
        <item x="30"/>
        <item x="31"/>
        <item x="32"/>
        <item x="33"/>
        <item x="34"/>
        <item x="35"/>
        <item x="806"/>
        <item x="36"/>
        <item x="37"/>
        <item x="634"/>
        <item x="347"/>
        <item x="536"/>
        <item x="348"/>
        <item x="635"/>
        <item x="349"/>
        <item x="636"/>
        <item x="38"/>
        <item x="350"/>
        <item x="39"/>
        <item x="637"/>
        <item x="351"/>
        <item x="638"/>
        <item x="261"/>
        <item x="262"/>
        <item x="352"/>
        <item x="639"/>
        <item x="40"/>
        <item x="640"/>
        <item x="41"/>
        <item x="263"/>
        <item x="807"/>
        <item x="641"/>
        <item x="642"/>
        <item x="42"/>
        <item x="808"/>
        <item x="353"/>
        <item x="537"/>
        <item x="354"/>
        <item x="643"/>
        <item x="809"/>
        <item x="644"/>
        <item x="43"/>
        <item x="44"/>
        <item x="355"/>
        <item x="45"/>
        <item x="46"/>
        <item x="356"/>
        <item x="47"/>
        <item x="645"/>
        <item x="538"/>
        <item x="48"/>
        <item x="357"/>
        <item x="49"/>
        <item x="539"/>
        <item x="810"/>
        <item x="264"/>
        <item x="358"/>
        <item x="50"/>
        <item x="359"/>
        <item x="360"/>
        <item x="361"/>
        <item x="51"/>
        <item x="811"/>
        <item x="52"/>
        <item x="362"/>
        <item x="646"/>
        <item x="647"/>
        <item x="812"/>
        <item x="363"/>
        <item x="364"/>
        <item x="365"/>
        <item x="53"/>
        <item x="540"/>
        <item x="541"/>
        <item x="54"/>
        <item x="648"/>
        <item x="542"/>
        <item x="55"/>
        <item x="56"/>
        <item x="649"/>
        <item x="650"/>
        <item x="366"/>
        <item x="367"/>
        <item x="368"/>
        <item x="651"/>
        <item x="543"/>
        <item x="369"/>
        <item x="370"/>
        <item x="371"/>
        <item x="57"/>
        <item x="652"/>
        <item x="372"/>
        <item x="813"/>
        <item x="373"/>
        <item x="814"/>
        <item x="815"/>
        <item x="816"/>
        <item x="653"/>
        <item x="374"/>
        <item x="817"/>
        <item x="58"/>
        <item x="59"/>
        <item x="375"/>
        <item x="654"/>
        <item x="60"/>
        <item x="265"/>
        <item x="376"/>
        <item x="655"/>
        <item x="544"/>
        <item x="61"/>
        <item x="62"/>
        <item x="818"/>
        <item x="63"/>
        <item x="64"/>
        <item x="819"/>
        <item x="545"/>
        <item x="65"/>
        <item x="66"/>
        <item x="656"/>
        <item x="67"/>
        <item x="657"/>
        <item x="658"/>
        <item x="68"/>
        <item x="820"/>
        <item x="266"/>
        <item x="69"/>
        <item x="821"/>
        <item x="546"/>
        <item x="267"/>
        <item x="70"/>
        <item x="659"/>
        <item x="71"/>
        <item x="377"/>
        <item x="268"/>
        <item x="269"/>
        <item x="822"/>
        <item x="378"/>
        <item x="270"/>
        <item x="72"/>
        <item x="379"/>
        <item x="823"/>
        <item x="824"/>
        <item x="73"/>
        <item x="74"/>
        <item x="75"/>
        <item x="380"/>
        <item x="76"/>
        <item x="660"/>
        <item x="271"/>
        <item x="77"/>
        <item x="381"/>
        <item x="825"/>
        <item x="826"/>
        <item x="661"/>
        <item x="662"/>
        <item x="78"/>
        <item x="827"/>
        <item x="547"/>
        <item x="663"/>
        <item x="664"/>
        <item x="382"/>
        <item x="665"/>
        <item x="548"/>
        <item x="828"/>
        <item x="79"/>
        <item x="272"/>
        <item x="549"/>
        <item x="550"/>
        <item x="829"/>
        <item x="551"/>
        <item x="383"/>
        <item x="80"/>
        <item x="666"/>
        <item x="273"/>
        <item x="81"/>
        <item x="384"/>
        <item x="830"/>
        <item x="82"/>
        <item x="83"/>
        <item x="84"/>
        <item x="85"/>
        <item x="86"/>
        <item x="385"/>
        <item x="386"/>
        <item x="667"/>
        <item x="831"/>
        <item x="832"/>
        <item x="833"/>
        <item x="387"/>
        <item x="668"/>
        <item x="669"/>
        <item x="388"/>
        <item x="87"/>
        <item x="389"/>
        <item x="670"/>
        <item x="552"/>
        <item x="88"/>
        <item x="89"/>
        <item x="390"/>
        <item x="391"/>
        <item x="671"/>
        <item x="392"/>
        <item x="90"/>
        <item x="91"/>
        <item x="92"/>
        <item x="393"/>
        <item x="394"/>
        <item x="672"/>
        <item x="834"/>
        <item x="93"/>
        <item x="395"/>
        <item x="396"/>
        <item x="397"/>
        <item x="94"/>
        <item x="398"/>
        <item x="399"/>
        <item x="95"/>
        <item x="400"/>
        <item x="96"/>
        <item x="97"/>
        <item x="835"/>
        <item x="98"/>
        <item x="836"/>
        <item x="99"/>
        <item x="401"/>
        <item x="837"/>
        <item x="673"/>
        <item x="100"/>
        <item x="101"/>
        <item x="102"/>
        <item x="103"/>
        <item x="402"/>
        <item x="104"/>
        <item x="674"/>
        <item x="105"/>
        <item x="106"/>
        <item x="403"/>
        <item x="107"/>
        <item x="404"/>
        <item x="108"/>
        <item x="675"/>
        <item x="109"/>
        <item x="110"/>
        <item x="111"/>
        <item x="112"/>
        <item x="676"/>
        <item x="113"/>
        <item x="553"/>
        <item x="554"/>
        <item x="677"/>
        <item x="678"/>
        <item x="555"/>
        <item x="274"/>
        <item x="114"/>
        <item x="405"/>
        <item x="115"/>
        <item x="679"/>
        <item x="116"/>
        <item x="680"/>
        <item x="117"/>
        <item x="275"/>
        <item x="118"/>
        <item x="119"/>
        <item x="556"/>
        <item x="120"/>
        <item x="121"/>
        <item x="122"/>
        <item x="123"/>
        <item x="124"/>
        <item x="276"/>
        <item x="277"/>
        <item x="125"/>
        <item x="126"/>
        <item x="127"/>
        <item x="278"/>
        <item x="128"/>
        <item x="279"/>
        <item x="838"/>
        <item x="557"/>
        <item x="406"/>
        <item x="129"/>
        <item x="407"/>
        <item x="681"/>
        <item x="839"/>
        <item x="408"/>
        <item x="682"/>
        <item x="840"/>
        <item x="841"/>
        <item x="409"/>
        <item x="130"/>
        <item x="131"/>
        <item x="280"/>
        <item x="410"/>
        <item x="281"/>
        <item x="411"/>
        <item x="132"/>
        <item x="683"/>
        <item x="412"/>
        <item x="684"/>
        <item x="558"/>
        <item x="559"/>
        <item x="133"/>
        <item x="685"/>
        <item x="413"/>
        <item x="686"/>
        <item x="687"/>
        <item x="688"/>
        <item x="689"/>
        <item x="690"/>
        <item x="414"/>
        <item x="134"/>
        <item x="691"/>
        <item x="135"/>
        <item x="415"/>
        <item x="692"/>
        <item x="693"/>
        <item x="282"/>
        <item x="136"/>
        <item x="137"/>
        <item x="694"/>
        <item x="842"/>
        <item x="695"/>
        <item x="416"/>
        <item x="417"/>
        <item x="696"/>
        <item x="697"/>
        <item x="283"/>
        <item x="698"/>
        <item x="699"/>
        <item x="700"/>
        <item x="138"/>
        <item x="418"/>
        <item x="419"/>
        <item x="420"/>
        <item x="421"/>
        <item x="139"/>
        <item x="701"/>
        <item x="422"/>
        <item x="140"/>
        <item x="141"/>
        <item x="423"/>
        <item x="843"/>
        <item x="844"/>
        <item x="845"/>
        <item x="142"/>
        <item x="846"/>
        <item x="143"/>
        <item x="560"/>
        <item x="847"/>
        <item x="702"/>
        <item x="424"/>
        <item x="144"/>
        <item x="703"/>
        <item x="145"/>
        <item x="848"/>
        <item x="425"/>
        <item x="849"/>
        <item x="426"/>
        <item x="704"/>
        <item x="146"/>
        <item x="561"/>
        <item x="705"/>
        <item x="427"/>
        <item x="706"/>
        <item x="707"/>
        <item x="428"/>
        <item x="562"/>
        <item x="147"/>
        <item x="708"/>
        <item x="709"/>
        <item x="850"/>
        <item x="429"/>
        <item x="148"/>
        <item x="149"/>
        <item x="430"/>
        <item x="150"/>
        <item x="710"/>
        <item x="151"/>
        <item x="152"/>
        <item x="153"/>
        <item x="563"/>
        <item x="154"/>
        <item x="431"/>
        <item x="851"/>
        <item x="852"/>
        <item x="155"/>
        <item x="564"/>
        <item x="432"/>
        <item x="156"/>
        <item x="711"/>
        <item x="565"/>
        <item x="433"/>
        <item x="157"/>
        <item x="158"/>
        <item x="284"/>
        <item x="566"/>
        <item x="285"/>
        <item x="286"/>
        <item x="712"/>
        <item x="159"/>
        <item x="160"/>
        <item x="161"/>
        <item x="713"/>
        <item x="567"/>
        <item x="434"/>
        <item x="435"/>
        <item x="162"/>
        <item x="568"/>
        <item x="287"/>
        <item x="714"/>
        <item x="436"/>
        <item x="853"/>
        <item x="569"/>
        <item x="288"/>
        <item x="854"/>
        <item x="437"/>
        <item x="855"/>
        <item x="163"/>
        <item x="438"/>
        <item x="289"/>
        <item x="439"/>
        <item x="164"/>
        <item x="165"/>
        <item x="570"/>
        <item x="166"/>
        <item x="167"/>
        <item x="168"/>
        <item x="290"/>
        <item x="440"/>
        <item x="715"/>
        <item x="441"/>
        <item x="716"/>
        <item x="717"/>
        <item x="169"/>
        <item x="170"/>
        <item x="718"/>
        <item x="442"/>
        <item x="291"/>
        <item x="719"/>
        <item x="443"/>
        <item x="571"/>
        <item x="171"/>
        <item x="720"/>
        <item x="444"/>
        <item x="292"/>
        <item x="721"/>
        <item x="856"/>
        <item x="293"/>
        <item x="172"/>
        <item x="857"/>
        <item x="722"/>
        <item x="445"/>
        <item x="446"/>
        <item x="723"/>
        <item x="447"/>
        <item x="724"/>
        <item x="725"/>
        <item x="173"/>
        <item x="174"/>
        <item x="175"/>
        <item x="448"/>
        <item x="176"/>
        <item x="726"/>
        <item x="727"/>
        <item x="177"/>
        <item x="728"/>
        <item x="178"/>
        <item x="449"/>
        <item x="729"/>
        <item x="294"/>
        <item x="858"/>
        <item x="179"/>
        <item x="730"/>
        <item x="731"/>
        <item x="180"/>
        <item x="859"/>
        <item x="732"/>
        <item x="450"/>
        <item x="295"/>
        <item x="733"/>
        <item x="451"/>
        <item x="181"/>
        <item x="452"/>
        <item x="182"/>
        <item x="453"/>
        <item x="454"/>
        <item x="860"/>
        <item x="183"/>
        <item x="296"/>
        <item x="455"/>
        <item x="572"/>
        <item x="861"/>
        <item x="184"/>
        <item x="456"/>
        <item x="734"/>
        <item x="735"/>
        <item x="185"/>
        <item x="457"/>
        <item x="736"/>
        <item x="458"/>
        <item x="186"/>
        <item x="737"/>
        <item x="862"/>
        <item x="738"/>
        <item x="297"/>
        <item x="187"/>
        <item x="573"/>
        <item x="739"/>
        <item x="188"/>
        <item x="189"/>
        <item x="863"/>
        <item x="740"/>
        <item x="741"/>
        <item x="298"/>
        <item x="864"/>
        <item x="190"/>
        <item x="742"/>
        <item x="459"/>
        <item x="743"/>
        <item x="460"/>
        <item x="299"/>
        <item x="865"/>
        <item x="744"/>
        <item x="461"/>
        <item x="745"/>
        <item x="574"/>
        <item x="866"/>
        <item x="746"/>
        <item x="462"/>
        <item x="747"/>
        <item x="748"/>
        <item x="463"/>
        <item x="191"/>
        <item x="464"/>
        <item x="867"/>
        <item x="192"/>
        <item x="465"/>
        <item x="868"/>
        <item x="749"/>
        <item x="193"/>
        <item x="300"/>
        <item x="869"/>
        <item x="466"/>
        <item x="870"/>
        <item x="575"/>
        <item x="576"/>
        <item x="301"/>
        <item x="194"/>
        <item x="577"/>
        <item x="750"/>
        <item x="467"/>
        <item x="195"/>
        <item x="302"/>
        <item x="196"/>
        <item x="578"/>
        <item x="303"/>
        <item x="751"/>
        <item x="871"/>
        <item x="752"/>
        <item x="197"/>
        <item x="468"/>
        <item x="304"/>
        <item x="305"/>
        <item x="198"/>
        <item x="471"/>
        <item x="199"/>
        <item x="469"/>
        <item x="872"/>
        <item x="753"/>
        <item x="754"/>
        <item x="470"/>
        <item x="755"/>
        <item x="306"/>
        <item x="200"/>
        <item x="307"/>
        <item x="756"/>
        <item x="308"/>
        <item x="472"/>
        <item x="309"/>
        <item x="201"/>
        <item x="757"/>
        <item x="202"/>
        <item x="873"/>
        <item x="874"/>
        <item x="473"/>
        <item x="758"/>
        <item x="759"/>
        <item x="875"/>
        <item x="876"/>
        <item x="310"/>
        <item x="877"/>
        <item x="760"/>
        <item x="203"/>
        <item x="474"/>
        <item x="579"/>
        <item x="204"/>
        <item x="475"/>
        <item x="878"/>
        <item x="205"/>
        <item x="206"/>
        <item x="761"/>
        <item x="762"/>
        <item x="476"/>
        <item x="477"/>
        <item x="879"/>
        <item x="763"/>
        <item x="478"/>
        <item x="580"/>
        <item x="311"/>
        <item x="207"/>
        <item x="764"/>
        <item x="581"/>
        <item x="479"/>
        <item x="480"/>
        <item x="765"/>
        <item x="481"/>
        <item x="766"/>
        <item x="482"/>
        <item x="767"/>
        <item x="768"/>
        <item x="208"/>
        <item x="209"/>
        <item x="210"/>
        <item x="483"/>
        <item x="211"/>
        <item x="212"/>
        <item x="484"/>
        <item x="880"/>
        <item x="881"/>
        <item x="769"/>
        <item x="213"/>
        <item x="485"/>
        <item x="486"/>
        <item x="770"/>
        <item x="771"/>
        <item x="214"/>
        <item x="487"/>
        <item x="488"/>
        <item x="489"/>
        <item x="882"/>
        <item x="883"/>
        <item x="582"/>
        <item x="312"/>
        <item x="313"/>
        <item x="314"/>
        <item x="490"/>
        <item x="884"/>
        <item x="215"/>
        <item x="772"/>
        <item x="583"/>
        <item x="491"/>
        <item x="885"/>
        <item x="492"/>
        <item x="216"/>
        <item x="886"/>
        <item x="217"/>
        <item x="218"/>
        <item x="493"/>
        <item x="584"/>
        <item x="494"/>
        <item x="773"/>
        <item x="495"/>
        <item x="496"/>
        <item x="497"/>
        <item x="219"/>
        <item x="220"/>
        <item x="585"/>
        <item x="498"/>
        <item x="774"/>
        <item x="499"/>
        <item x="315"/>
        <item x="586"/>
        <item x="775"/>
        <item x="500"/>
        <item x="501"/>
        <item x="887"/>
        <item x="587"/>
        <item x="588"/>
        <item x="888"/>
        <item x="776"/>
        <item x="777"/>
        <item x="221"/>
        <item x="589"/>
        <item x="889"/>
        <item x="222"/>
        <item x="223"/>
        <item x="778"/>
        <item x="779"/>
        <item x="502"/>
        <item x="890"/>
        <item x="224"/>
        <item x="225"/>
        <item x="226"/>
        <item x="891"/>
        <item x="503"/>
        <item x="316"/>
        <item x="227"/>
        <item x="228"/>
        <item x="780"/>
        <item x="317"/>
        <item x="590"/>
        <item x="229"/>
        <item x="230"/>
        <item x="231"/>
        <item x="504"/>
        <item x="505"/>
        <item x="781"/>
        <item x="892"/>
        <item x="782"/>
        <item x="318"/>
        <item x="893"/>
        <item x="783"/>
        <item x="319"/>
        <item x="784"/>
        <item x="506"/>
        <item x="320"/>
        <item x="591"/>
        <item x="592"/>
        <item x="232"/>
        <item x="233"/>
        <item x="234"/>
        <item x="321"/>
        <item x="593"/>
        <item x="235"/>
        <item x="236"/>
        <item x="507"/>
        <item x="785"/>
        <item x="508"/>
        <item x="786"/>
        <item x="594"/>
        <item x="787"/>
        <item x="237"/>
        <item x="509"/>
        <item x="510"/>
        <item x="894"/>
        <item x="788"/>
        <item x="895"/>
        <item x="238"/>
        <item x="239"/>
        <item x="322"/>
        <item x="240"/>
        <item x="511"/>
        <item x="323"/>
        <item x="512"/>
        <item x="241"/>
        <item x="513"/>
        <item x="514"/>
        <item x="595"/>
        <item x="896"/>
        <item x="242"/>
        <item x="243"/>
        <item x="515"/>
        <item x="596"/>
        <item x="516"/>
        <item x="597"/>
        <item x="517"/>
        <item x="598"/>
        <item x="518"/>
        <item x="789"/>
        <item x="897"/>
        <item x="244"/>
        <item x="898"/>
        <item x="324"/>
        <item x="599"/>
        <item x="245"/>
        <item x="899"/>
        <item x="790"/>
        <item x="791"/>
        <item x="600"/>
        <item x="325"/>
        <item x="519"/>
        <item x="900"/>
        <item x="520"/>
        <item x="521"/>
        <item x="601"/>
        <item x="602"/>
        <item x="603"/>
        <item x="522"/>
        <item x="523"/>
        <item x="604"/>
        <item x="524"/>
        <item x="246"/>
        <item x="792"/>
        <item x="247"/>
        <item x="1307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11"/>
  </rowFields>
  <rowItems count="73">
    <i>
      <x v="718"/>
    </i>
    <i>
      <x v="719"/>
    </i>
    <i>
      <x v="625"/>
    </i>
    <i>
      <x v="685"/>
    </i>
    <i>
      <x v="857"/>
    </i>
    <i>
      <x v="683"/>
    </i>
    <i>
      <x v="843"/>
    </i>
    <i>
      <x v="106"/>
    </i>
    <i>
      <x v="84"/>
    </i>
    <i>
      <x v="918"/>
    </i>
    <i>
      <x v="70"/>
    </i>
    <i>
      <x v="932"/>
    </i>
    <i>
      <x v="931"/>
    </i>
    <i>
      <x v="929"/>
    </i>
    <i>
      <x v="984"/>
    </i>
    <i>
      <x v="804"/>
    </i>
    <i>
      <x v="454"/>
    </i>
    <i>
      <x v="87"/>
    </i>
    <i>
      <x v="814"/>
    </i>
    <i>
      <x v="1055"/>
    </i>
    <i>
      <x v="971"/>
    </i>
    <i>
      <x v="934"/>
    </i>
    <i>
      <x v="80"/>
    </i>
    <i>
      <x v="1044"/>
    </i>
    <i>
      <x v="915"/>
    </i>
    <i>
      <x v="54"/>
    </i>
    <i>
      <x v="740"/>
    </i>
    <i>
      <x v="937"/>
    </i>
    <i>
      <x v="920"/>
    </i>
    <i>
      <x v="1106"/>
    </i>
    <i>
      <x v="922"/>
    </i>
    <i>
      <x v="1048"/>
    </i>
    <i>
      <x v="759"/>
    </i>
    <i>
      <x v="1073"/>
    </i>
    <i>
      <x v="63"/>
    </i>
    <i>
      <x v="1091"/>
    </i>
    <i>
      <x v="1119"/>
    </i>
    <i>
      <x v="839"/>
    </i>
    <i>
      <x v="36"/>
    </i>
    <i>
      <x v="1142"/>
    </i>
    <i>
      <x v="340"/>
    </i>
    <i>
      <x v="919"/>
    </i>
    <i>
      <x v="859"/>
    </i>
    <i>
      <x v="60"/>
    </i>
    <i>
      <x v="911"/>
    </i>
    <i>
      <x v="1027"/>
    </i>
    <i>
      <x v="933"/>
    </i>
    <i>
      <x v="1067"/>
    </i>
    <i>
      <x v="913"/>
    </i>
    <i>
      <x v="1101"/>
    </i>
    <i>
      <x v="935"/>
    </i>
    <i>
      <x v="1127"/>
    </i>
    <i>
      <x v="936"/>
    </i>
    <i>
      <x v="916"/>
    </i>
    <i>
      <x v="914"/>
    </i>
    <i>
      <x v="822"/>
    </i>
    <i>
      <x v="945"/>
    </i>
    <i>
      <x v="299"/>
    </i>
    <i>
      <x v="946"/>
    </i>
    <i>
      <x v="1158"/>
    </i>
    <i>
      <x v="955"/>
    </i>
    <i>
      <x v="1098"/>
    </i>
    <i>
      <x v="959"/>
    </i>
    <i>
      <x v="925"/>
    </i>
    <i>
      <x v="275"/>
    </i>
    <i>
      <x v="1124"/>
    </i>
    <i>
      <x v="972"/>
    </i>
    <i>
      <x v="1140"/>
    </i>
    <i>
      <x v="978"/>
    </i>
    <i>
      <x v="930"/>
    </i>
    <i>
      <x v="983"/>
    </i>
    <i>
      <x v="92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3">
    <pageField fld="0" hier="-1"/>
    <pageField fld="1" hier="-1"/>
    <pageField fld="5" hier="-1"/>
  </pageFields>
  <dataFields count="9">
    <dataField name="Sum of Impressions" fld="12" baseField="0" baseItem="0"/>
    <dataField name="Sum of Clicks" fld="13" baseField="0" baseItem="0"/>
    <dataField name="Sum of Spend" fld="16" baseField="0" baseItem="0"/>
    <dataField name="Sum of 7 Day Total Orders (#)" fld="20" baseField="0" baseItem="0"/>
    <dataField name="Sum of 7 Day Total Sales " fld="17" baseField="0" baseItem="0"/>
    <dataField name="Sum of CPC" fld="27" baseField="0" baseItem="0" numFmtId="2"/>
    <dataField name="Sum of ACOS" fld="28" baseField="0" baseItem="0" numFmtId="10"/>
    <dataField name="Sum of CTR" fld="29" baseField="0" baseItem="0" numFmtId="10"/>
    <dataField name="Sum of CVR" fld="30" baseField="0" baseItem="0" numFmtId="10"/>
  </dataFields>
  <formats count="166">
    <format dxfId="365">
      <pivotArea outline="0" collapsedLevelsAreSubtotals="1" fieldPosition="0">
        <references count="1">
          <reference field="4294967294" count="3" selected="0">
            <x v="6"/>
            <x v="7"/>
            <x v="8"/>
          </reference>
        </references>
      </pivotArea>
    </format>
    <format dxfId="364">
      <pivotArea dataOnly="0" labelOnly="1" outline="0" fieldPosition="0">
        <references count="1">
          <reference field="4294967294" count="3">
            <x v="6"/>
            <x v="7"/>
            <x v="8"/>
          </reference>
        </references>
      </pivotArea>
    </format>
    <format dxfId="363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6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61">
      <pivotArea dataOnly="0" labelOnly="1" fieldPosition="0">
        <references count="1">
          <reference field="11" count="6">
            <x v="625"/>
            <x v="683"/>
            <x v="685"/>
            <x v="718"/>
            <x v="843"/>
            <x v="857"/>
          </reference>
        </references>
      </pivotArea>
    </format>
    <format dxfId="360">
      <pivotArea dataOnly="0" labelOnly="1" fieldPosition="0">
        <references count="1">
          <reference field="11" count="1">
            <x v="41"/>
          </reference>
        </references>
      </pivotArea>
    </format>
    <format dxfId="359">
      <pivotArea dataOnly="0" labelOnly="1" fieldPosition="0">
        <references count="1">
          <reference field="11" count="1">
            <x v="82"/>
          </reference>
        </references>
      </pivotArea>
    </format>
    <format dxfId="358">
      <pivotArea dataOnly="0" labelOnly="1" fieldPosition="0">
        <references count="1">
          <reference field="11" count="1">
            <x v="74"/>
          </reference>
        </references>
      </pivotArea>
    </format>
    <format dxfId="357">
      <pivotArea dataOnly="0" labelOnly="1" fieldPosition="0">
        <references count="1">
          <reference field="11" count="1">
            <x v="63"/>
          </reference>
        </references>
      </pivotArea>
    </format>
    <format dxfId="356">
      <pivotArea dataOnly="0" labelOnly="1" fieldPosition="0">
        <references count="1">
          <reference field="11" count="1">
            <x v="81"/>
          </reference>
        </references>
      </pivotArea>
    </format>
    <format dxfId="355">
      <pivotArea dataOnly="0" labelOnly="1" fieldPosition="0">
        <references count="1">
          <reference field="11" count="1">
            <x v="67"/>
          </reference>
        </references>
      </pivotArea>
    </format>
    <format dxfId="354">
      <pivotArea dataOnly="0" labelOnly="1" fieldPosition="0">
        <references count="1">
          <reference field="11" count="1">
            <x v="256"/>
          </reference>
        </references>
      </pivotArea>
    </format>
    <format dxfId="353">
      <pivotArea dataOnly="0" labelOnly="1" fieldPosition="0">
        <references count="1">
          <reference field="11" count="1">
            <x v="672"/>
          </reference>
        </references>
      </pivotArea>
    </format>
    <format dxfId="352">
      <pivotArea dataOnly="0" labelOnly="1" fieldPosition="0">
        <references count="1">
          <reference field="11" count="1">
            <x v="46"/>
          </reference>
        </references>
      </pivotArea>
    </format>
    <format dxfId="351">
      <pivotArea dataOnly="0" labelOnly="1" fieldPosition="0">
        <references count="1">
          <reference field="11" count="1">
            <x v="605"/>
          </reference>
        </references>
      </pivotArea>
    </format>
    <format dxfId="350">
      <pivotArea dataOnly="0" labelOnly="1" fieldPosition="0">
        <references count="1">
          <reference field="11" count="1">
            <x v="99"/>
          </reference>
        </references>
      </pivotArea>
    </format>
    <format dxfId="349">
      <pivotArea dataOnly="0" labelOnly="1" fieldPosition="0">
        <references count="1">
          <reference field="11" count="1">
            <x v="65"/>
          </reference>
        </references>
      </pivotArea>
    </format>
    <format dxfId="348">
      <pivotArea dataOnly="0" labelOnly="1" fieldPosition="0">
        <references count="1">
          <reference field="11" count="1">
            <x v="85"/>
          </reference>
        </references>
      </pivotArea>
    </format>
    <format dxfId="347">
      <pivotArea dataOnly="0" labelOnly="1" fieldPosition="0">
        <references count="1">
          <reference field="11" count="1">
            <x v="85"/>
          </reference>
        </references>
      </pivotArea>
    </format>
    <format dxfId="346">
      <pivotArea dataOnly="0" labelOnly="1" fieldPosition="0">
        <references count="1">
          <reference field="11" count="1">
            <x v="53"/>
          </reference>
        </references>
      </pivotArea>
    </format>
    <format dxfId="345">
      <pivotArea dataOnly="0" labelOnly="1" fieldPosition="0">
        <references count="1">
          <reference field="11" count="1">
            <x v="64"/>
          </reference>
        </references>
      </pivotArea>
    </format>
    <format dxfId="344">
      <pivotArea dataOnly="0" labelOnly="1" fieldPosition="0">
        <references count="1">
          <reference field="11" count="1">
            <x v="79"/>
          </reference>
        </references>
      </pivotArea>
    </format>
    <format dxfId="343">
      <pivotArea dataOnly="0" labelOnly="1" fieldPosition="0">
        <references count="1">
          <reference field="11" count="1">
            <x v="66"/>
          </reference>
        </references>
      </pivotArea>
    </format>
    <format dxfId="342">
      <pivotArea dataOnly="0" labelOnly="1" fieldPosition="0">
        <references count="1">
          <reference field="11" count="1">
            <x v="50"/>
          </reference>
        </references>
      </pivotArea>
    </format>
    <format dxfId="341">
      <pivotArea dataOnly="0" labelOnly="1" fieldPosition="0">
        <references count="1">
          <reference field="11" count="1">
            <x v="36"/>
          </reference>
        </references>
      </pivotArea>
    </format>
    <format dxfId="340">
      <pivotArea dataOnly="0" labelOnly="1" fieldPosition="0">
        <references count="1">
          <reference field="11" count="1">
            <x v="556"/>
          </reference>
        </references>
      </pivotArea>
    </format>
    <format dxfId="339">
      <pivotArea dataOnly="0" labelOnly="1" fieldPosition="0">
        <references count="1">
          <reference field="11" count="1">
            <x v="111"/>
          </reference>
        </references>
      </pivotArea>
    </format>
    <format dxfId="338">
      <pivotArea dataOnly="0" labelOnly="1" fieldPosition="0">
        <references count="1">
          <reference field="11" count="1">
            <x v="591"/>
          </reference>
        </references>
      </pivotArea>
    </format>
    <format dxfId="337">
      <pivotArea dataOnly="0" labelOnly="1" fieldPosition="0">
        <references count="1">
          <reference field="11" count="1">
            <x v="73"/>
          </reference>
        </references>
      </pivotArea>
    </format>
    <format dxfId="336">
      <pivotArea dataOnly="0" labelOnly="1" fieldPosition="0">
        <references count="1">
          <reference field="11" count="1">
            <x v="94"/>
          </reference>
        </references>
      </pivotArea>
    </format>
    <format dxfId="335">
      <pivotArea dataOnly="0" labelOnly="1" fieldPosition="0">
        <references count="1">
          <reference field="11" count="1">
            <x v="265"/>
          </reference>
        </references>
      </pivotArea>
    </format>
    <format dxfId="334">
      <pivotArea dataOnly="0" labelOnly="1" fieldPosition="0">
        <references count="1">
          <reference field="11" count="1">
            <x v="470"/>
          </reference>
        </references>
      </pivotArea>
    </format>
    <format dxfId="333">
      <pivotArea dataOnly="0" labelOnly="1" fieldPosition="0">
        <references count="1">
          <reference field="11" count="1">
            <x v="47"/>
          </reference>
        </references>
      </pivotArea>
    </format>
    <format dxfId="332">
      <pivotArea dataOnly="0" labelOnly="1" fieldPosition="0">
        <references count="1">
          <reference field="11" count="1">
            <x v="324"/>
          </reference>
        </references>
      </pivotArea>
    </format>
    <format dxfId="331">
      <pivotArea dataOnly="0" labelOnly="1" fieldPosition="0">
        <references count="1">
          <reference field="11" count="1">
            <x v="324"/>
          </reference>
        </references>
      </pivotArea>
    </format>
    <format dxfId="330">
      <pivotArea dataOnly="0" labelOnly="1" fieldPosition="0">
        <references count="1">
          <reference field="11" count="1">
            <x v="739"/>
          </reference>
        </references>
      </pivotArea>
    </format>
    <format dxfId="329">
      <pivotArea dataOnly="0" labelOnly="1" fieldPosition="0">
        <references count="1">
          <reference field="11" count="1">
            <x v="347"/>
          </reference>
        </references>
      </pivotArea>
    </format>
    <format dxfId="328">
      <pivotArea dataOnly="0" labelOnly="1" fieldPosition="0">
        <references count="1">
          <reference field="11" count="1">
            <x v="661"/>
          </reference>
        </references>
      </pivotArea>
    </format>
    <format dxfId="327">
      <pivotArea dataOnly="0" labelOnly="1" fieldPosition="0">
        <references count="1">
          <reference field="11" count="1">
            <x v="404"/>
          </reference>
        </references>
      </pivotArea>
    </format>
    <format dxfId="326">
      <pivotArea dataOnly="0" labelOnly="1" fieldPosition="0">
        <references count="1">
          <reference field="11" count="1">
            <x v="419"/>
          </reference>
        </references>
      </pivotArea>
    </format>
    <format dxfId="325">
      <pivotArea dataOnly="0" labelOnly="1" fieldPosition="0">
        <references count="1">
          <reference field="11" count="1">
            <x v="419"/>
          </reference>
        </references>
      </pivotArea>
    </format>
    <format dxfId="324">
      <pivotArea dataOnly="0" labelOnly="1" fieldPosition="0">
        <references count="1">
          <reference field="11" count="1">
            <x v="296"/>
          </reference>
        </references>
      </pivotArea>
    </format>
    <format dxfId="323">
      <pivotArea dataOnly="0" labelOnly="1" fieldPosition="0">
        <references count="1">
          <reference field="11" count="1">
            <x v="707"/>
          </reference>
        </references>
      </pivotArea>
    </format>
    <format dxfId="322">
      <pivotArea dataOnly="0" labelOnly="1" fieldPosition="0">
        <references count="1">
          <reference field="11" count="1">
            <x v="321"/>
          </reference>
        </references>
      </pivotArea>
    </format>
    <format dxfId="321">
      <pivotArea dataOnly="0" labelOnly="1" fieldPosition="0">
        <references count="1">
          <reference field="11" count="1">
            <x v="767"/>
          </reference>
        </references>
      </pivotArea>
    </format>
    <format dxfId="320">
      <pivotArea dataOnly="0" labelOnly="1" fieldPosition="0">
        <references count="1">
          <reference field="11" count="1">
            <x v="499"/>
          </reference>
        </references>
      </pivotArea>
    </format>
    <format dxfId="319">
      <pivotArea dataOnly="0" labelOnly="1" fieldPosition="0">
        <references count="1">
          <reference field="11" count="1">
            <x v="501"/>
          </reference>
        </references>
      </pivotArea>
    </format>
    <format dxfId="318">
      <pivotArea dataOnly="0" labelOnly="1" fieldPosition="0">
        <references count="1">
          <reference field="11" count="1">
            <x v="737"/>
          </reference>
        </references>
      </pivotArea>
    </format>
    <format dxfId="317">
      <pivotArea dataOnly="0" labelOnly="1" fieldPosition="0">
        <references count="1">
          <reference field="11" count="1">
            <x v="144"/>
          </reference>
        </references>
      </pivotArea>
    </format>
    <format dxfId="316">
      <pivotArea dataOnly="0" labelOnly="1" fieldPosition="0">
        <references count="1">
          <reference field="11" count="1">
            <x v="574"/>
          </reference>
        </references>
      </pivotArea>
    </format>
    <format dxfId="315">
      <pivotArea dataOnly="0" labelOnly="1" fieldPosition="0">
        <references count="1">
          <reference field="11" count="1">
            <x v="51"/>
          </reference>
        </references>
      </pivotArea>
    </format>
    <format dxfId="314">
      <pivotArea dataOnly="0" labelOnly="1" fieldPosition="0">
        <references count="1">
          <reference field="11" count="1">
            <x v="107"/>
          </reference>
        </references>
      </pivotArea>
    </format>
    <format dxfId="313">
      <pivotArea dataOnly="0" labelOnly="1" fieldPosition="0">
        <references count="1">
          <reference field="11" count="1">
            <x v="735"/>
          </reference>
        </references>
      </pivotArea>
    </format>
    <format dxfId="312">
      <pivotArea dataOnly="0" labelOnly="1" fieldPosition="0">
        <references count="1">
          <reference field="11" count="1">
            <x v="317"/>
          </reference>
        </references>
      </pivotArea>
    </format>
    <format dxfId="311">
      <pivotArea dataOnly="0" labelOnly="1" fieldPosition="0">
        <references count="1">
          <reference field="11" count="1">
            <x v="242"/>
          </reference>
        </references>
      </pivotArea>
    </format>
    <format dxfId="310">
      <pivotArea dataOnly="0" labelOnly="1" fieldPosition="0">
        <references count="1">
          <reference field="11" count="1">
            <x v="599"/>
          </reference>
        </references>
      </pivotArea>
    </format>
    <format dxfId="309">
      <pivotArea dataOnly="0" labelOnly="1" fieldPosition="0">
        <references count="1">
          <reference field="11" count="1">
            <x v="797"/>
          </reference>
        </references>
      </pivotArea>
    </format>
    <format dxfId="308">
      <pivotArea dataOnly="0" labelOnly="1" fieldPosition="0">
        <references count="1">
          <reference field="11" count="1">
            <x v="78"/>
          </reference>
        </references>
      </pivotArea>
    </format>
    <format dxfId="307">
      <pivotArea dataOnly="0" labelOnly="1" fieldPosition="0">
        <references count="1">
          <reference field="11" count="1">
            <x v="48"/>
          </reference>
        </references>
      </pivotArea>
    </format>
    <format dxfId="306">
      <pivotArea dataOnly="0" labelOnly="1" fieldPosition="0">
        <references count="1">
          <reference field="11" count="1">
            <x v="150"/>
          </reference>
        </references>
      </pivotArea>
    </format>
    <format dxfId="305">
      <pivotArea dataOnly="0" labelOnly="1" fieldPosition="0">
        <references count="1">
          <reference field="11" count="1">
            <x v="189"/>
          </reference>
        </references>
      </pivotArea>
    </format>
    <format dxfId="304">
      <pivotArea dataOnly="0" labelOnly="1" fieldPosition="0">
        <references count="1">
          <reference field="11" count="1">
            <x v="457"/>
          </reference>
        </references>
      </pivotArea>
    </format>
    <format dxfId="303">
      <pivotArea dataOnly="0" labelOnly="1" fieldPosition="0">
        <references count="1">
          <reference field="11" count="1">
            <x v="710"/>
          </reference>
        </references>
      </pivotArea>
    </format>
    <format dxfId="302">
      <pivotArea dataOnly="0" labelOnly="1" fieldPosition="0">
        <references count="1">
          <reference field="11" count="1">
            <x v="258"/>
          </reference>
        </references>
      </pivotArea>
    </format>
    <format dxfId="301">
      <pivotArea dataOnly="0" labelOnly="1" fieldPosition="0">
        <references count="1">
          <reference field="11" count="1">
            <x v="105"/>
          </reference>
        </references>
      </pivotArea>
    </format>
    <format dxfId="300">
      <pivotArea dataOnly="0" labelOnly="1" fieldPosition="0">
        <references count="1">
          <reference field="11" count="1">
            <x v="35"/>
          </reference>
        </references>
      </pivotArea>
    </format>
    <format dxfId="299">
      <pivotArea dataOnly="0" labelOnly="1" fieldPosition="0">
        <references count="1">
          <reference field="11" count="1">
            <x v="88"/>
          </reference>
        </references>
      </pivotArea>
    </format>
    <format dxfId="298">
      <pivotArea dataOnly="0" labelOnly="1" fieldPosition="0">
        <references count="1">
          <reference field="11" count="1">
            <x v="733"/>
          </reference>
        </references>
      </pivotArea>
    </format>
    <format dxfId="297">
      <pivotArea dataOnly="0" labelOnly="1" fieldPosition="0">
        <references count="1">
          <reference field="11" count="1">
            <x v="44"/>
          </reference>
        </references>
      </pivotArea>
    </format>
    <format dxfId="296">
      <pivotArea dataOnly="0" labelOnly="1" fieldPosition="0">
        <references count="1">
          <reference field="11" count="1">
            <x v="738"/>
          </reference>
        </references>
      </pivotArea>
    </format>
    <format dxfId="295">
      <pivotArea dataOnly="0" labelOnly="1" fieldPosition="0">
        <references count="1">
          <reference field="11" count="1">
            <x v="95"/>
          </reference>
        </references>
      </pivotArea>
    </format>
    <format dxfId="294">
      <pivotArea dataOnly="0" labelOnly="1" fieldPosition="0">
        <references count="1">
          <reference field="11" count="1">
            <x v="757"/>
          </reference>
        </references>
      </pivotArea>
    </format>
    <format dxfId="293">
      <pivotArea dataOnly="0" labelOnly="1" fieldPosition="0">
        <references count="1">
          <reference field="11" count="1">
            <x v="55"/>
          </reference>
        </references>
      </pivotArea>
    </format>
    <format dxfId="292">
      <pivotArea dataOnly="0" labelOnly="1" fieldPosition="0">
        <references count="1">
          <reference field="11" count="1">
            <x v="284"/>
          </reference>
        </references>
      </pivotArea>
    </format>
    <format dxfId="291">
      <pivotArea dataOnly="0" labelOnly="1" fieldPosition="0">
        <references count="1">
          <reference field="11" count="1">
            <x v="674"/>
          </reference>
        </references>
      </pivotArea>
    </format>
    <format dxfId="290">
      <pivotArea dataOnly="0" labelOnly="1" fieldPosition="0">
        <references count="1">
          <reference field="11" count="1">
            <x v="813"/>
          </reference>
        </references>
      </pivotArea>
    </format>
    <format dxfId="289">
      <pivotArea dataOnly="0" labelOnly="1" fieldPosition="0">
        <references count="1">
          <reference field="11" count="1">
            <x v="676"/>
          </reference>
        </references>
      </pivotArea>
    </format>
    <format dxfId="288">
      <pivotArea dataOnly="0" labelOnly="1" fieldPosition="0">
        <references count="1">
          <reference field="11" count="1">
            <x v="143"/>
          </reference>
        </references>
      </pivotArea>
    </format>
    <format dxfId="287">
      <pivotArea dataOnly="0" labelOnly="1" fieldPosition="0">
        <references count="1">
          <reference field="11" count="1">
            <x v="677"/>
          </reference>
        </references>
      </pivotArea>
    </format>
    <format dxfId="286">
      <pivotArea dataOnly="0" labelOnly="1" fieldPosition="0">
        <references count="1">
          <reference field="11" count="1">
            <x v="678"/>
          </reference>
        </references>
      </pivotArea>
    </format>
    <format dxfId="285">
      <pivotArea dataOnly="0" labelOnly="1" fieldPosition="0">
        <references count="1">
          <reference field="11" count="1">
            <x v="290"/>
          </reference>
        </references>
      </pivotArea>
    </format>
    <format dxfId="284">
      <pivotArea dataOnly="0" labelOnly="1" fieldPosition="0">
        <references count="1">
          <reference field="11" count="1">
            <x v="98"/>
          </reference>
        </references>
      </pivotArea>
    </format>
    <format dxfId="283">
      <pivotArea dataOnly="0" labelOnly="1" fieldPosition="0">
        <references count="1">
          <reference field="11" count="1">
            <x v="17"/>
          </reference>
        </references>
      </pivotArea>
    </format>
    <format dxfId="282">
      <pivotArea dataOnly="0" labelOnly="1" fieldPosition="0">
        <references count="1">
          <reference field="11" count="1">
            <x v="56"/>
          </reference>
        </references>
      </pivotArea>
    </format>
    <format dxfId="281">
      <pivotArea dataOnly="0" labelOnly="1" fieldPosition="0">
        <references count="1">
          <reference field="11" count="1">
            <x v="183"/>
          </reference>
        </references>
      </pivotArea>
    </format>
    <format dxfId="280">
      <pivotArea dataOnly="0" labelOnly="1" fieldPosition="0">
        <references count="1">
          <reference field="11" count="1">
            <x v="297"/>
          </reference>
        </references>
      </pivotArea>
    </format>
    <format dxfId="279">
      <pivotArea dataOnly="0" labelOnly="1" fieldPosition="0">
        <references count="1">
          <reference field="11" count="1">
            <x v="297"/>
          </reference>
        </references>
      </pivotArea>
    </format>
    <format dxfId="278">
      <pivotArea dataOnly="0" labelOnly="1" fieldPosition="0">
        <references count="1">
          <reference field="11" count="1">
            <x v="698"/>
          </reference>
        </references>
      </pivotArea>
    </format>
    <format dxfId="277">
      <pivotArea dataOnly="0" labelOnly="1" fieldPosition="0">
        <references count="1">
          <reference field="11" count="1">
            <x v="894"/>
          </reference>
        </references>
      </pivotArea>
    </format>
    <format dxfId="276">
      <pivotArea dataOnly="0" labelOnly="1" fieldPosition="0">
        <references count="1">
          <reference field="11" count="1">
            <x v="700"/>
          </reference>
        </references>
      </pivotArea>
    </format>
    <format dxfId="275">
      <pivotArea dataOnly="0" labelOnly="1" fieldPosition="0">
        <references count="1">
          <reference field="11" count="1">
            <x v="194"/>
          </reference>
        </references>
      </pivotArea>
    </format>
    <format dxfId="274">
      <pivotArea dataOnly="0" labelOnly="1" fieldPosition="0">
        <references count="1">
          <reference field="11" count="1">
            <x v="102"/>
          </reference>
        </references>
      </pivotArea>
    </format>
    <format dxfId="273">
      <pivotArea dataOnly="0" labelOnly="1" fieldPosition="0">
        <references count="1">
          <reference field="11" count="1">
            <x v="692"/>
          </reference>
        </references>
      </pivotArea>
    </format>
    <format dxfId="272">
      <pivotArea dataOnly="0" labelOnly="1" fieldPosition="0">
        <references count="1">
          <reference field="11" count="1">
            <x v="753"/>
          </reference>
        </references>
      </pivotArea>
    </format>
    <format dxfId="271">
      <pivotArea field="11" type="button" dataOnly="0" labelOnly="1" outline="0" axis="axisRow" fieldPosition="0"/>
    </format>
    <format dxfId="270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69">
      <pivotArea collapsedLevelsAreSubtotals="1" fieldPosition="0">
        <references count="1">
          <reference field="11" count="1">
            <x v="104"/>
          </reference>
        </references>
      </pivotArea>
    </format>
    <format dxfId="268">
      <pivotArea collapsedLevelsAreSubtotals="1" fieldPosition="0">
        <references count="1">
          <reference field="11" count="1">
            <x v="61"/>
          </reference>
        </references>
      </pivotArea>
    </format>
    <format dxfId="267">
      <pivotArea collapsedLevelsAreSubtotals="1" fieldPosition="0">
        <references count="1">
          <reference field="11" count="1">
            <x v="81"/>
          </reference>
        </references>
      </pivotArea>
    </format>
    <format dxfId="266">
      <pivotArea collapsedLevelsAreSubtotals="1" fieldPosition="0">
        <references count="1">
          <reference field="11" count="1">
            <x v="96"/>
          </reference>
        </references>
      </pivotArea>
    </format>
    <format dxfId="265">
      <pivotArea dataOnly="0" labelOnly="1" fieldPosition="0">
        <references count="1">
          <reference field="11" count="1">
            <x v="68"/>
          </reference>
        </references>
      </pivotArea>
    </format>
    <format dxfId="264">
      <pivotArea collapsedLevelsAreSubtotals="1" fieldPosition="0">
        <references count="1">
          <reference field="11" count="1">
            <x v="396"/>
          </reference>
        </references>
      </pivotArea>
    </format>
    <format dxfId="263">
      <pivotArea collapsedLevelsAreSubtotals="1" fieldPosition="0">
        <references count="1">
          <reference field="11" count="1">
            <x v="557"/>
          </reference>
        </references>
      </pivotArea>
    </format>
    <format dxfId="262">
      <pivotArea collapsedLevelsAreSubtotals="1" fieldPosition="0">
        <references count="1">
          <reference field="11" count="1">
            <x v="111"/>
          </reference>
        </references>
      </pivotArea>
    </format>
    <format dxfId="261">
      <pivotArea collapsedLevelsAreSubtotals="1" fieldPosition="0">
        <references count="1">
          <reference field="11" count="1">
            <x v="39"/>
          </reference>
        </references>
      </pivotArea>
    </format>
    <format dxfId="260">
      <pivotArea collapsedLevelsAreSubtotals="1" fieldPosition="0">
        <references count="1">
          <reference field="11" count="1">
            <x v="142"/>
          </reference>
        </references>
      </pivotArea>
    </format>
    <format dxfId="259">
      <pivotArea collapsedLevelsAreSubtotals="1" fieldPosition="0">
        <references count="1">
          <reference field="11" count="1">
            <x v="661"/>
          </reference>
        </references>
      </pivotArea>
    </format>
    <format dxfId="258">
      <pivotArea dataOnly="0" labelOnly="1" fieldPosition="0">
        <references count="1">
          <reference field="11" count="1">
            <x v="661"/>
          </reference>
        </references>
      </pivotArea>
    </format>
    <format dxfId="257">
      <pivotArea collapsedLevelsAreSubtotals="1" fieldPosition="0">
        <references count="1">
          <reference field="11" count="1">
            <x v="753"/>
          </reference>
        </references>
      </pivotArea>
    </format>
    <format dxfId="256">
      <pivotArea dataOnly="0" labelOnly="1" fieldPosition="0">
        <references count="1">
          <reference field="11" count="1">
            <x v="753"/>
          </reference>
        </references>
      </pivotArea>
    </format>
    <format dxfId="255">
      <pivotArea collapsedLevelsAreSubtotals="1" fieldPosition="0">
        <references count="1">
          <reference field="11" count="1">
            <x v="598"/>
          </reference>
        </references>
      </pivotArea>
    </format>
    <format dxfId="254">
      <pivotArea collapsedLevelsAreSubtotals="1" fieldPosition="0">
        <references count="1">
          <reference field="11" count="1">
            <x v="189"/>
          </reference>
        </references>
      </pivotArea>
    </format>
    <format dxfId="253">
      <pivotArea collapsedLevelsAreSubtotals="1" fieldPosition="0">
        <references count="1">
          <reference field="11" count="1">
            <x v="612"/>
          </reference>
        </references>
      </pivotArea>
    </format>
    <format dxfId="252">
      <pivotArea collapsedLevelsAreSubtotals="1" fieldPosition="0">
        <references count="1">
          <reference field="11" count="1">
            <x v="23"/>
          </reference>
        </references>
      </pivotArea>
    </format>
    <format dxfId="251">
      <pivotArea collapsedLevelsAreSubtotals="1" fieldPosition="0">
        <references count="1">
          <reference field="11" count="1">
            <x v="895"/>
          </reference>
        </references>
      </pivotArea>
    </format>
    <format dxfId="250">
      <pivotArea collapsedLevelsAreSubtotals="1" fieldPosition="0">
        <references count="1">
          <reference field="11" count="1">
            <x v="88"/>
          </reference>
        </references>
      </pivotArea>
    </format>
    <format dxfId="249">
      <pivotArea collapsedLevelsAreSubtotals="1" fieldPosition="0">
        <references count="1">
          <reference field="11" count="1">
            <x v="664"/>
          </reference>
        </references>
      </pivotArea>
    </format>
    <format dxfId="248">
      <pivotArea collapsedLevelsAreSubtotals="1" fieldPosition="0">
        <references count="1">
          <reference field="11" count="1">
            <x v="329"/>
          </reference>
        </references>
      </pivotArea>
    </format>
    <format dxfId="247">
      <pivotArea collapsedLevelsAreSubtotals="1" fieldPosition="0">
        <references count="1">
          <reference field="11" count="1">
            <x v="287"/>
          </reference>
        </references>
      </pivotArea>
    </format>
    <format dxfId="246">
      <pivotArea collapsedLevelsAreSubtotals="1" fieldPosition="0">
        <references count="1">
          <reference field="11" count="1">
            <x v="829"/>
          </reference>
        </references>
      </pivotArea>
    </format>
    <format dxfId="245">
      <pivotArea collapsedLevelsAreSubtotals="1" fieldPosition="0">
        <references count="1">
          <reference field="11" count="1">
            <x v="17"/>
          </reference>
        </references>
      </pivotArea>
    </format>
    <format dxfId="244">
      <pivotArea collapsedLevelsAreSubtotals="1" fieldPosition="0">
        <references count="1">
          <reference field="11" count="1">
            <x v="14"/>
          </reference>
        </references>
      </pivotArea>
    </format>
    <format dxfId="243">
      <pivotArea dataOnly="0" labelOnly="1" fieldPosition="0">
        <references count="1">
          <reference field="11" count="1">
            <x v="14"/>
          </reference>
        </references>
      </pivotArea>
    </format>
    <format dxfId="242">
      <pivotArea collapsedLevelsAreSubtotals="1" fieldPosition="0">
        <references count="1">
          <reference field="11" count="1">
            <x v="679"/>
          </reference>
        </references>
      </pivotArea>
    </format>
    <format dxfId="241">
      <pivotArea collapsedLevelsAreSubtotals="1" fieldPosition="0">
        <references count="1">
          <reference field="11" count="1">
            <x v="413"/>
          </reference>
        </references>
      </pivotArea>
    </format>
    <format dxfId="240">
      <pivotArea dataOnly="0" labelOnly="1" fieldPosition="0">
        <references count="1">
          <reference field="11" count="1">
            <x v="413"/>
          </reference>
        </references>
      </pivotArea>
    </format>
    <format dxfId="239">
      <pivotArea dataOnly="0" labelOnly="1" fieldPosition="0">
        <references count="1">
          <reference field="11" count="1">
            <x v="396"/>
          </reference>
        </references>
      </pivotArea>
    </format>
    <format dxfId="238">
      <pivotArea dataOnly="0" labelOnly="1" fieldPosition="0">
        <references count="1">
          <reference field="11" count="1">
            <x v="557"/>
          </reference>
        </references>
      </pivotArea>
    </format>
    <format dxfId="237">
      <pivotArea dataOnly="0" labelOnly="1" fieldPosition="0">
        <references count="1">
          <reference field="11" count="1">
            <x v="111"/>
          </reference>
        </references>
      </pivotArea>
    </format>
    <format dxfId="236">
      <pivotArea dataOnly="0" labelOnly="1" fieldPosition="0">
        <references count="1">
          <reference field="11" count="1">
            <x v="413"/>
          </reference>
        </references>
      </pivotArea>
    </format>
    <format dxfId="235">
      <pivotArea dataOnly="0" labelOnly="1" fieldPosition="0">
        <references count="1">
          <reference field="11" count="1">
            <x v="39"/>
          </reference>
        </references>
      </pivotArea>
    </format>
    <format dxfId="234">
      <pivotArea dataOnly="0" labelOnly="1" fieldPosition="0">
        <references count="1">
          <reference field="11" count="1">
            <x v="142"/>
          </reference>
        </references>
      </pivotArea>
    </format>
    <format dxfId="233">
      <pivotArea dataOnly="0" labelOnly="1" fieldPosition="0">
        <references count="1">
          <reference field="11" count="1">
            <x v="679"/>
          </reference>
        </references>
      </pivotArea>
    </format>
    <format dxfId="232">
      <pivotArea dataOnly="0" labelOnly="1" fieldPosition="0">
        <references count="1">
          <reference field="11" count="1">
            <x v="598"/>
          </reference>
        </references>
      </pivotArea>
    </format>
    <format dxfId="231">
      <pivotArea dataOnly="0" labelOnly="1" fieldPosition="0">
        <references count="1">
          <reference field="11" count="1">
            <x v="189"/>
          </reference>
        </references>
      </pivotArea>
    </format>
    <format dxfId="230">
      <pivotArea dataOnly="0" labelOnly="1" fieldPosition="0">
        <references count="1">
          <reference field="11" count="1">
            <x v="612"/>
          </reference>
        </references>
      </pivotArea>
    </format>
    <format dxfId="229">
      <pivotArea dataOnly="0" labelOnly="1" fieldPosition="0">
        <references count="1">
          <reference field="11" count="2">
            <x v="23"/>
            <x v="895"/>
          </reference>
        </references>
      </pivotArea>
    </format>
    <format dxfId="228">
      <pivotArea dataOnly="0" labelOnly="1" fieldPosition="0">
        <references count="1">
          <reference field="11" count="1">
            <x v="88"/>
          </reference>
        </references>
      </pivotArea>
    </format>
    <format dxfId="227">
      <pivotArea dataOnly="0" labelOnly="1" fieldPosition="0">
        <references count="1">
          <reference field="11" count="2">
            <x v="329"/>
            <x v="664"/>
          </reference>
        </references>
      </pivotArea>
    </format>
    <format dxfId="226">
      <pivotArea dataOnly="0" labelOnly="1" fieldPosition="0">
        <references count="1">
          <reference field="11" count="1">
            <x v="287"/>
          </reference>
        </references>
      </pivotArea>
    </format>
    <format dxfId="225">
      <pivotArea dataOnly="0" labelOnly="1" fieldPosition="0">
        <references count="1">
          <reference field="11" count="1">
            <x v="829"/>
          </reference>
        </references>
      </pivotArea>
    </format>
    <format dxfId="224">
      <pivotArea dataOnly="0" labelOnly="1" fieldPosition="0">
        <references count="1">
          <reference field="11" count="1">
            <x v="81"/>
          </reference>
        </references>
      </pivotArea>
    </format>
    <format dxfId="223">
      <pivotArea dataOnly="0" labelOnly="1" fieldPosition="0">
        <references count="1">
          <reference field="11" count="1">
            <x v="96"/>
          </reference>
        </references>
      </pivotArea>
    </format>
    <format dxfId="222">
      <pivotArea dataOnly="0" labelOnly="1" fieldPosition="0">
        <references count="1">
          <reference field="11" count="1">
            <x v="61"/>
          </reference>
        </references>
      </pivotArea>
    </format>
    <format dxfId="221">
      <pivotArea dataOnly="0" labelOnly="1" fieldPosition="0">
        <references count="1">
          <reference field="11" count="1">
            <x v="104"/>
          </reference>
        </references>
      </pivotArea>
    </format>
    <format dxfId="220">
      <pivotArea dataOnly="0" labelOnly="1" fieldPosition="0">
        <references count="1">
          <reference field="11" count="3">
            <x v="683"/>
            <x v="843"/>
            <x v="857"/>
          </reference>
        </references>
      </pivotArea>
    </format>
    <format dxfId="219">
      <pivotArea dataOnly="0" labelOnly="1" fieldPosition="0">
        <references count="1">
          <reference field="11" count="1">
            <x v="931"/>
          </reference>
        </references>
      </pivotArea>
    </format>
    <format dxfId="218">
      <pivotArea dataOnly="0" labelOnly="1" fieldPosition="0">
        <references count="1">
          <reference field="11" count="1">
            <x v="934"/>
          </reference>
        </references>
      </pivotArea>
    </format>
    <format dxfId="217">
      <pivotArea dataOnly="0" labelOnly="1" fieldPosition="0">
        <references count="1">
          <reference field="11" count="1">
            <x v="920"/>
          </reference>
        </references>
      </pivotArea>
    </format>
    <format dxfId="216">
      <pivotArea dataOnly="0" labelOnly="1" fieldPosition="0">
        <references count="1">
          <reference field="11" count="1">
            <x v="922"/>
          </reference>
        </references>
      </pivotArea>
    </format>
    <format dxfId="215">
      <pivotArea dataOnly="0" labelOnly="1" fieldPosition="0">
        <references count="1">
          <reference field="11" count="1">
            <x v="919"/>
          </reference>
        </references>
      </pivotArea>
    </format>
    <format dxfId="214">
      <pivotArea dataOnly="0" labelOnly="1" fieldPosition="0">
        <references count="1">
          <reference field="11" count="1">
            <x v="936"/>
          </reference>
        </references>
      </pivotArea>
    </format>
    <format dxfId="213">
      <pivotArea dataOnly="0" labelOnly="1" fieldPosition="0">
        <references count="1">
          <reference field="11" count="1">
            <x v="925"/>
          </reference>
        </references>
      </pivotArea>
    </format>
    <format dxfId="212">
      <pivotArea dataOnly="0" labelOnly="1" fieldPosition="0">
        <references count="1">
          <reference field="11" count="1">
            <x v="930"/>
          </reference>
        </references>
      </pivotArea>
    </format>
    <format dxfId="211">
      <pivotArea dataOnly="0" labelOnly="1" fieldPosition="0">
        <references count="1">
          <reference field="11" count="1">
            <x v="1106"/>
          </reference>
        </references>
      </pivotArea>
    </format>
    <format dxfId="210">
      <pivotArea dataOnly="0" labelOnly="1" fieldPosition="0">
        <references count="1">
          <reference field="11" count="1">
            <x v="946"/>
          </reference>
        </references>
      </pivotArea>
    </format>
    <format dxfId="209">
      <pivotArea collapsedLevelsAreSubtotals="1" fieldPosition="0">
        <references count="1">
          <reference field="11" count="1">
            <x v="63"/>
          </reference>
        </references>
      </pivotArea>
    </format>
    <format dxfId="208">
      <pivotArea dataOnly="0" labelOnly="1" fieldPosition="0">
        <references count="1">
          <reference field="11" count="1">
            <x v="911"/>
          </reference>
        </references>
      </pivotArea>
    </format>
    <format dxfId="207">
      <pivotArea dataOnly="0" labelOnly="1" fieldPosition="0">
        <references count="1">
          <reference field="11" count="1">
            <x v="1067"/>
          </reference>
        </references>
      </pivotArea>
    </format>
    <format dxfId="206">
      <pivotArea dataOnly="0" labelOnly="1" fieldPosition="0">
        <references count="1">
          <reference field="11" count="1">
            <x v="1044"/>
          </reference>
        </references>
      </pivotArea>
    </format>
    <format dxfId="205">
      <pivotArea dataOnly="0" labelOnly="1" fieldPosition="0">
        <references count="1">
          <reference field="11" count="6">
            <x v="625"/>
            <x v="683"/>
            <x v="685"/>
            <x v="718"/>
            <x v="719"/>
            <x v="857"/>
          </reference>
        </references>
      </pivotArea>
    </format>
    <format dxfId="204">
      <pivotArea dataOnly="0" labelOnly="1" fieldPosition="0">
        <references count="1">
          <reference field="11" count="1">
            <x v="839"/>
          </reference>
        </references>
      </pivotArea>
    </format>
    <format dxfId="203">
      <pivotArea dataOnly="0" labelOnly="1" fieldPosition="0">
        <references count="1">
          <reference field="11" count="1">
            <x v="1124"/>
          </reference>
        </references>
      </pivotArea>
    </format>
    <format dxfId="18">
      <pivotArea collapsedLevelsAreSubtotals="1" fieldPosition="0">
        <references count="1">
          <reference field="11" count="62">
            <x v="36"/>
            <x v="54"/>
            <x v="60"/>
            <x v="63"/>
            <x v="70"/>
            <x v="80"/>
            <x v="87"/>
            <x v="275"/>
            <x v="299"/>
            <x v="340"/>
            <x v="454"/>
            <x v="740"/>
            <x v="759"/>
            <x v="804"/>
            <x v="814"/>
            <x v="822"/>
            <x v="839"/>
            <x v="859"/>
            <x v="911"/>
            <x v="913"/>
            <x v="914"/>
            <x v="915"/>
            <x v="916"/>
            <x v="918"/>
            <x v="919"/>
            <x v="920"/>
            <x v="922"/>
            <x v="925"/>
            <x v="929"/>
            <x v="930"/>
            <x v="931"/>
            <x v="932"/>
            <x v="933"/>
            <x v="934"/>
            <x v="935"/>
            <x v="936"/>
            <x v="937"/>
            <x v="945"/>
            <x v="946"/>
            <x v="955"/>
            <x v="959"/>
            <x v="971"/>
            <x v="972"/>
            <x v="978"/>
            <x v="983"/>
            <x v="984"/>
            <x v="1027"/>
            <x v="1044"/>
            <x v="1048"/>
            <x v="1055"/>
            <x v="1067"/>
            <x v="1073"/>
            <x v="1091"/>
            <x v="1098"/>
            <x v="1101"/>
            <x v="1106"/>
            <x v="1119"/>
            <x v="1124"/>
            <x v="1127"/>
            <x v="1140"/>
            <x v="1142"/>
            <x v="1158"/>
          </reference>
        </references>
      </pivotArea>
    </format>
    <format dxfId="11">
      <pivotArea dataOnly="0" labelOnly="1" fieldPosition="0">
        <references count="1">
          <reference field="11" count="50">
            <x v="36"/>
            <x v="54"/>
            <x v="60"/>
            <x v="63"/>
            <x v="70"/>
            <x v="80"/>
            <x v="87"/>
            <x v="299"/>
            <x v="340"/>
            <x v="454"/>
            <x v="740"/>
            <x v="759"/>
            <x v="804"/>
            <x v="814"/>
            <x v="822"/>
            <x v="839"/>
            <x v="859"/>
            <x v="911"/>
            <x v="913"/>
            <x v="914"/>
            <x v="915"/>
            <x v="916"/>
            <x v="918"/>
            <x v="919"/>
            <x v="920"/>
            <x v="922"/>
            <x v="929"/>
            <x v="931"/>
            <x v="932"/>
            <x v="933"/>
            <x v="934"/>
            <x v="935"/>
            <x v="936"/>
            <x v="937"/>
            <x v="945"/>
            <x v="946"/>
            <x v="971"/>
            <x v="984"/>
            <x v="1027"/>
            <x v="1044"/>
            <x v="1048"/>
            <x v="1055"/>
            <x v="1067"/>
            <x v="1073"/>
            <x v="1091"/>
            <x v="1101"/>
            <x v="1106"/>
            <x v="1119"/>
            <x v="1127"/>
            <x v="1142"/>
          </reference>
        </references>
      </pivotArea>
    </format>
    <format dxfId="0">
      <pivotArea dataOnly="0" labelOnly="1" fieldPosition="0">
        <references count="1">
          <reference field="11" count="12">
            <x v="275"/>
            <x v="925"/>
            <x v="930"/>
            <x v="955"/>
            <x v="959"/>
            <x v="972"/>
            <x v="978"/>
            <x v="983"/>
            <x v="1098"/>
            <x v="1124"/>
            <x v="1140"/>
            <x v="115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14F9C-2029-C347-87C3-E3160EE035D4}">
  <dimension ref="A1:K911"/>
  <sheetViews>
    <sheetView zoomScale="91" workbookViewId="0">
      <selection activeCell="C69" sqref="C69"/>
    </sheetView>
  </sheetViews>
  <sheetFormatPr baseColWidth="10" defaultRowHeight="15" x14ac:dyDescent="0.2"/>
  <cols>
    <col min="1" max="1" width="32.83203125" style="19" customWidth="1"/>
    <col min="2" max="2" width="58.83203125" bestFit="1" customWidth="1"/>
    <col min="3" max="3" width="16.6640625" bestFit="1" customWidth="1"/>
    <col min="4" max="4" width="11.6640625" bestFit="1" customWidth="1"/>
    <col min="5" max="5" width="11.83203125" style="18" bestFit="1" customWidth="1"/>
    <col min="6" max="6" width="20.33203125" bestFit="1" customWidth="1"/>
    <col min="7" max="7" width="23.33203125" bestFit="1" customWidth="1"/>
    <col min="8" max="8" width="10.1640625" style="8" bestFit="1" customWidth="1"/>
    <col min="9" max="9" width="11.1640625" style="9" bestFit="1" customWidth="1"/>
    <col min="10" max="10" width="9.83203125" style="9" bestFit="1" customWidth="1"/>
    <col min="11" max="11" width="10" style="9" bestFit="1" customWidth="1"/>
  </cols>
  <sheetData>
    <row r="1" spans="1:11" x14ac:dyDescent="0.2">
      <c r="B1" s="6" t="s">
        <v>3</v>
      </c>
      <c r="C1" t="s">
        <v>49</v>
      </c>
    </row>
    <row r="2" spans="1:11" x14ac:dyDescent="0.2">
      <c r="A2" s="15" t="s">
        <v>1116</v>
      </c>
      <c r="B2" s="6" t="s">
        <v>981</v>
      </c>
      <c r="C2" t="s">
        <v>983</v>
      </c>
    </row>
    <row r="3" spans="1:11" x14ac:dyDescent="0.2">
      <c r="A3" s="16" t="s">
        <v>1109</v>
      </c>
      <c r="B3" s="6" t="s">
        <v>982</v>
      </c>
      <c r="C3" t="s">
        <v>983</v>
      </c>
    </row>
    <row r="4" spans="1:11" x14ac:dyDescent="0.2">
      <c r="A4" s="17" t="s">
        <v>996</v>
      </c>
    </row>
    <row r="5" spans="1:11" x14ac:dyDescent="0.2">
      <c r="A5" s="19" t="s">
        <v>997</v>
      </c>
      <c r="B5" s="6" t="s">
        <v>984</v>
      </c>
      <c r="C5" t="s">
        <v>986</v>
      </c>
      <c r="D5" t="s">
        <v>987</v>
      </c>
      <c r="E5" s="18" t="s">
        <v>988</v>
      </c>
      <c r="F5" t="s">
        <v>989</v>
      </c>
      <c r="G5" t="s">
        <v>990</v>
      </c>
      <c r="H5" s="8" t="s">
        <v>991</v>
      </c>
      <c r="I5" s="9" t="s">
        <v>992</v>
      </c>
      <c r="J5" s="9" t="s">
        <v>993</v>
      </c>
      <c r="K5" s="9" t="s">
        <v>994</v>
      </c>
    </row>
    <row r="6" spans="1:11" x14ac:dyDescent="0.2">
      <c r="B6" s="7" t="s">
        <v>398</v>
      </c>
      <c r="C6">
        <v>1</v>
      </c>
      <c r="D6">
        <v>1</v>
      </c>
      <c r="E6" s="18">
        <v>0.35</v>
      </c>
      <c r="F6">
        <v>0</v>
      </c>
      <c r="G6">
        <v>0</v>
      </c>
      <c r="H6" s="8">
        <v>0.35</v>
      </c>
      <c r="I6" s="9" t="e">
        <v>#DIV/0!</v>
      </c>
      <c r="J6" s="9">
        <v>1</v>
      </c>
      <c r="K6" s="9">
        <v>0</v>
      </c>
    </row>
    <row r="7" spans="1:11" x14ac:dyDescent="0.2">
      <c r="B7" s="13" t="s">
        <v>600</v>
      </c>
      <c r="C7">
        <v>1</v>
      </c>
      <c r="D7">
        <v>1</v>
      </c>
      <c r="E7" s="18">
        <v>0.32</v>
      </c>
      <c r="F7">
        <v>0</v>
      </c>
      <c r="G7">
        <v>0</v>
      </c>
      <c r="H7" s="8">
        <v>0.32</v>
      </c>
      <c r="I7" s="9" t="e">
        <v>#DIV/0!</v>
      </c>
      <c r="J7" s="9">
        <v>1</v>
      </c>
      <c r="K7" s="9">
        <v>0</v>
      </c>
    </row>
    <row r="8" spans="1:11" x14ac:dyDescent="0.2">
      <c r="B8" s="13" t="s">
        <v>681</v>
      </c>
      <c r="C8">
        <v>1</v>
      </c>
      <c r="D8">
        <v>1</v>
      </c>
      <c r="E8" s="18">
        <v>0.6</v>
      </c>
      <c r="F8">
        <v>0</v>
      </c>
      <c r="G8">
        <v>0</v>
      </c>
      <c r="H8" s="8">
        <v>0.6</v>
      </c>
      <c r="I8" s="9" t="e">
        <v>#DIV/0!</v>
      </c>
      <c r="J8" s="9">
        <v>1</v>
      </c>
      <c r="K8" s="9">
        <v>0</v>
      </c>
    </row>
    <row r="9" spans="1:11" x14ac:dyDescent="0.2">
      <c r="B9" s="13" t="s">
        <v>872</v>
      </c>
      <c r="C9">
        <v>1</v>
      </c>
      <c r="D9">
        <v>1</v>
      </c>
      <c r="E9" s="18">
        <v>0.45</v>
      </c>
      <c r="F9">
        <v>18.989999999999998</v>
      </c>
      <c r="G9">
        <v>1</v>
      </c>
      <c r="H9" s="8">
        <v>0.45</v>
      </c>
      <c r="I9" s="9">
        <v>2.3696682464454978E-2</v>
      </c>
      <c r="J9" s="9">
        <v>1</v>
      </c>
      <c r="K9" s="9">
        <v>1</v>
      </c>
    </row>
    <row r="10" spans="1:11" x14ac:dyDescent="0.2">
      <c r="B10" s="13" t="s">
        <v>603</v>
      </c>
      <c r="C10">
        <v>1</v>
      </c>
      <c r="D10">
        <v>1</v>
      </c>
      <c r="E10" s="18">
        <v>0.32</v>
      </c>
      <c r="F10">
        <v>0</v>
      </c>
      <c r="G10">
        <v>0</v>
      </c>
      <c r="H10" s="8">
        <v>0.32</v>
      </c>
      <c r="I10" s="9" t="e">
        <v>#DIV/0!</v>
      </c>
      <c r="J10" s="9">
        <v>1</v>
      </c>
      <c r="K10" s="9">
        <v>0</v>
      </c>
    </row>
    <row r="11" spans="1:11" x14ac:dyDescent="0.2">
      <c r="B11" s="14" t="s">
        <v>875</v>
      </c>
      <c r="C11">
        <v>1</v>
      </c>
      <c r="D11">
        <v>1</v>
      </c>
      <c r="E11" s="18">
        <v>0.47</v>
      </c>
      <c r="F11">
        <v>0</v>
      </c>
      <c r="G11">
        <v>0</v>
      </c>
      <c r="H11" s="8">
        <v>0.47</v>
      </c>
      <c r="I11" s="9" t="e">
        <v>#DIV/0!</v>
      </c>
      <c r="J11" s="9">
        <v>1</v>
      </c>
      <c r="K11" s="9">
        <v>0</v>
      </c>
    </row>
    <row r="12" spans="1:11" x14ac:dyDescent="0.2">
      <c r="A12" s="19" t="s">
        <v>999</v>
      </c>
      <c r="B12" s="13" t="s">
        <v>402</v>
      </c>
      <c r="C12">
        <v>5</v>
      </c>
      <c r="D12">
        <v>2</v>
      </c>
      <c r="E12" s="18">
        <v>0.51</v>
      </c>
      <c r="F12">
        <v>0</v>
      </c>
      <c r="G12">
        <v>0</v>
      </c>
      <c r="H12" s="8">
        <v>0.255</v>
      </c>
      <c r="I12" s="9" t="e">
        <v>#DIV/0!</v>
      </c>
      <c r="J12" s="9">
        <v>0.4</v>
      </c>
      <c r="K12" s="9">
        <v>0</v>
      </c>
    </row>
    <row r="13" spans="1:11" x14ac:dyDescent="0.2">
      <c r="B13" s="7" t="s">
        <v>684</v>
      </c>
      <c r="C13">
        <v>2</v>
      </c>
      <c r="D13">
        <v>1</v>
      </c>
      <c r="E13" s="18">
        <v>0.68</v>
      </c>
      <c r="F13">
        <v>0</v>
      </c>
      <c r="G13">
        <v>0</v>
      </c>
      <c r="H13" s="8">
        <v>0.68</v>
      </c>
      <c r="I13" s="9" t="e">
        <v>#DIV/0!</v>
      </c>
      <c r="J13" s="9">
        <v>0.5</v>
      </c>
      <c r="K13" s="9">
        <v>0</v>
      </c>
    </row>
    <row r="14" spans="1:11" x14ac:dyDescent="0.2">
      <c r="B14" s="13" t="s">
        <v>606</v>
      </c>
      <c r="C14">
        <v>1</v>
      </c>
      <c r="D14">
        <v>1</v>
      </c>
      <c r="E14" s="18">
        <v>0.53</v>
      </c>
      <c r="F14">
        <v>0</v>
      </c>
      <c r="G14">
        <v>0</v>
      </c>
      <c r="H14" s="8">
        <v>0.53</v>
      </c>
      <c r="I14" s="9" t="e">
        <v>#DIV/0!</v>
      </c>
      <c r="J14" s="9">
        <v>1</v>
      </c>
      <c r="K14" s="9">
        <v>0</v>
      </c>
    </row>
    <row r="15" spans="1:11" x14ac:dyDescent="0.2">
      <c r="B15" s="7" t="s">
        <v>685</v>
      </c>
      <c r="C15">
        <v>2</v>
      </c>
      <c r="D15">
        <v>1</v>
      </c>
      <c r="E15" s="18">
        <v>0.96</v>
      </c>
      <c r="F15">
        <v>0</v>
      </c>
      <c r="G15">
        <v>0</v>
      </c>
      <c r="H15" s="8">
        <v>0.96</v>
      </c>
      <c r="I15" s="9" t="e">
        <v>#DIV/0!</v>
      </c>
      <c r="J15" s="9">
        <v>0.5</v>
      </c>
      <c r="K15" s="9">
        <v>0</v>
      </c>
    </row>
    <row r="16" spans="1:11" x14ac:dyDescent="0.2">
      <c r="B16" s="13" t="s">
        <v>876</v>
      </c>
      <c r="C16">
        <v>1</v>
      </c>
      <c r="D16">
        <v>1</v>
      </c>
      <c r="E16" s="18">
        <v>0.47</v>
      </c>
      <c r="F16">
        <v>0</v>
      </c>
      <c r="G16">
        <v>0</v>
      </c>
      <c r="H16" s="8">
        <v>0.47</v>
      </c>
      <c r="I16" s="9" t="e">
        <v>#DIV/0!</v>
      </c>
      <c r="J16" s="9">
        <v>1</v>
      </c>
      <c r="K16" s="9">
        <v>0</v>
      </c>
    </row>
    <row r="17" spans="1:11" x14ac:dyDescent="0.2">
      <c r="B17" s="14" t="s">
        <v>52</v>
      </c>
      <c r="C17">
        <v>20</v>
      </c>
      <c r="D17">
        <v>3</v>
      </c>
      <c r="E17" s="18">
        <v>1.7</v>
      </c>
      <c r="F17">
        <v>0</v>
      </c>
      <c r="G17">
        <v>0</v>
      </c>
      <c r="H17" s="8">
        <v>0.56666666666666665</v>
      </c>
      <c r="I17" s="9" t="e">
        <v>#DIV/0!</v>
      </c>
      <c r="J17" s="9">
        <v>0.15</v>
      </c>
      <c r="K17" s="9">
        <v>0</v>
      </c>
    </row>
    <row r="18" spans="1:11" x14ac:dyDescent="0.2">
      <c r="B18" s="7" t="s">
        <v>686</v>
      </c>
      <c r="C18">
        <v>4</v>
      </c>
      <c r="D18">
        <v>1</v>
      </c>
      <c r="E18" s="18">
        <v>0.65</v>
      </c>
      <c r="F18">
        <v>0</v>
      </c>
      <c r="G18">
        <v>0</v>
      </c>
      <c r="H18" s="8">
        <v>0.65</v>
      </c>
      <c r="I18" s="9" t="e">
        <v>#DIV/0!</v>
      </c>
      <c r="J18" s="9">
        <v>0.25</v>
      </c>
      <c r="K18" s="9">
        <v>0</v>
      </c>
    </row>
    <row r="19" spans="1:11" x14ac:dyDescent="0.2">
      <c r="A19" s="19" t="s">
        <v>1110</v>
      </c>
      <c r="B19" s="7" t="s">
        <v>403</v>
      </c>
      <c r="C19">
        <v>1</v>
      </c>
      <c r="D19">
        <v>1</v>
      </c>
      <c r="E19" s="18">
        <v>0.47</v>
      </c>
      <c r="F19">
        <v>0</v>
      </c>
      <c r="G19">
        <v>0</v>
      </c>
      <c r="H19" s="8">
        <v>0.47</v>
      </c>
      <c r="I19" s="9" t="e">
        <v>#DIV/0!</v>
      </c>
      <c r="J19" s="9">
        <v>1</v>
      </c>
      <c r="K19" s="9">
        <v>0</v>
      </c>
    </row>
    <row r="20" spans="1:11" x14ac:dyDescent="0.2">
      <c r="B20" s="12" t="s">
        <v>687</v>
      </c>
      <c r="C20">
        <v>67</v>
      </c>
      <c r="D20">
        <v>2</v>
      </c>
      <c r="E20" s="18">
        <v>0.2</v>
      </c>
      <c r="F20">
        <v>18.989999999999998</v>
      </c>
      <c r="G20">
        <v>1</v>
      </c>
      <c r="H20" s="8">
        <v>0.1</v>
      </c>
      <c r="I20" s="9">
        <v>1.0531858873091103E-2</v>
      </c>
      <c r="J20" s="9">
        <v>2.9850746268656716E-2</v>
      </c>
      <c r="K20" s="9">
        <v>0.5</v>
      </c>
    </row>
    <row r="21" spans="1:11" x14ac:dyDescent="0.2">
      <c r="B21" s="7" t="s">
        <v>688</v>
      </c>
      <c r="C21">
        <v>6</v>
      </c>
      <c r="D21">
        <v>1</v>
      </c>
      <c r="E21" s="18">
        <v>0.5</v>
      </c>
      <c r="F21">
        <v>0</v>
      </c>
      <c r="G21">
        <v>0</v>
      </c>
      <c r="H21" s="8">
        <v>0.5</v>
      </c>
      <c r="I21" s="9" t="e">
        <v>#DIV/0!</v>
      </c>
      <c r="J21" s="9">
        <v>0.16666666666666666</v>
      </c>
      <c r="K21" s="9">
        <v>0</v>
      </c>
    </row>
    <row r="22" spans="1:11" x14ac:dyDescent="0.2">
      <c r="B22" s="7" t="s">
        <v>56</v>
      </c>
      <c r="C22">
        <v>2</v>
      </c>
      <c r="D22">
        <v>1</v>
      </c>
      <c r="E22" s="18">
        <v>0.61</v>
      </c>
      <c r="F22">
        <v>0</v>
      </c>
      <c r="G22">
        <v>0</v>
      </c>
      <c r="H22" s="8">
        <v>0.61</v>
      </c>
      <c r="I22" s="9" t="e">
        <v>#DIV/0!</v>
      </c>
      <c r="J22" s="9">
        <v>0.5</v>
      </c>
      <c r="K22" s="9">
        <v>0</v>
      </c>
    </row>
    <row r="23" spans="1:11" x14ac:dyDescent="0.2">
      <c r="B23" s="14" t="s">
        <v>689</v>
      </c>
      <c r="C23">
        <v>1</v>
      </c>
      <c r="D23">
        <v>1</v>
      </c>
      <c r="E23" s="18">
        <v>0.56000000000000005</v>
      </c>
      <c r="F23">
        <v>0</v>
      </c>
      <c r="G23">
        <v>0</v>
      </c>
      <c r="H23" s="8">
        <v>0.56000000000000005</v>
      </c>
      <c r="I23" s="9" t="e">
        <v>#DIV/0!</v>
      </c>
      <c r="J23" s="9">
        <v>1</v>
      </c>
      <c r="K23" s="9">
        <v>0</v>
      </c>
    </row>
    <row r="24" spans="1:11" x14ac:dyDescent="0.2">
      <c r="B24" s="13" t="s">
        <v>57</v>
      </c>
      <c r="C24">
        <v>2</v>
      </c>
      <c r="D24">
        <v>1</v>
      </c>
      <c r="E24" s="18">
        <v>0.56999999999999995</v>
      </c>
      <c r="F24">
        <v>0</v>
      </c>
      <c r="G24">
        <v>0</v>
      </c>
      <c r="H24" s="8">
        <v>0.56999999999999995</v>
      </c>
      <c r="I24" s="9" t="e">
        <v>#DIV/0!</v>
      </c>
      <c r="J24" s="9">
        <v>0.5</v>
      </c>
      <c r="K24" s="9">
        <v>0</v>
      </c>
    </row>
    <row r="25" spans="1:11" x14ac:dyDescent="0.2">
      <c r="B25" s="7" t="s">
        <v>322</v>
      </c>
      <c r="C25">
        <v>3</v>
      </c>
      <c r="D25">
        <v>1</v>
      </c>
      <c r="E25" s="18">
        <v>0.1</v>
      </c>
      <c r="F25">
        <v>0</v>
      </c>
      <c r="G25">
        <v>0</v>
      </c>
      <c r="H25" s="8">
        <v>0.1</v>
      </c>
      <c r="I25" s="9" t="e">
        <v>#DIV/0!</v>
      </c>
      <c r="J25" s="9">
        <v>0.33333333333333331</v>
      </c>
      <c r="K25" s="9">
        <v>0</v>
      </c>
    </row>
    <row r="26" spans="1:11" x14ac:dyDescent="0.2">
      <c r="B26" s="7" t="s">
        <v>690</v>
      </c>
      <c r="C26">
        <v>1</v>
      </c>
      <c r="D26">
        <v>1</v>
      </c>
      <c r="E26" s="18">
        <v>0.34</v>
      </c>
      <c r="F26">
        <v>0</v>
      </c>
      <c r="G26">
        <v>0</v>
      </c>
      <c r="H26" s="8">
        <v>0.34</v>
      </c>
      <c r="I26" s="9" t="e">
        <v>#DIV/0!</v>
      </c>
      <c r="J26" s="9">
        <v>1</v>
      </c>
      <c r="K26" s="9">
        <v>0</v>
      </c>
    </row>
    <row r="27" spans="1:11" x14ac:dyDescent="0.2">
      <c r="A27" s="10" t="s">
        <v>1011</v>
      </c>
      <c r="B27" s="7" t="s">
        <v>59</v>
      </c>
      <c r="C27">
        <v>3</v>
      </c>
      <c r="D27">
        <v>1</v>
      </c>
      <c r="E27" s="18">
        <v>0.23</v>
      </c>
      <c r="F27">
        <v>0</v>
      </c>
      <c r="G27">
        <v>0</v>
      </c>
      <c r="H27" s="8">
        <v>0.23</v>
      </c>
      <c r="I27" s="9" t="e">
        <v>#DIV/0!</v>
      </c>
      <c r="J27" s="9">
        <v>0.33333333333333331</v>
      </c>
      <c r="K27" s="9">
        <v>0</v>
      </c>
    </row>
    <row r="28" spans="1:11" x14ac:dyDescent="0.2">
      <c r="B28" s="13" t="s">
        <v>404</v>
      </c>
      <c r="C28">
        <v>4</v>
      </c>
      <c r="D28">
        <v>1</v>
      </c>
      <c r="E28" s="18">
        <v>0.41</v>
      </c>
      <c r="F28">
        <v>0</v>
      </c>
      <c r="G28">
        <v>0</v>
      </c>
      <c r="H28" s="8">
        <v>0.41</v>
      </c>
      <c r="I28" s="9" t="e">
        <v>#DIV/0!</v>
      </c>
      <c r="J28" s="9">
        <v>0.25</v>
      </c>
      <c r="K28" s="9">
        <v>0</v>
      </c>
    </row>
    <row r="29" spans="1:11" x14ac:dyDescent="0.2">
      <c r="B29" s="7" t="s">
        <v>323</v>
      </c>
      <c r="C29">
        <v>13</v>
      </c>
      <c r="D29">
        <v>2</v>
      </c>
      <c r="E29" s="18">
        <v>1.08</v>
      </c>
      <c r="F29">
        <v>0</v>
      </c>
      <c r="G29">
        <v>0</v>
      </c>
      <c r="H29" s="8">
        <v>0.54</v>
      </c>
      <c r="I29" s="9" t="e">
        <v>#DIV/0!</v>
      </c>
      <c r="J29" s="9">
        <v>0.15384615384615385</v>
      </c>
      <c r="K29" s="9">
        <v>0</v>
      </c>
    </row>
    <row r="30" spans="1:11" x14ac:dyDescent="0.2">
      <c r="A30" s="10" t="s">
        <v>1012</v>
      </c>
      <c r="B30" s="14" t="s">
        <v>691</v>
      </c>
      <c r="C30">
        <v>1</v>
      </c>
      <c r="D30">
        <v>1</v>
      </c>
      <c r="E30" s="18">
        <v>0.6</v>
      </c>
      <c r="F30">
        <v>0</v>
      </c>
      <c r="G30">
        <v>0</v>
      </c>
      <c r="H30" s="8">
        <v>0.6</v>
      </c>
      <c r="I30" s="9" t="e">
        <v>#DIV/0!</v>
      </c>
      <c r="J30" s="9">
        <v>1</v>
      </c>
      <c r="K30" s="9">
        <v>0</v>
      </c>
    </row>
    <row r="31" spans="1:11" x14ac:dyDescent="0.2">
      <c r="B31" s="13" t="s">
        <v>877</v>
      </c>
      <c r="C31">
        <v>1</v>
      </c>
      <c r="D31">
        <v>1</v>
      </c>
      <c r="E31" s="18">
        <v>0.47</v>
      </c>
      <c r="F31">
        <v>0</v>
      </c>
      <c r="G31">
        <v>0</v>
      </c>
      <c r="H31" s="8">
        <v>0.47</v>
      </c>
      <c r="I31" s="9" t="e">
        <v>#DIV/0!</v>
      </c>
      <c r="J31" s="9">
        <v>1</v>
      </c>
      <c r="K31" s="9">
        <v>0</v>
      </c>
    </row>
    <row r="32" spans="1:11" x14ac:dyDescent="0.2">
      <c r="B32" s="13" t="s">
        <v>692</v>
      </c>
      <c r="C32">
        <v>2</v>
      </c>
      <c r="D32">
        <v>1</v>
      </c>
      <c r="E32" s="18">
        <v>0.6</v>
      </c>
      <c r="F32">
        <v>0</v>
      </c>
      <c r="G32">
        <v>0</v>
      </c>
      <c r="H32" s="8">
        <v>0.6</v>
      </c>
      <c r="I32" s="9" t="e">
        <v>#DIV/0!</v>
      </c>
      <c r="J32" s="9">
        <v>0.5</v>
      </c>
      <c r="K32" s="9">
        <v>0</v>
      </c>
    </row>
    <row r="33" spans="1:11" x14ac:dyDescent="0.2">
      <c r="B33" s="13" t="s">
        <v>64</v>
      </c>
      <c r="C33">
        <v>5</v>
      </c>
      <c r="D33">
        <v>3</v>
      </c>
      <c r="E33" s="18">
        <v>1.5</v>
      </c>
      <c r="F33">
        <v>0</v>
      </c>
      <c r="G33">
        <v>0</v>
      </c>
      <c r="H33" s="8">
        <v>0.5</v>
      </c>
      <c r="I33" s="9" t="e">
        <v>#DIV/0!</v>
      </c>
      <c r="J33" s="9">
        <v>0.6</v>
      </c>
      <c r="K33" s="9">
        <v>0</v>
      </c>
    </row>
    <row r="34" spans="1:11" x14ac:dyDescent="0.2">
      <c r="A34" s="10" t="s">
        <v>1014</v>
      </c>
      <c r="B34" s="7" t="s">
        <v>65</v>
      </c>
      <c r="C34">
        <v>13</v>
      </c>
      <c r="D34">
        <v>2</v>
      </c>
      <c r="E34" s="18">
        <v>1</v>
      </c>
      <c r="F34">
        <v>0</v>
      </c>
      <c r="G34">
        <v>0</v>
      </c>
      <c r="H34" s="8">
        <v>0.5</v>
      </c>
      <c r="I34" s="9" t="e">
        <v>#DIV/0!</v>
      </c>
      <c r="J34" s="9">
        <v>0.15384615384615385</v>
      </c>
      <c r="K34" s="9">
        <v>0</v>
      </c>
    </row>
    <row r="35" spans="1:11" x14ac:dyDescent="0.2">
      <c r="A35" s="10" t="s">
        <v>1111</v>
      </c>
      <c r="B35" s="7" t="s">
        <v>693</v>
      </c>
      <c r="C35">
        <v>13</v>
      </c>
      <c r="D35">
        <v>3</v>
      </c>
      <c r="E35" s="18">
        <v>2.0499999999999998</v>
      </c>
      <c r="F35">
        <v>0</v>
      </c>
      <c r="G35">
        <v>0</v>
      </c>
      <c r="H35" s="8">
        <v>0.68333333333333324</v>
      </c>
      <c r="I35" s="9" t="e">
        <v>#DIV/0!</v>
      </c>
      <c r="J35" s="9">
        <v>0.23076923076923078</v>
      </c>
      <c r="K35" s="9">
        <v>0</v>
      </c>
    </row>
    <row r="36" spans="1:11" x14ac:dyDescent="0.2">
      <c r="B36" s="13" t="s">
        <v>324</v>
      </c>
      <c r="C36">
        <v>11</v>
      </c>
      <c r="D36">
        <v>3</v>
      </c>
      <c r="E36" s="18">
        <v>1.57</v>
      </c>
      <c r="F36">
        <v>0</v>
      </c>
      <c r="G36">
        <v>0</v>
      </c>
      <c r="H36" s="8">
        <v>0.52333333333333332</v>
      </c>
      <c r="I36" s="9" t="e">
        <v>#DIV/0!</v>
      </c>
      <c r="J36" s="9">
        <v>0.27272727272727271</v>
      </c>
      <c r="K36" s="9">
        <v>0</v>
      </c>
    </row>
    <row r="37" spans="1:11" x14ac:dyDescent="0.2">
      <c r="B37" s="14" t="s">
        <v>66</v>
      </c>
      <c r="C37">
        <v>3</v>
      </c>
      <c r="D37">
        <v>1</v>
      </c>
      <c r="E37" s="18">
        <v>0.56999999999999995</v>
      </c>
      <c r="F37">
        <v>0</v>
      </c>
      <c r="G37">
        <v>0</v>
      </c>
      <c r="H37" s="8">
        <v>0.56999999999999995</v>
      </c>
      <c r="I37" s="9" t="e">
        <v>#DIV/0!</v>
      </c>
      <c r="J37" s="9">
        <v>0.33333333333333331</v>
      </c>
      <c r="K37" s="9">
        <v>0</v>
      </c>
    </row>
    <row r="38" spans="1:11" x14ac:dyDescent="0.2">
      <c r="A38" s="10" t="s">
        <v>1016</v>
      </c>
      <c r="B38" s="13" t="s">
        <v>405</v>
      </c>
      <c r="C38">
        <v>5</v>
      </c>
      <c r="D38">
        <v>2</v>
      </c>
      <c r="E38" s="18">
        <v>1.0899999999999999</v>
      </c>
      <c r="F38">
        <v>0</v>
      </c>
      <c r="G38">
        <v>0</v>
      </c>
      <c r="H38" s="8">
        <v>0.54499999999999993</v>
      </c>
      <c r="I38" s="9" t="e">
        <v>#DIV/0!</v>
      </c>
      <c r="J38" s="9">
        <v>0.4</v>
      </c>
      <c r="K38" s="9">
        <v>0</v>
      </c>
    </row>
    <row r="39" spans="1:11" x14ac:dyDescent="0.2">
      <c r="B39" s="13" t="s">
        <v>694</v>
      </c>
      <c r="C39">
        <v>3</v>
      </c>
      <c r="D39">
        <v>1</v>
      </c>
      <c r="E39" s="18">
        <v>0.54</v>
      </c>
      <c r="F39">
        <v>0</v>
      </c>
      <c r="G39">
        <v>0</v>
      </c>
      <c r="H39" s="8">
        <v>0.54</v>
      </c>
      <c r="I39" s="9" t="e">
        <v>#DIV/0!</v>
      </c>
      <c r="J39" s="9">
        <v>0.33333333333333331</v>
      </c>
      <c r="K39" s="9">
        <v>0</v>
      </c>
    </row>
    <row r="40" spans="1:11" x14ac:dyDescent="0.2">
      <c r="A40" s="10" t="s">
        <v>1019</v>
      </c>
      <c r="B40" s="13" t="s">
        <v>406</v>
      </c>
      <c r="C40">
        <v>7</v>
      </c>
      <c r="D40">
        <v>1</v>
      </c>
      <c r="E40" s="18">
        <v>0.43</v>
      </c>
      <c r="F40">
        <v>0</v>
      </c>
      <c r="G40">
        <v>0</v>
      </c>
      <c r="H40" s="8">
        <v>0.43</v>
      </c>
      <c r="I40" s="9" t="e">
        <v>#DIV/0!</v>
      </c>
      <c r="J40" s="9">
        <v>0.14285714285714285</v>
      </c>
      <c r="K40" s="9">
        <v>0</v>
      </c>
    </row>
    <row r="41" spans="1:11" x14ac:dyDescent="0.2">
      <c r="A41" s="10" t="s">
        <v>1017</v>
      </c>
      <c r="B41" s="7" t="s">
        <v>695</v>
      </c>
      <c r="C41">
        <v>2</v>
      </c>
      <c r="D41">
        <v>1</v>
      </c>
      <c r="E41" s="18">
        <v>0.54</v>
      </c>
      <c r="F41">
        <v>37.979999999999997</v>
      </c>
      <c r="G41">
        <v>1</v>
      </c>
      <c r="H41" s="8">
        <v>0.54</v>
      </c>
      <c r="I41" s="9">
        <v>1.4218009478672989E-2</v>
      </c>
      <c r="J41" s="9">
        <v>0.5</v>
      </c>
      <c r="K41" s="9">
        <v>1</v>
      </c>
    </row>
    <row r="42" spans="1:11" x14ac:dyDescent="0.2">
      <c r="A42" s="10" t="s">
        <v>1018</v>
      </c>
      <c r="B42" s="13" t="s">
        <v>67</v>
      </c>
      <c r="C42">
        <v>6</v>
      </c>
      <c r="D42">
        <v>1</v>
      </c>
      <c r="E42" s="18">
        <v>0.5</v>
      </c>
      <c r="F42">
        <v>0</v>
      </c>
      <c r="G42">
        <v>0</v>
      </c>
      <c r="H42" s="8">
        <v>0.5</v>
      </c>
      <c r="I42" s="9" t="e">
        <v>#DIV/0!</v>
      </c>
      <c r="J42" s="9">
        <v>0.16666666666666666</v>
      </c>
      <c r="K42" s="9">
        <v>0</v>
      </c>
    </row>
    <row r="43" spans="1:11" x14ac:dyDescent="0.2">
      <c r="B43" s="7" t="s">
        <v>696</v>
      </c>
      <c r="C43">
        <v>13</v>
      </c>
      <c r="D43">
        <v>2</v>
      </c>
      <c r="E43" s="18">
        <v>0.62</v>
      </c>
      <c r="F43">
        <v>0</v>
      </c>
      <c r="G43">
        <v>0</v>
      </c>
      <c r="H43" s="8">
        <v>0.31</v>
      </c>
      <c r="I43" s="9" t="e">
        <v>#DIV/0!</v>
      </c>
      <c r="J43" s="9">
        <v>0.15384615384615385</v>
      </c>
      <c r="K43" s="9">
        <v>0</v>
      </c>
    </row>
    <row r="44" spans="1:11" x14ac:dyDescent="0.2">
      <c r="B44" s="7" t="s">
        <v>697</v>
      </c>
      <c r="C44">
        <v>1</v>
      </c>
      <c r="D44">
        <v>1</v>
      </c>
      <c r="E44" s="18">
        <v>0.57999999999999996</v>
      </c>
      <c r="F44">
        <v>0</v>
      </c>
      <c r="G44">
        <v>0</v>
      </c>
      <c r="H44" s="8">
        <v>0.57999999999999996</v>
      </c>
      <c r="I44" s="9" t="e">
        <v>#DIV/0!</v>
      </c>
      <c r="J44" s="9">
        <v>1</v>
      </c>
      <c r="K44" s="9">
        <v>0</v>
      </c>
    </row>
    <row r="45" spans="1:11" x14ac:dyDescent="0.2">
      <c r="A45" s="10" t="s">
        <v>1020</v>
      </c>
      <c r="B45" s="13" t="s">
        <v>878</v>
      </c>
      <c r="C45">
        <v>1</v>
      </c>
      <c r="D45">
        <v>1</v>
      </c>
      <c r="E45" s="18">
        <v>0.47</v>
      </c>
      <c r="F45">
        <v>0</v>
      </c>
      <c r="G45">
        <v>0</v>
      </c>
      <c r="H45" s="8">
        <v>0.47</v>
      </c>
      <c r="I45" s="9" t="e">
        <v>#DIV/0!</v>
      </c>
      <c r="J45" s="9">
        <v>1</v>
      </c>
      <c r="K45" s="9">
        <v>0</v>
      </c>
    </row>
    <row r="46" spans="1:11" x14ac:dyDescent="0.2">
      <c r="B46" s="13" t="s">
        <v>698</v>
      </c>
      <c r="C46">
        <v>2</v>
      </c>
      <c r="D46">
        <v>1</v>
      </c>
      <c r="E46" s="18">
        <v>0.87</v>
      </c>
      <c r="F46">
        <v>0</v>
      </c>
      <c r="G46">
        <v>0</v>
      </c>
      <c r="H46" s="8">
        <v>0.87</v>
      </c>
      <c r="I46" s="9" t="e">
        <v>#DIV/0!</v>
      </c>
      <c r="J46" s="9">
        <v>0.5</v>
      </c>
      <c r="K46" s="9">
        <v>0</v>
      </c>
    </row>
    <row r="47" spans="1:11" x14ac:dyDescent="0.2">
      <c r="B47" s="13" t="s">
        <v>699</v>
      </c>
      <c r="C47">
        <v>11</v>
      </c>
      <c r="D47">
        <v>1</v>
      </c>
      <c r="E47" s="18">
        <v>0.87</v>
      </c>
      <c r="F47">
        <v>0</v>
      </c>
      <c r="G47">
        <v>0</v>
      </c>
      <c r="H47" s="8">
        <v>0.87</v>
      </c>
      <c r="I47" s="9" t="e">
        <v>#DIV/0!</v>
      </c>
      <c r="J47" s="9">
        <v>9.0909090909090912E-2</v>
      </c>
      <c r="K47" s="9">
        <v>0</v>
      </c>
    </row>
    <row r="48" spans="1:11" x14ac:dyDescent="0.2">
      <c r="A48" s="10" t="s">
        <v>1021</v>
      </c>
      <c r="B48" s="7" t="s">
        <v>700</v>
      </c>
      <c r="C48">
        <v>2</v>
      </c>
      <c r="D48">
        <v>1</v>
      </c>
      <c r="E48" s="18">
        <v>0.4</v>
      </c>
      <c r="F48">
        <v>0</v>
      </c>
      <c r="G48">
        <v>0</v>
      </c>
      <c r="H48" s="8">
        <v>0.4</v>
      </c>
      <c r="I48" s="9" t="e">
        <v>#DIV/0!</v>
      </c>
      <c r="J48" s="9">
        <v>0.5</v>
      </c>
      <c r="K48" s="9">
        <v>0</v>
      </c>
    </row>
    <row r="49" spans="1:11" x14ac:dyDescent="0.2">
      <c r="B49" s="13" t="s">
        <v>409</v>
      </c>
      <c r="C49">
        <v>1</v>
      </c>
      <c r="D49">
        <v>1</v>
      </c>
      <c r="E49" s="18">
        <v>0.1</v>
      </c>
      <c r="F49">
        <v>0</v>
      </c>
      <c r="G49">
        <v>0</v>
      </c>
      <c r="H49" s="8">
        <v>0.1</v>
      </c>
      <c r="I49" s="9" t="e">
        <v>#DIV/0!</v>
      </c>
      <c r="J49" s="9">
        <v>1</v>
      </c>
      <c r="K49" s="9">
        <v>0</v>
      </c>
    </row>
    <row r="50" spans="1:11" x14ac:dyDescent="0.2">
      <c r="B50" s="13" t="s">
        <v>410</v>
      </c>
      <c r="C50">
        <v>3</v>
      </c>
      <c r="D50">
        <v>1</v>
      </c>
      <c r="E50" s="18">
        <v>0.48</v>
      </c>
      <c r="F50">
        <v>0</v>
      </c>
      <c r="G50">
        <v>0</v>
      </c>
      <c r="H50" s="8">
        <v>0.48</v>
      </c>
      <c r="I50" s="9" t="e">
        <v>#DIV/0!</v>
      </c>
      <c r="J50" s="9">
        <v>0.33333333333333331</v>
      </c>
      <c r="K50" s="9">
        <v>0</v>
      </c>
    </row>
    <row r="51" spans="1:11" x14ac:dyDescent="0.2">
      <c r="A51" s="19" t="s">
        <v>1112</v>
      </c>
      <c r="B51" s="7" t="s">
        <v>68</v>
      </c>
      <c r="C51">
        <v>24</v>
      </c>
      <c r="D51">
        <v>5</v>
      </c>
      <c r="E51" s="18">
        <v>2.92</v>
      </c>
      <c r="F51">
        <v>0</v>
      </c>
      <c r="G51">
        <v>0</v>
      </c>
      <c r="H51" s="8">
        <v>0.58399999999999996</v>
      </c>
      <c r="I51" s="9" t="e">
        <v>#DIV/0!</v>
      </c>
      <c r="J51" s="9">
        <v>0.20833333333333334</v>
      </c>
      <c r="K51" s="9">
        <v>0</v>
      </c>
    </row>
    <row r="52" spans="1:11" x14ac:dyDescent="0.2">
      <c r="B52" s="13" t="s">
        <v>69</v>
      </c>
      <c r="C52">
        <v>9</v>
      </c>
      <c r="D52">
        <v>2</v>
      </c>
      <c r="E52" s="18">
        <v>1.0699999999999998</v>
      </c>
      <c r="F52">
        <v>0</v>
      </c>
      <c r="G52">
        <v>0</v>
      </c>
      <c r="H52" s="8">
        <v>0.53499999999999992</v>
      </c>
      <c r="I52" s="9" t="e">
        <v>#DIV/0!</v>
      </c>
      <c r="J52" s="9">
        <v>0.22222222222222221</v>
      </c>
      <c r="K52" s="9">
        <v>0</v>
      </c>
    </row>
    <row r="53" spans="1:11" x14ac:dyDescent="0.2">
      <c r="B53" s="13" t="s">
        <v>325</v>
      </c>
      <c r="C53">
        <v>13</v>
      </c>
      <c r="D53">
        <v>3</v>
      </c>
      <c r="E53" s="18">
        <v>1.59</v>
      </c>
      <c r="F53">
        <v>0</v>
      </c>
      <c r="G53">
        <v>0</v>
      </c>
      <c r="H53" s="8">
        <v>0.53</v>
      </c>
      <c r="I53" s="9" t="e">
        <v>#DIV/0!</v>
      </c>
      <c r="J53" s="9">
        <v>0.23076923076923078</v>
      </c>
      <c r="K53" s="9">
        <v>0</v>
      </c>
    </row>
    <row r="54" spans="1:11" x14ac:dyDescent="0.2">
      <c r="B54" s="7" t="s">
        <v>607</v>
      </c>
      <c r="C54">
        <v>1</v>
      </c>
      <c r="D54">
        <v>1</v>
      </c>
      <c r="E54" s="18">
        <v>0.46</v>
      </c>
      <c r="F54">
        <v>0</v>
      </c>
      <c r="G54">
        <v>0</v>
      </c>
      <c r="H54" s="8">
        <v>0.46</v>
      </c>
      <c r="I54" s="9" t="e">
        <v>#DIV/0!</v>
      </c>
      <c r="J54" s="9">
        <v>1</v>
      </c>
      <c r="K54" s="9">
        <v>0</v>
      </c>
    </row>
    <row r="55" spans="1:11" x14ac:dyDescent="0.2">
      <c r="B55" s="12" t="s">
        <v>71</v>
      </c>
      <c r="C55">
        <v>105</v>
      </c>
      <c r="D55">
        <v>6</v>
      </c>
      <c r="E55" s="18">
        <v>3.8200000000000003</v>
      </c>
      <c r="F55">
        <v>55.069999999999993</v>
      </c>
      <c r="G55">
        <v>2</v>
      </c>
      <c r="H55" s="8">
        <v>0.63666666666666671</v>
      </c>
      <c r="I55" s="9">
        <v>6.9366261122208117E-2</v>
      </c>
      <c r="J55" s="9">
        <v>5.7142857142857141E-2</v>
      </c>
      <c r="K55" s="9">
        <v>0.33333333333333331</v>
      </c>
    </row>
    <row r="56" spans="1:11" x14ac:dyDescent="0.2">
      <c r="B56" s="14" t="s">
        <v>701</v>
      </c>
      <c r="C56">
        <v>4</v>
      </c>
      <c r="D56">
        <v>1</v>
      </c>
      <c r="E56" s="18">
        <v>0.6</v>
      </c>
      <c r="F56">
        <v>18.989999999999998</v>
      </c>
      <c r="G56">
        <v>1</v>
      </c>
      <c r="H56" s="8">
        <v>0.6</v>
      </c>
      <c r="I56" s="9">
        <v>3.1595576619273306E-2</v>
      </c>
      <c r="J56" s="9">
        <v>0.25</v>
      </c>
      <c r="K56" s="9">
        <v>1</v>
      </c>
    </row>
    <row r="57" spans="1:11" x14ac:dyDescent="0.2">
      <c r="B57" s="7" t="s">
        <v>702</v>
      </c>
      <c r="C57">
        <v>3</v>
      </c>
      <c r="D57">
        <v>1</v>
      </c>
      <c r="E57" s="18">
        <v>0.63</v>
      </c>
      <c r="F57">
        <v>0</v>
      </c>
      <c r="G57">
        <v>0</v>
      </c>
      <c r="H57" s="8">
        <v>0.63</v>
      </c>
      <c r="I57" s="9" t="e">
        <v>#DIV/0!</v>
      </c>
      <c r="J57" s="9">
        <v>0.33333333333333331</v>
      </c>
      <c r="K57" s="9">
        <v>0</v>
      </c>
    </row>
    <row r="58" spans="1:11" x14ac:dyDescent="0.2">
      <c r="A58" s="10" t="s">
        <v>1026</v>
      </c>
      <c r="B58" s="13" t="s">
        <v>326</v>
      </c>
      <c r="C58">
        <v>1</v>
      </c>
      <c r="D58">
        <v>1</v>
      </c>
      <c r="E58" s="18">
        <v>0.38</v>
      </c>
      <c r="F58">
        <v>0</v>
      </c>
      <c r="G58">
        <v>0</v>
      </c>
      <c r="H58" s="8">
        <v>0.38</v>
      </c>
      <c r="I58" s="9" t="e">
        <v>#DIV/0!</v>
      </c>
      <c r="J58" s="9">
        <v>1</v>
      </c>
      <c r="K58" s="9">
        <v>0</v>
      </c>
    </row>
    <row r="59" spans="1:11" x14ac:dyDescent="0.2">
      <c r="A59" s="10" t="s">
        <v>1025</v>
      </c>
      <c r="B59" s="13" t="s">
        <v>703</v>
      </c>
      <c r="C59">
        <v>2</v>
      </c>
      <c r="D59">
        <v>1</v>
      </c>
      <c r="E59" s="18">
        <v>0.6</v>
      </c>
      <c r="F59">
        <v>0</v>
      </c>
      <c r="G59">
        <v>0</v>
      </c>
      <c r="H59" s="8">
        <v>0.6</v>
      </c>
      <c r="I59" s="9" t="e">
        <v>#DIV/0!</v>
      </c>
      <c r="J59" s="9">
        <v>0.5</v>
      </c>
      <c r="K59" s="9">
        <v>0</v>
      </c>
    </row>
    <row r="60" spans="1:11" x14ac:dyDescent="0.2">
      <c r="B60" s="7" t="s">
        <v>608</v>
      </c>
      <c r="C60">
        <v>1</v>
      </c>
      <c r="D60">
        <v>1</v>
      </c>
      <c r="E60" s="18">
        <v>0.1</v>
      </c>
      <c r="F60">
        <v>0</v>
      </c>
      <c r="G60">
        <v>0</v>
      </c>
      <c r="H60" s="8">
        <v>0.1</v>
      </c>
      <c r="I60" s="9" t="e">
        <v>#DIV/0!</v>
      </c>
      <c r="J60" s="9">
        <v>1</v>
      </c>
      <c r="K60" s="9">
        <v>0</v>
      </c>
    </row>
    <row r="61" spans="1:11" x14ac:dyDescent="0.2">
      <c r="B61" s="7" t="s">
        <v>76</v>
      </c>
      <c r="C61">
        <v>8</v>
      </c>
      <c r="D61">
        <v>1</v>
      </c>
      <c r="E61" s="18">
        <v>0.5</v>
      </c>
      <c r="F61">
        <v>0</v>
      </c>
      <c r="G61">
        <v>0</v>
      </c>
      <c r="H61" s="8">
        <v>0.5</v>
      </c>
      <c r="I61" s="9" t="e">
        <v>#DIV/0!</v>
      </c>
      <c r="J61" s="9">
        <v>0.125</v>
      </c>
      <c r="K61" s="9">
        <v>0</v>
      </c>
    </row>
    <row r="62" spans="1:11" x14ac:dyDescent="0.2">
      <c r="A62" s="19" t="s">
        <v>1113</v>
      </c>
      <c r="B62" s="13" t="s">
        <v>704</v>
      </c>
      <c r="C62">
        <v>1</v>
      </c>
      <c r="D62">
        <v>1</v>
      </c>
      <c r="E62" s="18">
        <v>0.56000000000000005</v>
      </c>
      <c r="F62">
        <v>0</v>
      </c>
      <c r="G62">
        <v>0</v>
      </c>
      <c r="H62" s="8">
        <v>0.56000000000000005</v>
      </c>
      <c r="I62" s="9" t="e">
        <v>#DIV/0!</v>
      </c>
      <c r="J62" s="9">
        <v>1</v>
      </c>
      <c r="K62" s="9">
        <v>0</v>
      </c>
    </row>
    <row r="63" spans="1:11" x14ac:dyDescent="0.2">
      <c r="B63" s="13" t="s">
        <v>705</v>
      </c>
      <c r="C63">
        <v>5</v>
      </c>
      <c r="D63">
        <v>1</v>
      </c>
      <c r="E63" s="18">
        <v>0.6</v>
      </c>
      <c r="F63">
        <v>0</v>
      </c>
      <c r="G63">
        <v>0</v>
      </c>
      <c r="H63" s="8">
        <v>0.6</v>
      </c>
      <c r="I63" s="9" t="e">
        <v>#DIV/0!</v>
      </c>
      <c r="J63" s="9">
        <v>0.2</v>
      </c>
      <c r="K63" s="9">
        <v>0</v>
      </c>
    </row>
    <row r="64" spans="1:11" x14ac:dyDescent="0.2">
      <c r="A64" s="10" t="s">
        <v>1033</v>
      </c>
      <c r="B64" s="7" t="s">
        <v>80</v>
      </c>
      <c r="C64">
        <v>1</v>
      </c>
      <c r="D64">
        <v>1</v>
      </c>
      <c r="E64" s="18">
        <v>0.44</v>
      </c>
      <c r="F64">
        <v>0</v>
      </c>
      <c r="G64">
        <v>0</v>
      </c>
      <c r="H64" s="8">
        <v>0.44</v>
      </c>
      <c r="I64" s="9" t="e">
        <v>#DIV/0!</v>
      </c>
      <c r="J64" s="9">
        <v>1</v>
      </c>
      <c r="K64" s="9">
        <v>0</v>
      </c>
    </row>
    <row r="65" spans="1:11" x14ac:dyDescent="0.2">
      <c r="B65" s="13" t="s">
        <v>81</v>
      </c>
      <c r="C65">
        <v>1</v>
      </c>
      <c r="D65">
        <v>1</v>
      </c>
      <c r="E65" s="18">
        <v>0.51</v>
      </c>
      <c r="F65">
        <v>0</v>
      </c>
      <c r="G65">
        <v>0</v>
      </c>
      <c r="H65" s="8">
        <v>0.51</v>
      </c>
      <c r="I65" s="9" t="e">
        <v>#DIV/0!</v>
      </c>
      <c r="J65" s="9">
        <v>1</v>
      </c>
      <c r="K65" s="9">
        <v>0</v>
      </c>
    </row>
    <row r="66" spans="1:11" x14ac:dyDescent="0.2">
      <c r="B66" s="7" t="s">
        <v>414</v>
      </c>
      <c r="C66">
        <v>21</v>
      </c>
      <c r="D66">
        <v>3</v>
      </c>
      <c r="E66" s="18">
        <v>1.38</v>
      </c>
      <c r="F66">
        <v>0</v>
      </c>
      <c r="G66">
        <v>0</v>
      </c>
      <c r="H66" s="8">
        <v>0.45999999999999996</v>
      </c>
      <c r="I66" s="9" t="e">
        <v>#DIV/0!</v>
      </c>
      <c r="J66" s="9">
        <v>0.14285714285714285</v>
      </c>
      <c r="K66" s="9">
        <v>0</v>
      </c>
    </row>
    <row r="67" spans="1:11" x14ac:dyDescent="0.2">
      <c r="A67" s="10" t="s">
        <v>1031</v>
      </c>
      <c r="B67" s="13" t="s">
        <v>415</v>
      </c>
      <c r="C67">
        <v>1</v>
      </c>
      <c r="D67">
        <v>1</v>
      </c>
      <c r="E67" s="18">
        <v>0.49</v>
      </c>
      <c r="F67">
        <v>0</v>
      </c>
      <c r="G67">
        <v>0</v>
      </c>
      <c r="H67" s="8">
        <v>0.49</v>
      </c>
      <c r="I67" s="9" t="e">
        <v>#DIV/0!</v>
      </c>
      <c r="J67" s="9">
        <v>1</v>
      </c>
      <c r="K67" s="9">
        <v>0</v>
      </c>
    </row>
    <row r="68" spans="1:11" x14ac:dyDescent="0.2">
      <c r="A68" s="10" t="s">
        <v>1008</v>
      </c>
      <c r="B68" s="13" t="s">
        <v>328</v>
      </c>
      <c r="C68">
        <v>182</v>
      </c>
      <c r="D68">
        <v>10</v>
      </c>
      <c r="E68" s="18">
        <v>6.14</v>
      </c>
      <c r="F68">
        <v>0</v>
      </c>
      <c r="G68">
        <v>0</v>
      </c>
      <c r="H68" s="8">
        <v>0.61399999999999999</v>
      </c>
      <c r="I68" s="9" t="e">
        <v>#DIV/0!</v>
      </c>
      <c r="J68" s="9">
        <v>5.4945054945054944E-2</v>
      </c>
      <c r="K68" s="9">
        <v>0</v>
      </c>
    </row>
    <row r="69" spans="1:11" x14ac:dyDescent="0.2">
      <c r="B69" s="14" t="s">
        <v>416</v>
      </c>
      <c r="C69">
        <v>1</v>
      </c>
      <c r="D69">
        <v>1</v>
      </c>
      <c r="E69" s="18">
        <v>0.41</v>
      </c>
      <c r="F69">
        <v>0</v>
      </c>
      <c r="G69">
        <v>0</v>
      </c>
      <c r="H69" s="8">
        <v>0.41</v>
      </c>
      <c r="I69" s="9" t="e">
        <v>#DIV/0!</v>
      </c>
      <c r="J69" s="9">
        <v>1</v>
      </c>
      <c r="K69" s="9">
        <v>0</v>
      </c>
    </row>
    <row r="70" spans="1:11" x14ac:dyDescent="0.2">
      <c r="A70" s="10" t="s">
        <v>1032</v>
      </c>
      <c r="B70" s="7" t="s">
        <v>609</v>
      </c>
      <c r="C70">
        <v>1</v>
      </c>
      <c r="D70">
        <v>1</v>
      </c>
      <c r="E70" s="18">
        <v>0.53</v>
      </c>
      <c r="F70">
        <v>0</v>
      </c>
      <c r="G70">
        <v>0</v>
      </c>
      <c r="H70" s="8">
        <v>0.53</v>
      </c>
      <c r="I70" s="9" t="e">
        <v>#DIV/0!</v>
      </c>
      <c r="J70" s="9">
        <v>1</v>
      </c>
      <c r="K70" s="9">
        <v>0</v>
      </c>
    </row>
    <row r="71" spans="1:11" x14ac:dyDescent="0.2">
      <c r="B71" s="13" t="s">
        <v>329</v>
      </c>
      <c r="C71">
        <v>2</v>
      </c>
      <c r="D71">
        <v>1</v>
      </c>
      <c r="E71" s="18">
        <v>0.43</v>
      </c>
      <c r="F71">
        <v>0</v>
      </c>
      <c r="G71">
        <v>0</v>
      </c>
      <c r="H71" s="8">
        <v>0.43</v>
      </c>
      <c r="I71" s="9" t="e">
        <v>#DIV/0!</v>
      </c>
      <c r="J71" s="9">
        <v>0.5</v>
      </c>
      <c r="K71" s="9">
        <v>0</v>
      </c>
    </row>
    <row r="72" spans="1:11" x14ac:dyDescent="0.2">
      <c r="B72" s="13" t="s">
        <v>711</v>
      </c>
      <c r="C72">
        <v>2</v>
      </c>
      <c r="D72">
        <v>1</v>
      </c>
      <c r="E72" s="18">
        <v>0.42</v>
      </c>
      <c r="F72">
        <v>18.989999999999998</v>
      </c>
      <c r="G72">
        <v>1</v>
      </c>
      <c r="H72" s="8">
        <v>0.42</v>
      </c>
      <c r="I72" s="9">
        <v>2.2116903633491312E-2</v>
      </c>
      <c r="J72" s="9">
        <v>0.5</v>
      </c>
      <c r="K72" s="9">
        <v>1</v>
      </c>
    </row>
    <row r="73" spans="1:11" x14ac:dyDescent="0.2">
      <c r="B73" s="7" t="s">
        <v>331</v>
      </c>
      <c r="C73">
        <v>2</v>
      </c>
      <c r="D73">
        <v>1</v>
      </c>
      <c r="E73" s="18">
        <v>0.53</v>
      </c>
      <c r="F73">
        <v>0</v>
      </c>
      <c r="G73">
        <v>0</v>
      </c>
      <c r="H73" s="8">
        <v>0.53</v>
      </c>
      <c r="I73" s="9" t="e">
        <v>#DIV/0!</v>
      </c>
      <c r="J73" s="9">
        <v>0.5</v>
      </c>
      <c r="K73" s="9">
        <v>0</v>
      </c>
    </row>
    <row r="74" spans="1:11" x14ac:dyDescent="0.2">
      <c r="B74" s="13" t="s">
        <v>332</v>
      </c>
      <c r="C74">
        <v>1</v>
      </c>
      <c r="D74">
        <v>1</v>
      </c>
      <c r="E74" s="18">
        <v>0.53</v>
      </c>
      <c r="F74">
        <v>0</v>
      </c>
      <c r="G74">
        <v>0</v>
      </c>
      <c r="H74" s="8">
        <v>0.53</v>
      </c>
      <c r="I74" s="9" t="e">
        <v>#DIV/0!</v>
      </c>
      <c r="J74" s="9">
        <v>1</v>
      </c>
      <c r="K74" s="9">
        <v>0</v>
      </c>
    </row>
    <row r="75" spans="1:11" x14ac:dyDescent="0.2">
      <c r="B75" s="13" t="s">
        <v>425</v>
      </c>
      <c r="C75">
        <v>1</v>
      </c>
      <c r="D75">
        <v>1</v>
      </c>
      <c r="E75" s="18">
        <v>0.52</v>
      </c>
      <c r="F75">
        <v>0</v>
      </c>
      <c r="G75">
        <v>0</v>
      </c>
      <c r="H75" s="8">
        <v>0.52</v>
      </c>
      <c r="I75" s="9" t="e">
        <v>#DIV/0!</v>
      </c>
      <c r="J75" s="9">
        <v>1</v>
      </c>
      <c r="K75" s="9">
        <v>0</v>
      </c>
    </row>
    <row r="76" spans="1:11" x14ac:dyDescent="0.2">
      <c r="B76" s="7" t="s">
        <v>713</v>
      </c>
      <c r="C76">
        <v>9</v>
      </c>
      <c r="D76">
        <v>1</v>
      </c>
      <c r="E76" s="18">
        <v>0.5</v>
      </c>
      <c r="F76">
        <v>0</v>
      </c>
      <c r="G76">
        <v>0</v>
      </c>
      <c r="H76" s="8">
        <v>0.5</v>
      </c>
      <c r="I76" s="9" t="e">
        <v>#DIV/0!</v>
      </c>
      <c r="J76" s="9">
        <v>0.1111111111111111</v>
      </c>
      <c r="K76" s="9">
        <v>0</v>
      </c>
    </row>
    <row r="77" spans="1:11" x14ac:dyDescent="0.2">
      <c r="B77" s="13" t="s">
        <v>103</v>
      </c>
      <c r="C77">
        <v>1</v>
      </c>
      <c r="D77">
        <v>1</v>
      </c>
      <c r="E77" s="18">
        <v>0.76</v>
      </c>
      <c r="F77">
        <v>0</v>
      </c>
      <c r="G77">
        <v>0</v>
      </c>
      <c r="H77" s="8">
        <v>0.76</v>
      </c>
      <c r="I77" s="9" t="e">
        <v>#DIV/0!</v>
      </c>
      <c r="J77" s="9">
        <v>1</v>
      </c>
      <c r="K77" s="9">
        <v>0</v>
      </c>
    </row>
    <row r="78" spans="1:11" x14ac:dyDescent="0.2">
      <c r="B78" s="7" t="s">
        <v>333</v>
      </c>
      <c r="C78">
        <v>2</v>
      </c>
      <c r="D78">
        <v>1</v>
      </c>
      <c r="E78" s="18">
        <v>0.32</v>
      </c>
      <c r="F78">
        <v>0</v>
      </c>
      <c r="G78">
        <v>0</v>
      </c>
      <c r="H78" s="8">
        <v>0.32</v>
      </c>
      <c r="I78" s="9" t="e">
        <v>#DIV/0!</v>
      </c>
      <c r="J78" s="9">
        <v>0.5</v>
      </c>
      <c r="K78" s="9">
        <v>0</v>
      </c>
    </row>
    <row r="79" spans="1:11" x14ac:dyDescent="0.2">
      <c r="A79" s="10" t="s">
        <v>1029</v>
      </c>
      <c r="B79" s="7" t="s">
        <v>882</v>
      </c>
      <c r="C79">
        <v>1</v>
      </c>
      <c r="D79">
        <v>1</v>
      </c>
      <c r="E79" s="18">
        <v>0.43</v>
      </c>
      <c r="F79">
        <v>0</v>
      </c>
      <c r="G79">
        <v>0</v>
      </c>
      <c r="H79" s="8">
        <v>0.43</v>
      </c>
      <c r="I79" s="9" t="e">
        <v>#DIV/0!</v>
      </c>
      <c r="J79" s="9">
        <v>1</v>
      </c>
      <c r="K79" s="9">
        <v>0</v>
      </c>
    </row>
    <row r="80" spans="1:11" x14ac:dyDescent="0.2">
      <c r="B80" s="7" t="s">
        <v>104</v>
      </c>
      <c r="C80">
        <v>2</v>
      </c>
      <c r="D80">
        <v>1</v>
      </c>
      <c r="E80" s="18">
        <v>0.48</v>
      </c>
      <c r="F80">
        <v>0</v>
      </c>
      <c r="G80">
        <v>0</v>
      </c>
      <c r="H80" s="8">
        <v>0.48</v>
      </c>
      <c r="I80" s="9" t="e">
        <v>#DIV/0!</v>
      </c>
      <c r="J80" s="9">
        <v>0.5</v>
      </c>
      <c r="K80" s="9">
        <v>0</v>
      </c>
    </row>
    <row r="81" spans="1:11" x14ac:dyDescent="0.2">
      <c r="B81" s="13" t="s">
        <v>118</v>
      </c>
      <c r="C81">
        <v>1</v>
      </c>
      <c r="D81">
        <v>1</v>
      </c>
      <c r="E81" s="18">
        <v>0.45</v>
      </c>
      <c r="F81">
        <v>0</v>
      </c>
      <c r="G81">
        <v>0</v>
      </c>
      <c r="H81" s="8">
        <v>0.45</v>
      </c>
      <c r="I81" s="9" t="e">
        <v>#DIV/0!</v>
      </c>
      <c r="J81" s="9">
        <v>1</v>
      </c>
      <c r="K81" s="9">
        <v>0</v>
      </c>
    </row>
    <row r="82" spans="1:11" x14ac:dyDescent="0.2">
      <c r="B82" s="7" t="s">
        <v>437</v>
      </c>
      <c r="C82">
        <v>1</v>
      </c>
      <c r="D82">
        <v>1</v>
      </c>
      <c r="E82" s="18">
        <v>0.52</v>
      </c>
      <c r="F82">
        <v>0</v>
      </c>
      <c r="G82">
        <v>0</v>
      </c>
      <c r="H82" s="8">
        <v>0.52</v>
      </c>
      <c r="I82" s="9" t="e">
        <v>#DIV/0!</v>
      </c>
      <c r="J82" s="9">
        <v>1</v>
      </c>
      <c r="K82" s="9">
        <v>0</v>
      </c>
    </row>
    <row r="83" spans="1:11" x14ac:dyDescent="0.2">
      <c r="B83" s="7" t="s">
        <v>615</v>
      </c>
      <c r="C83">
        <v>1</v>
      </c>
      <c r="D83">
        <v>1</v>
      </c>
      <c r="E83" s="18">
        <v>0.35</v>
      </c>
      <c r="F83">
        <v>0</v>
      </c>
      <c r="G83">
        <v>0</v>
      </c>
      <c r="H83" s="8">
        <v>0.35</v>
      </c>
      <c r="I83" s="9" t="e">
        <v>#DIV/0!</v>
      </c>
      <c r="J83" s="9">
        <v>1</v>
      </c>
      <c r="K83" s="9">
        <v>0</v>
      </c>
    </row>
    <row r="84" spans="1:11" x14ac:dyDescent="0.2">
      <c r="B84" s="7" t="s">
        <v>121</v>
      </c>
      <c r="C84">
        <v>1</v>
      </c>
      <c r="D84">
        <v>1</v>
      </c>
      <c r="E84" s="18">
        <v>0.54</v>
      </c>
      <c r="F84">
        <v>0</v>
      </c>
      <c r="G84">
        <v>0</v>
      </c>
      <c r="H84" s="8">
        <v>0.54</v>
      </c>
      <c r="I84" s="9" t="e">
        <v>#DIV/0!</v>
      </c>
      <c r="J84" s="9">
        <v>1</v>
      </c>
      <c r="K84" s="9">
        <v>0</v>
      </c>
    </row>
    <row r="85" spans="1:11" x14ac:dyDescent="0.2">
      <c r="A85" s="10" t="s">
        <v>1034</v>
      </c>
      <c r="B85" s="13" t="s">
        <v>617</v>
      </c>
      <c r="C85">
        <v>1</v>
      </c>
      <c r="D85">
        <v>1</v>
      </c>
      <c r="E85" s="18">
        <v>0.46</v>
      </c>
      <c r="F85">
        <v>0</v>
      </c>
      <c r="G85">
        <v>0</v>
      </c>
      <c r="H85" s="8">
        <v>0.46</v>
      </c>
      <c r="I85" s="9" t="e">
        <v>#DIV/0!</v>
      </c>
      <c r="J85" s="9">
        <v>1</v>
      </c>
      <c r="K85" s="9">
        <v>0</v>
      </c>
    </row>
    <row r="86" spans="1:11" x14ac:dyDescent="0.2">
      <c r="B86" s="7" t="s">
        <v>890</v>
      </c>
      <c r="C86">
        <v>1</v>
      </c>
      <c r="D86">
        <v>1</v>
      </c>
      <c r="E86" s="18">
        <v>0.65</v>
      </c>
      <c r="F86">
        <v>0</v>
      </c>
      <c r="G86">
        <v>0</v>
      </c>
      <c r="H86" s="8">
        <v>0.65</v>
      </c>
      <c r="I86" s="9" t="e">
        <v>#DIV/0!</v>
      </c>
      <c r="J86" s="9">
        <v>1</v>
      </c>
      <c r="K86" s="9">
        <v>0</v>
      </c>
    </row>
    <row r="87" spans="1:11" x14ac:dyDescent="0.2">
      <c r="B87" s="13" t="s">
        <v>126</v>
      </c>
      <c r="C87">
        <v>1</v>
      </c>
      <c r="D87">
        <v>1</v>
      </c>
      <c r="E87" s="18">
        <v>0.6</v>
      </c>
      <c r="F87">
        <v>0</v>
      </c>
      <c r="G87">
        <v>0</v>
      </c>
      <c r="H87" s="8">
        <v>0.6</v>
      </c>
      <c r="I87" s="9" t="e">
        <v>#DIV/0!</v>
      </c>
      <c r="J87" s="9">
        <v>1</v>
      </c>
      <c r="K87" s="9">
        <v>0</v>
      </c>
    </row>
    <row r="88" spans="1:11" x14ac:dyDescent="0.2">
      <c r="A88" s="10" t="s">
        <v>1049</v>
      </c>
      <c r="B88" s="13" t="s">
        <v>128</v>
      </c>
      <c r="C88">
        <v>2</v>
      </c>
      <c r="D88">
        <v>1</v>
      </c>
      <c r="E88" s="18">
        <v>0.45</v>
      </c>
      <c r="F88">
        <v>17.09</v>
      </c>
      <c r="G88">
        <v>1</v>
      </c>
      <c r="H88" s="8">
        <v>0.45</v>
      </c>
      <c r="I88" s="9">
        <v>2.6331187829139849E-2</v>
      </c>
      <c r="J88" s="9">
        <v>0.5</v>
      </c>
      <c r="K88" s="9">
        <v>1</v>
      </c>
    </row>
    <row r="89" spans="1:11" x14ac:dyDescent="0.2">
      <c r="A89" s="10" t="s">
        <v>1032</v>
      </c>
      <c r="B89" s="13" t="s">
        <v>335</v>
      </c>
      <c r="C89">
        <v>6</v>
      </c>
      <c r="D89">
        <v>1</v>
      </c>
      <c r="E89" s="18">
        <v>0.48</v>
      </c>
      <c r="F89">
        <v>0</v>
      </c>
      <c r="G89">
        <v>0</v>
      </c>
      <c r="H89" s="8">
        <v>0.48</v>
      </c>
      <c r="I89" s="9" t="e">
        <v>#DIV/0!</v>
      </c>
      <c r="J89" s="9">
        <v>0.16666666666666666</v>
      </c>
      <c r="K89" s="9">
        <v>0</v>
      </c>
    </row>
    <row r="90" spans="1:11" x14ac:dyDescent="0.2">
      <c r="A90" s="10" t="s">
        <v>1028</v>
      </c>
      <c r="B90" s="7" t="s">
        <v>129</v>
      </c>
      <c r="C90">
        <v>1</v>
      </c>
      <c r="D90">
        <v>1</v>
      </c>
      <c r="E90" s="18">
        <v>0.54</v>
      </c>
      <c r="F90">
        <v>0</v>
      </c>
      <c r="G90">
        <v>0</v>
      </c>
      <c r="H90" s="8">
        <v>0.54</v>
      </c>
      <c r="I90" s="9" t="e">
        <v>#DIV/0!</v>
      </c>
      <c r="J90" s="9">
        <v>1</v>
      </c>
      <c r="K90" s="9">
        <v>0</v>
      </c>
    </row>
    <row r="91" spans="1:11" x14ac:dyDescent="0.2">
      <c r="A91" s="10" t="s">
        <v>1048</v>
      </c>
      <c r="B91" s="13" t="s">
        <v>138</v>
      </c>
      <c r="C91">
        <v>1</v>
      </c>
      <c r="D91">
        <v>1</v>
      </c>
      <c r="E91" s="18">
        <v>0.6</v>
      </c>
      <c r="F91">
        <v>0</v>
      </c>
      <c r="G91">
        <v>0</v>
      </c>
      <c r="H91" s="8">
        <v>0.6</v>
      </c>
      <c r="I91" s="9" t="e">
        <v>#DIV/0!</v>
      </c>
      <c r="J91" s="9">
        <v>1</v>
      </c>
      <c r="K91" s="9">
        <v>0</v>
      </c>
    </row>
    <row r="92" spans="1:11" x14ac:dyDescent="0.2">
      <c r="A92" s="10" t="s">
        <v>1040</v>
      </c>
      <c r="B92" s="13" t="s">
        <v>337</v>
      </c>
      <c r="C92">
        <v>1</v>
      </c>
      <c r="D92">
        <v>1</v>
      </c>
      <c r="E92" s="18">
        <v>0.42</v>
      </c>
      <c r="F92">
        <v>0</v>
      </c>
      <c r="G92">
        <v>0</v>
      </c>
      <c r="H92" s="8">
        <v>0.42</v>
      </c>
      <c r="I92" s="9" t="e">
        <v>#DIV/0!</v>
      </c>
      <c r="J92" s="9">
        <v>1</v>
      </c>
      <c r="K92" s="9">
        <v>0</v>
      </c>
    </row>
    <row r="93" spans="1:11" x14ac:dyDescent="0.2">
      <c r="A93" s="10" t="s">
        <v>1028</v>
      </c>
      <c r="B93" s="7" t="s">
        <v>141</v>
      </c>
      <c r="C93">
        <v>1</v>
      </c>
      <c r="D93">
        <v>1</v>
      </c>
      <c r="E93" s="18">
        <v>0.54</v>
      </c>
      <c r="F93">
        <v>0</v>
      </c>
      <c r="G93">
        <v>0</v>
      </c>
      <c r="H93" s="8">
        <v>0.54</v>
      </c>
      <c r="I93" s="9" t="e">
        <v>#DIV/0!</v>
      </c>
      <c r="J93" s="9">
        <v>1</v>
      </c>
      <c r="K93" s="9">
        <v>0</v>
      </c>
    </row>
    <row r="94" spans="1:11" x14ac:dyDescent="0.2">
      <c r="B94" s="7" t="s">
        <v>450</v>
      </c>
      <c r="C94">
        <v>6</v>
      </c>
      <c r="D94">
        <v>1</v>
      </c>
      <c r="E94" s="18">
        <v>0.32</v>
      </c>
      <c r="F94">
        <v>0</v>
      </c>
      <c r="G94">
        <v>0</v>
      </c>
      <c r="H94" s="8">
        <v>0.32</v>
      </c>
      <c r="I94" s="9" t="e">
        <v>#DIV/0!</v>
      </c>
      <c r="J94" s="9">
        <v>0.16666666666666666</v>
      </c>
      <c r="K94" s="9">
        <v>0</v>
      </c>
    </row>
    <row r="95" spans="1:11" x14ac:dyDescent="0.2">
      <c r="A95" s="19" t="s">
        <v>1114</v>
      </c>
      <c r="B95" s="13" t="s">
        <v>339</v>
      </c>
      <c r="C95">
        <v>1</v>
      </c>
      <c r="D95">
        <v>1</v>
      </c>
      <c r="E95" s="18">
        <v>0.48</v>
      </c>
      <c r="F95">
        <v>0</v>
      </c>
      <c r="G95">
        <v>0</v>
      </c>
      <c r="H95" s="8">
        <v>0.48</v>
      </c>
      <c r="I95" s="9" t="e">
        <v>#DIV/0!</v>
      </c>
      <c r="J95" s="9">
        <v>1</v>
      </c>
      <c r="K95" s="9">
        <v>0</v>
      </c>
    </row>
    <row r="96" spans="1:11" x14ac:dyDescent="0.2">
      <c r="B96" s="7" t="s">
        <v>898</v>
      </c>
      <c r="C96">
        <v>1</v>
      </c>
      <c r="D96">
        <v>1</v>
      </c>
      <c r="E96" s="18">
        <v>0.47</v>
      </c>
      <c r="F96">
        <v>0</v>
      </c>
      <c r="G96">
        <v>0</v>
      </c>
      <c r="H96" s="8">
        <v>0.47</v>
      </c>
      <c r="I96" s="9" t="e">
        <v>#DIV/0!</v>
      </c>
      <c r="J96" s="9">
        <v>1</v>
      </c>
      <c r="K96" s="9">
        <v>0</v>
      </c>
    </row>
    <row r="97" spans="1:11" x14ac:dyDescent="0.2">
      <c r="B97" s="13" t="s">
        <v>451</v>
      </c>
      <c r="C97">
        <v>6</v>
      </c>
      <c r="D97">
        <v>2</v>
      </c>
      <c r="E97" s="18">
        <v>0.72</v>
      </c>
      <c r="F97">
        <v>0</v>
      </c>
      <c r="G97">
        <v>0</v>
      </c>
      <c r="H97" s="8">
        <v>0.36</v>
      </c>
      <c r="I97" s="9" t="e">
        <v>#DIV/0!</v>
      </c>
      <c r="J97" s="9">
        <v>0.33333333333333331</v>
      </c>
      <c r="K97" s="9">
        <v>0</v>
      </c>
    </row>
    <row r="98" spans="1:11" x14ac:dyDescent="0.2">
      <c r="B98" s="13" t="s">
        <v>142</v>
      </c>
      <c r="C98">
        <v>1</v>
      </c>
      <c r="D98">
        <v>1</v>
      </c>
      <c r="E98" s="18">
        <v>0.54</v>
      </c>
      <c r="F98">
        <v>0</v>
      </c>
      <c r="G98">
        <v>0</v>
      </c>
      <c r="H98" s="8">
        <v>0.54</v>
      </c>
      <c r="I98" s="9" t="e">
        <v>#DIV/0!</v>
      </c>
      <c r="J98" s="9">
        <v>1</v>
      </c>
      <c r="K98" s="9">
        <v>0</v>
      </c>
    </row>
    <row r="99" spans="1:11" x14ac:dyDescent="0.2">
      <c r="B99" s="13" t="s">
        <v>452</v>
      </c>
      <c r="C99">
        <v>3</v>
      </c>
      <c r="D99">
        <v>1</v>
      </c>
      <c r="E99" s="18">
        <v>0.52</v>
      </c>
      <c r="F99">
        <v>0</v>
      </c>
      <c r="G99">
        <v>0</v>
      </c>
      <c r="H99" s="8">
        <v>0.52</v>
      </c>
      <c r="I99" s="9" t="e">
        <v>#DIV/0!</v>
      </c>
      <c r="J99" s="9">
        <v>0.33333333333333331</v>
      </c>
      <c r="K99" s="9">
        <v>0</v>
      </c>
    </row>
    <row r="100" spans="1:11" x14ac:dyDescent="0.2">
      <c r="B100" s="7" t="s">
        <v>146</v>
      </c>
      <c r="C100">
        <v>2</v>
      </c>
      <c r="D100">
        <v>1</v>
      </c>
      <c r="E100" s="18">
        <v>0.48</v>
      </c>
      <c r="F100">
        <v>0</v>
      </c>
      <c r="G100">
        <v>0</v>
      </c>
      <c r="H100" s="8">
        <v>0.48</v>
      </c>
      <c r="I100" s="9" t="e">
        <v>#DIV/0!</v>
      </c>
      <c r="J100" s="9">
        <v>0.5</v>
      </c>
      <c r="K100" s="9">
        <v>0</v>
      </c>
    </row>
    <row r="101" spans="1:11" x14ac:dyDescent="0.2">
      <c r="A101" s="10" t="s">
        <v>1051</v>
      </c>
      <c r="B101" s="13" t="s">
        <v>453</v>
      </c>
      <c r="C101">
        <v>2</v>
      </c>
      <c r="D101">
        <v>1</v>
      </c>
      <c r="E101" s="18">
        <v>0.34</v>
      </c>
      <c r="F101">
        <v>0</v>
      </c>
      <c r="G101">
        <v>0</v>
      </c>
      <c r="H101" s="8">
        <v>0.34</v>
      </c>
      <c r="I101" s="9" t="e">
        <v>#DIV/0!</v>
      </c>
      <c r="J101" s="9">
        <v>0.5</v>
      </c>
      <c r="K101" s="9">
        <v>0</v>
      </c>
    </row>
    <row r="102" spans="1:11" x14ac:dyDescent="0.2">
      <c r="B102" s="7" t="s">
        <v>341</v>
      </c>
      <c r="C102">
        <v>1</v>
      </c>
      <c r="D102">
        <v>1</v>
      </c>
      <c r="E102" s="18">
        <v>0.64</v>
      </c>
      <c r="F102">
        <v>0</v>
      </c>
      <c r="G102">
        <v>0</v>
      </c>
      <c r="H102" s="8">
        <v>0.64</v>
      </c>
      <c r="I102" s="9" t="e">
        <v>#DIV/0!</v>
      </c>
      <c r="J102" s="9">
        <v>1</v>
      </c>
      <c r="K102" s="9">
        <v>0</v>
      </c>
    </row>
    <row r="103" spans="1:11" x14ac:dyDescent="0.2">
      <c r="B103" s="13" t="s">
        <v>148</v>
      </c>
      <c r="C103">
        <v>2</v>
      </c>
      <c r="D103">
        <v>1</v>
      </c>
      <c r="E103" s="18">
        <v>0.45</v>
      </c>
      <c r="F103">
        <v>0</v>
      </c>
      <c r="G103">
        <v>0</v>
      </c>
      <c r="H103" s="8">
        <v>0.45</v>
      </c>
      <c r="I103" s="9" t="e">
        <v>#DIV/0!</v>
      </c>
      <c r="J103" s="9">
        <v>0.5</v>
      </c>
      <c r="K103" s="9">
        <v>0</v>
      </c>
    </row>
    <row r="104" spans="1:11" x14ac:dyDescent="0.2">
      <c r="A104" s="10" t="s">
        <v>1052</v>
      </c>
      <c r="B104" s="7" t="s">
        <v>901</v>
      </c>
      <c r="C104">
        <v>1</v>
      </c>
      <c r="D104">
        <v>1</v>
      </c>
      <c r="E104" s="18">
        <v>0.47</v>
      </c>
      <c r="F104">
        <v>0</v>
      </c>
      <c r="G104">
        <v>0</v>
      </c>
      <c r="H104" s="8">
        <v>0.47</v>
      </c>
      <c r="I104" s="9" t="e">
        <v>#DIV/0!</v>
      </c>
      <c r="J104" s="9">
        <v>1</v>
      </c>
      <c r="K104" s="9">
        <v>0</v>
      </c>
    </row>
    <row r="105" spans="1:11" x14ac:dyDescent="0.2">
      <c r="A105" s="10" t="s">
        <v>1039</v>
      </c>
      <c r="B105" s="7" t="s">
        <v>149</v>
      </c>
      <c r="C105">
        <v>1</v>
      </c>
      <c r="D105">
        <v>1</v>
      </c>
      <c r="E105" s="18">
        <v>0.54</v>
      </c>
      <c r="F105">
        <v>0</v>
      </c>
      <c r="G105">
        <v>0</v>
      </c>
      <c r="H105" s="8">
        <v>0.54</v>
      </c>
      <c r="I105" s="9" t="e">
        <v>#DIV/0!</v>
      </c>
      <c r="J105" s="9">
        <v>1</v>
      </c>
      <c r="K105" s="9">
        <v>0</v>
      </c>
    </row>
    <row r="106" spans="1:11" x14ac:dyDescent="0.2">
      <c r="B106" s="7" t="s">
        <v>738</v>
      </c>
      <c r="C106">
        <v>2</v>
      </c>
      <c r="D106">
        <v>1</v>
      </c>
      <c r="E106" s="18">
        <v>0.55000000000000004</v>
      </c>
      <c r="F106">
        <v>0</v>
      </c>
      <c r="G106">
        <v>0</v>
      </c>
      <c r="H106" s="8">
        <v>0.55000000000000004</v>
      </c>
      <c r="I106" s="9" t="e">
        <v>#DIV/0!</v>
      </c>
      <c r="J106" s="9">
        <v>0.5</v>
      </c>
      <c r="K106" s="9">
        <v>0</v>
      </c>
    </row>
    <row r="107" spans="1:11" x14ac:dyDescent="0.2">
      <c r="B107" s="13" t="s">
        <v>150</v>
      </c>
      <c r="C107">
        <v>1</v>
      </c>
      <c r="D107">
        <v>1</v>
      </c>
      <c r="E107" s="18">
        <v>0.54</v>
      </c>
      <c r="F107">
        <v>0</v>
      </c>
      <c r="G107">
        <v>0</v>
      </c>
      <c r="H107" s="8">
        <v>0.54</v>
      </c>
      <c r="I107" s="9" t="e">
        <v>#DIV/0!</v>
      </c>
      <c r="J107" s="9">
        <v>1</v>
      </c>
      <c r="K107" s="9">
        <v>0</v>
      </c>
    </row>
    <row r="108" spans="1:11" x14ac:dyDescent="0.2">
      <c r="B108" s="13" t="s">
        <v>624</v>
      </c>
      <c r="C108">
        <v>1</v>
      </c>
      <c r="D108">
        <v>1</v>
      </c>
      <c r="E108" s="18">
        <v>0.43</v>
      </c>
      <c r="F108">
        <v>0</v>
      </c>
      <c r="G108">
        <v>0</v>
      </c>
      <c r="H108" s="8">
        <v>0.43</v>
      </c>
      <c r="I108" s="9" t="e">
        <v>#DIV/0!</v>
      </c>
      <c r="J108" s="9">
        <v>1</v>
      </c>
      <c r="K108" s="9">
        <v>0</v>
      </c>
    </row>
    <row r="109" spans="1:11" x14ac:dyDescent="0.2">
      <c r="A109" s="10" t="s">
        <v>1045</v>
      </c>
      <c r="B109" s="13" t="s">
        <v>456</v>
      </c>
      <c r="C109">
        <v>1</v>
      </c>
      <c r="D109">
        <v>1</v>
      </c>
      <c r="E109" s="18">
        <v>0.52</v>
      </c>
      <c r="F109">
        <v>0</v>
      </c>
      <c r="G109">
        <v>0</v>
      </c>
      <c r="H109" s="8">
        <v>0.52</v>
      </c>
      <c r="I109" s="9" t="e">
        <v>#DIV/0!</v>
      </c>
      <c r="J109" s="9">
        <v>1</v>
      </c>
      <c r="K109" s="9">
        <v>0</v>
      </c>
    </row>
    <row r="110" spans="1:11" x14ac:dyDescent="0.2">
      <c r="B110" s="13" t="s">
        <v>152</v>
      </c>
      <c r="C110">
        <v>2</v>
      </c>
      <c r="D110">
        <v>1</v>
      </c>
      <c r="E110" s="18">
        <v>0.77</v>
      </c>
      <c r="F110">
        <v>0</v>
      </c>
      <c r="G110">
        <v>0</v>
      </c>
      <c r="H110" s="8">
        <v>0.77</v>
      </c>
      <c r="I110" s="9" t="e">
        <v>#DIV/0!</v>
      </c>
      <c r="J110" s="9">
        <v>0.5</v>
      </c>
      <c r="K110" s="9">
        <v>0</v>
      </c>
    </row>
    <row r="111" spans="1:11" x14ac:dyDescent="0.2">
      <c r="A111" s="10" t="s">
        <v>1050</v>
      </c>
      <c r="B111" s="7" t="s">
        <v>457</v>
      </c>
      <c r="C111">
        <v>2</v>
      </c>
      <c r="D111">
        <v>1</v>
      </c>
      <c r="E111" s="18">
        <v>0.38</v>
      </c>
      <c r="F111">
        <v>0</v>
      </c>
      <c r="G111">
        <v>0</v>
      </c>
      <c r="H111" s="8">
        <v>0.38</v>
      </c>
      <c r="I111" s="9" t="e">
        <v>#DIV/0!</v>
      </c>
      <c r="J111" s="9">
        <v>0.5</v>
      </c>
      <c r="K111" s="9">
        <v>0</v>
      </c>
    </row>
    <row r="112" spans="1:11" x14ac:dyDescent="0.2">
      <c r="B112" s="7" t="s">
        <v>906</v>
      </c>
      <c r="C112">
        <v>2</v>
      </c>
      <c r="D112">
        <v>1</v>
      </c>
      <c r="E112" s="18">
        <v>0.47</v>
      </c>
      <c r="F112">
        <v>0</v>
      </c>
      <c r="G112">
        <v>0</v>
      </c>
      <c r="H112" s="8">
        <v>0.47</v>
      </c>
      <c r="I112" s="9" t="e">
        <v>#DIV/0!</v>
      </c>
      <c r="J112" s="9">
        <v>0.5</v>
      </c>
      <c r="K112" s="9">
        <v>0</v>
      </c>
    </row>
    <row r="113" spans="1:11" x14ac:dyDescent="0.2">
      <c r="A113" s="10" t="s">
        <v>1056</v>
      </c>
      <c r="B113" s="13" t="s">
        <v>153</v>
      </c>
      <c r="C113">
        <v>1</v>
      </c>
      <c r="D113">
        <v>1</v>
      </c>
      <c r="E113" s="18">
        <v>0.77</v>
      </c>
      <c r="F113">
        <v>0</v>
      </c>
      <c r="G113">
        <v>0</v>
      </c>
      <c r="H113" s="8">
        <v>0.77</v>
      </c>
      <c r="I113" s="9" t="e">
        <v>#DIV/0!</v>
      </c>
      <c r="J113" s="9">
        <v>1</v>
      </c>
      <c r="K113" s="9">
        <v>0</v>
      </c>
    </row>
    <row r="114" spans="1:11" x14ac:dyDescent="0.2">
      <c r="B114" s="7" t="s">
        <v>156</v>
      </c>
      <c r="C114">
        <v>1</v>
      </c>
      <c r="D114">
        <v>1</v>
      </c>
      <c r="E114" s="18">
        <v>0.77</v>
      </c>
      <c r="F114">
        <v>0</v>
      </c>
      <c r="G114">
        <v>0</v>
      </c>
      <c r="H114" s="8">
        <v>0.77</v>
      </c>
      <c r="I114" s="9" t="e">
        <v>#DIV/0!</v>
      </c>
      <c r="J114" s="9">
        <v>1</v>
      </c>
      <c r="K114" s="9">
        <v>0</v>
      </c>
    </row>
    <row r="115" spans="1:11" x14ac:dyDescent="0.2">
      <c r="B115" s="7" t="s">
        <v>157</v>
      </c>
      <c r="C115">
        <v>4</v>
      </c>
      <c r="D115">
        <v>1</v>
      </c>
      <c r="E115" s="18">
        <v>0.48</v>
      </c>
      <c r="F115">
        <v>0</v>
      </c>
      <c r="G115">
        <v>0</v>
      </c>
      <c r="H115" s="8">
        <v>0.48</v>
      </c>
      <c r="I115" s="9" t="e">
        <v>#DIV/0!</v>
      </c>
      <c r="J115" s="9">
        <v>0.25</v>
      </c>
      <c r="K115" s="9">
        <v>0</v>
      </c>
    </row>
    <row r="116" spans="1:11" x14ac:dyDescent="0.2">
      <c r="B116" s="7" t="s">
        <v>158</v>
      </c>
      <c r="C116">
        <v>2</v>
      </c>
      <c r="D116">
        <v>1</v>
      </c>
      <c r="E116" s="18">
        <v>0.48</v>
      </c>
      <c r="F116">
        <v>0</v>
      </c>
      <c r="G116">
        <v>0</v>
      </c>
      <c r="H116" s="8">
        <v>0.48</v>
      </c>
      <c r="I116" s="9" t="e">
        <v>#DIV/0!</v>
      </c>
      <c r="J116" s="9">
        <v>0.5</v>
      </c>
      <c r="K116" s="9">
        <v>0</v>
      </c>
    </row>
    <row r="117" spans="1:11" x14ac:dyDescent="0.2">
      <c r="A117" s="10" t="s">
        <v>1053</v>
      </c>
      <c r="B117" s="7" t="s">
        <v>459</v>
      </c>
      <c r="C117">
        <v>9</v>
      </c>
      <c r="D117">
        <v>1</v>
      </c>
      <c r="E117" s="18">
        <v>0.47</v>
      </c>
      <c r="F117">
        <v>0</v>
      </c>
      <c r="G117">
        <v>0</v>
      </c>
      <c r="H117" s="8">
        <v>0.47</v>
      </c>
      <c r="I117" s="9" t="e">
        <v>#DIV/0!</v>
      </c>
      <c r="J117" s="9">
        <v>0.1111111111111111</v>
      </c>
      <c r="K117" s="9">
        <v>0</v>
      </c>
    </row>
    <row r="118" spans="1:11" x14ac:dyDescent="0.2">
      <c r="A118" s="10" t="s">
        <v>1041</v>
      </c>
      <c r="B118" s="7" t="s">
        <v>907</v>
      </c>
      <c r="C118">
        <v>4</v>
      </c>
      <c r="D118">
        <v>1</v>
      </c>
      <c r="E118" s="18">
        <v>0.65</v>
      </c>
      <c r="F118">
        <v>0</v>
      </c>
      <c r="G118">
        <v>0</v>
      </c>
      <c r="H118" s="8">
        <v>0.65</v>
      </c>
      <c r="I118" s="9" t="e">
        <v>#DIV/0!</v>
      </c>
      <c r="J118" s="9">
        <v>0.25</v>
      </c>
      <c r="K118" s="9">
        <v>0</v>
      </c>
    </row>
    <row r="119" spans="1:11" x14ac:dyDescent="0.2">
      <c r="B119" s="13" t="s">
        <v>909</v>
      </c>
      <c r="C119">
        <v>1</v>
      </c>
      <c r="D119">
        <v>1</v>
      </c>
      <c r="E119" s="18">
        <v>0.47</v>
      </c>
      <c r="F119">
        <v>0</v>
      </c>
      <c r="G119">
        <v>0</v>
      </c>
      <c r="H119" s="8">
        <v>0.47</v>
      </c>
      <c r="I119" s="9" t="e">
        <v>#DIV/0!</v>
      </c>
      <c r="J119" s="9">
        <v>1</v>
      </c>
      <c r="K119" s="9">
        <v>0</v>
      </c>
    </row>
    <row r="120" spans="1:11" x14ac:dyDescent="0.2">
      <c r="A120" s="10" t="s">
        <v>1047</v>
      </c>
      <c r="B120" s="7" t="s">
        <v>460</v>
      </c>
      <c r="C120">
        <v>6</v>
      </c>
      <c r="D120">
        <v>1</v>
      </c>
      <c r="E120" s="18">
        <v>0.42</v>
      </c>
      <c r="F120">
        <v>0</v>
      </c>
      <c r="G120">
        <v>0</v>
      </c>
      <c r="H120" s="8">
        <v>0.42</v>
      </c>
      <c r="I120" s="9" t="e">
        <v>#DIV/0!</v>
      </c>
      <c r="J120" s="9">
        <v>0.16666666666666666</v>
      </c>
      <c r="K120" s="9">
        <v>0</v>
      </c>
    </row>
    <row r="121" spans="1:11" x14ac:dyDescent="0.2">
      <c r="B121" s="7" t="s">
        <v>159</v>
      </c>
      <c r="C121">
        <v>1</v>
      </c>
      <c r="D121">
        <v>1</v>
      </c>
      <c r="E121" s="18">
        <v>0.52</v>
      </c>
      <c r="F121">
        <v>0</v>
      </c>
      <c r="G121">
        <v>0</v>
      </c>
      <c r="H121" s="8">
        <v>0.52</v>
      </c>
      <c r="I121" s="9" t="e">
        <v>#DIV/0!</v>
      </c>
      <c r="J121" s="9">
        <v>1</v>
      </c>
      <c r="K121" s="9">
        <v>0</v>
      </c>
    </row>
    <row r="122" spans="1:11" x14ac:dyDescent="0.2">
      <c r="B122" s="13" t="s">
        <v>462</v>
      </c>
      <c r="C122">
        <v>1</v>
      </c>
      <c r="D122">
        <v>1</v>
      </c>
      <c r="E122" s="18">
        <v>0.47</v>
      </c>
      <c r="F122">
        <v>0</v>
      </c>
      <c r="G122">
        <v>0</v>
      </c>
      <c r="H122" s="8">
        <v>0.47</v>
      </c>
      <c r="I122" s="9" t="e">
        <v>#DIV/0!</v>
      </c>
      <c r="J122" s="9">
        <v>1</v>
      </c>
      <c r="K122" s="9">
        <v>0</v>
      </c>
    </row>
    <row r="123" spans="1:11" x14ac:dyDescent="0.2">
      <c r="A123" s="10" t="s">
        <v>1055</v>
      </c>
      <c r="B123" s="13" t="s">
        <v>161</v>
      </c>
      <c r="C123">
        <v>1</v>
      </c>
      <c r="D123">
        <v>1</v>
      </c>
      <c r="E123" s="18">
        <v>0.54</v>
      </c>
      <c r="F123">
        <v>0</v>
      </c>
      <c r="G123">
        <v>0</v>
      </c>
      <c r="H123" s="8">
        <v>0.54</v>
      </c>
      <c r="I123" s="9" t="e">
        <v>#DIV/0!</v>
      </c>
      <c r="J123" s="9">
        <v>1</v>
      </c>
      <c r="K123" s="9">
        <v>0</v>
      </c>
    </row>
    <row r="124" spans="1:11" x14ac:dyDescent="0.2">
      <c r="B124" s="7" t="s">
        <v>464</v>
      </c>
      <c r="C124">
        <v>2</v>
      </c>
      <c r="D124">
        <v>1</v>
      </c>
      <c r="E124" s="18">
        <v>0.52</v>
      </c>
      <c r="F124">
        <v>0</v>
      </c>
      <c r="G124">
        <v>0</v>
      </c>
      <c r="H124" s="8">
        <v>0.52</v>
      </c>
      <c r="I124" s="9" t="e">
        <v>#DIV/0!</v>
      </c>
      <c r="J124" s="9">
        <v>0.5</v>
      </c>
      <c r="K124" s="9">
        <v>0</v>
      </c>
    </row>
    <row r="125" spans="1:11" x14ac:dyDescent="0.2">
      <c r="B125" s="7" t="s">
        <v>465</v>
      </c>
      <c r="C125">
        <v>1</v>
      </c>
      <c r="D125">
        <v>1</v>
      </c>
      <c r="E125" s="18">
        <v>0.62</v>
      </c>
      <c r="F125">
        <v>0</v>
      </c>
      <c r="G125">
        <v>0</v>
      </c>
      <c r="H125" s="8">
        <v>0.62</v>
      </c>
      <c r="I125" s="9" t="e">
        <v>#DIV/0!</v>
      </c>
      <c r="J125" s="9">
        <v>1</v>
      </c>
      <c r="K125" s="9">
        <v>0</v>
      </c>
    </row>
    <row r="126" spans="1:11" x14ac:dyDescent="0.2">
      <c r="A126" s="10" t="s">
        <v>1042</v>
      </c>
      <c r="B126" s="7" t="s">
        <v>162</v>
      </c>
      <c r="C126">
        <v>1</v>
      </c>
      <c r="D126">
        <v>1</v>
      </c>
      <c r="E126" s="18">
        <v>0.53</v>
      </c>
      <c r="F126">
        <v>0</v>
      </c>
      <c r="G126">
        <v>0</v>
      </c>
      <c r="H126" s="8">
        <v>0.53</v>
      </c>
      <c r="I126" s="9" t="e">
        <v>#DIV/0!</v>
      </c>
      <c r="J126" s="9">
        <v>1</v>
      </c>
      <c r="K126" s="9">
        <v>0</v>
      </c>
    </row>
    <row r="127" spans="1:11" x14ac:dyDescent="0.2">
      <c r="A127" s="10" t="s">
        <v>1058</v>
      </c>
      <c r="B127" s="7" t="s">
        <v>164</v>
      </c>
      <c r="C127">
        <v>2</v>
      </c>
      <c r="D127">
        <v>1</v>
      </c>
      <c r="E127" s="18">
        <v>0.54</v>
      </c>
      <c r="F127">
        <v>0</v>
      </c>
      <c r="G127">
        <v>0</v>
      </c>
      <c r="H127" s="8">
        <v>0.54</v>
      </c>
      <c r="I127" s="9" t="e">
        <v>#DIV/0!</v>
      </c>
      <c r="J127" s="9">
        <v>0.5</v>
      </c>
      <c r="K127" s="9">
        <v>0</v>
      </c>
    </row>
    <row r="128" spans="1:11" x14ac:dyDescent="0.2">
      <c r="B128" s="13" t="s">
        <v>466</v>
      </c>
      <c r="C128">
        <v>1</v>
      </c>
      <c r="D128">
        <v>1</v>
      </c>
      <c r="E128" s="18">
        <v>0.52</v>
      </c>
      <c r="F128">
        <v>0</v>
      </c>
      <c r="G128">
        <v>0</v>
      </c>
      <c r="H128" s="8">
        <v>0.52</v>
      </c>
      <c r="I128" s="9" t="e">
        <v>#DIV/0!</v>
      </c>
      <c r="J128" s="9">
        <v>1</v>
      </c>
      <c r="K128" s="9">
        <v>0</v>
      </c>
    </row>
    <row r="129" spans="1:11" x14ac:dyDescent="0.2">
      <c r="A129" s="10" t="s">
        <v>1057</v>
      </c>
      <c r="B129" s="13" t="s">
        <v>165</v>
      </c>
      <c r="C129">
        <v>1</v>
      </c>
      <c r="D129">
        <v>1</v>
      </c>
      <c r="E129" s="18">
        <v>0.53</v>
      </c>
      <c r="F129">
        <v>0</v>
      </c>
      <c r="G129">
        <v>0</v>
      </c>
      <c r="H129" s="8">
        <v>0.53</v>
      </c>
      <c r="I129" s="9" t="e">
        <v>#DIV/0!</v>
      </c>
      <c r="J129" s="9">
        <v>1</v>
      </c>
      <c r="K129" s="9">
        <v>0</v>
      </c>
    </row>
    <row r="130" spans="1:11" x14ac:dyDescent="0.2">
      <c r="A130" s="10" t="s">
        <v>1032</v>
      </c>
      <c r="B130" s="7" t="s">
        <v>167</v>
      </c>
      <c r="C130">
        <v>3</v>
      </c>
      <c r="D130">
        <v>1</v>
      </c>
      <c r="E130" s="18">
        <v>0.44</v>
      </c>
      <c r="F130">
        <v>0</v>
      </c>
      <c r="G130">
        <v>0</v>
      </c>
      <c r="H130" s="8">
        <v>0.44</v>
      </c>
      <c r="I130" s="9" t="e">
        <v>#DIV/0!</v>
      </c>
      <c r="J130" s="9">
        <v>0.33333333333333331</v>
      </c>
      <c r="K130" s="9">
        <v>0</v>
      </c>
    </row>
    <row r="131" spans="1:11" x14ac:dyDescent="0.2">
      <c r="B131" s="7" t="s">
        <v>473</v>
      </c>
      <c r="C131">
        <v>3</v>
      </c>
      <c r="D131">
        <v>1</v>
      </c>
      <c r="E131" s="18">
        <v>0.5</v>
      </c>
      <c r="F131">
        <v>0</v>
      </c>
      <c r="G131">
        <v>0</v>
      </c>
      <c r="H131" s="8">
        <v>0.5</v>
      </c>
      <c r="I131" s="9" t="e">
        <v>#DIV/0!</v>
      </c>
      <c r="J131" s="9">
        <v>0.33333333333333331</v>
      </c>
      <c r="K131" s="9">
        <v>0</v>
      </c>
    </row>
    <row r="132" spans="1:11" x14ac:dyDescent="0.2">
      <c r="A132" s="10" t="s">
        <v>1035</v>
      </c>
      <c r="B132" s="13" t="s">
        <v>169</v>
      </c>
      <c r="C132">
        <v>1</v>
      </c>
      <c r="D132">
        <v>1</v>
      </c>
      <c r="E132" s="18">
        <v>0.67</v>
      </c>
      <c r="F132">
        <v>0</v>
      </c>
      <c r="G132">
        <v>0</v>
      </c>
      <c r="H132" s="8">
        <v>0.67</v>
      </c>
      <c r="I132" s="9" t="e">
        <v>#DIV/0!</v>
      </c>
      <c r="J132" s="9">
        <v>1</v>
      </c>
      <c r="K132" s="9">
        <v>0</v>
      </c>
    </row>
    <row r="133" spans="1:11" x14ac:dyDescent="0.2">
      <c r="B133" s="7" t="s">
        <v>911</v>
      </c>
      <c r="C133">
        <v>1</v>
      </c>
      <c r="D133">
        <v>1</v>
      </c>
      <c r="E133" s="18">
        <v>0.51</v>
      </c>
      <c r="F133">
        <v>0</v>
      </c>
      <c r="G133">
        <v>0</v>
      </c>
      <c r="H133" s="8">
        <v>0.51</v>
      </c>
      <c r="I133" s="9" t="e">
        <v>#DIV/0!</v>
      </c>
      <c r="J133" s="9">
        <v>1</v>
      </c>
      <c r="K133" s="9">
        <v>0</v>
      </c>
    </row>
    <row r="134" spans="1:11" x14ac:dyDescent="0.2">
      <c r="B134" s="7" t="s">
        <v>474</v>
      </c>
      <c r="C134">
        <v>2</v>
      </c>
      <c r="D134">
        <v>1</v>
      </c>
      <c r="E134" s="18">
        <v>0.48</v>
      </c>
      <c r="F134">
        <v>0</v>
      </c>
      <c r="G134">
        <v>0</v>
      </c>
      <c r="H134" s="8">
        <v>0.48</v>
      </c>
      <c r="I134" s="9" t="e">
        <v>#DIV/0!</v>
      </c>
      <c r="J134" s="9">
        <v>0.5</v>
      </c>
      <c r="K134" s="9">
        <v>0</v>
      </c>
    </row>
    <row r="135" spans="1:11" x14ac:dyDescent="0.2">
      <c r="B135" s="7" t="s">
        <v>172</v>
      </c>
      <c r="C135">
        <v>2</v>
      </c>
      <c r="D135">
        <v>1</v>
      </c>
      <c r="E135" s="18">
        <v>0.53</v>
      </c>
      <c r="F135">
        <v>0</v>
      </c>
      <c r="G135">
        <v>0</v>
      </c>
      <c r="H135" s="8">
        <v>0.53</v>
      </c>
      <c r="I135" s="9" t="e">
        <v>#DIV/0!</v>
      </c>
      <c r="J135" s="9">
        <v>0.5</v>
      </c>
      <c r="K135" s="9">
        <v>0</v>
      </c>
    </row>
    <row r="136" spans="1:11" x14ac:dyDescent="0.2">
      <c r="B136" s="13" t="s">
        <v>349</v>
      </c>
      <c r="C136">
        <v>2</v>
      </c>
      <c r="D136">
        <v>1</v>
      </c>
      <c r="E136" s="18">
        <v>0.53</v>
      </c>
      <c r="F136">
        <v>0</v>
      </c>
      <c r="G136">
        <v>0</v>
      </c>
      <c r="H136" s="8">
        <v>0.53</v>
      </c>
      <c r="I136" s="9" t="e">
        <v>#DIV/0!</v>
      </c>
      <c r="J136" s="9">
        <v>0.5</v>
      </c>
      <c r="K136" s="9">
        <v>0</v>
      </c>
    </row>
    <row r="137" spans="1:11" x14ac:dyDescent="0.2">
      <c r="B137" s="13" t="s">
        <v>481</v>
      </c>
      <c r="C137">
        <v>2</v>
      </c>
      <c r="D137">
        <v>1</v>
      </c>
      <c r="E137" s="18">
        <v>0.52</v>
      </c>
      <c r="F137">
        <v>0</v>
      </c>
      <c r="G137">
        <v>0</v>
      </c>
      <c r="H137" s="8">
        <v>0.52</v>
      </c>
      <c r="I137" s="9" t="e">
        <v>#DIV/0!</v>
      </c>
      <c r="J137" s="9">
        <v>0.5</v>
      </c>
      <c r="K137" s="9">
        <v>0</v>
      </c>
    </row>
    <row r="138" spans="1:11" x14ac:dyDescent="0.2">
      <c r="A138" s="10" t="s">
        <v>1043</v>
      </c>
      <c r="B138" s="13" t="s">
        <v>350</v>
      </c>
      <c r="C138">
        <v>1</v>
      </c>
      <c r="D138">
        <v>1</v>
      </c>
      <c r="E138" s="18">
        <v>0.37</v>
      </c>
      <c r="F138">
        <v>0</v>
      </c>
      <c r="G138">
        <v>0</v>
      </c>
      <c r="H138" s="8">
        <v>0.37</v>
      </c>
      <c r="I138" s="9" t="e">
        <v>#DIV/0!</v>
      </c>
      <c r="J138" s="9">
        <v>1</v>
      </c>
      <c r="K138" s="9">
        <v>0</v>
      </c>
    </row>
    <row r="139" spans="1:11" x14ac:dyDescent="0.2">
      <c r="B139" s="7" t="s">
        <v>351</v>
      </c>
      <c r="C139">
        <v>2</v>
      </c>
      <c r="D139">
        <v>1</v>
      </c>
      <c r="E139" s="18">
        <v>0</v>
      </c>
      <c r="F139">
        <v>0</v>
      </c>
      <c r="G139">
        <v>0</v>
      </c>
      <c r="H139" s="8">
        <v>0</v>
      </c>
      <c r="I139" s="9" t="e">
        <v>#DIV/0!</v>
      </c>
      <c r="J139" s="9">
        <v>0.5</v>
      </c>
      <c r="K139" s="9">
        <v>0</v>
      </c>
    </row>
    <row r="140" spans="1:11" x14ac:dyDescent="0.2">
      <c r="B140" s="13" t="s">
        <v>485</v>
      </c>
      <c r="C140">
        <v>2</v>
      </c>
      <c r="D140">
        <v>1</v>
      </c>
      <c r="E140" s="18">
        <v>0.48</v>
      </c>
      <c r="F140">
        <v>0</v>
      </c>
      <c r="G140">
        <v>0</v>
      </c>
      <c r="H140" s="8">
        <v>0.48</v>
      </c>
      <c r="I140" s="9" t="e">
        <v>#DIV/0!</v>
      </c>
      <c r="J140" s="9">
        <v>0.5</v>
      </c>
      <c r="K140" s="9">
        <v>0</v>
      </c>
    </row>
    <row r="141" spans="1:11" x14ac:dyDescent="0.2">
      <c r="B141" s="13" t="s">
        <v>632</v>
      </c>
      <c r="C141">
        <v>2</v>
      </c>
      <c r="D141">
        <v>1</v>
      </c>
      <c r="E141" s="18">
        <v>0.54</v>
      </c>
      <c r="F141">
        <v>0</v>
      </c>
      <c r="G141">
        <v>0</v>
      </c>
      <c r="H141" s="8">
        <v>0.54</v>
      </c>
      <c r="I141" s="9" t="e">
        <v>#DIV/0!</v>
      </c>
      <c r="J141" s="9">
        <v>0.5</v>
      </c>
      <c r="K141" s="9">
        <v>0</v>
      </c>
    </row>
    <row r="142" spans="1:11" x14ac:dyDescent="0.2">
      <c r="A142" s="10" t="s">
        <v>1037</v>
      </c>
      <c r="B142" s="7" t="s">
        <v>761</v>
      </c>
      <c r="C142">
        <v>7</v>
      </c>
      <c r="D142">
        <v>1</v>
      </c>
      <c r="E142" s="18">
        <v>0.49</v>
      </c>
      <c r="F142">
        <v>0</v>
      </c>
      <c r="G142">
        <v>0</v>
      </c>
      <c r="H142" s="8">
        <v>0.49</v>
      </c>
      <c r="I142" s="9" t="e">
        <v>#DIV/0!</v>
      </c>
      <c r="J142" s="9">
        <v>0.14285714285714285</v>
      </c>
      <c r="K142" s="9">
        <v>0</v>
      </c>
    </row>
    <row r="143" spans="1:11" x14ac:dyDescent="0.2">
      <c r="A143" s="10" t="s">
        <v>1089</v>
      </c>
      <c r="B143" s="13" t="s">
        <v>763</v>
      </c>
      <c r="C143">
        <v>2</v>
      </c>
      <c r="D143">
        <v>1</v>
      </c>
      <c r="E143" s="18">
        <v>0.56999999999999995</v>
      </c>
      <c r="F143">
        <v>0</v>
      </c>
      <c r="G143">
        <v>0</v>
      </c>
      <c r="H143" s="8">
        <v>0.56999999999999995</v>
      </c>
      <c r="I143" s="9" t="e">
        <v>#DIV/0!</v>
      </c>
      <c r="J143" s="9">
        <v>0.5</v>
      </c>
      <c r="K143" s="9">
        <v>0</v>
      </c>
    </row>
    <row r="144" spans="1:11" x14ac:dyDescent="0.2">
      <c r="A144" s="10" t="s">
        <v>1096</v>
      </c>
      <c r="B144" s="13" t="s">
        <v>352</v>
      </c>
      <c r="C144">
        <v>3</v>
      </c>
      <c r="D144">
        <v>1</v>
      </c>
      <c r="E144" s="18">
        <v>0.52</v>
      </c>
      <c r="F144">
        <v>0</v>
      </c>
      <c r="G144">
        <v>0</v>
      </c>
      <c r="H144" s="8">
        <v>0.52</v>
      </c>
      <c r="I144" s="9" t="e">
        <v>#DIV/0!</v>
      </c>
      <c r="J144" s="9">
        <v>0.33333333333333331</v>
      </c>
      <c r="K144" s="9">
        <v>0</v>
      </c>
    </row>
    <row r="145" spans="1:11" x14ac:dyDescent="0.2">
      <c r="B145" s="12" t="s">
        <v>353</v>
      </c>
      <c r="C145">
        <v>3</v>
      </c>
      <c r="D145">
        <v>2</v>
      </c>
      <c r="E145" s="18">
        <v>1</v>
      </c>
      <c r="F145">
        <v>17.09</v>
      </c>
      <c r="G145">
        <v>1</v>
      </c>
      <c r="H145" s="8">
        <v>0.5</v>
      </c>
      <c r="I145" s="9">
        <v>5.8513750731421885E-2</v>
      </c>
      <c r="J145" s="9">
        <v>0.66666666666666663</v>
      </c>
      <c r="K145" s="9">
        <v>0.5</v>
      </c>
    </row>
    <row r="146" spans="1:11" x14ac:dyDescent="0.2">
      <c r="B146" s="7" t="s">
        <v>494</v>
      </c>
      <c r="C146">
        <v>3</v>
      </c>
      <c r="D146">
        <v>1</v>
      </c>
      <c r="E146" s="18">
        <v>0.53</v>
      </c>
      <c r="F146">
        <v>0</v>
      </c>
      <c r="G146">
        <v>0</v>
      </c>
      <c r="H146" s="8">
        <v>0.53</v>
      </c>
      <c r="I146" s="9" t="e">
        <v>#DIV/0!</v>
      </c>
      <c r="J146" s="9">
        <v>0.33333333333333331</v>
      </c>
      <c r="K146" s="9">
        <v>0</v>
      </c>
    </row>
    <row r="147" spans="1:11" x14ac:dyDescent="0.2">
      <c r="B147" s="7" t="s">
        <v>775</v>
      </c>
      <c r="C147">
        <v>2</v>
      </c>
      <c r="D147">
        <v>1</v>
      </c>
      <c r="E147" s="18">
        <v>0.71</v>
      </c>
      <c r="F147">
        <v>0</v>
      </c>
      <c r="G147">
        <v>0</v>
      </c>
      <c r="H147" s="8">
        <v>0.71</v>
      </c>
      <c r="I147" s="9" t="e">
        <v>#DIV/0!</v>
      </c>
      <c r="J147" s="9">
        <v>0.5</v>
      </c>
      <c r="K147" s="9">
        <v>0</v>
      </c>
    </row>
    <row r="148" spans="1:11" x14ac:dyDescent="0.2">
      <c r="A148" s="10" t="s">
        <v>1081</v>
      </c>
      <c r="B148" s="7" t="s">
        <v>495</v>
      </c>
      <c r="C148">
        <v>1</v>
      </c>
      <c r="D148">
        <v>1</v>
      </c>
      <c r="E148" s="18">
        <v>0.46</v>
      </c>
      <c r="F148">
        <v>0</v>
      </c>
      <c r="G148">
        <v>0</v>
      </c>
      <c r="H148" s="8">
        <v>0.46</v>
      </c>
      <c r="I148" s="9" t="e">
        <v>#DIV/0!</v>
      </c>
      <c r="J148" s="9">
        <v>1</v>
      </c>
      <c r="K148" s="9">
        <v>0</v>
      </c>
    </row>
    <row r="149" spans="1:11" x14ac:dyDescent="0.2">
      <c r="A149" s="10" t="s">
        <v>1093</v>
      </c>
      <c r="B149" s="7" t="s">
        <v>213</v>
      </c>
      <c r="C149">
        <v>1</v>
      </c>
      <c r="D149">
        <v>1</v>
      </c>
      <c r="E149" s="18">
        <v>0.48</v>
      </c>
      <c r="F149">
        <v>0</v>
      </c>
      <c r="G149">
        <v>0</v>
      </c>
      <c r="H149" s="8">
        <v>0.48</v>
      </c>
      <c r="I149" s="9" t="e">
        <v>#DIV/0!</v>
      </c>
      <c r="J149" s="9">
        <v>1</v>
      </c>
      <c r="K149" s="9">
        <v>0</v>
      </c>
    </row>
    <row r="150" spans="1:11" x14ac:dyDescent="0.2">
      <c r="A150" s="10" t="s">
        <v>1091</v>
      </c>
      <c r="B150" s="13" t="s">
        <v>634</v>
      </c>
      <c r="C150">
        <v>1</v>
      </c>
      <c r="D150">
        <v>1</v>
      </c>
      <c r="E150" s="18">
        <v>0.43</v>
      </c>
      <c r="F150">
        <v>0</v>
      </c>
      <c r="G150">
        <v>0</v>
      </c>
      <c r="H150" s="8">
        <v>0.43</v>
      </c>
      <c r="I150" s="9" t="e">
        <v>#DIV/0!</v>
      </c>
      <c r="J150" s="9">
        <v>1</v>
      </c>
      <c r="K150" s="9">
        <v>0</v>
      </c>
    </row>
    <row r="151" spans="1:11" x14ac:dyDescent="0.2">
      <c r="A151" s="10" t="s">
        <v>1047</v>
      </c>
      <c r="B151" s="7" t="s">
        <v>497</v>
      </c>
      <c r="C151">
        <v>2</v>
      </c>
      <c r="D151">
        <v>1</v>
      </c>
      <c r="E151" s="18">
        <v>0.32</v>
      </c>
      <c r="F151">
        <v>0</v>
      </c>
      <c r="G151">
        <v>0</v>
      </c>
      <c r="H151" s="8">
        <v>0.32</v>
      </c>
      <c r="I151" s="9" t="e">
        <v>#DIV/0!</v>
      </c>
      <c r="J151" s="9">
        <v>0.5</v>
      </c>
      <c r="K151" s="9">
        <v>0</v>
      </c>
    </row>
    <row r="152" spans="1:11" x14ac:dyDescent="0.2">
      <c r="B152" s="7" t="s">
        <v>219</v>
      </c>
      <c r="C152">
        <v>1</v>
      </c>
      <c r="D152">
        <v>1</v>
      </c>
      <c r="E152" s="18">
        <v>0.54</v>
      </c>
      <c r="F152">
        <v>0</v>
      </c>
      <c r="G152">
        <v>0</v>
      </c>
      <c r="H152" s="8">
        <v>0.54</v>
      </c>
      <c r="I152" s="9" t="e">
        <v>#DIV/0!</v>
      </c>
      <c r="J152" s="9">
        <v>1</v>
      </c>
      <c r="K152" s="9">
        <v>0</v>
      </c>
    </row>
    <row r="153" spans="1:11" x14ac:dyDescent="0.2">
      <c r="A153" s="10" t="s">
        <v>1000</v>
      </c>
      <c r="B153" s="7" t="s">
        <v>226</v>
      </c>
      <c r="C153">
        <v>1</v>
      </c>
      <c r="D153">
        <v>1</v>
      </c>
      <c r="E153" s="18">
        <v>0.48</v>
      </c>
      <c r="F153">
        <v>0</v>
      </c>
      <c r="G153">
        <v>0</v>
      </c>
      <c r="H153" s="8">
        <v>0.48</v>
      </c>
      <c r="I153" s="9" t="e">
        <v>#DIV/0!</v>
      </c>
      <c r="J153" s="9">
        <v>1</v>
      </c>
      <c r="K153" s="9">
        <v>0</v>
      </c>
    </row>
    <row r="154" spans="1:11" x14ac:dyDescent="0.2">
      <c r="B154" s="7" t="s">
        <v>227</v>
      </c>
      <c r="C154">
        <v>1</v>
      </c>
      <c r="D154">
        <v>1</v>
      </c>
      <c r="E154" s="18">
        <v>0.46</v>
      </c>
      <c r="F154">
        <v>0</v>
      </c>
      <c r="G154">
        <v>0</v>
      </c>
      <c r="H154" s="8">
        <v>0.46</v>
      </c>
      <c r="I154" s="9" t="e">
        <v>#DIV/0!</v>
      </c>
      <c r="J154" s="9">
        <v>1</v>
      </c>
      <c r="K154" s="9">
        <v>0</v>
      </c>
    </row>
    <row r="155" spans="1:11" x14ac:dyDescent="0.2">
      <c r="A155" s="10" t="s">
        <v>1064</v>
      </c>
      <c r="B155" s="13" t="s">
        <v>360</v>
      </c>
      <c r="C155">
        <v>2</v>
      </c>
      <c r="D155">
        <v>1</v>
      </c>
      <c r="E155" s="18">
        <v>0.65</v>
      </c>
      <c r="F155">
        <v>0</v>
      </c>
      <c r="G155">
        <v>0</v>
      </c>
      <c r="H155" s="8">
        <v>0.65</v>
      </c>
      <c r="I155" s="9" t="e">
        <v>#DIV/0!</v>
      </c>
      <c r="J155" s="9">
        <v>0.5</v>
      </c>
      <c r="K155" s="9">
        <v>0</v>
      </c>
    </row>
    <row r="156" spans="1:11" x14ac:dyDescent="0.2">
      <c r="B156" s="13" t="s">
        <v>515</v>
      </c>
      <c r="C156">
        <v>2</v>
      </c>
      <c r="D156">
        <v>1</v>
      </c>
      <c r="E156" s="18">
        <v>0.1</v>
      </c>
      <c r="F156">
        <v>0</v>
      </c>
      <c r="G156">
        <v>0</v>
      </c>
      <c r="H156" s="8">
        <v>0.1</v>
      </c>
      <c r="I156" s="9" t="e">
        <v>#DIV/0!</v>
      </c>
      <c r="J156" s="9">
        <v>0.5</v>
      </c>
      <c r="K156" s="9">
        <v>0</v>
      </c>
    </row>
    <row r="157" spans="1:11" x14ac:dyDescent="0.2">
      <c r="A157" s="10" t="s">
        <v>1095</v>
      </c>
      <c r="B157" s="13" t="s">
        <v>361</v>
      </c>
      <c r="C157">
        <v>2</v>
      </c>
      <c r="D157">
        <v>1</v>
      </c>
      <c r="E157" s="18">
        <v>0.4</v>
      </c>
      <c r="F157">
        <v>0</v>
      </c>
      <c r="G157">
        <v>0</v>
      </c>
      <c r="H157" s="8">
        <v>0.4</v>
      </c>
      <c r="I157" s="9" t="e">
        <v>#DIV/0!</v>
      </c>
      <c r="J157" s="9">
        <v>0.5</v>
      </c>
      <c r="K157" s="9">
        <v>0</v>
      </c>
    </row>
    <row r="158" spans="1:11" x14ac:dyDescent="0.2">
      <c r="B158" s="7" t="s">
        <v>645</v>
      </c>
      <c r="C158">
        <v>1</v>
      </c>
      <c r="D158">
        <v>1</v>
      </c>
      <c r="E158" s="18">
        <v>0.52</v>
      </c>
      <c r="F158">
        <v>0</v>
      </c>
      <c r="G158">
        <v>0</v>
      </c>
      <c r="H158" s="8">
        <v>0.52</v>
      </c>
      <c r="I158" s="9" t="e">
        <v>#DIV/0!</v>
      </c>
      <c r="J158" s="9">
        <v>1</v>
      </c>
      <c r="K158" s="9">
        <v>0</v>
      </c>
    </row>
    <row r="159" spans="1:11" x14ac:dyDescent="0.2">
      <c r="A159" s="10" t="s">
        <v>1089</v>
      </c>
      <c r="B159" s="13" t="s">
        <v>520</v>
      </c>
      <c r="C159">
        <v>1</v>
      </c>
      <c r="D159">
        <v>1</v>
      </c>
      <c r="E159" s="18">
        <v>0.5</v>
      </c>
      <c r="F159">
        <v>0</v>
      </c>
      <c r="G159">
        <v>0</v>
      </c>
      <c r="H159" s="8">
        <v>0.5</v>
      </c>
      <c r="I159" s="9" t="e">
        <v>#DIV/0!</v>
      </c>
      <c r="J159" s="9">
        <v>1</v>
      </c>
      <c r="K159" s="9">
        <v>0</v>
      </c>
    </row>
    <row r="160" spans="1:11" x14ac:dyDescent="0.2">
      <c r="A160" s="10" t="s">
        <v>1091</v>
      </c>
      <c r="B160" s="13" t="s">
        <v>521</v>
      </c>
      <c r="C160">
        <v>4</v>
      </c>
      <c r="D160">
        <v>1</v>
      </c>
      <c r="E160" s="18">
        <v>0.48</v>
      </c>
      <c r="F160">
        <v>0</v>
      </c>
      <c r="G160">
        <v>0</v>
      </c>
      <c r="H160" s="8">
        <v>0.48</v>
      </c>
      <c r="I160" s="9" t="e">
        <v>#DIV/0!</v>
      </c>
      <c r="J160" s="9">
        <v>0.25</v>
      </c>
      <c r="K160" s="9">
        <v>0</v>
      </c>
    </row>
    <row r="161" spans="1:11" x14ac:dyDescent="0.2">
      <c r="B161" s="13" t="s">
        <v>251</v>
      </c>
      <c r="C161">
        <v>1</v>
      </c>
      <c r="D161">
        <v>1</v>
      </c>
      <c r="E161" s="18">
        <v>0.48</v>
      </c>
      <c r="F161">
        <v>0</v>
      </c>
      <c r="G161">
        <v>0</v>
      </c>
      <c r="H161" s="8">
        <v>0.48</v>
      </c>
      <c r="I161" s="9" t="e">
        <v>#DIV/0!</v>
      </c>
      <c r="J161" s="9">
        <v>1</v>
      </c>
      <c r="K161" s="9">
        <v>0</v>
      </c>
    </row>
    <row r="162" spans="1:11" x14ac:dyDescent="0.2">
      <c r="A162" s="10" t="s">
        <v>1085</v>
      </c>
      <c r="B162" s="13" t="s">
        <v>801</v>
      </c>
      <c r="C162">
        <v>1</v>
      </c>
      <c r="D162">
        <v>1</v>
      </c>
      <c r="E162" s="18">
        <v>0.64</v>
      </c>
      <c r="F162">
        <v>0</v>
      </c>
      <c r="G162">
        <v>0</v>
      </c>
      <c r="H162" s="8">
        <v>0.64</v>
      </c>
      <c r="I162" s="9" t="e">
        <v>#DIV/0!</v>
      </c>
      <c r="J162" s="9">
        <v>1</v>
      </c>
      <c r="K162" s="9">
        <v>0</v>
      </c>
    </row>
    <row r="163" spans="1:11" x14ac:dyDescent="0.2">
      <c r="B163" s="7" t="s">
        <v>522</v>
      </c>
      <c r="C163">
        <v>1</v>
      </c>
      <c r="D163">
        <v>1</v>
      </c>
      <c r="E163" s="18">
        <v>0.68</v>
      </c>
      <c r="F163">
        <v>0</v>
      </c>
      <c r="G163">
        <v>0</v>
      </c>
      <c r="H163" s="8">
        <v>0.68</v>
      </c>
      <c r="I163" s="9" t="e">
        <v>#DIV/0!</v>
      </c>
      <c r="J163" s="9">
        <v>1</v>
      </c>
      <c r="K163" s="9">
        <v>0</v>
      </c>
    </row>
    <row r="164" spans="1:11" x14ac:dyDescent="0.2">
      <c r="B164" s="13" t="s">
        <v>255</v>
      </c>
      <c r="C164">
        <v>2</v>
      </c>
      <c r="D164">
        <v>1</v>
      </c>
      <c r="E164" s="18">
        <v>0.54</v>
      </c>
      <c r="F164">
        <v>0</v>
      </c>
      <c r="G164">
        <v>0</v>
      </c>
      <c r="H164" s="8">
        <v>0.54</v>
      </c>
      <c r="I164" s="9" t="e">
        <v>#DIV/0!</v>
      </c>
      <c r="J164" s="9">
        <v>0.5</v>
      </c>
      <c r="K164" s="9">
        <v>0</v>
      </c>
    </row>
    <row r="165" spans="1:11" x14ac:dyDescent="0.2">
      <c r="A165" s="10" t="s">
        <v>1061</v>
      </c>
      <c r="B165" s="7" t="s">
        <v>256</v>
      </c>
      <c r="C165">
        <v>1</v>
      </c>
      <c r="D165">
        <v>1</v>
      </c>
      <c r="E165" s="18">
        <v>0.56999999999999995</v>
      </c>
      <c r="F165">
        <v>0</v>
      </c>
      <c r="G165">
        <v>0</v>
      </c>
      <c r="H165" s="8">
        <v>0.56999999999999995</v>
      </c>
      <c r="I165" s="9" t="e">
        <v>#DIV/0!</v>
      </c>
      <c r="J165" s="9">
        <v>1</v>
      </c>
      <c r="K165" s="9">
        <v>0</v>
      </c>
    </row>
    <row r="166" spans="1:11" x14ac:dyDescent="0.2">
      <c r="A166" s="10" t="s">
        <v>1001</v>
      </c>
      <c r="B166" s="7" t="s">
        <v>936</v>
      </c>
      <c r="C166">
        <v>4</v>
      </c>
      <c r="D166">
        <v>1</v>
      </c>
      <c r="E166" s="18">
        <v>0.76</v>
      </c>
      <c r="F166">
        <v>0</v>
      </c>
      <c r="G166">
        <v>0</v>
      </c>
      <c r="H166" s="8">
        <v>0.76</v>
      </c>
      <c r="I166" s="9" t="e">
        <v>#DIV/0!</v>
      </c>
      <c r="J166" s="9">
        <v>0.25</v>
      </c>
      <c r="K166" s="9">
        <v>0</v>
      </c>
    </row>
    <row r="167" spans="1:11" x14ac:dyDescent="0.2">
      <c r="B167" s="13" t="s">
        <v>365</v>
      </c>
      <c r="C167">
        <v>1</v>
      </c>
      <c r="D167">
        <v>1</v>
      </c>
      <c r="E167" s="18">
        <v>0.28000000000000003</v>
      </c>
      <c r="F167">
        <v>0</v>
      </c>
      <c r="G167">
        <v>0</v>
      </c>
      <c r="H167" s="8">
        <v>0.28000000000000003</v>
      </c>
      <c r="I167" s="9" t="e">
        <v>#DIV/0!</v>
      </c>
      <c r="J167" s="9">
        <v>1</v>
      </c>
      <c r="K167" s="9">
        <v>0</v>
      </c>
    </row>
    <row r="168" spans="1:11" x14ac:dyDescent="0.2">
      <c r="B168" s="13" t="s">
        <v>806</v>
      </c>
      <c r="C168">
        <v>1</v>
      </c>
      <c r="D168">
        <v>1</v>
      </c>
      <c r="E168" s="18">
        <v>0.48</v>
      </c>
      <c r="F168">
        <v>0</v>
      </c>
      <c r="G168">
        <v>0</v>
      </c>
      <c r="H168" s="8">
        <v>0.48</v>
      </c>
      <c r="I168" s="9" t="e">
        <v>#DIV/0!</v>
      </c>
      <c r="J168" s="9">
        <v>1</v>
      </c>
      <c r="K168" s="9">
        <v>0</v>
      </c>
    </row>
    <row r="169" spans="1:11" x14ac:dyDescent="0.2">
      <c r="B169" s="7" t="s">
        <v>524</v>
      </c>
      <c r="C169">
        <v>2</v>
      </c>
      <c r="D169">
        <v>1</v>
      </c>
      <c r="E169" s="18">
        <v>0.42</v>
      </c>
      <c r="F169">
        <v>0</v>
      </c>
      <c r="G169">
        <v>0</v>
      </c>
      <c r="H169" s="8">
        <v>0.42</v>
      </c>
      <c r="I169" s="9" t="e">
        <v>#DIV/0!</v>
      </c>
      <c r="J169" s="9">
        <v>0.5</v>
      </c>
      <c r="K169" s="9">
        <v>0</v>
      </c>
    </row>
    <row r="170" spans="1:11" x14ac:dyDescent="0.2">
      <c r="A170" s="10" t="s">
        <v>1101</v>
      </c>
      <c r="B170" s="13" t="s">
        <v>525</v>
      </c>
      <c r="C170">
        <v>1</v>
      </c>
      <c r="D170">
        <v>1</v>
      </c>
      <c r="E170" s="18">
        <v>0.33</v>
      </c>
      <c r="F170">
        <v>0</v>
      </c>
      <c r="G170">
        <v>0</v>
      </c>
      <c r="H170" s="8">
        <v>0.33</v>
      </c>
      <c r="I170" s="9" t="e">
        <v>#DIV/0!</v>
      </c>
      <c r="J170" s="9">
        <v>1</v>
      </c>
      <c r="K170" s="9">
        <v>0</v>
      </c>
    </row>
    <row r="171" spans="1:11" x14ac:dyDescent="0.2">
      <c r="B171" s="7" t="s">
        <v>526</v>
      </c>
      <c r="C171">
        <v>3</v>
      </c>
      <c r="D171">
        <v>1</v>
      </c>
      <c r="E171" s="18">
        <v>0.6</v>
      </c>
      <c r="F171">
        <v>0</v>
      </c>
      <c r="G171">
        <v>0</v>
      </c>
      <c r="H171" s="8">
        <v>0.6</v>
      </c>
      <c r="I171" s="9" t="e">
        <v>#DIV/0!</v>
      </c>
      <c r="J171" s="9">
        <v>0.33333333333333331</v>
      </c>
      <c r="K171" s="9">
        <v>0</v>
      </c>
    </row>
    <row r="172" spans="1:11" x14ac:dyDescent="0.2">
      <c r="A172" s="10" t="s">
        <v>1103</v>
      </c>
      <c r="B172" s="7" t="s">
        <v>527</v>
      </c>
      <c r="C172">
        <v>6</v>
      </c>
      <c r="D172">
        <v>1</v>
      </c>
      <c r="E172" s="18">
        <v>0.51</v>
      </c>
      <c r="F172">
        <v>0</v>
      </c>
      <c r="G172">
        <v>0</v>
      </c>
      <c r="H172" s="8">
        <v>0.51</v>
      </c>
      <c r="I172" s="9" t="e">
        <v>#DIV/0!</v>
      </c>
      <c r="J172" s="9">
        <v>0.16666666666666666</v>
      </c>
      <c r="K172" s="9">
        <v>0</v>
      </c>
    </row>
    <row r="173" spans="1:11" x14ac:dyDescent="0.2">
      <c r="B173" s="7" t="s">
        <v>528</v>
      </c>
      <c r="C173">
        <v>2</v>
      </c>
      <c r="D173">
        <v>1</v>
      </c>
      <c r="E173" s="18">
        <v>0.64</v>
      </c>
      <c r="F173">
        <v>0</v>
      </c>
      <c r="G173">
        <v>0</v>
      </c>
      <c r="H173" s="8">
        <v>0.64</v>
      </c>
      <c r="I173" s="9" t="e">
        <v>#DIV/0!</v>
      </c>
      <c r="J173" s="9">
        <v>0.5</v>
      </c>
      <c r="K173" s="9">
        <v>0</v>
      </c>
    </row>
    <row r="174" spans="1:11" x14ac:dyDescent="0.2">
      <c r="B174" s="7" t="s">
        <v>646</v>
      </c>
      <c r="C174">
        <v>12</v>
      </c>
      <c r="D174">
        <v>1</v>
      </c>
      <c r="E174" s="18">
        <v>0.7</v>
      </c>
      <c r="F174">
        <v>0</v>
      </c>
      <c r="G174">
        <v>0</v>
      </c>
      <c r="H174" s="8">
        <v>0.7</v>
      </c>
      <c r="I174" s="9" t="e">
        <v>#DIV/0!</v>
      </c>
      <c r="J174" s="9">
        <v>8.3333333333333329E-2</v>
      </c>
      <c r="K174" s="9">
        <v>0</v>
      </c>
    </row>
    <row r="175" spans="1:11" x14ac:dyDescent="0.2">
      <c r="B175" s="12" t="s">
        <v>260</v>
      </c>
      <c r="C175">
        <v>1</v>
      </c>
      <c r="D175">
        <v>1</v>
      </c>
      <c r="E175" s="18">
        <v>0.57999999999999996</v>
      </c>
      <c r="F175">
        <v>17.09</v>
      </c>
      <c r="G175">
        <v>1</v>
      </c>
      <c r="H175" s="8">
        <v>0.57999999999999996</v>
      </c>
      <c r="I175" s="9">
        <v>3.3937975424224692E-2</v>
      </c>
      <c r="J175" s="9">
        <v>1</v>
      </c>
      <c r="K175" s="9">
        <v>1</v>
      </c>
    </row>
    <row r="176" spans="1:11" x14ac:dyDescent="0.2">
      <c r="B176" s="7" t="s">
        <v>807</v>
      </c>
      <c r="C176">
        <v>3</v>
      </c>
      <c r="D176">
        <v>1</v>
      </c>
      <c r="E176" s="18">
        <v>0.49</v>
      </c>
      <c r="F176">
        <v>0</v>
      </c>
      <c r="G176">
        <v>0</v>
      </c>
      <c r="H176" s="8">
        <v>0.49</v>
      </c>
      <c r="I176" s="9" t="e">
        <v>#DIV/0!</v>
      </c>
      <c r="J176" s="9">
        <v>0.33333333333333331</v>
      </c>
      <c r="K176" s="9">
        <v>0</v>
      </c>
    </row>
    <row r="177" spans="1:11" x14ac:dyDescent="0.2">
      <c r="A177" s="10" t="s">
        <v>1089</v>
      </c>
      <c r="B177" s="7" t="s">
        <v>261</v>
      </c>
      <c r="C177">
        <v>1</v>
      </c>
      <c r="D177">
        <v>1</v>
      </c>
      <c r="E177" s="18">
        <v>0.48</v>
      </c>
      <c r="F177">
        <v>0</v>
      </c>
      <c r="G177">
        <v>0</v>
      </c>
      <c r="H177" s="8">
        <v>0.48</v>
      </c>
      <c r="I177" s="9" t="e">
        <v>#DIV/0!</v>
      </c>
      <c r="J177" s="9">
        <v>1</v>
      </c>
      <c r="K177" s="9">
        <v>0</v>
      </c>
    </row>
    <row r="178" spans="1:11" x14ac:dyDescent="0.2">
      <c r="B178" s="7" t="s">
        <v>812</v>
      </c>
      <c r="C178">
        <v>1</v>
      </c>
      <c r="D178">
        <v>1</v>
      </c>
      <c r="E178" s="18">
        <v>0.61</v>
      </c>
      <c r="F178">
        <v>0</v>
      </c>
      <c r="G178">
        <v>0</v>
      </c>
      <c r="H178" s="8">
        <v>0.61</v>
      </c>
      <c r="I178" s="9" t="e">
        <v>#DIV/0!</v>
      </c>
      <c r="J178" s="9">
        <v>1</v>
      </c>
      <c r="K178" s="9">
        <v>0</v>
      </c>
    </row>
    <row r="179" spans="1:11" x14ac:dyDescent="0.2">
      <c r="A179" s="10" t="s">
        <v>1076</v>
      </c>
      <c r="B179" s="12" t="s">
        <v>44</v>
      </c>
      <c r="C179">
        <v>365</v>
      </c>
      <c r="D179">
        <v>20</v>
      </c>
      <c r="E179" s="18">
        <v>12.68</v>
      </c>
      <c r="F179">
        <v>71.16</v>
      </c>
      <c r="G179">
        <v>3</v>
      </c>
      <c r="H179" s="8">
        <v>0.63400000000000001</v>
      </c>
      <c r="I179" s="9">
        <v>0.17818999437886454</v>
      </c>
      <c r="J179" s="9">
        <v>5.4794520547945202E-2</v>
      </c>
      <c r="K179" s="9">
        <v>0.15</v>
      </c>
    </row>
    <row r="180" spans="1:11" x14ac:dyDescent="0.2">
      <c r="A180" s="10" t="s">
        <v>1047</v>
      </c>
      <c r="B180" s="13" t="s">
        <v>368</v>
      </c>
      <c r="C180">
        <v>2</v>
      </c>
      <c r="D180">
        <v>1</v>
      </c>
      <c r="E180" s="18">
        <v>0.35</v>
      </c>
      <c r="F180">
        <v>0</v>
      </c>
      <c r="G180">
        <v>0</v>
      </c>
      <c r="H180" s="8">
        <v>0.35</v>
      </c>
      <c r="I180" s="9" t="e">
        <v>#DIV/0!</v>
      </c>
      <c r="J180" s="9">
        <v>0.5</v>
      </c>
      <c r="K180" s="9">
        <v>0</v>
      </c>
    </row>
    <row r="181" spans="1:11" x14ac:dyDescent="0.2">
      <c r="B181" s="7" t="s">
        <v>941</v>
      </c>
      <c r="C181">
        <v>5</v>
      </c>
      <c r="D181">
        <v>1</v>
      </c>
      <c r="E181" s="18">
        <v>0.5</v>
      </c>
      <c r="F181">
        <v>0</v>
      </c>
      <c r="G181">
        <v>0</v>
      </c>
      <c r="H181" s="8">
        <v>0.5</v>
      </c>
      <c r="I181" s="9" t="e">
        <v>#DIV/0!</v>
      </c>
      <c r="J181" s="9">
        <v>0.2</v>
      </c>
      <c r="K181" s="9">
        <v>0</v>
      </c>
    </row>
    <row r="182" spans="1:11" x14ac:dyDescent="0.2">
      <c r="A182" s="10" t="s">
        <v>1097</v>
      </c>
      <c r="B182" s="7" t="s">
        <v>648</v>
      </c>
      <c r="C182">
        <v>1</v>
      </c>
      <c r="D182">
        <v>1</v>
      </c>
      <c r="E182" s="18">
        <v>0.1</v>
      </c>
      <c r="F182">
        <v>0</v>
      </c>
      <c r="G182">
        <v>0</v>
      </c>
      <c r="H182" s="8">
        <v>0.1</v>
      </c>
      <c r="I182" s="9" t="e">
        <v>#DIV/0!</v>
      </c>
      <c r="J182" s="9">
        <v>1</v>
      </c>
      <c r="K182" s="9">
        <v>0</v>
      </c>
    </row>
    <row r="183" spans="1:11" x14ac:dyDescent="0.2">
      <c r="A183" s="10" t="s">
        <v>1068</v>
      </c>
      <c r="B183" s="7" t="s">
        <v>943</v>
      </c>
      <c r="C183">
        <v>1</v>
      </c>
      <c r="D183">
        <v>1</v>
      </c>
      <c r="E183" s="18">
        <v>0.61</v>
      </c>
      <c r="F183">
        <v>0</v>
      </c>
      <c r="G183">
        <v>0</v>
      </c>
      <c r="H183" s="8">
        <v>0.61</v>
      </c>
      <c r="I183" s="9" t="e">
        <v>#DIV/0!</v>
      </c>
      <c r="J183" s="9">
        <v>1</v>
      </c>
      <c r="K183" s="9">
        <v>0</v>
      </c>
    </row>
    <row r="184" spans="1:11" x14ac:dyDescent="0.2">
      <c r="A184" s="10" t="s">
        <v>1047</v>
      </c>
      <c r="B184" s="7" t="s">
        <v>536</v>
      </c>
      <c r="C184">
        <v>2</v>
      </c>
      <c r="D184">
        <v>1</v>
      </c>
      <c r="E184" s="18">
        <v>0.57999999999999996</v>
      </c>
      <c r="F184">
        <v>0</v>
      </c>
      <c r="G184">
        <v>0</v>
      </c>
      <c r="H184" s="8">
        <v>0.57999999999999996</v>
      </c>
      <c r="I184" s="9" t="e">
        <v>#DIV/0!</v>
      </c>
      <c r="J184" s="9">
        <v>0.5</v>
      </c>
      <c r="K184" s="9">
        <v>0</v>
      </c>
    </row>
    <row r="185" spans="1:11" x14ac:dyDescent="0.2">
      <c r="B185" s="13" t="s">
        <v>944</v>
      </c>
      <c r="C185">
        <v>2</v>
      </c>
      <c r="D185">
        <v>1</v>
      </c>
      <c r="E185" s="18">
        <v>0.65</v>
      </c>
      <c r="F185">
        <v>0</v>
      </c>
      <c r="G185">
        <v>0</v>
      </c>
      <c r="H185" s="8">
        <v>0.65</v>
      </c>
      <c r="I185" s="9" t="e">
        <v>#DIV/0!</v>
      </c>
      <c r="J185" s="9">
        <v>0.5</v>
      </c>
      <c r="K185" s="9">
        <v>0</v>
      </c>
    </row>
    <row r="186" spans="1:11" x14ac:dyDescent="0.2">
      <c r="A186" s="10" t="s">
        <v>1083</v>
      </c>
      <c r="B186" s="13" t="s">
        <v>538</v>
      </c>
      <c r="C186">
        <v>1</v>
      </c>
      <c r="D186">
        <v>1</v>
      </c>
      <c r="E186" s="18">
        <v>0.52</v>
      </c>
      <c r="F186">
        <v>0</v>
      </c>
      <c r="G186">
        <v>0</v>
      </c>
      <c r="H186" s="8">
        <v>0.52</v>
      </c>
      <c r="I186" s="9" t="e">
        <v>#DIV/0!</v>
      </c>
      <c r="J186" s="9">
        <v>1</v>
      </c>
      <c r="K186" s="9">
        <v>0</v>
      </c>
    </row>
    <row r="187" spans="1:11" x14ac:dyDescent="0.2">
      <c r="A187" s="10" t="s">
        <v>1073</v>
      </c>
      <c r="B187" s="13" t="s">
        <v>243</v>
      </c>
      <c r="C187">
        <v>27</v>
      </c>
      <c r="D187">
        <v>1</v>
      </c>
      <c r="E187" s="18">
        <v>0.62</v>
      </c>
      <c r="F187">
        <v>0</v>
      </c>
      <c r="G187">
        <v>0</v>
      </c>
      <c r="H187" s="8">
        <v>0.62</v>
      </c>
      <c r="I187" s="9" t="e">
        <v>#DIV/0!</v>
      </c>
      <c r="J187" s="9">
        <v>3.7037037037037035E-2</v>
      </c>
      <c r="K187" s="9">
        <v>0</v>
      </c>
    </row>
    <row r="188" spans="1:11" x14ac:dyDescent="0.2">
      <c r="A188" s="10" t="s">
        <v>1106</v>
      </c>
      <c r="B188" s="7" t="s">
        <v>370</v>
      </c>
      <c r="C188">
        <v>2</v>
      </c>
      <c r="D188">
        <v>1</v>
      </c>
      <c r="E188" s="18">
        <v>0.76</v>
      </c>
      <c r="F188">
        <v>0</v>
      </c>
      <c r="G188">
        <v>0</v>
      </c>
      <c r="H188" s="8">
        <v>0.76</v>
      </c>
      <c r="I188" s="9" t="e">
        <v>#DIV/0!</v>
      </c>
      <c r="J188" s="9">
        <v>0.5</v>
      </c>
      <c r="K188" s="9">
        <v>0</v>
      </c>
    </row>
    <row r="189" spans="1:11" x14ac:dyDescent="0.2">
      <c r="B189" s="13" t="s">
        <v>946</v>
      </c>
      <c r="C189">
        <v>2</v>
      </c>
      <c r="D189">
        <v>1</v>
      </c>
      <c r="E189" s="18">
        <v>0.47</v>
      </c>
      <c r="F189">
        <v>0</v>
      </c>
      <c r="G189">
        <v>0</v>
      </c>
      <c r="H189" s="8">
        <v>0.47</v>
      </c>
      <c r="I189" s="9" t="e">
        <v>#DIV/0!</v>
      </c>
      <c r="J189" s="9">
        <v>0.5</v>
      </c>
      <c r="K189" s="9">
        <v>0</v>
      </c>
    </row>
    <row r="190" spans="1:11" x14ac:dyDescent="0.2">
      <c r="B190" s="13" t="s">
        <v>649</v>
      </c>
      <c r="C190">
        <v>1</v>
      </c>
      <c r="D190">
        <v>1</v>
      </c>
      <c r="E190" s="18">
        <v>0.51</v>
      </c>
      <c r="F190">
        <v>0</v>
      </c>
      <c r="G190">
        <v>0</v>
      </c>
      <c r="H190" s="8">
        <v>0.51</v>
      </c>
      <c r="I190" s="9" t="e">
        <v>#DIV/0!</v>
      </c>
      <c r="J190" s="9">
        <v>1</v>
      </c>
      <c r="K190" s="9">
        <v>0</v>
      </c>
    </row>
    <row r="191" spans="1:11" x14ac:dyDescent="0.2">
      <c r="A191" s="10" t="s">
        <v>1090</v>
      </c>
      <c r="B191" s="7" t="s">
        <v>650</v>
      </c>
      <c r="C191">
        <v>1</v>
      </c>
      <c r="D191">
        <v>1</v>
      </c>
      <c r="E191" s="18">
        <v>0.32</v>
      </c>
      <c r="F191">
        <v>0</v>
      </c>
      <c r="G191">
        <v>0</v>
      </c>
      <c r="H191" s="8">
        <v>0.32</v>
      </c>
      <c r="I191" s="9" t="e">
        <v>#DIV/0!</v>
      </c>
      <c r="J191" s="9">
        <v>1</v>
      </c>
      <c r="K191" s="9">
        <v>0</v>
      </c>
    </row>
    <row r="192" spans="1:11" x14ac:dyDescent="0.2">
      <c r="B192" s="7" t="s">
        <v>269</v>
      </c>
      <c r="C192">
        <v>2</v>
      </c>
      <c r="D192">
        <v>1</v>
      </c>
      <c r="E192" s="18">
        <v>0.53</v>
      </c>
      <c r="F192">
        <v>0</v>
      </c>
      <c r="G192">
        <v>0</v>
      </c>
      <c r="H192" s="8">
        <v>0.53</v>
      </c>
      <c r="I192" s="9" t="e">
        <v>#DIV/0!</v>
      </c>
      <c r="J192" s="9">
        <v>0.5</v>
      </c>
      <c r="K192" s="9">
        <v>0</v>
      </c>
    </row>
    <row r="193" spans="1:11" x14ac:dyDescent="0.2">
      <c r="B193" s="13" t="s">
        <v>372</v>
      </c>
      <c r="C193">
        <v>6</v>
      </c>
      <c r="D193">
        <v>1</v>
      </c>
      <c r="E193" s="18">
        <v>0.43</v>
      </c>
      <c r="F193">
        <v>0</v>
      </c>
      <c r="G193">
        <v>0</v>
      </c>
      <c r="H193" s="8">
        <v>0.43</v>
      </c>
      <c r="I193" s="9" t="e">
        <v>#DIV/0!</v>
      </c>
      <c r="J193" s="9">
        <v>0.16666666666666666</v>
      </c>
      <c r="K193" s="9">
        <v>0</v>
      </c>
    </row>
    <row r="194" spans="1:11" x14ac:dyDescent="0.2">
      <c r="A194" s="10" t="s">
        <v>1083</v>
      </c>
      <c r="B194" s="13" t="s">
        <v>652</v>
      </c>
      <c r="C194">
        <v>1</v>
      </c>
      <c r="D194">
        <v>1</v>
      </c>
      <c r="E194" s="18">
        <v>0.45</v>
      </c>
      <c r="F194">
        <v>0</v>
      </c>
      <c r="G194">
        <v>0</v>
      </c>
      <c r="H194" s="8">
        <v>0.45</v>
      </c>
      <c r="I194" s="9" t="e">
        <v>#DIV/0!</v>
      </c>
      <c r="J194" s="9">
        <v>1</v>
      </c>
      <c r="K194" s="9">
        <v>0</v>
      </c>
    </row>
    <row r="195" spans="1:11" x14ac:dyDescent="0.2">
      <c r="B195" s="13" t="s">
        <v>825</v>
      </c>
      <c r="C195">
        <v>1</v>
      </c>
      <c r="D195">
        <v>1</v>
      </c>
      <c r="E195" s="18">
        <v>0.64</v>
      </c>
      <c r="F195">
        <v>0</v>
      </c>
      <c r="G195">
        <v>0</v>
      </c>
      <c r="H195" s="8">
        <v>0.64</v>
      </c>
      <c r="I195" s="9" t="e">
        <v>#DIV/0!</v>
      </c>
      <c r="J195" s="9">
        <v>1</v>
      </c>
      <c r="K195" s="9">
        <v>0</v>
      </c>
    </row>
    <row r="196" spans="1:11" x14ac:dyDescent="0.2">
      <c r="B196" s="13" t="s">
        <v>948</v>
      </c>
      <c r="C196">
        <v>1</v>
      </c>
      <c r="D196">
        <v>1</v>
      </c>
      <c r="E196" s="18">
        <v>0.65</v>
      </c>
      <c r="F196">
        <v>0</v>
      </c>
      <c r="G196">
        <v>0</v>
      </c>
      <c r="H196" s="8">
        <v>0.65</v>
      </c>
      <c r="I196" s="9" t="e">
        <v>#DIV/0!</v>
      </c>
      <c r="J196" s="9">
        <v>1</v>
      </c>
      <c r="K196" s="9">
        <v>0</v>
      </c>
    </row>
    <row r="197" spans="1:11" x14ac:dyDescent="0.2">
      <c r="B197" s="13" t="s">
        <v>826</v>
      </c>
      <c r="C197">
        <v>1</v>
      </c>
      <c r="D197">
        <v>1</v>
      </c>
      <c r="E197" s="18">
        <v>0.45</v>
      </c>
      <c r="F197">
        <v>0</v>
      </c>
      <c r="G197">
        <v>0</v>
      </c>
      <c r="H197" s="8">
        <v>0.45</v>
      </c>
      <c r="I197" s="9" t="e">
        <v>#DIV/0!</v>
      </c>
      <c r="J197" s="9">
        <v>1</v>
      </c>
      <c r="K197" s="9">
        <v>0</v>
      </c>
    </row>
    <row r="198" spans="1:11" x14ac:dyDescent="0.2">
      <c r="B198" s="13" t="s">
        <v>271</v>
      </c>
      <c r="C198">
        <v>2</v>
      </c>
      <c r="D198">
        <v>2</v>
      </c>
      <c r="E198" s="18">
        <v>0.81</v>
      </c>
      <c r="F198">
        <v>17.09</v>
      </c>
      <c r="G198">
        <v>1</v>
      </c>
      <c r="H198" s="8">
        <v>0.40500000000000003</v>
      </c>
      <c r="I198" s="9">
        <v>4.7396138092451731E-2</v>
      </c>
      <c r="J198" s="9">
        <v>1</v>
      </c>
      <c r="K198" s="9">
        <v>0.5</v>
      </c>
    </row>
    <row r="199" spans="1:11" x14ac:dyDescent="0.2">
      <c r="B199" s="7" t="s">
        <v>542</v>
      </c>
      <c r="C199">
        <v>1</v>
      </c>
      <c r="D199">
        <v>1</v>
      </c>
      <c r="E199" s="18">
        <v>0.69</v>
      </c>
      <c r="F199">
        <v>0</v>
      </c>
      <c r="G199">
        <v>0</v>
      </c>
      <c r="H199" s="8">
        <v>0.69</v>
      </c>
      <c r="I199" s="9" t="e">
        <v>#DIV/0!</v>
      </c>
      <c r="J199" s="9">
        <v>1</v>
      </c>
      <c r="K199" s="9">
        <v>0</v>
      </c>
    </row>
    <row r="200" spans="1:11" x14ac:dyDescent="0.2">
      <c r="A200" s="10" t="s">
        <v>1061</v>
      </c>
      <c r="B200" s="7" t="s">
        <v>374</v>
      </c>
      <c r="C200">
        <v>1</v>
      </c>
      <c r="D200">
        <v>1</v>
      </c>
      <c r="E200" s="18">
        <v>0.55000000000000004</v>
      </c>
      <c r="F200">
        <v>0</v>
      </c>
      <c r="G200">
        <v>0</v>
      </c>
      <c r="H200" s="8">
        <v>0.55000000000000004</v>
      </c>
      <c r="I200" s="9" t="e">
        <v>#DIV/0!</v>
      </c>
      <c r="J200" s="9">
        <v>1</v>
      </c>
      <c r="K200" s="9">
        <v>0</v>
      </c>
    </row>
    <row r="201" spans="1:11" x14ac:dyDescent="0.2">
      <c r="B201" s="12" t="s">
        <v>31</v>
      </c>
      <c r="C201">
        <v>251</v>
      </c>
      <c r="D201">
        <v>12</v>
      </c>
      <c r="E201" s="18">
        <v>8.07</v>
      </c>
      <c r="F201">
        <v>17.09</v>
      </c>
      <c r="G201">
        <v>1</v>
      </c>
      <c r="H201" s="8">
        <v>0.67249999999999999</v>
      </c>
      <c r="I201" s="9">
        <v>0.47220596840257462</v>
      </c>
      <c r="J201" s="9">
        <v>4.7808764940239043E-2</v>
      </c>
      <c r="K201" s="9">
        <v>8.3333333333333329E-2</v>
      </c>
    </row>
    <row r="202" spans="1:11" x14ac:dyDescent="0.2">
      <c r="B202" s="12" t="s">
        <v>272</v>
      </c>
      <c r="C202">
        <v>295</v>
      </c>
      <c r="D202">
        <v>15</v>
      </c>
      <c r="E202" s="18">
        <v>10.070000000000002</v>
      </c>
      <c r="F202">
        <v>52.22</v>
      </c>
      <c r="G202">
        <v>3</v>
      </c>
      <c r="H202" s="8">
        <v>0.67133333333333345</v>
      </c>
      <c r="I202" s="9">
        <v>0.19283799310608968</v>
      </c>
      <c r="J202" s="9">
        <v>5.0847457627118647E-2</v>
      </c>
      <c r="K202" s="9">
        <v>0.2</v>
      </c>
    </row>
    <row r="203" spans="1:11" x14ac:dyDescent="0.2">
      <c r="B203" s="12" t="s">
        <v>376</v>
      </c>
      <c r="C203">
        <v>2</v>
      </c>
      <c r="D203">
        <v>1</v>
      </c>
      <c r="E203" s="18">
        <v>0.49</v>
      </c>
      <c r="F203">
        <v>34.18</v>
      </c>
      <c r="G203">
        <v>1</v>
      </c>
      <c r="H203" s="8">
        <v>0.49</v>
      </c>
      <c r="I203" s="9">
        <v>1.4335868929198362E-2</v>
      </c>
      <c r="J203" s="9">
        <v>0.5</v>
      </c>
      <c r="K203" s="9">
        <v>1</v>
      </c>
    </row>
    <row r="204" spans="1:11" x14ac:dyDescent="0.2">
      <c r="B204" s="7" t="s">
        <v>377</v>
      </c>
      <c r="C204">
        <v>1</v>
      </c>
      <c r="D204">
        <v>1</v>
      </c>
      <c r="E204" s="18">
        <v>0.42</v>
      </c>
      <c r="F204">
        <v>0</v>
      </c>
      <c r="G204">
        <v>0</v>
      </c>
      <c r="H204" s="8">
        <v>0.42</v>
      </c>
      <c r="I204" s="9" t="e">
        <v>#DIV/0!</v>
      </c>
      <c r="J204" s="9">
        <v>1</v>
      </c>
      <c r="K204" s="9">
        <v>0</v>
      </c>
    </row>
    <row r="205" spans="1:11" x14ac:dyDescent="0.2">
      <c r="A205" s="10" t="s">
        <v>1078</v>
      </c>
      <c r="B205" s="7" t="s">
        <v>546</v>
      </c>
      <c r="C205">
        <v>2</v>
      </c>
      <c r="D205">
        <v>1</v>
      </c>
      <c r="E205" s="18">
        <v>0.38</v>
      </c>
      <c r="F205">
        <v>0</v>
      </c>
      <c r="G205">
        <v>0</v>
      </c>
      <c r="H205" s="8">
        <v>0.38</v>
      </c>
      <c r="I205" s="9" t="e">
        <v>#DIV/0!</v>
      </c>
      <c r="J205" s="9">
        <v>0.5</v>
      </c>
      <c r="K205" s="9">
        <v>0</v>
      </c>
    </row>
    <row r="206" spans="1:11" x14ac:dyDescent="0.2">
      <c r="A206" s="10" t="s">
        <v>1089</v>
      </c>
      <c r="B206" s="13" t="s">
        <v>379</v>
      </c>
      <c r="C206">
        <v>1</v>
      </c>
      <c r="D206">
        <v>1</v>
      </c>
      <c r="E206" s="18">
        <v>0.53</v>
      </c>
      <c r="F206">
        <v>0</v>
      </c>
      <c r="G206">
        <v>0</v>
      </c>
      <c r="H206" s="8">
        <v>0.53</v>
      </c>
      <c r="I206" s="9" t="e">
        <v>#DIV/0!</v>
      </c>
      <c r="J206" s="9">
        <v>1</v>
      </c>
      <c r="K206" s="9">
        <v>0</v>
      </c>
    </row>
    <row r="207" spans="1:11" x14ac:dyDescent="0.2">
      <c r="A207" s="10" t="s">
        <v>1074</v>
      </c>
      <c r="B207" s="13" t="s">
        <v>831</v>
      </c>
      <c r="C207">
        <v>1</v>
      </c>
      <c r="D207">
        <v>1</v>
      </c>
      <c r="E207" s="18">
        <v>0.5</v>
      </c>
      <c r="F207">
        <v>0</v>
      </c>
      <c r="G207">
        <v>0</v>
      </c>
      <c r="H207" s="8">
        <v>0.5</v>
      </c>
      <c r="I207" s="9" t="e">
        <v>#DIV/0!</v>
      </c>
      <c r="J207" s="9">
        <v>1</v>
      </c>
      <c r="K207" s="9">
        <v>0</v>
      </c>
    </row>
    <row r="208" spans="1:11" x14ac:dyDescent="0.2">
      <c r="B208" s="7" t="s">
        <v>276</v>
      </c>
      <c r="C208">
        <v>3</v>
      </c>
      <c r="D208">
        <v>1</v>
      </c>
      <c r="E208" s="18">
        <v>0.81</v>
      </c>
      <c r="F208">
        <v>0</v>
      </c>
      <c r="G208">
        <v>0</v>
      </c>
      <c r="H208" s="8">
        <v>0.81</v>
      </c>
      <c r="I208" s="9" t="e">
        <v>#DIV/0!</v>
      </c>
      <c r="J208" s="9">
        <v>0.33333333333333331</v>
      </c>
      <c r="K208" s="9">
        <v>0</v>
      </c>
    </row>
    <row r="209" spans="1:11" x14ac:dyDescent="0.2">
      <c r="A209" s="10" t="s">
        <v>1091</v>
      </c>
      <c r="B209" s="7" t="s">
        <v>951</v>
      </c>
      <c r="C209">
        <v>3</v>
      </c>
      <c r="D209">
        <v>1</v>
      </c>
      <c r="E209" s="18">
        <v>0.47</v>
      </c>
      <c r="F209">
        <v>0</v>
      </c>
      <c r="G209">
        <v>0</v>
      </c>
      <c r="H209" s="8">
        <v>0.47</v>
      </c>
      <c r="I209" s="9" t="e">
        <v>#DIV/0!</v>
      </c>
      <c r="J209" s="9">
        <v>0.33333333333333331</v>
      </c>
      <c r="K209" s="9">
        <v>0</v>
      </c>
    </row>
    <row r="210" spans="1:11" x14ac:dyDescent="0.2">
      <c r="A210" s="10" t="s">
        <v>1102</v>
      </c>
      <c r="B210" s="7" t="s">
        <v>547</v>
      </c>
      <c r="C210">
        <v>1</v>
      </c>
      <c r="D210">
        <v>1</v>
      </c>
      <c r="E210" s="18">
        <v>0.52</v>
      </c>
      <c r="F210">
        <v>0</v>
      </c>
      <c r="G210">
        <v>0</v>
      </c>
      <c r="H210" s="8">
        <v>0.52</v>
      </c>
      <c r="I210" s="9" t="e">
        <v>#DIV/0!</v>
      </c>
      <c r="J210" s="9">
        <v>1</v>
      </c>
      <c r="K210" s="9">
        <v>0</v>
      </c>
    </row>
    <row r="211" spans="1:11" x14ac:dyDescent="0.2">
      <c r="B211" s="13" t="s">
        <v>952</v>
      </c>
      <c r="C211">
        <v>1</v>
      </c>
      <c r="D211">
        <v>1</v>
      </c>
      <c r="E211" s="18">
        <v>0.62</v>
      </c>
      <c r="F211">
        <v>0</v>
      </c>
      <c r="G211">
        <v>0</v>
      </c>
      <c r="H211" s="8">
        <v>0.62</v>
      </c>
      <c r="I211" s="9" t="e">
        <v>#DIV/0!</v>
      </c>
      <c r="J211" s="9">
        <v>1</v>
      </c>
      <c r="K211" s="9">
        <v>0</v>
      </c>
    </row>
    <row r="212" spans="1:11" x14ac:dyDescent="0.2">
      <c r="B212" s="13" t="s">
        <v>954</v>
      </c>
      <c r="C212">
        <v>1</v>
      </c>
      <c r="D212">
        <v>1</v>
      </c>
      <c r="E212" s="18">
        <v>0.43</v>
      </c>
      <c r="F212">
        <v>0</v>
      </c>
      <c r="G212">
        <v>0</v>
      </c>
      <c r="H212" s="8">
        <v>0.43</v>
      </c>
      <c r="I212" s="9" t="e">
        <v>#DIV/0!</v>
      </c>
      <c r="J212" s="9">
        <v>1</v>
      </c>
      <c r="K212" s="9">
        <v>0</v>
      </c>
    </row>
    <row r="213" spans="1:11" x14ac:dyDescent="0.2">
      <c r="A213" s="10" t="s">
        <v>1061</v>
      </c>
      <c r="B213" s="7" t="s">
        <v>277</v>
      </c>
      <c r="C213">
        <v>1</v>
      </c>
      <c r="D213">
        <v>1</v>
      </c>
      <c r="E213" s="18">
        <v>0.54</v>
      </c>
      <c r="F213">
        <v>0</v>
      </c>
      <c r="G213">
        <v>0</v>
      </c>
      <c r="H213" s="8">
        <v>0.54</v>
      </c>
      <c r="I213" s="9" t="e">
        <v>#DIV/0!</v>
      </c>
      <c r="J213" s="9">
        <v>1</v>
      </c>
      <c r="K213" s="9">
        <v>0</v>
      </c>
    </row>
    <row r="214" spans="1:11" x14ac:dyDescent="0.2">
      <c r="B214" s="7" t="s">
        <v>548</v>
      </c>
      <c r="C214">
        <v>73</v>
      </c>
      <c r="D214">
        <v>1</v>
      </c>
      <c r="E214" s="18">
        <v>0.7</v>
      </c>
      <c r="F214">
        <v>0</v>
      </c>
      <c r="G214">
        <v>0</v>
      </c>
      <c r="H214" s="8">
        <v>0.7</v>
      </c>
      <c r="I214" s="9" t="e">
        <v>#DIV/0!</v>
      </c>
      <c r="J214" s="9">
        <v>1.3698630136986301E-2</v>
      </c>
      <c r="K214" s="9">
        <v>0</v>
      </c>
    </row>
    <row r="215" spans="1:11" x14ac:dyDescent="0.2">
      <c r="B215" s="7" t="s">
        <v>278</v>
      </c>
      <c r="C215">
        <v>3</v>
      </c>
      <c r="D215">
        <v>1</v>
      </c>
      <c r="E215" s="18">
        <v>0.6</v>
      </c>
      <c r="F215">
        <v>0</v>
      </c>
      <c r="G215">
        <v>0</v>
      </c>
      <c r="H215" s="8">
        <v>0.6</v>
      </c>
      <c r="I215" s="9" t="e">
        <v>#DIV/0!</v>
      </c>
      <c r="J215" s="9">
        <v>0.33333333333333331</v>
      </c>
      <c r="K215" s="9">
        <v>0</v>
      </c>
    </row>
    <row r="216" spans="1:11" x14ac:dyDescent="0.2">
      <c r="B216" s="7" t="s">
        <v>549</v>
      </c>
      <c r="C216">
        <v>3</v>
      </c>
      <c r="D216">
        <v>1</v>
      </c>
      <c r="E216" s="18">
        <v>0.78</v>
      </c>
      <c r="F216">
        <v>0</v>
      </c>
      <c r="G216">
        <v>0</v>
      </c>
      <c r="H216" s="8">
        <v>0.78</v>
      </c>
      <c r="I216" s="9" t="e">
        <v>#DIV/0!</v>
      </c>
      <c r="J216" s="9">
        <v>0.33333333333333331</v>
      </c>
      <c r="K216" s="9">
        <v>0</v>
      </c>
    </row>
    <row r="217" spans="1:11" x14ac:dyDescent="0.2">
      <c r="A217" s="10" t="s">
        <v>1084</v>
      </c>
      <c r="B217" s="12" t="s">
        <v>101</v>
      </c>
      <c r="C217">
        <v>569</v>
      </c>
      <c r="D217">
        <v>17</v>
      </c>
      <c r="E217" s="18">
        <v>12.340000000000002</v>
      </c>
      <c r="F217">
        <v>53.17</v>
      </c>
      <c r="G217">
        <v>3</v>
      </c>
      <c r="H217" s="8">
        <v>0.72588235294117653</v>
      </c>
      <c r="I217" s="9">
        <v>0.23208576264810987</v>
      </c>
      <c r="J217" s="9">
        <v>2.9876977152899824E-2</v>
      </c>
      <c r="K217" s="9">
        <v>0.17647058823529413</v>
      </c>
    </row>
    <row r="218" spans="1:11" x14ac:dyDescent="0.2">
      <c r="B218" s="12" t="s">
        <v>99</v>
      </c>
      <c r="C218">
        <v>272</v>
      </c>
      <c r="D218">
        <v>14</v>
      </c>
      <c r="E218" s="18">
        <v>10.290000000000001</v>
      </c>
      <c r="F218">
        <v>70.16</v>
      </c>
      <c r="G218">
        <v>3</v>
      </c>
      <c r="H218" s="8">
        <v>0.7350000000000001</v>
      </c>
      <c r="I218" s="9">
        <v>0.14666476624857472</v>
      </c>
      <c r="J218" s="9">
        <v>5.1470588235294115E-2</v>
      </c>
      <c r="K218" s="9">
        <v>0.21428571428571427</v>
      </c>
    </row>
    <row r="219" spans="1:11" x14ac:dyDescent="0.2">
      <c r="B219" s="7" t="s">
        <v>654</v>
      </c>
      <c r="C219">
        <v>2</v>
      </c>
      <c r="D219">
        <v>1</v>
      </c>
      <c r="E219" s="18">
        <v>0.78</v>
      </c>
      <c r="F219">
        <v>0</v>
      </c>
      <c r="G219">
        <v>0</v>
      </c>
      <c r="H219" s="8">
        <v>0.78</v>
      </c>
      <c r="I219" s="9" t="e">
        <v>#DIV/0!</v>
      </c>
      <c r="J219" s="9">
        <v>0.5</v>
      </c>
      <c r="K219" s="9">
        <v>0</v>
      </c>
    </row>
    <row r="220" spans="1:11" x14ac:dyDescent="0.2">
      <c r="A220" s="10" t="s">
        <v>1030</v>
      </c>
      <c r="B220" s="13" t="s">
        <v>554</v>
      </c>
      <c r="C220">
        <v>1</v>
      </c>
      <c r="D220">
        <v>1</v>
      </c>
      <c r="E220" s="18">
        <v>0.52</v>
      </c>
      <c r="F220">
        <v>0</v>
      </c>
      <c r="G220">
        <v>0</v>
      </c>
      <c r="H220" s="8">
        <v>0.52</v>
      </c>
      <c r="I220" s="9" t="e">
        <v>#DIV/0!</v>
      </c>
      <c r="J220" s="9">
        <v>1</v>
      </c>
      <c r="K220" s="9">
        <v>0</v>
      </c>
    </row>
    <row r="221" spans="1:11" x14ac:dyDescent="0.2">
      <c r="B221" s="13" t="s">
        <v>555</v>
      </c>
      <c r="C221">
        <v>1</v>
      </c>
      <c r="D221">
        <v>1</v>
      </c>
      <c r="E221" s="18">
        <v>0.69</v>
      </c>
      <c r="F221">
        <v>0</v>
      </c>
      <c r="G221">
        <v>0</v>
      </c>
      <c r="H221" s="8">
        <v>0.69</v>
      </c>
      <c r="I221" s="9" t="e">
        <v>#DIV/0!</v>
      </c>
      <c r="J221" s="9">
        <v>1</v>
      </c>
      <c r="K221" s="9">
        <v>0</v>
      </c>
    </row>
    <row r="222" spans="1:11" x14ac:dyDescent="0.2">
      <c r="B222" s="7" t="s">
        <v>840</v>
      </c>
      <c r="C222">
        <v>1</v>
      </c>
      <c r="D222">
        <v>1</v>
      </c>
      <c r="E222" s="18">
        <v>0.59</v>
      </c>
      <c r="F222">
        <v>0</v>
      </c>
      <c r="G222">
        <v>0</v>
      </c>
      <c r="H222" s="8">
        <v>0.59</v>
      </c>
      <c r="I222" s="9" t="e">
        <v>#DIV/0!</v>
      </c>
      <c r="J222" s="9">
        <v>1</v>
      </c>
      <c r="K222" s="9">
        <v>0</v>
      </c>
    </row>
    <row r="223" spans="1:11" x14ac:dyDescent="0.2">
      <c r="A223" s="10" t="s">
        <v>1071</v>
      </c>
      <c r="B223" s="13" t="s">
        <v>556</v>
      </c>
      <c r="C223">
        <v>1</v>
      </c>
      <c r="D223">
        <v>1</v>
      </c>
      <c r="E223" s="18">
        <v>0.52</v>
      </c>
      <c r="F223">
        <v>0</v>
      </c>
      <c r="G223">
        <v>0</v>
      </c>
      <c r="H223" s="8">
        <v>0.52</v>
      </c>
      <c r="I223" s="9" t="e">
        <v>#DIV/0!</v>
      </c>
      <c r="J223" s="9">
        <v>1</v>
      </c>
      <c r="K223" s="9">
        <v>0</v>
      </c>
    </row>
    <row r="224" spans="1:11" x14ac:dyDescent="0.2">
      <c r="B224" s="13" t="s">
        <v>841</v>
      </c>
      <c r="C224">
        <v>1</v>
      </c>
      <c r="D224">
        <v>1</v>
      </c>
      <c r="E224" s="18">
        <v>0.6</v>
      </c>
      <c r="F224">
        <v>0</v>
      </c>
      <c r="G224">
        <v>0</v>
      </c>
      <c r="H224" s="8">
        <v>0.6</v>
      </c>
      <c r="I224" s="9" t="e">
        <v>#DIV/0!</v>
      </c>
      <c r="J224" s="9">
        <v>1</v>
      </c>
      <c r="K224" s="9">
        <v>0</v>
      </c>
    </row>
    <row r="225" spans="1:11" x14ac:dyDescent="0.2">
      <c r="A225" s="10" t="s">
        <v>1057</v>
      </c>
      <c r="B225" s="13" t="s">
        <v>842</v>
      </c>
      <c r="C225">
        <v>2</v>
      </c>
      <c r="D225">
        <v>1</v>
      </c>
      <c r="E225" s="18">
        <v>0.6</v>
      </c>
      <c r="F225">
        <v>0</v>
      </c>
      <c r="G225">
        <v>0</v>
      </c>
      <c r="H225" s="8">
        <v>0.6</v>
      </c>
      <c r="I225" s="9" t="e">
        <v>#DIV/0!</v>
      </c>
      <c r="J225" s="9">
        <v>0.5</v>
      </c>
      <c r="K225" s="9">
        <v>0</v>
      </c>
    </row>
    <row r="226" spans="1:11" x14ac:dyDescent="0.2">
      <c r="B226" s="7" t="s">
        <v>50</v>
      </c>
      <c r="C226">
        <v>37</v>
      </c>
      <c r="D226">
        <v>8</v>
      </c>
      <c r="E226" s="18">
        <v>5.71</v>
      </c>
      <c r="F226">
        <v>0</v>
      </c>
      <c r="G226">
        <v>0</v>
      </c>
      <c r="H226" s="8">
        <v>0.71375</v>
      </c>
      <c r="I226" s="9" t="e">
        <v>#DIV/0!</v>
      </c>
      <c r="J226" s="9">
        <v>0.21621621621621623</v>
      </c>
      <c r="K226" s="9">
        <v>0</v>
      </c>
    </row>
    <row r="227" spans="1:11" x14ac:dyDescent="0.2">
      <c r="A227" s="10" t="s">
        <v>1094</v>
      </c>
      <c r="B227" s="7" t="s">
        <v>280</v>
      </c>
      <c r="C227">
        <v>16</v>
      </c>
      <c r="D227">
        <v>4</v>
      </c>
      <c r="E227" s="18">
        <v>2.4700000000000002</v>
      </c>
      <c r="F227">
        <v>0</v>
      </c>
      <c r="G227">
        <v>0</v>
      </c>
      <c r="H227" s="8">
        <v>0.61750000000000005</v>
      </c>
      <c r="I227" s="9" t="e">
        <v>#DIV/0!</v>
      </c>
      <c r="J227" s="9">
        <v>0.25</v>
      </c>
      <c r="K227" s="9">
        <v>0</v>
      </c>
    </row>
    <row r="228" spans="1:11" x14ac:dyDescent="0.2">
      <c r="A228" s="19" t="s">
        <v>1115</v>
      </c>
      <c r="B228" s="7" t="s">
        <v>281</v>
      </c>
      <c r="C228">
        <v>4</v>
      </c>
      <c r="D228">
        <v>2</v>
      </c>
      <c r="E228" s="18">
        <v>1.42</v>
      </c>
      <c r="F228">
        <v>0</v>
      </c>
      <c r="G228">
        <v>0</v>
      </c>
      <c r="H228" s="8">
        <v>0.71</v>
      </c>
      <c r="I228" s="9" t="e">
        <v>#DIV/0!</v>
      </c>
      <c r="J228" s="9">
        <v>0.5</v>
      </c>
      <c r="K228" s="9">
        <v>0</v>
      </c>
    </row>
    <row r="229" spans="1:11" x14ac:dyDescent="0.2">
      <c r="B229" s="7" t="s">
        <v>844</v>
      </c>
      <c r="C229">
        <v>1</v>
      </c>
      <c r="D229">
        <v>1</v>
      </c>
      <c r="E229" s="18">
        <v>1.01</v>
      </c>
      <c r="F229">
        <v>0</v>
      </c>
      <c r="G229">
        <v>0</v>
      </c>
      <c r="H229" s="8">
        <v>1.01</v>
      </c>
      <c r="I229" s="9" t="e">
        <v>#DIV/0!</v>
      </c>
      <c r="J229" s="9">
        <v>1</v>
      </c>
      <c r="K229" s="9">
        <v>0</v>
      </c>
    </row>
    <row r="230" spans="1:11" x14ac:dyDescent="0.2">
      <c r="B230" s="7" t="s">
        <v>284</v>
      </c>
      <c r="C230">
        <v>4</v>
      </c>
      <c r="D230">
        <v>1</v>
      </c>
      <c r="E230" s="18">
        <v>0.77</v>
      </c>
      <c r="F230">
        <v>0</v>
      </c>
      <c r="G230">
        <v>0</v>
      </c>
      <c r="H230" s="8">
        <v>0.77</v>
      </c>
      <c r="I230" s="9" t="e">
        <v>#DIV/0!</v>
      </c>
      <c r="J230" s="9">
        <v>0.25</v>
      </c>
      <c r="K230" s="9">
        <v>0</v>
      </c>
    </row>
    <row r="231" spans="1:11" x14ac:dyDescent="0.2">
      <c r="A231" s="10" t="s">
        <v>1097</v>
      </c>
      <c r="B231" s="12" t="s">
        <v>845</v>
      </c>
      <c r="C231">
        <v>1</v>
      </c>
      <c r="D231">
        <v>1</v>
      </c>
      <c r="E231" s="18">
        <v>0.49</v>
      </c>
      <c r="F231">
        <v>18.989999999999998</v>
      </c>
      <c r="G231">
        <v>1</v>
      </c>
      <c r="H231" s="8">
        <v>0.49</v>
      </c>
      <c r="I231" s="9">
        <v>2.5803054239073198E-2</v>
      </c>
      <c r="J231" s="9">
        <v>1</v>
      </c>
      <c r="K231" s="9">
        <v>1</v>
      </c>
    </row>
    <row r="232" spans="1:11" x14ac:dyDescent="0.2">
      <c r="A232" s="10" t="s">
        <v>1047</v>
      </c>
      <c r="B232" s="13" t="s">
        <v>562</v>
      </c>
      <c r="C232">
        <v>1</v>
      </c>
      <c r="D232">
        <v>1</v>
      </c>
      <c r="E232" s="18">
        <v>0.35</v>
      </c>
      <c r="F232">
        <v>0</v>
      </c>
      <c r="G232">
        <v>0</v>
      </c>
      <c r="H232" s="8">
        <v>0.35</v>
      </c>
      <c r="I232" s="9" t="e">
        <v>#DIV/0!</v>
      </c>
      <c r="J232" s="9">
        <v>1</v>
      </c>
      <c r="K232" s="9">
        <v>0</v>
      </c>
    </row>
    <row r="233" spans="1:11" x14ac:dyDescent="0.2">
      <c r="B233" s="7" t="s">
        <v>959</v>
      </c>
      <c r="C233">
        <v>7</v>
      </c>
      <c r="D233">
        <v>2</v>
      </c>
      <c r="E233" s="18">
        <v>1.52</v>
      </c>
      <c r="F233">
        <v>0</v>
      </c>
      <c r="G233">
        <v>0</v>
      </c>
      <c r="H233" s="8">
        <v>0.76</v>
      </c>
      <c r="I233" s="9" t="e">
        <v>#DIV/0!</v>
      </c>
      <c r="J233" s="9">
        <v>0.2857142857142857</v>
      </c>
      <c r="K233" s="9">
        <v>0</v>
      </c>
    </row>
    <row r="234" spans="1:11" x14ac:dyDescent="0.2">
      <c r="A234" s="10" t="s">
        <v>1107</v>
      </c>
      <c r="B234" s="7" t="s">
        <v>960</v>
      </c>
      <c r="C234">
        <v>2</v>
      </c>
      <c r="D234">
        <v>1</v>
      </c>
      <c r="E234" s="18">
        <v>0.42</v>
      </c>
      <c r="F234">
        <v>0</v>
      </c>
      <c r="G234">
        <v>0</v>
      </c>
      <c r="H234" s="8">
        <v>0.42</v>
      </c>
      <c r="I234" s="9" t="e">
        <v>#DIV/0!</v>
      </c>
      <c r="J234" s="9">
        <v>0.5</v>
      </c>
      <c r="K234" s="9">
        <v>0</v>
      </c>
    </row>
    <row r="235" spans="1:11" x14ac:dyDescent="0.2">
      <c r="A235" s="10" t="s">
        <v>1104</v>
      </c>
      <c r="B235" s="13" t="s">
        <v>286</v>
      </c>
      <c r="C235">
        <v>1</v>
      </c>
      <c r="D235">
        <v>1</v>
      </c>
      <c r="E235" s="18">
        <v>0.44</v>
      </c>
      <c r="F235">
        <v>0</v>
      </c>
      <c r="G235">
        <v>0</v>
      </c>
      <c r="H235" s="8">
        <v>0.44</v>
      </c>
      <c r="I235" s="9" t="e">
        <v>#DIV/0!</v>
      </c>
      <c r="J235" s="9">
        <v>1</v>
      </c>
      <c r="K235" s="9">
        <v>0</v>
      </c>
    </row>
    <row r="236" spans="1:11" x14ac:dyDescent="0.2">
      <c r="A236" s="10" t="s">
        <v>1066</v>
      </c>
      <c r="B236" s="7" t="s">
        <v>657</v>
      </c>
      <c r="C236">
        <v>1</v>
      </c>
      <c r="D236">
        <v>1</v>
      </c>
      <c r="E236" s="18">
        <v>0.45</v>
      </c>
      <c r="F236">
        <v>0</v>
      </c>
      <c r="G236">
        <v>0</v>
      </c>
      <c r="H236" s="8">
        <v>0.45</v>
      </c>
      <c r="I236" s="9" t="e">
        <v>#DIV/0!</v>
      </c>
      <c r="J236" s="9">
        <v>1</v>
      </c>
      <c r="K236" s="9">
        <v>0</v>
      </c>
    </row>
    <row r="237" spans="1:11" x14ac:dyDescent="0.2">
      <c r="A237" s="10" t="s">
        <v>1047</v>
      </c>
      <c r="B237" s="7" t="s">
        <v>569</v>
      </c>
      <c r="C237">
        <v>1</v>
      </c>
      <c r="D237">
        <v>1</v>
      </c>
      <c r="E237" s="18">
        <v>0.42</v>
      </c>
      <c r="F237">
        <v>0</v>
      </c>
      <c r="G237">
        <v>0</v>
      </c>
      <c r="H237" s="8">
        <v>0.42</v>
      </c>
      <c r="I237" s="9" t="e">
        <v>#DIV/0!</v>
      </c>
      <c r="J237" s="9">
        <v>1</v>
      </c>
      <c r="K237" s="9">
        <v>0</v>
      </c>
    </row>
    <row r="238" spans="1:11" x14ac:dyDescent="0.2">
      <c r="A238" s="10" t="s">
        <v>1089</v>
      </c>
      <c r="B238" s="13" t="s">
        <v>570</v>
      </c>
      <c r="C238">
        <v>2</v>
      </c>
      <c r="D238">
        <v>1</v>
      </c>
      <c r="E238" s="18">
        <v>0.35</v>
      </c>
      <c r="F238">
        <v>0</v>
      </c>
      <c r="G238">
        <v>0</v>
      </c>
      <c r="H238" s="8">
        <v>0.35</v>
      </c>
      <c r="I238" s="9" t="e">
        <v>#DIV/0!</v>
      </c>
      <c r="J238" s="9">
        <v>0.5</v>
      </c>
      <c r="K238" s="9">
        <v>0</v>
      </c>
    </row>
    <row r="239" spans="1:11" x14ac:dyDescent="0.2">
      <c r="A239" s="10" t="s">
        <v>1089</v>
      </c>
      <c r="B239" s="7" t="s">
        <v>574</v>
      </c>
      <c r="C239">
        <v>1</v>
      </c>
      <c r="D239">
        <v>1</v>
      </c>
      <c r="E239" s="18">
        <v>0.61</v>
      </c>
      <c r="F239">
        <v>0</v>
      </c>
      <c r="G239">
        <v>0</v>
      </c>
      <c r="H239" s="8">
        <v>0.61</v>
      </c>
      <c r="I239" s="9" t="e">
        <v>#DIV/0!</v>
      </c>
      <c r="J239" s="9">
        <v>1</v>
      </c>
      <c r="K239" s="9">
        <v>0</v>
      </c>
    </row>
    <row r="240" spans="1:11" x14ac:dyDescent="0.2">
      <c r="A240" s="10" t="s">
        <v>1080</v>
      </c>
      <c r="B240" s="7" t="s">
        <v>661</v>
      </c>
      <c r="C240">
        <v>1</v>
      </c>
      <c r="D240">
        <v>1</v>
      </c>
      <c r="E240" s="18">
        <v>0.51</v>
      </c>
      <c r="F240">
        <v>0</v>
      </c>
      <c r="G240">
        <v>0</v>
      </c>
      <c r="H240" s="8">
        <v>0.51</v>
      </c>
      <c r="I240" s="9" t="e">
        <v>#DIV/0!</v>
      </c>
      <c r="J240" s="9">
        <v>1</v>
      </c>
      <c r="K240" s="9">
        <v>0</v>
      </c>
    </row>
    <row r="241" spans="1:11" x14ac:dyDescent="0.2">
      <c r="B241" s="13" t="s">
        <v>662</v>
      </c>
      <c r="C241">
        <v>1</v>
      </c>
      <c r="D241">
        <v>1</v>
      </c>
      <c r="E241" s="18">
        <v>0.35</v>
      </c>
      <c r="F241">
        <v>0</v>
      </c>
      <c r="G241">
        <v>0</v>
      </c>
      <c r="H241" s="8">
        <v>0.35</v>
      </c>
      <c r="I241" s="9" t="e">
        <v>#DIV/0!</v>
      </c>
      <c r="J241" s="9">
        <v>1</v>
      </c>
      <c r="K241" s="9">
        <v>0</v>
      </c>
    </row>
    <row r="242" spans="1:11" x14ac:dyDescent="0.2">
      <c r="A242" s="10" t="s">
        <v>1089</v>
      </c>
      <c r="B242" s="7" t="s">
        <v>293</v>
      </c>
      <c r="C242">
        <v>34</v>
      </c>
      <c r="D242">
        <v>5</v>
      </c>
      <c r="E242" s="18">
        <v>4.01</v>
      </c>
      <c r="F242">
        <v>0</v>
      </c>
      <c r="G242">
        <v>0</v>
      </c>
      <c r="H242" s="8">
        <v>0.80199999999999994</v>
      </c>
      <c r="I242" s="9" t="e">
        <v>#DIV/0!</v>
      </c>
      <c r="J242" s="9">
        <v>0.14705882352941177</v>
      </c>
      <c r="K242" s="9">
        <v>0</v>
      </c>
    </row>
    <row r="243" spans="1:11" x14ac:dyDescent="0.2">
      <c r="A243" s="10" t="s">
        <v>1060</v>
      </c>
      <c r="B243" s="7" t="s">
        <v>294</v>
      </c>
      <c r="C243">
        <v>5</v>
      </c>
      <c r="D243">
        <v>1</v>
      </c>
      <c r="E243" s="18">
        <v>0.79</v>
      </c>
      <c r="F243">
        <v>0</v>
      </c>
      <c r="G243">
        <v>0</v>
      </c>
      <c r="H243" s="8">
        <v>0.79</v>
      </c>
      <c r="I243" s="9" t="e">
        <v>#DIV/0!</v>
      </c>
      <c r="J243" s="9">
        <v>0.2</v>
      </c>
      <c r="K243" s="9">
        <v>0</v>
      </c>
    </row>
    <row r="244" spans="1:11" x14ac:dyDescent="0.2">
      <c r="A244" s="10" t="s">
        <v>1089</v>
      </c>
      <c r="B244" s="13" t="s">
        <v>968</v>
      </c>
      <c r="C244">
        <v>1</v>
      </c>
      <c r="D244">
        <v>1</v>
      </c>
      <c r="E244" s="18">
        <v>0.63</v>
      </c>
      <c r="F244">
        <v>0</v>
      </c>
      <c r="G244">
        <v>0</v>
      </c>
      <c r="H244" s="8">
        <v>0.63</v>
      </c>
      <c r="I244" s="9" t="e">
        <v>#DIV/0!</v>
      </c>
      <c r="J244" s="9">
        <v>1</v>
      </c>
      <c r="K244" s="9">
        <v>0</v>
      </c>
    </row>
    <row r="245" spans="1:11" x14ac:dyDescent="0.2">
      <c r="B245" s="7" t="s">
        <v>577</v>
      </c>
      <c r="C245">
        <v>3</v>
      </c>
      <c r="D245">
        <v>1</v>
      </c>
      <c r="E245" s="18">
        <v>0.49</v>
      </c>
      <c r="F245">
        <v>0</v>
      </c>
      <c r="G245">
        <v>0</v>
      </c>
      <c r="H245" s="8">
        <v>0.49</v>
      </c>
      <c r="I245" s="9" t="e">
        <v>#DIV/0!</v>
      </c>
      <c r="J245" s="9">
        <v>0.33333333333333331</v>
      </c>
      <c r="K245" s="9">
        <v>0</v>
      </c>
    </row>
    <row r="246" spans="1:11" x14ac:dyDescent="0.2">
      <c r="B246" s="7" t="s">
        <v>301</v>
      </c>
      <c r="C246">
        <v>2</v>
      </c>
      <c r="D246">
        <v>2</v>
      </c>
      <c r="E246" s="18">
        <v>1.1499999999999999</v>
      </c>
      <c r="F246">
        <v>0</v>
      </c>
      <c r="G246">
        <v>0</v>
      </c>
      <c r="H246" s="8">
        <v>0.57499999999999996</v>
      </c>
      <c r="I246" s="9" t="e">
        <v>#DIV/0!</v>
      </c>
      <c r="J246" s="9">
        <v>1</v>
      </c>
      <c r="K246" s="9">
        <v>0</v>
      </c>
    </row>
    <row r="247" spans="1:11" x14ac:dyDescent="0.2">
      <c r="B247" s="7" t="s">
        <v>578</v>
      </c>
      <c r="C247">
        <v>2</v>
      </c>
      <c r="D247">
        <v>1</v>
      </c>
      <c r="E247" s="18">
        <v>0.16</v>
      </c>
      <c r="F247">
        <v>0</v>
      </c>
      <c r="G247">
        <v>0</v>
      </c>
      <c r="H247" s="8">
        <v>0.16</v>
      </c>
      <c r="I247" s="9" t="e">
        <v>#DIV/0!</v>
      </c>
      <c r="J247" s="9">
        <v>0.5</v>
      </c>
      <c r="K247" s="9">
        <v>0</v>
      </c>
    </row>
    <row r="248" spans="1:11" x14ac:dyDescent="0.2">
      <c r="B248" s="7" t="s">
        <v>857</v>
      </c>
      <c r="C248">
        <v>2</v>
      </c>
      <c r="D248">
        <v>2</v>
      </c>
      <c r="E248" s="18">
        <v>1.73</v>
      </c>
      <c r="F248">
        <v>0</v>
      </c>
      <c r="G248">
        <v>0</v>
      </c>
      <c r="H248" s="8">
        <v>0.86499999999999999</v>
      </c>
      <c r="I248" s="9" t="e">
        <v>#DIV/0!</v>
      </c>
      <c r="J248" s="9">
        <v>1</v>
      </c>
      <c r="K248" s="9">
        <v>0</v>
      </c>
    </row>
    <row r="249" spans="1:11" x14ac:dyDescent="0.2">
      <c r="B249" s="7" t="s">
        <v>388</v>
      </c>
      <c r="C249">
        <v>1</v>
      </c>
      <c r="D249">
        <v>1</v>
      </c>
      <c r="E249" s="18">
        <v>0.53</v>
      </c>
      <c r="F249">
        <v>0</v>
      </c>
      <c r="G249">
        <v>0</v>
      </c>
      <c r="H249" s="8">
        <v>0.53</v>
      </c>
      <c r="I249" s="9" t="e">
        <v>#DIV/0!</v>
      </c>
      <c r="J249" s="9">
        <v>1</v>
      </c>
      <c r="K249" s="9">
        <v>0</v>
      </c>
    </row>
    <row r="250" spans="1:11" x14ac:dyDescent="0.2">
      <c r="A250" s="10" t="s">
        <v>1062</v>
      </c>
      <c r="B250" s="7" t="s">
        <v>303</v>
      </c>
      <c r="C250">
        <v>3</v>
      </c>
      <c r="D250">
        <v>1</v>
      </c>
      <c r="E250" s="18">
        <v>0.93</v>
      </c>
      <c r="F250">
        <v>0</v>
      </c>
      <c r="G250">
        <v>0</v>
      </c>
      <c r="H250" s="8">
        <v>0.93</v>
      </c>
      <c r="I250" s="9" t="e">
        <v>#DIV/0!</v>
      </c>
      <c r="J250" s="9">
        <v>0.33333333333333331</v>
      </c>
      <c r="K250" s="9">
        <v>0</v>
      </c>
    </row>
    <row r="251" spans="1:11" x14ac:dyDescent="0.2">
      <c r="A251" s="10" t="s">
        <v>1047</v>
      </c>
      <c r="B251" s="7" t="s">
        <v>37</v>
      </c>
      <c r="C251">
        <v>11</v>
      </c>
      <c r="D251">
        <v>4</v>
      </c>
      <c r="E251" s="18">
        <v>2.62</v>
      </c>
      <c r="F251">
        <v>18.989999999999998</v>
      </c>
      <c r="G251">
        <v>1</v>
      </c>
      <c r="H251" s="8">
        <v>0.65500000000000003</v>
      </c>
      <c r="I251" s="9">
        <v>0.13796735123749343</v>
      </c>
      <c r="J251" s="9">
        <v>0.36363636363636365</v>
      </c>
      <c r="K251" s="9">
        <v>0.25</v>
      </c>
    </row>
    <row r="252" spans="1:11" x14ac:dyDescent="0.2">
      <c r="A252" s="10" t="s">
        <v>1008</v>
      </c>
      <c r="B252" s="7" t="s">
        <v>304</v>
      </c>
      <c r="C252">
        <v>5</v>
      </c>
      <c r="D252">
        <v>1</v>
      </c>
      <c r="E252" s="18">
        <v>0.73</v>
      </c>
      <c r="F252">
        <v>0</v>
      </c>
      <c r="G252">
        <v>0</v>
      </c>
      <c r="H252" s="8">
        <v>0.73</v>
      </c>
      <c r="I252" s="9" t="e">
        <v>#DIV/0!</v>
      </c>
      <c r="J252" s="9">
        <v>0.2</v>
      </c>
      <c r="K252" s="9">
        <v>0</v>
      </c>
    </row>
    <row r="253" spans="1:11" x14ac:dyDescent="0.2">
      <c r="A253" s="10" t="s">
        <v>1076</v>
      </c>
      <c r="B253" s="7" t="s">
        <v>391</v>
      </c>
      <c r="C253">
        <v>1</v>
      </c>
      <c r="D253">
        <v>1</v>
      </c>
      <c r="E253" s="18">
        <v>0.48</v>
      </c>
      <c r="F253">
        <v>0</v>
      </c>
      <c r="G253">
        <v>0</v>
      </c>
      <c r="H253" s="8">
        <v>0.48</v>
      </c>
      <c r="I253" s="9" t="e">
        <v>#DIV/0!</v>
      </c>
      <c r="J253" s="9">
        <v>1</v>
      </c>
      <c r="K253" s="9">
        <v>0</v>
      </c>
    </row>
    <row r="254" spans="1:11" x14ac:dyDescent="0.2">
      <c r="B254" s="12" t="s">
        <v>305</v>
      </c>
      <c r="C254">
        <v>248</v>
      </c>
      <c r="D254">
        <v>12</v>
      </c>
      <c r="E254" s="18">
        <v>8.49</v>
      </c>
      <c r="F254">
        <v>37.979999999999997</v>
      </c>
      <c r="G254">
        <v>1</v>
      </c>
      <c r="H254" s="8">
        <v>0.70750000000000002</v>
      </c>
      <c r="I254" s="9">
        <v>0.22353870458135863</v>
      </c>
      <c r="J254" s="9">
        <v>4.8387096774193547E-2</v>
      </c>
      <c r="K254" s="9">
        <v>8.3333333333333329E-2</v>
      </c>
    </row>
    <row r="255" spans="1:11" x14ac:dyDescent="0.2">
      <c r="B255" s="7" t="s">
        <v>581</v>
      </c>
      <c r="C255">
        <v>1</v>
      </c>
      <c r="D255">
        <v>1</v>
      </c>
      <c r="E255" s="18">
        <v>0.57999999999999996</v>
      </c>
      <c r="F255">
        <v>0</v>
      </c>
      <c r="G255">
        <v>0</v>
      </c>
      <c r="H255" s="8">
        <v>0.57999999999999996</v>
      </c>
      <c r="I255" s="9" t="e">
        <v>#DIV/0!</v>
      </c>
      <c r="J255" s="9">
        <v>1</v>
      </c>
      <c r="K255" s="9">
        <v>0</v>
      </c>
    </row>
    <row r="256" spans="1:11" x14ac:dyDescent="0.2">
      <c r="B256" s="7" t="s">
        <v>582</v>
      </c>
      <c r="C256">
        <v>1</v>
      </c>
      <c r="D256">
        <v>1</v>
      </c>
      <c r="E256" s="18">
        <v>0.38</v>
      </c>
      <c r="F256">
        <v>0</v>
      </c>
      <c r="G256">
        <v>0</v>
      </c>
      <c r="H256" s="8">
        <v>0.38</v>
      </c>
      <c r="I256" s="9" t="e">
        <v>#DIV/0!</v>
      </c>
      <c r="J256" s="9">
        <v>1</v>
      </c>
      <c r="K256" s="9">
        <v>0</v>
      </c>
    </row>
    <row r="257" spans="1:11" x14ac:dyDescent="0.2">
      <c r="B257" s="7" t="s">
        <v>308</v>
      </c>
      <c r="C257">
        <v>16</v>
      </c>
      <c r="D257">
        <v>3</v>
      </c>
      <c r="E257" s="18">
        <v>2.25</v>
      </c>
      <c r="F257">
        <v>0</v>
      </c>
      <c r="G257">
        <v>0</v>
      </c>
      <c r="H257" s="8">
        <v>0.75</v>
      </c>
      <c r="I257" s="9" t="e">
        <v>#DIV/0!</v>
      </c>
      <c r="J257" s="9">
        <v>0.1875</v>
      </c>
      <c r="K257" s="9">
        <v>0</v>
      </c>
    </row>
    <row r="258" spans="1:11" x14ac:dyDescent="0.2">
      <c r="A258" s="10" t="s">
        <v>1078</v>
      </c>
      <c r="B258" s="7" t="s">
        <v>583</v>
      </c>
      <c r="C258">
        <v>2</v>
      </c>
      <c r="D258">
        <v>1</v>
      </c>
      <c r="E258" s="18">
        <v>0.47</v>
      </c>
      <c r="F258">
        <v>0</v>
      </c>
      <c r="G258">
        <v>0</v>
      </c>
      <c r="H258" s="8">
        <v>0.47</v>
      </c>
      <c r="I258" s="9" t="e">
        <v>#DIV/0!</v>
      </c>
      <c r="J258" s="9">
        <v>0.5</v>
      </c>
      <c r="K258" s="9">
        <v>0</v>
      </c>
    </row>
    <row r="259" spans="1:11" x14ac:dyDescent="0.2">
      <c r="B259" s="12" t="s">
        <v>306</v>
      </c>
      <c r="C259">
        <v>253</v>
      </c>
      <c r="D259">
        <v>15</v>
      </c>
      <c r="E259" s="18">
        <v>10.52</v>
      </c>
      <c r="F259">
        <v>34.18</v>
      </c>
      <c r="G259">
        <v>2</v>
      </c>
      <c r="H259" s="8">
        <v>0.70133333333333325</v>
      </c>
      <c r="I259" s="9">
        <v>0.30778232884727907</v>
      </c>
      <c r="J259" s="9">
        <v>5.9288537549407112E-2</v>
      </c>
      <c r="K259" s="9">
        <v>0.13333333333333333</v>
      </c>
    </row>
    <row r="260" spans="1:11" x14ac:dyDescent="0.2">
      <c r="A260" s="10" t="s">
        <v>1063</v>
      </c>
      <c r="B260" s="7" t="s">
        <v>309</v>
      </c>
      <c r="C260">
        <v>1</v>
      </c>
      <c r="D260">
        <v>1</v>
      </c>
      <c r="E260" s="18">
        <v>0.77</v>
      </c>
      <c r="F260">
        <v>0</v>
      </c>
      <c r="G260">
        <v>0</v>
      </c>
      <c r="H260" s="8">
        <v>0.77</v>
      </c>
      <c r="I260" s="9" t="e">
        <v>#DIV/0!</v>
      </c>
      <c r="J260" s="9">
        <v>1</v>
      </c>
      <c r="K260" s="9">
        <v>0</v>
      </c>
    </row>
    <row r="261" spans="1:11" x14ac:dyDescent="0.2">
      <c r="A261" s="10" t="s">
        <v>1020</v>
      </c>
      <c r="B261" s="7" t="s">
        <v>395</v>
      </c>
      <c r="C261">
        <v>1</v>
      </c>
      <c r="D261">
        <v>1</v>
      </c>
      <c r="E261" s="18">
        <v>0.92</v>
      </c>
      <c r="F261">
        <v>0</v>
      </c>
      <c r="G261">
        <v>0</v>
      </c>
      <c r="H261" s="8">
        <v>0.92</v>
      </c>
      <c r="I261" s="9" t="e">
        <v>#DIV/0!</v>
      </c>
      <c r="J261" s="9">
        <v>1</v>
      </c>
      <c r="K261" s="9">
        <v>0</v>
      </c>
    </row>
    <row r="262" spans="1:11" x14ac:dyDescent="0.2">
      <c r="A262" s="10" t="s">
        <v>1047</v>
      </c>
      <c r="B262" s="7" t="s">
        <v>310</v>
      </c>
      <c r="C262">
        <v>3</v>
      </c>
      <c r="D262">
        <v>1</v>
      </c>
      <c r="E262" s="18">
        <v>0.55000000000000004</v>
      </c>
      <c r="F262">
        <v>0</v>
      </c>
      <c r="G262">
        <v>0</v>
      </c>
      <c r="H262" s="8">
        <v>0.55000000000000004</v>
      </c>
      <c r="I262" s="9" t="e">
        <v>#DIV/0!</v>
      </c>
      <c r="J262" s="9">
        <v>0.33333333333333331</v>
      </c>
      <c r="K262" s="9">
        <v>0</v>
      </c>
    </row>
    <row r="263" spans="1:11" x14ac:dyDescent="0.2">
      <c r="B263" s="7" t="s">
        <v>312</v>
      </c>
      <c r="C263">
        <v>8</v>
      </c>
      <c r="D263">
        <v>2</v>
      </c>
      <c r="E263" s="18">
        <v>1.58</v>
      </c>
      <c r="F263">
        <v>0</v>
      </c>
      <c r="G263">
        <v>0</v>
      </c>
      <c r="H263" s="8">
        <v>0.79</v>
      </c>
      <c r="I263" s="9" t="e">
        <v>#DIV/0!</v>
      </c>
      <c r="J263" s="9">
        <v>0.25</v>
      </c>
      <c r="K263" s="9">
        <v>0</v>
      </c>
    </row>
    <row r="264" spans="1:11" x14ac:dyDescent="0.2">
      <c r="A264" s="10" t="s">
        <v>1070</v>
      </c>
      <c r="B264" s="7" t="s">
        <v>313</v>
      </c>
      <c r="C264">
        <v>1</v>
      </c>
      <c r="D264">
        <v>1</v>
      </c>
      <c r="E264" s="18">
        <v>0.65</v>
      </c>
      <c r="F264">
        <v>0</v>
      </c>
      <c r="G264">
        <v>0</v>
      </c>
      <c r="H264" s="8">
        <v>0.65</v>
      </c>
      <c r="I264" s="9" t="e">
        <v>#DIV/0!</v>
      </c>
      <c r="J264" s="9">
        <v>1</v>
      </c>
      <c r="K264" s="9">
        <v>0</v>
      </c>
    </row>
    <row r="265" spans="1:11" x14ac:dyDescent="0.2">
      <c r="A265" s="10" t="s">
        <v>1096</v>
      </c>
      <c r="B265" s="7" t="s">
        <v>591</v>
      </c>
      <c r="C265">
        <v>1</v>
      </c>
      <c r="D265">
        <v>1</v>
      </c>
      <c r="E265" s="18">
        <v>0.47</v>
      </c>
      <c r="F265">
        <v>0</v>
      </c>
      <c r="G265">
        <v>0</v>
      </c>
      <c r="H265" s="8">
        <v>0.47</v>
      </c>
      <c r="I265" s="9" t="e">
        <v>#DIV/0!</v>
      </c>
      <c r="J265" s="9">
        <v>1</v>
      </c>
      <c r="K265" s="9">
        <v>0</v>
      </c>
    </row>
    <row r="266" spans="1:11" x14ac:dyDescent="0.2">
      <c r="B266" s="12" t="s">
        <v>672</v>
      </c>
      <c r="C266">
        <v>1</v>
      </c>
      <c r="D266">
        <v>1</v>
      </c>
      <c r="E266" s="18">
        <v>0.45</v>
      </c>
      <c r="F266">
        <v>34.18</v>
      </c>
      <c r="G266">
        <v>1</v>
      </c>
      <c r="H266" s="8">
        <v>0.45</v>
      </c>
      <c r="I266" s="9">
        <v>1.3165593914569925E-2</v>
      </c>
      <c r="J266" s="9">
        <v>1</v>
      </c>
      <c r="K266" s="9">
        <v>1</v>
      </c>
    </row>
    <row r="267" spans="1:11" x14ac:dyDescent="0.2">
      <c r="B267" s="7" t="s">
        <v>315</v>
      </c>
      <c r="C267">
        <v>3</v>
      </c>
      <c r="D267">
        <v>1</v>
      </c>
      <c r="E267" s="18">
        <v>0.46</v>
      </c>
      <c r="F267">
        <v>0</v>
      </c>
      <c r="G267">
        <v>0</v>
      </c>
      <c r="H267" s="8">
        <v>0.46</v>
      </c>
      <c r="I267" s="9" t="e">
        <v>#DIV/0!</v>
      </c>
      <c r="J267" s="9">
        <v>0.33333333333333331</v>
      </c>
      <c r="K267" s="9">
        <v>0</v>
      </c>
    </row>
    <row r="268" spans="1:11" x14ac:dyDescent="0.2">
      <c r="B268" s="7" t="s">
        <v>674</v>
      </c>
      <c r="C268">
        <v>1</v>
      </c>
      <c r="D268">
        <v>1</v>
      </c>
      <c r="E268" s="18">
        <v>0.45</v>
      </c>
      <c r="F268">
        <v>0</v>
      </c>
      <c r="G268">
        <v>0</v>
      </c>
      <c r="H268" s="8">
        <v>0.45</v>
      </c>
      <c r="I268" s="9" t="e">
        <v>#DIV/0!</v>
      </c>
      <c r="J268" s="9">
        <v>1</v>
      </c>
      <c r="K268" s="9">
        <v>0</v>
      </c>
    </row>
    <row r="269" spans="1:11" x14ac:dyDescent="0.2">
      <c r="B269" s="13" t="s">
        <v>595</v>
      </c>
      <c r="C269">
        <v>1</v>
      </c>
      <c r="D269">
        <v>1</v>
      </c>
      <c r="E269" s="18">
        <v>0.35</v>
      </c>
      <c r="F269">
        <v>0</v>
      </c>
      <c r="G269">
        <v>0</v>
      </c>
      <c r="H269" s="8">
        <v>0.35</v>
      </c>
      <c r="I269" s="9" t="e">
        <v>#DIV/0!</v>
      </c>
      <c r="J269" s="9">
        <v>1</v>
      </c>
      <c r="K269" s="9">
        <v>0</v>
      </c>
    </row>
    <row r="270" spans="1:11" x14ac:dyDescent="0.2">
      <c r="B270" s="13" t="s">
        <v>675</v>
      </c>
      <c r="C270">
        <v>1</v>
      </c>
      <c r="D270">
        <v>1</v>
      </c>
      <c r="E270" s="18">
        <v>0.46</v>
      </c>
      <c r="F270">
        <v>0</v>
      </c>
      <c r="G270">
        <v>0</v>
      </c>
      <c r="H270" s="8">
        <v>0.46</v>
      </c>
      <c r="I270" s="9" t="e">
        <v>#DIV/0!</v>
      </c>
      <c r="J270" s="9">
        <v>1</v>
      </c>
      <c r="K270" s="9">
        <v>0</v>
      </c>
    </row>
    <row r="271" spans="1:11" x14ac:dyDescent="0.2">
      <c r="B271" s="7" t="s">
        <v>676</v>
      </c>
      <c r="C271">
        <v>1</v>
      </c>
      <c r="D271">
        <v>1</v>
      </c>
      <c r="E271" s="18">
        <v>0.46</v>
      </c>
      <c r="F271">
        <v>0</v>
      </c>
      <c r="G271">
        <v>0</v>
      </c>
      <c r="H271" s="8">
        <v>0.46</v>
      </c>
      <c r="I271" s="9" t="e">
        <v>#DIV/0!</v>
      </c>
      <c r="J271" s="9">
        <v>1</v>
      </c>
      <c r="K271" s="9">
        <v>0</v>
      </c>
    </row>
    <row r="272" spans="1:11" x14ac:dyDescent="0.2">
      <c r="B272" s="13" t="s">
        <v>678</v>
      </c>
      <c r="C272">
        <v>3</v>
      </c>
      <c r="D272">
        <v>1</v>
      </c>
      <c r="E272" s="18">
        <v>0.32</v>
      </c>
      <c r="F272">
        <v>0</v>
      </c>
      <c r="G272">
        <v>0</v>
      </c>
      <c r="H272" s="8">
        <v>0.32</v>
      </c>
      <c r="I272" s="9" t="e">
        <v>#DIV/0!</v>
      </c>
      <c r="J272" s="9">
        <v>0.33333333333333331</v>
      </c>
      <c r="K272" s="9">
        <v>0</v>
      </c>
    </row>
    <row r="273" spans="2:11" x14ac:dyDescent="0.2">
      <c r="B273" s="7" t="s">
        <v>598</v>
      </c>
      <c r="C273">
        <v>1</v>
      </c>
      <c r="D273">
        <v>1</v>
      </c>
      <c r="E273" s="18">
        <v>0.47</v>
      </c>
      <c r="F273">
        <v>0</v>
      </c>
      <c r="G273">
        <v>0</v>
      </c>
      <c r="H273" s="8">
        <v>0.47</v>
      </c>
      <c r="I273" s="9" t="e">
        <v>#DIV/0!</v>
      </c>
      <c r="J273" s="9">
        <v>1</v>
      </c>
      <c r="K273" s="9">
        <v>0</v>
      </c>
    </row>
    <row r="274" spans="2:11" x14ac:dyDescent="0.2">
      <c r="B274" s="13" t="s">
        <v>317</v>
      </c>
      <c r="C274">
        <v>1</v>
      </c>
      <c r="D274">
        <v>1</v>
      </c>
      <c r="E274" s="18">
        <v>0.45</v>
      </c>
      <c r="F274">
        <v>0</v>
      </c>
      <c r="G274">
        <v>0</v>
      </c>
      <c r="H274" s="8">
        <v>0.45</v>
      </c>
      <c r="I274" s="9" t="e">
        <v>#DIV/0!</v>
      </c>
      <c r="J274" s="9">
        <v>1</v>
      </c>
      <c r="K274" s="9">
        <v>0</v>
      </c>
    </row>
    <row r="275" spans="2:11" x14ac:dyDescent="0.2">
      <c r="B275" s="7" t="s">
        <v>1124</v>
      </c>
      <c r="C275">
        <v>1</v>
      </c>
      <c r="D275">
        <v>1</v>
      </c>
      <c r="E275" s="18">
        <v>0.5</v>
      </c>
      <c r="F275">
        <v>18.989999999999998</v>
      </c>
      <c r="G275">
        <v>1</v>
      </c>
      <c r="H275" s="8">
        <v>0.5</v>
      </c>
      <c r="I275" s="9">
        <v>2.6329647182727754E-2</v>
      </c>
      <c r="J275" s="9">
        <v>1</v>
      </c>
      <c r="K275" s="9">
        <v>1</v>
      </c>
    </row>
    <row r="276" spans="2:11" x14ac:dyDescent="0.2">
      <c r="B276" s="7" t="s">
        <v>1126</v>
      </c>
      <c r="C276">
        <v>1</v>
      </c>
      <c r="D276">
        <v>1</v>
      </c>
      <c r="E276" s="18">
        <v>0.78</v>
      </c>
      <c r="F276">
        <v>0</v>
      </c>
      <c r="G276">
        <v>0</v>
      </c>
      <c r="H276" s="8">
        <v>0.78</v>
      </c>
      <c r="I276" s="9" t="e">
        <v>#DIV/0!</v>
      </c>
      <c r="J276" s="9">
        <v>1</v>
      </c>
      <c r="K276" s="9">
        <v>0</v>
      </c>
    </row>
    <row r="277" spans="2:11" x14ac:dyDescent="0.2">
      <c r="B277" s="7" t="s">
        <v>1127</v>
      </c>
      <c r="C277">
        <v>1</v>
      </c>
      <c r="D277">
        <v>1</v>
      </c>
      <c r="E277" s="18">
        <v>0.7</v>
      </c>
      <c r="F277">
        <v>0</v>
      </c>
      <c r="G277">
        <v>0</v>
      </c>
      <c r="H277" s="8">
        <v>0.7</v>
      </c>
      <c r="I277" s="9" t="e">
        <v>#DIV/0!</v>
      </c>
      <c r="J277" s="9">
        <v>1</v>
      </c>
      <c r="K277" s="9">
        <v>0</v>
      </c>
    </row>
    <row r="278" spans="2:11" x14ac:dyDescent="0.2">
      <c r="B278" s="7" t="s">
        <v>1128</v>
      </c>
      <c r="C278">
        <v>2</v>
      </c>
      <c r="D278">
        <v>1</v>
      </c>
      <c r="E278" s="18">
        <v>0.1</v>
      </c>
      <c r="F278">
        <v>0</v>
      </c>
      <c r="G278">
        <v>0</v>
      </c>
      <c r="H278" s="8">
        <v>0.1</v>
      </c>
      <c r="I278" s="9" t="e">
        <v>#DIV/0!</v>
      </c>
      <c r="J278" s="9">
        <v>0.5</v>
      </c>
      <c r="K278" s="9">
        <v>0</v>
      </c>
    </row>
    <row r="279" spans="2:11" x14ac:dyDescent="0.2">
      <c r="B279" s="7" t="s">
        <v>1129</v>
      </c>
      <c r="C279">
        <v>1</v>
      </c>
      <c r="D279">
        <v>1</v>
      </c>
      <c r="E279" s="18">
        <v>0.7</v>
      </c>
      <c r="F279">
        <v>0</v>
      </c>
      <c r="G279">
        <v>0</v>
      </c>
      <c r="H279" s="8">
        <v>0.7</v>
      </c>
      <c r="I279" s="9" t="e">
        <v>#DIV/0!</v>
      </c>
      <c r="J279" s="9">
        <v>1</v>
      </c>
      <c r="K279" s="9">
        <v>0</v>
      </c>
    </row>
    <row r="280" spans="2:11" x14ac:dyDescent="0.2">
      <c r="B280" s="7" t="s">
        <v>1132</v>
      </c>
      <c r="C280">
        <v>26</v>
      </c>
      <c r="D280">
        <v>3</v>
      </c>
      <c r="E280" s="18">
        <v>2.38</v>
      </c>
      <c r="F280">
        <v>0</v>
      </c>
      <c r="G280">
        <v>0</v>
      </c>
      <c r="H280" s="8">
        <v>0.79333333333333333</v>
      </c>
      <c r="I280" s="9" t="e">
        <v>#DIV/0!</v>
      </c>
      <c r="J280" s="9">
        <v>0.11538461538461539</v>
      </c>
      <c r="K280" s="9">
        <v>0</v>
      </c>
    </row>
    <row r="281" spans="2:11" x14ac:dyDescent="0.2">
      <c r="B281" s="7" t="s">
        <v>1133</v>
      </c>
      <c r="C281">
        <v>1</v>
      </c>
      <c r="D281">
        <v>1</v>
      </c>
      <c r="E281" s="18">
        <v>1</v>
      </c>
      <c r="F281">
        <v>0</v>
      </c>
      <c r="G281">
        <v>0</v>
      </c>
      <c r="H281" s="8">
        <v>1</v>
      </c>
      <c r="I281" s="9" t="e">
        <v>#DIV/0!</v>
      </c>
      <c r="J281" s="9">
        <v>1</v>
      </c>
      <c r="K281" s="9">
        <v>0</v>
      </c>
    </row>
    <row r="282" spans="2:11" x14ac:dyDescent="0.2">
      <c r="B282" s="7" t="s">
        <v>1135</v>
      </c>
      <c r="C282">
        <v>2</v>
      </c>
      <c r="D282">
        <v>1</v>
      </c>
      <c r="E282" s="18">
        <v>0.56999999999999995</v>
      </c>
      <c r="F282">
        <v>0</v>
      </c>
      <c r="G282">
        <v>0</v>
      </c>
      <c r="H282" s="8">
        <v>0.56999999999999995</v>
      </c>
      <c r="I282" s="9" t="e">
        <v>#DIV/0!</v>
      </c>
      <c r="J282" s="9">
        <v>0.5</v>
      </c>
      <c r="K282" s="9">
        <v>0</v>
      </c>
    </row>
    <row r="283" spans="2:11" x14ac:dyDescent="0.2">
      <c r="B283" s="7" t="s">
        <v>1136</v>
      </c>
      <c r="C283">
        <v>1</v>
      </c>
      <c r="D283">
        <v>1</v>
      </c>
      <c r="E283" s="18">
        <v>0.6</v>
      </c>
      <c r="F283">
        <v>0</v>
      </c>
      <c r="G283">
        <v>0</v>
      </c>
      <c r="H283" s="8">
        <v>0.6</v>
      </c>
      <c r="I283" s="9" t="e">
        <v>#DIV/0!</v>
      </c>
      <c r="J283" s="9">
        <v>1</v>
      </c>
      <c r="K283" s="9">
        <v>0</v>
      </c>
    </row>
    <row r="284" spans="2:11" x14ac:dyDescent="0.2">
      <c r="B284" s="7" t="s">
        <v>1137</v>
      </c>
      <c r="C284">
        <v>2</v>
      </c>
      <c r="D284">
        <v>1</v>
      </c>
      <c r="E284" s="18">
        <v>0.67</v>
      </c>
      <c r="F284">
        <v>0</v>
      </c>
      <c r="G284">
        <v>0</v>
      </c>
      <c r="H284" s="8">
        <v>0.67</v>
      </c>
      <c r="I284" s="9" t="e">
        <v>#DIV/0!</v>
      </c>
      <c r="J284" s="9">
        <v>0.5</v>
      </c>
      <c r="K284" s="9">
        <v>0</v>
      </c>
    </row>
    <row r="285" spans="2:11" x14ac:dyDescent="0.2">
      <c r="B285" s="7" t="s">
        <v>1140</v>
      </c>
      <c r="C285">
        <v>1</v>
      </c>
      <c r="D285">
        <v>1</v>
      </c>
      <c r="E285" s="18">
        <v>0.56000000000000005</v>
      </c>
      <c r="F285">
        <v>0</v>
      </c>
      <c r="G285">
        <v>0</v>
      </c>
      <c r="H285" s="8">
        <v>0.56000000000000005</v>
      </c>
      <c r="I285" s="9" t="e">
        <v>#DIV/0!</v>
      </c>
      <c r="J285" s="9">
        <v>1</v>
      </c>
      <c r="K285" s="9">
        <v>0</v>
      </c>
    </row>
    <row r="286" spans="2:11" x14ac:dyDescent="0.2">
      <c r="B286" s="7" t="s">
        <v>1144</v>
      </c>
      <c r="C286">
        <v>4</v>
      </c>
      <c r="D286">
        <v>1</v>
      </c>
      <c r="E286" s="18">
        <v>0.69</v>
      </c>
      <c r="F286">
        <v>0</v>
      </c>
      <c r="G286">
        <v>0</v>
      </c>
      <c r="H286" s="8">
        <v>0.69</v>
      </c>
      <c r="I286" s="9" t="e">
        <v>#DIV/0!</v>
      </c>
      <c r="J286" s="9">
        <v>0.25</v>
      </c>
      <c r="K286" s="9">
        <v>0</v>
      </c>
    </row>
    <row r="287" spans="2:11" x14ac:dyDescent="0.2">
      <c r="B287" s="7" t="s">
        <v>1145</v>
      </c>
      <c r="C287">
        <v>1</v>
      </c>
      <c r="D287">
        <v>1</v>
      </c>
      <c r="E287" s="18">
        <v>0.1</v>
      </c>
      <c r="F287">
        <v>0</v>
      </c>
      <c r="G287">
        <v>0</v>
      </c>
      <c r="H287" s="8">
        <v>0.1</v>
      </c>
      <c r="I287" s="9" t="e">
        <v>#DIV/0!</v>
      </c>
      <c r="J287" s="9">
        <v>1</v>
      </c>
      <c r="K287" s="9">
        <v>0</v>
      </c>
    </row>
    <row r="288" spans="2:11" x14ac:dyDescent="0.2">
      <c r="B288" s="7" t="s">
        <v>1146</v>
      </c>
      <c r="C288">
        <v>4</v>
      </c>
      <c r="D288">
        <v>1</v>
      </c>
      <c r="E288" s="18">
        <v>0.7</v>
      </c>
      <c r="F288">
        <v>0</v>
      </c>
      <c r="G288">
        <v>0</v>
      </c>
      <c r="H288" s="8">
        <v>0.7</v>
      </c>
      <c r="I288" s="9" t="e">
        <v>#DIV/0!</v>
      </c>
      <c r="J288" s="9">
        <v>0.25</v>
      </c>
      <c r="K288" s="9">
        <v>0</v>
      </c>
    </row>
    <row r="289" spans="2:11" x14ac:dyDescent="0.2">
      <c r="B289" s="7" t="s">
        <v>1147</v>
      </c>
      <c r="C289">
        <v>4</v>
      </c>
      <c r="D289">
        <v>2</v>
      </c>
      <c r="E289" s="18">
        <v>1.29</v>
      </c>
      <c r="F289">
        <v>0</v>
      </c>
      <c r="G289">
        <v>0</v>
      </c>
      <c r="H289" s="8">
        <v>0.64500000000000002</v>
      </c>
      <c r="I289" s="9" t="e">
        <v>#DIV/0!</v>
      </c>
      <c r="J289" s="9">
        <v>0.5</v>
      </c>
      <c r="K289" s="9">
        <v>0</v>
      </c>
    </row>
    <row r="290" spans="2:11" x14ac:dyDescent="0.2">
      <c r="B290" s="7" t="s">
        <v>1148</v>
      </c>
      <c r="C290">
        <v>1</v>
      </c>
      <c r="D290">
        <v>1</v>
      </c>
      <c r="E290" s="18">
        <v>0.1</v>
      </c>
      <c r="F290">
        <v>0</v>
      </c>
      <c r="G290">
        <v>0</v>
      </c>
      <c r="H290" s="8">
        <v>0.1</v>
      </c>
      <c r="I290" s="9" t="e">
        <v>#DIV/0!</v>
      </c>
      <c r="J290" s="9">
        <v>1</v>
      </c>
      <c r="K290" s="9">
        <v>0</v>
      </c>
    </row>
    <row r="291" spans="2:11" x14ac:dyDescent="0.2">
      <c r="B291" s="7" t="s">
        <v>1149</v>
      </c>
      <c r="C291">
        <v>2</v>
      </c>
      <c r="D291">
        <v>1</v>
      </c>
      <c r="E291" s="18">
        <v>0.66</v>
      </c>
      <c r="F291">
        <v>18.04</v>
      </c>
      <c r="G291">
        <v>1</v>
      </c>
      <c r="H291" s="8">
        <v>0.66</v>
      </c>
      <c r="I291" s="9">
        <v>3.6585365853658541E-2</v>
      </c>
      <c r="J291" s="9">
        <v>0.5</v>
      </c>
      <c r="K291" s="9">
        <v>1</v>
      </c>
    </row>
    <row r="292" spans="2:11" x14ac:dyDescent="0.2">
      <c r="B292" s="7" t="s">
        <v>1150</v>
      </c>
      <c r="C292">
        <v>1</v>
      </c>
      <c r="D292">
        <v>1</v>
      </c>
      <c r="E292" s="18">
        <v>0.7</v>
      </c>
      <c r="F292">
        <v>0</v>
      </c>
      <c r="G292">
        <v>0</v>
      </c>
      <c r="H292" s="8">
        <v>0.7</v>
      </c>
      <c r="I292" s="9" t="e">
        <v>#DIV/0!</v>
      </c>
      <c r="J292" s="9">
        <v>1</v>
      </c>
      <c r="K292" s="9">
        <v>0</v>
      </c>
    </row>
    <row r="293" spans="2:11" x14ac:dyDescent="0.2">
      <c r="B293" s="7" t="s">
        <v>1151</v>
      </c>
      <c r="C293">
        <v>1</v>
      </c>
      <c r="D293">
        <v>1</v>
      </c>
      <c r="E293" s="18">
        <v>0.92</v>
      </c>
      <c r="F293">
        <v>0</v>
      </c>
      <c r="G293">
        <v>0</v>
      </c>
      <c r="H293" s="8">
        <v>0.92</v>
      </c>
      <c r="I293" s="9" t="e">
        <v>#DIV/0!</v>
      </c>
      <c r="J293" s="9">
        <v>1</v>
      </c>
      <c r="K293" s="9">
        <v>0</v>
      </c>
    </row>
    <row r="294" spans="2:11" x14ac:dyDescent="0.2">
      <c r="B294" s="7" t="s">
        <v>1152</v>
      </c>
      <c r="C294">
        <v>2</v>
      </c>
      <c r="D294">
        <v>1</v>
      </c>
      <c r="E294" s="18">
        <v>1</v>
      </c>
      <c r="F294">
        <v>0</v>
      </c>
      <c r="G294">
        <v>0</v>
      </c>
      <c r="H294" s="8">
        <v>1</v>
      </c>
      <c r="I294" s="9" t="e">
        <v>#DIV/0!</v>
      </c>
      <c r="J294" s="9">
        <v>0.5</v>
      </c>
      <c r="K294" s="9">
        <v>0</v>
      </c>
    </row>
    <row r="295" spans="2:11" x14ac:dyDescent="0.2">
      <c r="B295" s="7" t="s">
        <v>1160</v>
      </c>
      <c r="C295">
        <v>1</v>
      </c>
      <c r="D295">
        <v>1</v>
      </c>
      <c r="E295" s="18">
        <v>0.6</v>
      </c>
      <c r="F295">
        <v>0</v>
      </c>
      <c r="G295">
        <v>0</v>
      </c>
      <c r="H295" s="8">
        <v>0.6</v>
      </c>
      <c r="I295" s="9" t="e">
        <v>#DIV/0!</v>
      </c>
      <c r="J295" s="9">
        <v>1</v>
      </c>
      <c r="K295" s="9">
        <v>0</v>
      </c>
    </row>
    <row r="296" spans="2:11" x14ac:dyDescent="0.2">
      <c r="B296" s="7" t="s">
        <v>1161</v>
      </c>
      <c r="C296">
        <v>1</v>
      </c>
      <c r="D296">
        <v>1</v>
      </c>
      <c r="E296" s="18">
        <v>0.57999999999999996</v>
      </c>
      <c r="F296">
        <v>0</v>
      </c>
      <c r="G296">
        <v>0</v>
      </c>
      <c r="H296" s="8">
        <v>0.57999999999999996</v>
      </c>
      <c r="I296" s="9" t="e">
        <v>#DIV/0!</v>
      </c>
      <c r="J296" s="9">
        <v>1</v>
      </c>
      <c r="K296" s="9">
        <v>0</v>
      </c>
    </row>
    <row r="297" spans="2:11" x14ac:dyDescent="0.2">
      <c r="B297" s="7" t="s">
        <v>1170</v>
      </c>
      <c r="C297">
        <v>1</v>
      </c>
      <c r="D297">
        <v>1</v>
      </c>
      <c r="E297" s="18">
        <v>0.54</v>
      </c>
      <c r="F297">
        <v>0</v>
      </c>
      <c r="G297">
        <v>0</v>
      </c>
      <c r="H297" s="8">
        <v>0.54</v>
      </c>
      <c r="I297" s="9" t="e">
        <v>#DIV/0!</v>
      </c>
      <c r="J297" s="9">
        <v>1</v>
      </c>
      <c r="K297" s="9">
        <v>0</v>
      </c>
    </row>
    <row r="298" spans="2:11" x14ac:dyDescent="0.2">
      <c r="B298" s="7" t="s">
        <v>1174</v>
      </c>
      <c r="C298">
        <v>1</v>
      </c>
      <c r="D298">
        <v>1</v>
      </c>
      <c r="E298" s="18">
        <v>0.63</v>
      </c>
      <c r="F298">
        <v>0</v>
      </c>
      <c r="G298">
        <v>0</v>
      </c>
      <c r="H298" s="8">
        <v>0.63</v>
      </c>
      <c r="I298" s="9" t="e">
        <v>#DIV/0!</v>
      </c>
      <c r="J298" s="9">
        <v>1</v>
      </c>
      <c r="K298" s="9">
        <v>0</v>
      </c>
    </row>
    <row r="299" spans="2:11" x14ac:dyDescent="0.2">
      <c r="B299" s="7" t="s">
        <v>1186</v>
      </c>
      <c r="C299">
        <v>2</v>
      </c>
      <c r="D299">
        <v>1</v>
      </c>
      <c r="E299" s="18">
        <v>0.56999999999999995</v>
      </c>
      <c r="F299">
        <v>0</v>
      </c>
      <c r="G299">
        <v>0</v>
      </c>
      <c r="H299" s="8">
        <v>0.56999999999999995</v>
      </c>
      <c r="I299" s="9" t="e">
        <v>#DIV/0!</v>
      </c>
      <c r="J299" s="9">
        <v>0.5</v>
      </c>
      <c r="K299" s="9">
        <v>0</v>
      </c>
    </row>
    <row r="300" spans="2:11" x14ac:dyDescent="0.2">
      <c r="B300" s="7" t="s">
        <v>1187</v>
      </c>
      <c r="C300">
        <v>1</v>
      </c>
      <c r="D300">
        <v>1</v>
      </c>
      <c r="E300" s="18">
        <v>0.72</v>
      </c>
      <c r="F300">
        <v>0</v>
      </c>
      <c r="G300">
        <v>0</v>
      </c>
      <c r="H300" s="8">
        <v>0.72</v>
      </c>
      <c r="I300" s="9" t="e">
        <v>#DIV/0!</v>
      </c>
      <c r="J300" s="9">
        <v>1</v>
      </c>
      <c r="K300" s="9">
        <v>0</v>
      </c>
    </row>
    <row r="301" spans="2:11" x14ac:dyDescent="0.2">
      <c r="B301" s="7" t="s">
        <v>1193</v>
      </c>
      <c r="C301">
        <v>1</v>
      </c>
      <c r="D301">
        <v>1</v>
      </c>
      <c r="E301" s="18">
        <v>0.54</v>
      </c>
      <c r="F301">
        <v>0</v>
      </c>
      <c r="G301">
        <v>0</v>
      </c>
      <c r="H301" s="8">
        <v>0.54</v>
      </c>
      <c r="I301" s="9" t="e">
        <v>#DIV/0!</v>
      </c>
      <c r="J301" s="9">
        <v>1</v>
      </c>
      <c r="K301" s="9">
        <v>0</v>
      </c>
    </row>
    <row r="302" spans="2:11" x14ac:dyDescent="0.2">
      <c r="B302" s="7" t="s">
        <v>1198</v>
      </c>
      <c r="C302">
        <v>1</v>
      </c>
      <c r="D302">
        <v>1</v>
      </c>
      <c r="E302" s="18">
        <v>1</v>
      </c>
      <c r="F302">
        <v>0</v>
      </c>
      <c r="G302">
        <v>0</v>
      </c>
      <c r="H302" s="8">
        <v>1</v>
      </c>
      <c r="I302" s="9" t="e">
        <v>#DIV/0!</v>
      </c>
      <c r="J302" s="9">
        <v>1</v>
      </c>
      <c r="K302" s="9">
        <v>0</v>
      </c>
    </row>
    <row r="303" spans="2:11" x14ac:dyDescent="0.2">
      <c r="B303" s="7" t="s">
        <v>1199</v>
      </c>
      <c r="C303">
        <v>4</v>
      </c>
      <c r="D303">
        <v>1</v>
      </c>
      <c r="E303" s="18">
        <v>0.72</v>
      </c>
      <c r="F303">
        <v>0</v>
      </c>
      <c r="G303">
        <v>0</v>
      </c>
      <c r="H303" s="8">
        <v>0.72</v>
      </c>
      <c r="I303" s="9" t="e">
        <v>#DIV/0!</v>
      </c>
      <c r="J303" s="9">
        <v>0.25</v>
      </c>
      <c r="K303" s="9">
        <v>0</v>
      </c>
    </row>
    <row r="304" spans="2:11" x14ac:dyDescent="0.2">
      <c r="B304" s="7" t="s">
        <v>1242</v>
      </c>
      <c r="C304">
        <v>1</v>
      </c>
      <c r="D304">
        <v>1</v>
      </c>
      <c r="E304" s="18">
        <v>0.5</v>
      </c>
      <c r="F304">
        <v>0</v>
      </c>
      <c r="G304">
        <v>0</v>
      </c>
      <c r="H304" s="8">
        <v>0.5</v>
      </c>
      <c r="I304" s="9" t="e">
        <v>#DIV/0!</v>
      </c>
      <c r="J304" s="9">
        <v>1</v>
      </c>
      <c r="K304" s="9">
        <v>0</v>
      </c>
    </row>
    <row r="305" spans="2:11" x14ac:dyDescent="0.2">
      <c r="B305" s="7" t="s">
        <v>1259</v>
      </c>
      <c r="C305">
        <v>2</v>
      </c>
      <c r="D305">
        <v>1</v>
      </c>
      <c r="E305" s="18">
        <v>0.78</v>
      </c>
      <c r="F305">
        <v>37.979999999999997</v>
      </c>
      <c r="G305">
        <v>1</v>
      </c>
      <c r="H305" s="8">
        <v>0.78</v>
      </c>
      <c r="I305" s="9">
        <v>2.0537124802527649E-2</v>
      </c>
      <c r="J305" s="9">
        <v>0.5</v>
      </c>
      <c r="K305" s="9">
        <v>1</v>
      </c>
    </row>
    <row r="306" spans="2:11" x14ac:dyDescent="0.2">
      <c r="B306" s="7" t="s">
        <v>1263</v>
      </c>
      <c r="C306">
        <v>2</v>
      </c>
      <c r="D306">
        <v>1</v>
      </c>
      <c r="E306" s="18">
        <v>0.52</v>
      </c>
      <c r="F306">
        <v>0</v>
      </c>
      <c r="G306">
        <v>0</v>
      </c>
      <c r="H306" s="8">
        <v>0.52</v>
      </c>
      <c r="I306" s="9" t="e">
        <v>#DIV/0!</v>
      </c>
      <c r="J306" s="9">
        <v>0.5</v>
      </c>
      <c r="K306" s="9">
        <v>0</v>
      </c>
    </row>
    <row r="307" spans="2:11" x14ac:dyDescent="0.2">
      <c r="B307" s="7" t="s">
        <v>1270</v>
      </c>
      <c r="C307">
        <v>2</v>
      </c>
      <c r="D307">
        <v>1</v>
      </c>
      <c r="E307" s="18">
        <v>0.52</v>
      </c>
      <c r="F307">
        <v>0</v>
      </c>
      <c r="G307">
        <v>0</v>
      </c>
      <c r="H307" s="8">
        <v>0.52</v>
      </c>
      <c r="I307" s="9" t="e">
        <v>#DIV/0!</v>
      </c>
      <c r="J307" s="9">
        <v>0.5</v>
      </c>
      <c r="K307" s="9">
        <v>0</v>
      </c>
    </row>
    <row r="308" spans="2:11" x14ac:dyDescent="0.2">
      <c r="B308" s="7" t="s">
        <v>1282</v>
      </c>
      <c r="C308">
        <v>1</v>
      </c>
      <c r="D308">
        <v>1</v>
      </c>
      <c r="E308" s="18">
        <v>0.61</v>
      </c>
      <c r="F308">
        <v>17.09</v>
      </c>
      <c r="G308">
        <v>1</v>
      </c>
      <c r="H308" s="8">
        <v>0.61</v>
      </c>
      <c r="I308" s="9">
        <v>3.5693387946167346E-2</v>
      </c>
      <c r="J308" s="9">
        <v>1</v>
      </c>
      <c r="K308" s="9">
        <v>1</v>
      </c>
    </row>
    <row r="309" spans="2:11" x14ac:dyDescent="0.2">
      <c r="B309" s="7" t="s">
        <v>1288</v>
      </c>
      <c r="C309">
        <v>2</v>
      </c>
      <c r="D309">
        <v>1</v>
      </c>
      <c r="E309" s="18">
        <v>0.54</v>
      </c>
      <c r="F309">
        <v>0</v>
      </c>
      <c r="G309">
        <v>0</v>
      </c>
      <c r="H309" s="8">
        <v>0.54</v>
      </c>
      <c r="I309" s="9" t="e">
        <v>#DIV/0!</v>
      </c>
      <c r="J309" s="9">
        <v>0.5</v>
      </c>
      <c r="K309" s="9">
        <v>0</v>
      </c>
    </row>
    <row r="310" spans="2:11" x14ac:dyDescent="0.2">
      <c r="B310" s="7" t="s">
        <v>1306</v>
      </c>
      <c r="C310">
        <v>2</v>
      </c>
      <c r="D310">
        <v>1</v>
      </c>
      <c r="E310" s="18">
        <v>0.61</v>
      </c>
      <c r="F310">
        <v>0</v>
      </c>
      <c r="G310">
        <v>0</v>
      </c>
      <c r="H310" s="8">
        <v>0.61</v>
      </c>
      <c r="I310" s="9" t="e">
        <v>#DIV/0!</v>
      </c>
      <c r="J310" s="9">
        <v>0.5</v>
      </c>
      <c r="K310" s="9">
        <v>0</v>
      </c>
    </row>
    <row r="311" spans="2:11" x14ac:dyDescent="0.2">
      <c r="B311" s="7" t="s">
        <v>1313</v>
      </c>
      <c r="C311">
        <v>1</v>
      </c>
      <c r="D311">
        <v>1</v>
      </c>
      <c r="E311" s="18">
        <v>0.53</v>
      </c>
      <c r="F311">
        <v>0</v>
      </c>
      <c r="G311">
        <v>0</v>
      </c>
      <c r="H311" s="8">
        <v>0.53</v>
      </c>
      <c r="I311" s="9" t="e">
        <v>#DIV/0!</v>
      </c>
      <c r="J311" s="9">
        <v>1</v>
      </c>
      <c r="K311" s="9">
        <v>0</v>
      </c>
    </row>
    <row r="312" spans="2:11" x14ac:dyDescent="0.2">
      <c r="B312" s="7" t="s">
        <v>1316</v>
      </c>
      <c r="C312">
        <v>1</v>
      </c>
      <c r="D312">
        <v>1</v>
      </c>
      <c r="E312" s="18">
        <v>0.52</v>
      </c>
      <c r="F312">
        <v>0</v>
      </c>
      <c r="G312">
        <v>0</v>
      </c>
      <c r="H312" s="8">
        <v>0.52</v>
      </c>
      <c r="I312" s="9" t="e">
        <v>#DIV/0!</v>
      </c>
      <c r="J312" s="9">
        <v>1</v>
      </c>
      <c r="K312" s="9">
        <v>0</v>
      </c>
    </row>
    <row r="313" spans="2:11" x14ac:dyDescent="0.2">
      <c r="B313" s="7" t="s">
        <v>1321</v>
      </c>
      <c r="C313">
        <v>2</v>
      </c>
      <c r="D313">
        <v>1</v>
      </c>
      <c r="E313" s="18">
        <v>0.53</v>
      </c>
      <c r="F313">
        <v>0</v>
      </c>
      <c r="G313">
        <v>0</v>
      </c>
      <c r="H313" s="8">
        <v>0.53</v>
      </c>
      <c r="I313" s="9" t="e">
        <v>#DIV/0!</v>
      </c>
      <c r="J313" s="9">
        <v>0.5</v>
      </c>
      <c r="K313" s="9">
        <v>0</v>
      </c>
    </row>
    <row r="314" spans="2:11" x14ac:dyDescent="0.2">
      <c r="B314" s="7" t="s">
        <v>1334</v>
      </c>
      <c r="C314">
        <v>2</v>
      </c>
      <c r="D314">
        <v>1</v>
      </c>
      <c r="E314" s="18">
        <v>0.53</v>
      </c>
      <c r="F314">
        <v>0</v>
      </c>
      <c r="G314">
        <v>0</v>
      </c>
      <c r="H314" s="8">
        <v>0.53</v>
      </c>
      <c r="I314" s="9" t="e">
        <v>#DIV/0!</v>
      </c>
      <c r="J314" s="9">
        <v>0.5</v>
      </c>
      <c r="K314" s="9">
        <v>0</v>
      </c>
    </row>
    <row r="315" spans="2:11" x14ac:dyDescent="0.2">
      <c r="B315" s="7" t="s">
        <v>1339</v>
      </c>
      <c r="C315">
        <v>1</v>
      </c>
      <c r="D315">
        <v>1</v>
      </c>
      <c r="E315" s="18">
        <v>0.75</v>
      </c>
      <c r="F315">
        <v>18.989999999999998</v>
      </c>
      <c r="G315">
        <v>1</v>
      </c>
      <c r="H315" s="8">
        <v>0.75</v>
      </c>
      <c r="I315" s="9">
        <v>3.9494470774091628E-2</v>
      </c>
      <c r="J315" s="9">
        <v>1</v>
      </c>
      <c r="K315" s="9">
        <v>1</v>
      </c>
    </row>
    <row r="316" spans="2:11" x14ac:dyDescent="0.2">
      <c r="B316" s="7" t="s">
        <v>1342</v>
      </c>
      <c r="C316">
        <v>1</v>
      </c>
      <c r="D316">
        <v>1</v>
      </c>
      <c r="E316" s="18">
        <v>0.6</v>
      </c>
      <c r="F316">
        <v>0</v>
      </c>
      <c r="G316">
        <v>0</v>
      </c>
      <c r="H316" s="8">
        <v>0.6</v>
      </c>
      <c r="I316" s="9" t="e">
        <v>#DIV/0!</v>
      </c>
      <c r="J316" s="9">
        <v>1</v>
      </c>
      <c r="K316" s="9">
        <v>0</v>
      </c>
    </row>
    <row r="317" spans="2:11" x14ac:dyDescent="0.2">
      <c r="B317" s="7" t="s">
        <v>1355</v>
      </c>
      <c r="C317">
        <v>1</v>
      </c>
      <c r="D317">
        <v>1</v>
      </c>
      <c r="E317" s="18">
        <v>0.49</v>
      </c>
      <c r="F317">
        <v>0</v>
      </c>
      <c r="G317">
        <v>0</v>
      </c>
      <c r="H317" s="8">
        <v>0.49</v>
      </c>
      <c r="I317" s="9" t="e">
        <v>#DIV/0!</v>
      </c>
      <c r="J317" s="9">
        <v>1</v>
      </c>
      <c r="K317" s="9">
        <v>0</v>
      </c>
    </row>
    <row r="318" spans="2:11" x14ac:dyDescent="0.2">
      <c r="B318" s="7" t="s">
        <v>1357</v>
      </c>
      <c r="C318">
        <v>1</v>
      </c>
      <c r="D318">
        <v>1</v>
      </c>
      <c r="E318" s="18">
        <v>0.63</v>
      </c>
      <c r="F318">
        <v>0</v>
      </c>
      <c r="G318">
        <v>0</v>
      </c>
      <c r="H318" s="8">
        <v>0.63</v>
      </c>
      <c r="I318" s="9" t="e">
        <v>#DIV/0!</v>
      </c>
      <c r="J318" s="9">
        <v>1</v>
      </c>
      <c r="K318" s="9">
        <v>0</v>
      </c>
    </row>
    <row r="319" spans="2:11" x14ac:dyDescent="0.2">
      <c r="B319" s="7" t="s">
        <v>1373</v>
      </c>
      <c r="C319">
        <v>1</v>
      </c>
      <c r="D319">
        <v>1</v>
      </c>
      <c r="E319" s="18">
        <v>0.55000000000000004</v>
      </c>
      <c r="F319">
        <v>0</v>
      </c>
      <c r="G319">
        <v>0</v>
      </c>
      <c r="H319" s="8">
        <v>0.55000000000000004</v>
      </c>
      <c r="I319" s="9" t="e">
        <v>#DIV/0!</v>
      </c>
      <c r="J319" s="9">
        <v>1</v>
      </c>
      <c r="K319" s="9">
        <v>0</v>
      </c>
    </row>
    <row r="320" spans="2:11" x14ac:dyDescent="0.2">
      <c r="B320" s="7" t="s">
        <v>985</v>
      </c>
      <c r="C320">
        <v>3576</v>
      </c>
      <c r="D320">
        <v>479</v>
      </c>
      <c r="E320" s="18">
        <v>277.71000000000004</v>
      </c>
      <c r="F320">
        <v>790.75999999999988</v>
      </c>
      <c r="G320">
        <v>36</v>
      </c>
      <c r="H320" s="8">
        <v>0.57977035490605433</v>
      </c>
      <c r="I320" s="9">
        <v>0.35119378825433767</v>
      </c>
      <c r="J320" s="9">
        <v>0.13394854586129754</v>
      </c>
      <c r="K320" s="9">
        <v>7.5156576200417533E-2</v>
      </c>
    </row>
    <row r="321" spans="1:5" customFormat="1" x14ac:dyDescent="0.2">
      <c r="A321" s="19"/>
      <c r="E321" s="18"/>
    </row>
    <row r="322" spans="1:5" customFormat="1" x14ac:dyDescent="0.2">
      <c r="A322" s="19"/>
      <c r="E322" s="18"/>
    </row>
    <row r="323" spans="1:5" customFormat="1" x14ac:dyDescent="0.2">
      <c r="A323" s="19"/>
      <c r="E323" s="18"/>
    </row>
    <row r="324" spans="1:5" customFormat="1" x14ac:dyDescent="0.2">
      <c r="A324" s="19"/>
      <c r="E324" s="18"/>
    </row>
    <row r="325" spans="1:5" customFormat="1" x14ac:dyDescent="0.2">
      <c r="A325" s="19"/>
      <c r="E325" s="18"/>
    </row>
    <row r="326" spans="1:5" customFormat="1" x14ac:dyDescent="0.2">
      <c r="A326" s="19"/>
      <c r="E326" s="18"/>
    </row>
    <row r="327" spans="1:5" customFormat="1" x14ac:dyDescent="0.2">
      <c r="A327" s="19"/>
      <c r="E327" s="18"/>
    </row>
    <row r="328" spans="1:5" customFormat="1" x14ac:dyDescent="0.2">
      <c r="A328" s="19"/>
      <c r="E328" s="18"/>
    </row>
    <row r="329" spans="1:5" customFormat="1" x14ac:dyDescent="0.2">
      <c r="A329" s="19"/>
      <c r="E329" s="18"/>
    </row>
    <row r="330" spans="1:5" customFormat="1" x14ac:dyDescent="0.2">
      <c r="A330" s="19"/>
      <c r="E330" s="18"/>
    </row>
    <row r="331" spans="1:5" customFormat="1" x14ac:dyDescent="0.2">
      <c r="A331" s="19"/>
      <c r="E331" s="18"/>
    </row>
    <row r="332" spans="1:5" customFormat="1" x14ac:dyDescent="0.2">
      <c r="A332" s="19"/>
      <c r="E332" s="18"/>
    </row>
    <row r="333" spans="1:5" customFormat="1" x14ac:dyDescent="0.2">
      <c r="A333" s="19"/>
      <c r="E333" s="18"/>
    </row>
    <row r="334" spans="1:5" customFormat="1" x14ac:dyDescent="0.2">
      <c r="A334" s="19"/>
      <c r="E334" s="18"/>
    </row>
    <row r="335" spans="1:5" customFormat="1" x14ac:dyDescent="0.2">
      <c r="A335" s="19"/>
      <c r="E335" s="18"/>
    </row>
    <row r="336" spans="1:5" customFormat="1" x14ac:dyDescent="0.2">
      <c r="A336" s="19"/>
      <c r="E336" s="18"/>
    </row>
    <row r="337" spans="1:5" customFormat="1" x14ac:dyDescent="0.2">
      <c r="A337" s="19"/>
      <c r="E337" s="18"/>
    </row>
    <row r="338" spans="1:5" customFormat="1" x14ac:dyDescent="0.2">
      <c r="A338" s="19"/>
      <c r="E338" s="18"/>
    </row>
    <row r="339" spans="1:5" customFormat="1" x14ac:dyDescent="0.2">
      <c r="A339" s="19"/>
      <c r="E339" s="18"/>
    </row>
    <row r="340" spans="1:5" customFormat="1" x14ac:dyDescent="0.2">
      <c r="A340" s="19"/>
      <c r="E340" s="18"/>
    </row>
    <row r="341" spans="1:5" customFormat="1" x14ac:dyDescent="0.2">
      <c r="A341" s="19"/>
      <c r="E341" s="18"/>
    </row>
    <row r="342" spans="1:5" customFormat="1" x14ac:dyDescent="0.2">
      <c r="A342" s="19"/>
      <c r="E342" s="18"/>
    </row>
    <row r="343" spans="1:5" customFormat="1" x14ac:dyDescent="0.2">
      <c r="A343" s="19"/>
      <c r="E343" s="18"/>
    </row>
    <row r="344" spans="1:5" customFormat="1" x14ac:dyDescent="0.2">
      <c r="A344" s="19"/>
      <c r="E344" s="18"/>
    </row>
    <row r="345" spans="1:5" customFormat="1" x14ac:dyDescent="0.2">
      <c r="A345" s="19"/>
      <c r="E345" s="18"/>
    </row>
    <row r="346" spans="1:5" customFormat="1" x14ac:dyDescent="0.2">
      <c r="A346" s="19"/>
      <c r="E346" s="18"/>
    </row>
    <row r="347" spans="1:5" customFormat="1" x14ac:dyDescent="0.2">
      <c r="A347" s="19"/>
      <c r="E347" s="18"/>
    </row>
    <row r="348" spans="1:5" customFormat="1" x14ac:dyDescent="0.2">
      <c r="A348" s="19"/>
      <c r="E348" s="18"/>
    </row>
    <row r="349" spans="1:5" customFormat="1" x14ac:dyDescent="0.2">
      <c r="A349" s="19"/>
      <c r="E349" s="18"/>
    </row>
    <row r="350" spans="1:5" customFormat="1" x14ac:dyDescent="0.2">
      <c r="A350" s="19"/>
      <c r="E350" s="18"/>
    </row>
    <row r="351" spans="1:5" customFormat="1" x14ac:dyDescent="0.2">
      <c r="A351" s="19"/>
      <c r="E351" s="18"/>
    </row>
    <row r="352" spans="1:5" customFormat="1" x14ac:dyDescent="0.2">
      <c r="A352" s="19"/>
      <c r="E352" s="18"/>
    </row>
    <row r="353" spans="1:5" customFormat="1" x14ac:dyDescent="0.2">
      <c r="A353" s="19"/>
      <c r="E353" s="18"/>
    </row>
    <row r="354" spans="1:5" customFormat="1" x14ac:dyDescent="0.2">
      <c r="A354" s="19"/>
      <c r="E354" s="18"/>
    </row>
    <row r="355" spans="1:5" customFormat="1" x14ac:dyDescent="0.2">
      <c r="A355" s="19"/>
      <c r="E355" s="18"/>
    </row>
    <row r="356" spans="1:5" customFormat="1" x14ac:dyDescent="0.2">
      <c r="A356" s="19"/>
      <c r="E356" s="18"/>
    </row>
    <row r="357" spans="1:5" customFormat="1" x14ac:dyDescent="0.2">
      <c r="A357" s="19"/>
      <c r="E357" s="18"/>
    </row>
    <row r="358" spans="1:5" customFormat="1" x14ac:dyDescent="0.2">
      <c r="A358" s="19"/>
      <c r="E358" s="18"/>
    </row>
    <row r="359" spans="1:5" customFormat="1" x14ac:dyDescent="0.2">
      <c r="A359" s="19"/>
      <c r="E359" s="18"/>
    </row>
    <row r="360" spans="1:5" customFormat="1" x14ac:dyDescent="0.2">
      <c r="A360" s="19"/>
      <c r="E360" s="18"/>
    </row>
    <row r="361" spans="1:5" customFormat="1" x14ac:dyDescent="0.2">
      <c r="A361" s="19"/>
      <c r="E361" s="18"/>
    </row>
    <row r="362" spans="1:5" customFormat="1" x14ac:dyDescent="0.2">
      <c r="A362" s="19"/>
      <c r="E362" s="18"/>
    </row>
    <row r="363" spans="1:5" customFormat="1" x14ac:dyDescent="0.2">
      <c r="A363" s="19"/>
      <c r="E363" s="18"/>
    </row>
    <row r="364" spans="1:5" customFormat="1" x14ac:dyDescent="0.2">
      <c r="A364" s="19"/>
      <c r="E364" s="18"/>
    </row>
    <row r="365" spans="1:5" customFormat="1" x14ac:dyDescent="0.2">
      <c r="A365" s="19"/>
      <c r="E365" s="18"/>
    </row>
    <row r="366" spans="1:5" customFormat="1" x14ac:dyDescent="0.2">
      <c r="A366" s="19"/>
      <c r="E366" s="18"/>
    </row>
    <row r="367" spans="1:5" customFormat="1" x14ac:dyDescent="0.2">
      <c r="A367" s="19"/>
      <c r="E367" s="18"/>
    </row>
    <row r="368" spans="1:5" customFormat="1" x14ac:dyDescent="0.2">
      <c r="A368" s="19"/>
      <c r="E368" s="18"/>
    </row>
    <row r="369" spans="1:5" customFormat="1" x14ac:dyDescent="0.2">
      <c r="A369" s="19"/>
      <c r="E369" s="18"/>
    </row>
    <row r="370" spans="1:5" customFormat="1" x14ac:dyDescent="0.2">
      <c r="A370" s="19"/>
      <c r="E370" s="18"/>
    </row>
    <row r="371" spans="1:5" customFormat="1" x14ac:dyDescent="0.2">
      <c r="A371" s="19"/>
      <c r="E371" s="18"/>
    </row>
    <row r="372" spans="1:5" customFormat="1" x14ac:dyDescent="0.2">
      <c r="A372" s="19"/>
      <c r="E372" s="18"/>
    </row>
    <row r="373" spans="1:5" customFormat="1" x14ac:dyDescent="0.2">
      <c r="A373" s="19"/>
      <c r="E373" s="18"/>
    </row>
    <row r="374" spans="1:5" customFormat="1" x14ac:dyDescent="0.2">
      <c r="A374" s="19"/>
      <c r="E374" s="18"/>
    </row>
    <row r="375" spans="1:5" customFormat="1" x14ac:dyDescent="0.2">
      <c r="A375" s="19"/>
      <c r="E375" s="18"/>
    </row>
    <row r="376" spans="1:5" customFormat="1" x14ac:dyDescent="0.2">
      <c r="A376" s="19"/>
      <c r="E376" s="18"/>
    </row>
    <row r="377" spans="1:5" customFormat="1" x14ac:dyDescent="0.2">
      <c r="A377" s="19"/>
      <c r="E377" s="18"/>
    </row>
    <row r="378" spans="1:5" customFormat="1" x14ac:dyDescent="0.2">
      <c r="A378" s="19"/>
      <c r="E378" s="18"/>
    </row>
    <row r="379" spans="1:5" customFormat="1" x14ac:dyDescent="0.2">
      <c r="A379" s="19"/>
      <c r="E379" s="18"/>
    </row>
    <row r="380" spans="1:5" customFormat="1" x14ac:dyDescent="0.2">
      <c r="A380" s="19"/>
      <c r="E380" s="18"/>
    </row>
    <row r="381" spans="1:5" customFormat="1" x14ac:dyDescent="0.2">
      <c r="A381" s="19"/>
      <c r="E381" s="18"/>
    </row>
    <row r="382" spans="1:5" customFormat="1" x14ac:dyDescent="0.2">
      <c r="A382" s="19"/>
      <c r="E382" s="18"/>
    </row>
    <row r="383" spans="1:5" customFormat="1" x14ac:dyDescent="0.2">
      <c r="A383" s="19"/>
      <c r="E383" s="18"/>
    </row>
    <row r="384" spans="1:5" customFormat="1" x14ac:dyDescent="0.2">
      <c r="A384" s="19"/>
      <c r="E384" s="18"/>
    </row>
    <row r="385" spans="1:5" customFormat="1" x14ac:dyDescent="0.2">
      <c r="A385" s="19"/>
      <c r="E385" s="18"/>
    </row>
    <row r="386" spans="1:5" customFormat="1" x14ac:dyDescent="0.2">
      <c r="A386" s="19"/>
      <c r="E386" s="18"/>
    </row>
    <row r="387" spans="1:5" customFormat="1" x14ac:dyDescent="0.2">
      <c r="A387" s="19"/>
      <c r="E387" s="18"/>
    </row>
    <row r="388" spans="1:5" customFormat="1" x14ac:dyDescent="0.2">
      <c r="A388" s="19"/>
      <c r="E388" s="18"/>
    </row>
    <row r="389" spans="1:5" customFormat="1" x14ac:dyDescent="0.2">
      <c r="A389" s="19"/>
      <c r="E389" s="18"/>
    </row>
    <row r="390" spans="1:5" customFormat="1" x14ac:dyDescent="0.2">
      <c r="A390" s="19"/>
      <c r="E390" s="18"/>
    </row>
    <row r="391" spans="1:5" customFormat="1" x14ac:dyDescent="0.2">
      <c r="A391" s="19"/>
      <c r="E391" s="18"/>
    </row>
    <row r="392" spans="1:5" customFormat="1" x14ac:dyDescent="0.2">
      <c r="A392" s="19"/>
      <c r="E392" s="18"/>
    </row>
    <row r="393" spans="1:5" customFormat="1" x14ac:dyDescent="0.2">
      <c r="A393" s="19"/>
      <c r="E393" s="18"/>
    </row>
    <row r="394" spans="1:5" customFormat="1" x14ac:dyDescent="0.2">
      <c r="A394" s="19"/>
      <c r="E394" s="18"/>
    </row>
    <row r="395" spans="1:5" customFormat="1" x14ac:dyDescent="0.2">
      <c r="A395" s="19"/>
      <c r="E395" s="18"/>
    </row>
    <row r="396" spans="1:5" customFormat="1" x14ac:dyDescent="0.2">
      <c r="A396" s="19"/>
      <c r="E396" s="18"/>
    </row>
    <row r="397" spans="1:5" customFormat="1" x14ac:dyDescent="0.2">
      <c r="A397" s="19"/>
      <c r="E397" s="18"/>
    </row>
    <row r="398" spans="1:5" customFormat="1" x14ac:dyDescent="0.2">
      <c r="A398" s="19"/>
      <c r="E398" s="18"/>
    </row>
    <row r="399" spans="1:5" customFormat="1" x14ac:dyDescent="0.2">
      <c r="A399" s="19"/>
      <c r="E399" s="18"/>
    </row>
    <row r="400" spans="1:5" customFormat="1" x14ac:dyDescent="0.2">
      <c r="A400" s="19"/>
      <c r="E400" s="18"/>
    </row>
    <row r="401" spans="1:5" customFormat="1" x14ac:dyDescent="0.2">
      <c r="A401" s="19"/>
      <c r="E401" s="18"/>
    </row>
    <row r="402" spans="1:5" customFormat="1" x14ac:dyDescent="0.2">
      <c r="A402" s="19"/>
      <c r="E402" s="18"/>
    </row>
    <row r="403" spans="1:5" customFormat="1" x14ac:dyDescent="0.2">
      <c r="A403" s="19"/>
      <c r="E403" s="18"/>
    </row>
    <row r="404" spans="1:5" customFormat="1" x14ac:dyDescent="0.2">
      <c r="A404" s="19"/>
      <c r="E404" s="18"/>
    </row>
    <row r="405" spans="1:5" customFormat="1" x14ac:dyDescent="0.2">
      <c r="A405" s="19"/>
      <c r="E405" s="18"/>
    </row>
    <row r="406" spans="1:5" customFormat="1" x14ac:dyDescent="0.2">
      <c r="A406" s="19"/>
      <c r="E406" s="18"/>
    </row>
    <row r="407" spans="1:5" customFormat="1" x14ac:dyDescent="0.2">
      <c r="A407" s="19"/>
      <c r="E407" s="18"/>
    </row>
    <row r="408" spans="1:5" customFormat="1" x14ac:dyDescent="0.2">
      <c r="A408" s="19"/>
      <c r="E408" s="18"/>
    </row>
    <row r="409" spans="1:5" customFormat="1" x14ac:dyDescent="0.2">
      <c r="A409" s="19"/>
      <c r="E409" s="18"/>
    </row>
    <row r="410" spans="1:5" customFormat="1" x14ac:dyDescent="0.2">
      <c r="A410" s="19"/>
      <c r="E410" s="18"/>
    </row>
    <row r="411" spans="1:5" customFormat="1" x14ac:dyDescent="0.2">
      <c r="A411" s="19"/>
      <c r="E411" s="18"/>
    </row>
    <row r="412" spans="1:5" customFormat="1" x14ac:dyDescent="0.2">
      <c r="A412" s="19"/>
      <c r="E412" s="18"/>
    </row>
    <row r="413" spans="1:5" customFormat="1" x14ac:dyDescent="0.2">
      <c r="A413" s="19"/>
      <c r="E413" s="18"/>
    </row>
    <row r="414" spans="1:5" customFormat="1" x14ac:dyDescent="0.2">
      <c r="A414" s="19"/>
      <c r="E414" s="18"/>
    </row>
    <row r="415" spans="1:5" customFormat="1" x14ac:dyDescent="0.2">
      <c r="A415" s="19"/>
      <c r="E415" s="18"/>
    </row>
    <row r="416" spans="1:5" customFormat="1" x14ac:dyDescent="0.2">
      <c r="A416" s="19"/>
      <c r="E416" s="18"/>
    </row>
    <row r="417" spans="1:5" customFormat="1" x14ac:dyDescent="0.2">
      <c r="A417" s="19"/>
      <c r="E417" s="18"/>
    </row>
    <row r="418" spans="1:5" customFormat="1" x14ac:dyDescent="0.2">
      <c r="A418" s="19"/>
      <c r="E418" s="18"/>
    </row>
    <row r="419" spans="1:5" customFormat="1" x14ac:dyDescent="0.2">
      <c r="A419" s="19"/>
      <c r="E419" s="18"/>
    </row>
    <row r="420" spans="1:5" customFormat="1" x14ac:dyDescent="0.2">
      <c r="A420" s="19"/>
      <c r="E420" s="18"/>
    </row>
    <row r="421" spans="1:5" customFormat="1" x14ac:dyDescent="0.2">
      <c r="A421" s="19"/>
      <c r="E421" s="18"/>
    </row>
    <row r="422" spans="1:5" customFormat="1" x14ac:dyDescent="0.2">
      <c r="A422" s="19"/>
      <c r="E422" s="18"/>
    </row>
    <row r="423" spans="1:5" customFormat="1" x14ac:dyDescent="0.2">
      <c r="A423" s="19"/>
      <c r="E423" s="18"/>
    </row>
    <row r="424" spans="1:5" customFormat="1" x14ac:dyDescent="0.2">
      <c r="A424" s="19"/>
      <c r="E424" s="18"/>
    </row>
    <row r="425" spans="1:5" customFormat="1" x14ac:dyDescent="0.2">
      <c r="A425" s="19"/>
      <c r="E425" s="18"/>
    </row>
    <row r="426" spans="1:5" customFormat="1" x14ac:dyDescent="0.2">
      <c r="A426" s="19"/>
      <c r="E426" s="18"/>
    </row>
    <row r="427" spans="1:5" customFormat="1" x14ac:dyDescent="0.2">
      <c r="A427" s="19"/>
      <c r="E427" s="18"/>
    </row>
    <row r="428" spans="1:5" customFormat="1" x14ac:dyDescent="0.2">
      <c r="A428" s="19"/>
      <c r="E428" s="18"/>
    </row>
    <row r="429" spans="1:5" customFormat="1" x14ac:dyDescent="0.2">
      <c r="A429" s="19"/>
      <c r="E429" s="18"/>
    </row>
    <row r="430" spans="1:5" customFormat="1" x14ac:dyDescent="0.2">
      <c r="A430" s="19"/>
      <c r="E430" s="18"/>
    </row>
    <row r="431" spans="1:5" customFormat="1" x14ac:dyDescent="0.2">
      <c r="A431" s="19"/>
      <c r="E431" s="18"/>
    </row>
    <row r="432" spans="1:5" customFormat="1" x14ac:dyDescent="0.2">
      <c r="A432" s="19"/>
      <c r="E432" s="18"/>
    </row>
    <row r="433" spans="1:5" customFormat="1" x14ac:dyDescent="0.2">
      <c r="A433" s="19"/>
      <c r="E433" s="18"/>
    </row>
    <row r="434" spans="1:5" customFormat="1" x14ac:dyDescent="0.2">
      <c r="A434" s="19"/>
      <c r="E434" s="18"/>
    </row>
    <row r="435" spans="1:5" customFormat="1" x14ac:dyDescent="0.2">
      <c r="A435" s="19"/>
      <c r="E435" s="18"/>
    </row>
    <row r="436" spans="1:5" customFormat="1" x14ac:dyDescent="0.2">
      <c r="A436" s="19"/>
      <c r="E436" s="18"/>
    </row>
    <row r="437" spans="1:5" customFormat="1" x14ac:dyDescent="0.2">
      <c r="A437" s="19"/>
      <c r="E437" s="18"/>
    </row>
    <row r="438" spans="1:5" customFormat="1" x14ac:dyDescent="0.2">
      <c r="A438" s="19"/>
      <c r="E438" s="18"/>
    </row>
    <row r="439" spans="1:5" customFormat="1" x14ac:dyDescent="0.2">
      <c r="A439" s="19"/>
      <c r="E439" s="18"/>
    </row>
    <row r="440" spans="1:5" customFormat="1" x14ac:dyDescent="0.2">
      <c r="A440" s="19"/>
      <c r="E440" s="18"/>
    </row>
    <row r="441" spans="1:5" customFormat="1" x14ac:dyDescent="0.2">
      <c r="A441" s="19"/>
      <c r="E441" s="18"/>
    </row>
    <row r="442" spans="1:5" customFormat="1" x14ac:dyDescent="0.2">
      <c r="A442" s="19"/>
      <c r="E442" s="18"/>
    </row>
    <row r="443" spans="1:5" customFormat="1" x14ac:dyDescent="0.2">
      <c r="A443" s="19"/>
      <c r="E443" s="18"/>
    </row>
    <row r="444" spans="1:5" customFormat="1" x14ac:dyDescent="0.2">
      <c r="A444" s="19"/>
      <c r="E444" s="18"/>
    </row>
    <row r="445" spans="1:5" customFormat="1" x14ac:dyDescent="0.2">
      <c r="A445" s="19"/>
      <c r="E445" s="18"/>
    </row>
    <row r="446" spans="1:5" customFormat="1" x14ac:dyDescent="0.2">
      <c r="A446" s="19"/>
      <c r="E446" s="18"/>
    </row>
    <row r="447" spans="1:5" customFormat="1" x14ac:dyDescent="0.2">
      <c r="A447" s="19"/>
      <c r="E447" s="18"/>
    </row>
    <row r="448" spans="1:5" customFormat="1" x14ac:dyDescent="0.2">
      <c r="A448" s="19"/>
      <c r="E448" s="18"/>
    </row>
    <row r="449" spans="1:5" customFormat="1" x14ac:dyDescent="0.2">
      <c r="A449" s="19"/>
      <c r="E449" s="18"/>
    </row>
    <row r="450" spans="1:5" customFormat="1" x14ac:dyDescent="0.2">
      <c r="A450" s="19"/>
      <c r="E450" s="18"/>
    </row>
    <row r="451" spans="1:5" customFormat="1" x14ac:dyDescent="0.2">
      <c r="A451" s="19"/>
      <c r="E451" s="18"/>
    </row>
    <row r="452" spans="1:5" customFormat="1" x14ac:dyDescent="0.2">
      <c r="A452" s="19"/>
      <c r="E452" s="18"/>
    </row>
    <row r="453" spans="1:5" customFormat="1" x14ac:dyDescent="0.2">
      <c r="A453" s="19"/>
      <c r="E453" s="18"/>
    </row>
    <row r="454" spans="1:5" customFormat="1" x14ac:dyDescent="0.2">
      <c r="A454" s="19"/>
      <c r="E454" s="18"/>
    </row>
    <row r="455" spans="1:5" customFormat="1" x14ac:dyDescent="0.2">
      <c r="A455" s="19"/>
      <c r="E455" s="18"/>
    </row>
    <row r="456" spans="1:5" customFormat="1" x14ac:dyDescent="0.2">
      <c r="A456" s="19"/>
      <c r="E456" s="18"/>
    </row>
    <row r="457" spans="1:5" customFormat="1" x14ac:dyDescent="0.2">
      <c r="A457" s="19"/>
      <c r="E457" s="18"/>
    </row>
    <row r="458" spans="1:5" customFormat="1" x14ac:dyDescent="0.2">
      <c r="A458" s="19"/>
      <c r="E458" s="18"/>
    </row>
    <row r="459" spans="1:5" customFormat="1" x14ac:dyDescent="0.2">
      <c r="A459" s="19"/>
      <c r="E459" s="18"/>
    </row>
    <row r="460" spans="1:5" customFormat="1" x14ac:dyDescent="0.2">
      <c r="A460" s="19"/>
      <c r="E460" s="18"/>
    </row>
    <row r="461" spans="1:5" customFormat="1" x14ac:dyDescent="0.2">
      <c r="A461" s="19"/>
      <c r="E461" s="18"/>
    </row>
    <row r="462" spans="1:5" customFormat="1" x14ac:dyDescent="0.2">
      <c r="A462" s="19"/>
      <c r="E462" s="18"/>
    </row>
    <row r="463" spans="1:5" customFormat="1" x14ac:dyDescent="0.2">
      <c r="A463" s="19"/>
      <c r="E463" s="18"/>
    </row>
    <row r="464" spans="1:5" customFormat="1" x14ac:dyDescent="0.2">
      <c r="A464" s="19"/>
      <c r="E464" s="18"/>
    </row>
    <row r="465" spans="1:5" customFormat="1" x14ac:dyDescent="0.2">
      <c r="A465" s="19"/>
      <c r="E465" s="18"/>
    </row>
    <row r="466" spans="1:5" customFormat="1" x14ac:dyDescent="0.2">
      <c r="A466" s="19"/>
      <c r="E466" s="18"/>
    </row>
    <row r="467" spans="1:5" customFormat="1" x14ac:dyDescent="0.2">
      <c r="A467" s="19"/>
      <c r="E467" s="18"/>
    </row>
    <row r="468" spans="1:5" customFormat="1" x14ac:dyDescent="0.2">
      <c r="A468" s="19"/>
      <c r="E468" s="18"/>
    </row>
    <row r="469" spans="1:5" customFormat="1" x14ac:dyDescent="0.2">
      <c r="A469" s="19"/>
      <c r="E469" s="18"/>
    </row>
    <row r="470" spans="1:5" customFormat="1" x14ac:dyDescent="0.2">
      <c r="A470" s="19"/>
      <c r="E470" s="18"/>
    </row>
    <row r="471" spans="1:5" customFormat="1" x14ac:dyDescent="0.2">
      <c r="A471" s="19"/>
      <c r="E471" s="18"/>
    </row>
    <row r="472" spans="1:5" customFormat="1" x14ac:dyDescent="0.2">
      <c r="A472" s="19"/>
      <c r="E472" s="18"/>
    </row>
    <row r="473" spans="1:5" customFormat="1" x14ac:dyDescent="0.2">
      <c r="A473" s="19"/>
      <c r="E473" s="18"/>
    </row>
    <row r="474" spans="1:5" customFormat="1" x14ac:dyDescent="0.2">
      <c r="A474" s="19"/>
      <c r="E474" s="18"/>
    </row>
    <row r="475" spans="1:5" customFormat="1" x14ac:dyDescent="0.2">
      <c r="A475" s="19"/>
      <c r="E475" s="18"/>
    </row>
    <row r="476" spans="1:5" customFormat="1" x14ac:dyDescent="0.2">
      <c r="A476" s="19"/>
      <c r="E476" s="18"/>
    </row>
    <row r="477" spans="1:5" customFormat="1" x14ac:dyDescent="0.2">
      <c r="A477" s="19"/>
      <c r="E477" s="18"/>
    </row>
    <row r="478" spans="1:5" customFormat="1" x14ac:dyDescent="0.2">
      <c r="A478" s="19"/>
      <c r="E478" s="18"/>
    </row>
    <row r="479" spans="1:5" customFormat="1" x14ac:dyDescent="0.2">
      <c r="A479" s="19"/>
      <c r="E479" s="18"/>
    </row>
    <row r="480" spans="1:5" customFormat="1" x14ac:dyDescent="0.2">
      <c r="A480" s="19"/>
      <c r="E480" s="18"/>
    </row>
    <row r="481" spans="1:5" customFormat="1" x14ac:dyDescent="0.2">
      <c r="A481" s="19"/>
      <c r="E481" s="18"/>
    </row>
    <row r="482" spans="1:5" customFormat="1" x14ac:dyDescent="0.2">
      <c r="A482" s="19"/>
      <c r="E482" s="18"/>
    </row>
    <row r="483" spans="1:5" customFormat="1" x14ac:dyDescent="0.2">
      <c r="A483" s="19"/>
      <c r="E483" s="18"/>
    </row>
    <row r="484" spans="1:5" customFormat="1" x14ac:dyDescent="0.2">
      <c r="A484" s="19"/>
      <c r="E484" s="18"/>
    </row>
    <row r="485" spans="1:5" customFormat="1" x14ac:dyDescent="0.2">
      <c r="A485" s="19"/>
      <c r="E485" s="18"/>
    </row>
    <row r="486" spans="1:5" customFormat="1" x14ac:dyDescent="0.2">
      <c r="A486" s="19"/>
      <c r="E486" s="18"/>
    </row>
    <row r="487" spans="1:5" customFormat="1" x14ac:dyDescent="0.2">
      <c r="A487" s="19"/>
      <c r="E487" s="18"/>
    </row>
    <row r="488" spans="1:5" customFormat="1" x14ac:dyDescent="0.2">
      <c r="A488" s="19"/>
      <c r="E488" s="18"/>
    </row>
    <row r="489" spans="1:5" customFormat="1" x14ac:dyDescent="0.2">
      <c r="A489" s="19"/>
      <c r="E489" s="18"/>
    </row>
    <row r="490" spans="1:5" customFormat="1" x14ac:dyDescent="0.2">
      <c r="A490" s="19"/>
      <c r="E490" s="18"/>
    </row>
    <row r="491" spans="1:5" customFormat="1" x14ac:dyDescent="0.2">
      <c r="A491" s="19"/>
      <c r="E491" s="18"/>
    </row>
    <row r="492" spans="1:5" customFormat="1" x14ac:dyDescent="0.2">
      <c r="A492" s="19"/>
      <c r="E492" s="18"/>
    </row>
    <row r="493" spans="1:5" customFormat="1" x14ac:dyDescent="0.2">
      <c r="A493" s="19"/>
      <c r="E493" s="18"/>
    </row>
    <row r="494" spans="1:5" customFormat="1" x14ac:dyDescent="0.2">
      <c r="A494" s="19"/>
      <c r="E494" s="18"/>
    </row>
    <row r="495" spans="1:5" customFormat="1" x14ac:dyDescent="0.2">
      <c r="A495" s="19"/>
      <c r="E495" s="18"/>
    </row>
    <row r="496" spans="1:5" customFormat="1" x14ac:dyDescent="0.2">
      <c r="A496" s="19"/>
      <c r="E496" s="18"/>
    </row>
    <row r="497" spans="1:5" customFormat="1" x14ac:dyDescent="0.2">
      <c r="A497" s="19"/>
      <c r="E497" s="18"/>
    </row>
    <row r="498" spans="1:5" customFormat="1" x14ac:dyDescent="0.2">
      <c r="A498" s="19"/>
      <c r="E498" s="18"/>
    </row>
    <row r="499" spans="1:5" customFormat="1" x14ac:dyDescent="0.2">
      <c r="A499" s="19"/>
      <c r="E499" s="18"/>
    </row>
    <row r="500" spans="1:5" customFormat="1" x14ac:dyDescent="0.2">
      <c r="A500" s="19"/>
      <c r="E500" s="18"/>
    </row>
    <row r="501" spans="1:5" customFormat="1" x14ac:dyDescent="0.2">
      <c r="A501" s="19"/>
      <c r="E501" s="18"/>
    </row>
    <row r="502" spans="1:5" customFormat="1" x14ac:dyDescent="0.2">
      <c r="A502" s="19"/>
      <c r="E502" s="18"/>
    </row>
    <row r="503" spans="1:5" customFormat="1" x14ac:dyDescent="0.2">
      <c r="A503" s="19"/>
      <c r="E503" s="18"/>
    </row>
    <row r="504" spans="1:5" customFormat="1" x14ac:dyDescent="0.2">
      <c r="A504" s="19"/>
      <c r="E504" s="18"/>
    </row>
    <row r="505" spans="1:5" customFormat="1" x14ac:dyDescent="0.2">
      <c r="A505" s="19"/>
      <c r="E505" s="18"/>
    </row>
    <row r="506" spans="1:5" customFormat="1" x14ac:dyDescent="0.2">
      <c r="A506" s="19"/>
      <c r="E506" s="18"/>
    </row>
    <row r="507" spans="1:5" customFormat="1" x14ac:dyDescent="0.2">
      <c r="A507" s="19"/>
      <c r="E507" s="18"/>
    </row>
    <row r="508" spans="1:5" customFormat="1" x14ac:dyDescent="0.2">
      <c r="A508" s="19"/>
      <c r="E508" s="18"/>
    </row>
    <row r="509" spans="1:5" customFormat="1" x14ac:dyDescent="0.2">
      <c r="A509" s="19"/>
      <c r="E509" s="18"/>
    </row>
    <row r="510" spans="1:5" customFormat="1" x14ac:dyDescent="0.2">
      <c r="A510" s="19"/>
      <c r="E510" s="18"/>
    </row>
    <row r="511" spans="1:5" customFormat="1" x14ac:dyDescent="0.2">
      <c r="A511" s="19"/>
      <c r="E511" s="18"/>
    </row>
    <row r="512" spans="1:5" customFormat="1" x14ac:dyDescent="0.2">
      <c r="A512" s="19"/>
      <c r="E512" s="18"/>
    </row>
    <row r="513" spans="1:5" customFormat="1" x14ac:dyDescent="0.2">
      <c r="A513" s="19"/>
      <c r="E513" s="18"/>
    </row>
    <row r="514" spans="1:5" customFormat="1" x14ac:dyDescent="0.2">
      <c r="A514" s="19"/>
      <c r="E514" s="18"/>
    </row>
    <row r="515" spans="1:5" customFormat="1" x14ac:dyDescent="0.2">
      <c r="A515" s="19"/>
      <c r="E515" s="18"/>
    </row>
    <row r="516" spans="1:5" customFormat="1" x14ac:dyDescent="0.2">
      <c r="A516" s="19"/>
      <c r="E516" s="18"/>
    </row>
    <row r="517" spans="1:5" customFormat="1" x14ac:dyDescent="0.2">
      <c r="A517" s="19"/>
      <c r="E517" s="18"/>
    </row>
    <row r="518" spans="1:5" customFormat="1" x14ac:dyDescent="0.2">
      <c r="A518" s="19"/>
      <c r="E518" s="18"/>
    </row>
    <row r="519" spans="1:5" customFormat="1" x14ac:dyDescent="0.2">
      <c r="A519" s="19"/>
      <c r="E519" s="18"/>
    </row>
    <row r="520" spans="1:5" customFormat="1" x14ac:dyDescent="0.2">
      <c r="A520" s="19"/>
      <c r="E520" s="18"/>
    </row>
    <row r="521" spans="1:5" customFormat="1" x14ac:dyDescent="0.2">
      <c r="A521" s="19"/>
      <c r="E521" s="18"/>
    </row>
    <row r="522" spans="1:5" customFormat="1" x14ac:dyDescent="0.2">
      <c r="A522" s="19"/>
      <c r="E522" s="18"/>
    </row>
    <row r="523" spans="1:5" customFormat="1" x14ac:dyDescent="0.2">
      <c r="A523" s="19"/>
      <c r="E523" s="18"/>
    </row>
    <row r="524" spans="1:5" customFormat="1" x14ac:dyDescent="0.2">
      <c r="A524" s="19"/>
      <c r="E524" s="18"/>
    </row>
    <row r="525" spans="1:5" customFormat="1" x14ac:dyDescent="0.2">
      <c r="A525" s="19"/>
      <c r="E525" s="18"/>
    </row>
    <row r="526" spans="1:5" customFormat="1" x14ac:dyDescent="0.2">
      <c r="A526" s="19"/>
      <c r="E526" s="18"/>
    </row>
    <row r="527" spans="1:5" customFormat="1" x14ac:dyDescent="0.2">
      <c r="A527" s="19"/>
      <c r="E527" s="18"/>
    </row>
    <row r="528" spans="1:5" customFormat="1" x14ac:dyDescent="0.2">
      <c r="A528" s="19"/>
      <c r="E528" s="18"/>
    </row>
    <row r="529" spans="1:5" customFormat="1" x14ac:dyDescent="0.2">
      <c r="A529" s="19"/>
      <c r="E529" s="18"/>
    </row>
    <row r="530" spans="1:5" customFormat="1" x14ac:dyDescent="0.2">
      <c r="A530" s="19"/>
      <c r="E530" s="18"/>
    </row>
    <row r="531" spans="1:5" customFormat="1" x14ac:dyDescent="0.2">
      <c r="A531" s="19"/>
      <c r="E531" s="18"/>
    </row>
    <row r="532" spans="1:5" customFormat="1" x14ac:dyDescent="0.2">
      <c r="A532" s="19"/>
      <c r="E532" s="18"/>
    </row>
    <row r="533" spans="1:5" customFormat="1" x14ac:dyDescent="0.2">
      <c r="A533" s="19"/>
      <c r="E533" s="18"/>
    </row>
    <row r="534" spans="1:5" customFormat="1" x14ac:dyDescent="0.2">
      <c r="A534" s="19"/>
      <c r="E534" s="18"/>
    </row>
    <row r="535" spans="1:5" customFormat="1" x14ac:dyDescent="0.2">
      <c r="A535" s="19"/>
      <c r="E535" s="18"/>
    </row>
    <row r="536" spans="1:5" customFormat="1" x14ac:dyDescent="0.2">
      <c r="A536" s="19"/>
      <c r="E536" s="18"/>
    </row>
    <row r="537" spans="1:5" customFormat="1" x14ac:dyDescent="0.2">
      <c r="A537" s="19"/>
      <c r="E537" s="18"/>
    </row>
    <row r="538" spans="1:5" customFormat="1" x14ac:dyDescent="0.2">
      <c r="A538" s="19"/>
      <c r="E538" s="18"/>
    </row>
    <row r="539" spans="1:5" customFormat="1" x14ac:dyDescent="0.2">
      <c r="A539" s="19"/>
      <c r="E539" s="18"/>
    </row>
    <row r="540" spans="1:5" customFormat="1" x14ac:dyDescent="0.2">
      <c r="A540" s="19"/>
      <c r="E540" s="18"/>
    </row>
    <row r="541" spans="1:5" customFormat="1" x14ac:dyDescent="0.2">
      <c r="A541" s="19"/>
      <c r="E541" s="18"/>
    </row>
    <row r="542" spans="1:5" customFormat="1" x14ac:dyDescent="0.2">
      <c r="A542" s="19"/>
      <c r="E542" s="18"/>
    </row>
    <row r="543" spans="1:5" customFormat="1" x14ac:dyDescent="0.2">
      <c r="A543" s="19"/>
      <c r="E543" s="18"/>
    </row>
    <row r="544" spans="1:5" customFormat="1" x14ac:dyDescent="0.2">
      <c r="A544" s="19"/>
      <c r="E544" s="18"/>
    </row>
    <row r="545" spans="1:5" customFormat="1" x14ac:dyDescent="0.2">
      <c r="A545" s="19"/>
      <c r="E545" s="18"/>
    </row>
    <row r="546" spans="1:5" customFormat="1" x14ac:dyDescent="0.2">
      <c r="A546" s="19"/>
      <c r="E546" s="18"/>
    </row>
    <row r="547" spans="1:5" customFormat="1" x14ac:dyDescent="0.2">
      <c r="A547" s="19"/>
      <c r="E547" s="18"/>
    </row>
    <row r="548" spans="1:5" customFormat="1" x14ac:dyDescent="0.2">
      <c r="A548" s="19"/>
      <c r="E548" s="18"/>
    </row>
    <row r="549" spans="1:5" customFormat="1" x14ac:dyDescent="0.2">
      <c r="A549" s="19"/>
      <c r="E549" s="18"/>
    </row>
    <row r="550" spans="1:5" customFormat="1" x14ac:dyDescent="0.2">
      <c r="A550" s="19"/>
      <c r="E550" s="18"/>
    </row>
    <row r="551" spans="1:5" customFormat="1" x14ac:dyDescent="0.2">
      <c r="A551" s="19"/>
      <c r="E551" s="18"/>
    </row>
    <row r="552" spans="1:5" customFormat="1" x14ac:dyDescent="0.2">
      <c r="A552" s="19"/>
      <c r="E552" s="18"/>
    </row>
    <row r="553" spans="1:5" customFormat="1" x14ac:dyDescent="0.2">
      <c r="A553" s="19"/>
      <c r="E553" s="18"/>
    </row>
    <row r="554" spans="1:5" customFormat="1" x14ac:dyDescent="0.2">
      <c r="A554" s="19"/>
      <c r="E554" s="18"/>
    </row>
    <row r="555" spans="1:5" customFormat="1" x14ac:dyDescent="0.2">
      <c r="A555" s="19"/>
      <c r="E555" s="18"/>
    </row>
    <row r="556" spans="1:5" customFormat="1" x14ac:dyDescent="0.2">
      <c r="A556" s="19"/>
      <c r="E556" s="18"/>
    </row>
    <row r="557" spans="1:5" customFormat="1" x14ac:dyDescent="0.2">
      <c r="A557" s="19"/>
      <c r="E557" s="18"/>
    </row>
    <row r="558" spans="1:5" customFormat="1" x14ac:dyDescent="0.2">
      <c r="A558" s="19"/>
      <c r="E558" s="18"/>
    </row>
    <row r="559" spans="1:5" customFormat="1" x14ac:dyDescent="0.2">
      <c r="A559" s="19"/>
      <c r="E559" s="18"/>
    </row>
    <row r="560" spans="1:5" customFormat="1" x14ac:dyDescent="0.2">
      <c r="A560" s="19"/>
      <c r="E560" s="18"/>
    </row>
    <row r="561" spans="1:5" customFormat="1" x14ac:dyDescent="0.2">
      <c r="A561" s="19"/>
      <c r="E561" s="18"/>
    </row>
    <row r="562" spans="1:5" customFormat="1" x14ac:dyDescent="0.2">
      <c r="A562" s="19"/>
      <c r="E562" s="18"/>
    </row>
    <row r="563" spans="1:5" customFormat="1" x14ac:dyDescent="0.2">
      <c r="A563" s="19"/>
      <c r="E563" s="18"/>
    </row>
    <row r="564" spans="1:5" customFormat="1" x14ac:dyDescent="0.2">
      <c r="A564" s="19"/>
      <c r="E564" s="18"/>
    </row>
    <row r="565" spans="1:5" customFormat="1" x14ac:dyDescent="0.2">
      <c r="A565" s="19"/>
      <c r="E565" s="18"/>
    </row>
    <row r="566" spans="1:5" customFormat="1" x14ac:dyDescent="0.2">
      <c r="A566" s="19"/>
      <c r="E566" s="18"/>
    </row>
    <row r="567" spans="1:5" customFormat="1" x14ac:dyDescent="0.2">
      <c r="A567" s="19"/>
      <c r="E567" s="18"/>
    </row>
    <row r="568" spans="1:5" customFormat="1" x14ac:dyDescent="0.2">
      <c r="A568" s="19"/>
      <c r="E568" s="18"/>
    </row>
    <row r="569" spans="1:5" customFormat="1" x14ac:dyDescent="0.2">
      <c r="A569" s="19"/>
      <c r="E569" s="18"/>
    </row>
    <row r="570" spans="1:5" customFormat="1" x14ac:dyDescent="0.2">
      <c r="A570" s="19"/>
      <c r="E570" s="18"/>
    </row>
    <row r="571" spans="1:5" customFormat="1" x14ac:dyDescent="0.2">
      <c r="A571" s="19"/>
      <c r="E571" s="18"/>
    </row>
    <row r="572" spans="1:5" customFormat="1" x14ac:dyDescent="0.2">
      <c r="A572" s="19"/>
      <c r="E572" s="18"/>
    </row>
    <row r="573" spans="1:5" customFormat="1" x14ac:dyDescent="0.2">
      <c r="A573" s="19"/>
      <c r="E573" s="18"/>
    </row>
    <row r="574" spans="1:5" customFormat="1" x14ac:dyDescent="0.2">
      <c r="A574" s="19"/>
      <c r="E574" s="18"/>
    </row>
    <row r="575" spans="1:5" customFormat="1" x14ac:dyDescent="0.2">
      <c r="A575" s="19"/>
      <c r="E575" s="18"/>
    </row>
    <row r="576" spans="1:5" customFormat="1" x14ac:dyDescent="0.2">
      <c r="A576" s="19"/>
      <c r="E576" s="18"/>
    </row>
    <row r="577" spans="1:5" customFormat="1" x14ac:dyDescent="0.2">
      <c r="A577" s="19"/>
      <c r="E577" s="18"/>
    </row>
    <row r="578" spans="1:5" customFormat="1" x14ac:dyDescent="0.2">
      <c r="A578" s="19"/>
      <c r="E578" s="18"/>
    </row>
    <row r="579" spans="1:5" customFormat="1" x14ac:dyDescent="0.2">
      <c r="A579" s="19"/>
      <c r="E579" s="18"/>
    </row>
    <row r="580" spans="1:5" customFormat="1" x14ac:dyDescent="0.2">
      <c r="A580" s="19"/>
      <c r="E580" s="18"/>
    </row>
    <row r="581" spans="1:5" customFormat="1" x14ac:dyDescent="0.2">
      <c r="A581" s="19"/>
      <c r="E581" s="18"/>
    </row>
    <row r="582" spans="1:5" customFormat="1" x14ac:dyDescent="0.2">
      <c r="A582" s="19"/>
      <c r="E582" s="18"/>
    </row>
    <row r="583" spans="1:5" customFormat="1" x14ac:dyDescent="0.2">
      <c r="A583" s="19"/>
      <c r="E583" s="18"/>
    </row>
    <row r="584" spans="1:5" customFormat="1" x14ac:dyDescent="0.2">
      <c r="A584" s="19"/>
      <c r="E584" s="18"/>
    </row>
    <row r="585" spans="1:5" customFormat="1" x14ac:dyDescent="0.2">
      <c r="A585" s="19"/>
      <c r="E585" s="18"/>
    </row>
    <row r="586" spans="1:5" customFormat="1" x14ac:dyDescent="0.2">
      <c r="A586" s="19"/>
      <c r="E586" s="18"/>
    </row>
    <row r="587" spans="1:5" customFormat="1" x14ac:dyDescent="0.2">
      <c r="A587" s="19"/>
      <c r="E587" s="18"/>
    </row>
    <row r="588" spans="1:5" customFormat="1" x14ac:dyDescent="0.2">
      <c r="A588" s="19"/>
      <c r="E588" s="18"/>
    </row>
    <row r="589" spans="1:5" customFormat="1" x14ac:dyDescent="0.2">
      <c r="A589" s="19"/>
      <c r="E589" s="18"/>
    </row>
    <row r="590" spans="1:5" customFormat="1" x14ac:dyDescent="0.2">
      <c r="A590" s="19"/>
      <c r="E590" s="18"/>
    </row>
    <row r="591" spans="1:5" customFormat="1" x14ac:dyDescent="0.2">
      <c r="A591" s="19"/>
      <c r="E591" s="18"/>
    </row>
    <row r="592" spans="1:5" customFormat="1" x14ac:dyDescent="0.2">
      <c r="A592" s="19"/>
      <c r="E592" s="18"/>
    </row>
    <row r="593" spans="1:5" customFormat="1" x14ac:dyDescent="0.2">
      <c r="A593" s="19"/>
      <c r="E593" s="18"/>
    </row>
    <row r="594" spans="1:5" customFormat="1" x14ac:dyDescent="0.2">
      <c r="A594" s="19"/>
      <c r="E594" s="18"/>
    </row>
    <row r="595" spans="1:5" customFormat="1" x14ac:dyDescent="0.2">
      <c r="A595" s="19"/>
      <c r="E595" s="18"/>
    </row>
    <row r="596" spans="1:5" customFormat="1" x14ac:dyDescent="0.2">
      <c r="A596" s="19"/>
      <c r="E596" s="18"/>
    </row>
    <row r="597" spans="1:5" customFormat="1" x14ac:dyDescent="0.2">
      <c r="A597" s="19"/>
      <c r="E597" s="18"/>
    </row>
    <row r="598" spans="1:5" customFormat="1" x14ac:dyDescent="0.2">
      <c r="A598" s="19"/>
      <c r="E598" s="18"/>
    </row>
    <row r="599" spans="1:5" customFormat="1" x14ac:dyDescent="0.2">
      <c r="A599" s="19"/>
      <c r="E599" s="18"/>
    </row>
    <row r="600" spans="1:5" customFormat="1" x14ac:dyDescent="0.2">
      <c r="A600" s="19"/>
      <c r="E600" s="18"/>
    </row>
    <row r="601" spans="1:5" customFormat="1" x14ac:dyDescent="0.2">
      <c r="A601" s="19"/>
      <c r="E601" s="18"/>
    </row>
    <row r="602" spans="1:5" customFormat="1" x14ac:dyDescent="0.2">
      <c r="A602" s="19"/>
      <c r="E602" s="18"/>
    </row>
    <row r="603" spans="1:5" customFormat="1" x14ac:dyDescent="0.2">
      <c r="A603" s="19"/>
      <c r="E603" s="18"/>
    </row>
    <row r="604" spans="1:5" customFormat="1" x14ac:dyDescent="0.2">
      <c r="A604" s="19"/>
      <c r="E604" s="18"/>
    </row>
    <row r="605" spans="1:5" customFormat="1" x14ac:dyDescent="0.2">
      <c r="A605" s="19"/>
      <c r="E605" s="18"/>
    </row>
    <row r="606" spans="1:5" customFormat="1" x14ac:dyDescent="0.2">
      <c r="A606" s="19"/>
      <c r="E606" s="18"/>
    </row>
    <row r="607" spans="1:5" customFormat="1" x14ac:dyDescent="0.2">
      <c r="A607" s="19"/>
      <c r="E607" s="18"/>
    </row>
    <row r="608" spans="1:5" customFormat="1" x14ac:dyDescent="0.2">
      <c r="A608" s="19"/>
      <c r="E608" s="18"/>
    </row>
    <row r="609" spans="1:5" customFormat="1" x14ac:dyDescent="0.2">
      <c r="A609" s="19"/>
      <c r="E609" s="18"/>
    </row>
    <row r="610" spans="1:5" customFormat="1" x14ac:dyDescent="0.2">
      <c r="A610" s="19"/>
      <c r="E610" s="18"/>
    </row>
    <row r="611" spans="1:5" customFormat="1" x14ac:dyDescent="0.2">
      <c r="A611" s="19"/>
      <c r="E611" s="18"/>
    </row>
    <row r="612" spans="1:5" customFormat="1" x14ac:dyDescent="0.2">
      <c r="A612" s="19"/>
      <c r="E612" s="18"/>
    </row>
    <row r="613" spans="1:5" customFormat="1" x14ac:dyDescent="0.2">
      <c r="A613" s="19"/>
      <c r="E613" s="18"/>
    </row>
    <row r="614" spans="1:5" customFormat="1" x14ac:dyDescent="0.2">
      <c r="A614" s="19"/>
      <c r="E614" s="18"/>
    </row>
    <row r="615" spans="1:5" customFormat="1" x14ac:dyDescent="0.2">
      <c r="A615" s="19"/>
      <c r="E615" s="18"/>
    </row>
    <row r="616" spans="1:5" customFormat="1" x14ac:dyDescent="0.2">
      <c r="A616" s="19"/>
      <c r="E616" s="18"/>
    </row>
    <row r="617" spans="1:5" customFormat="1" x14ac:dyDescent="0.2">
      <c r="A617" s="19"/>
      <c r="E617" s="18"/>
    </row>
    <row r="618" spans="1:5" customFormat="1" x14ac:dyDescent="0.2">
      <c r="A618" s="19"/>
      <c r="E618" s="18"/>
    </row>
    <row r="619" spans="1:5" customFormat="1" x14ac:dyDescent="0.2">
      <c r="A619" s="19"/>
      <c r="E619" s="18"/>
    </row>
    <row r="620" spans="1:5" customFormat="1" x14ac:dyDescent="0.2">
      <c r="A620" s="19"/>
      <c r="E620" s="18"/>
    </row>
    <row r="621" spans="1:5" customFormat="1" x14ac:dyDescent="0.2">
      <c r="A621" s="19"/>
      <c r="E621" s="18"/>
    </row>
    <row r="622" spans="1:5" customFormat="1" x14ac:dyDescent="0.2">
      <c r="A622" s="19"/>
      <c r="E622" s="18"/>
    </row>
    <row r="623" spans="1:5" customFormat="1" x14ac:dyDescent="0.2">
      <c r="A623" s="19"/>
      <c r="E623" s="18"/>
    </row>
    <row r="624" spans="1:5" customFormat="1" x14ac:dyDescent="0.2">
      <c r="A624" s="19"/>
      <c r="E624" s="18"/>
    </row>
    <row r="625" spans="1:5" customFormat="1" x14ac:dyDescent="0.2">
      <c r="A625" s="19"/>
      <c r="E625" s="18"/>
    </row>
    <row r="626" spans="1:5" customFormat="1" x14ac:dyDescent="0.2">
      <c r="A626" s="19"/>
      <c r="E626" s="18"/>
    </row>
    <row r="627" spans="1:5" customFormat="1" x14ac:dyDescent="0.2">
      <c r="A627" s="19"/>
      <c r="E627" s="18"/>
    </row>
    <row r="628" spans="1:5" customFormat="1" x14ac:dyDescent="0.2">
      <c r="A628" s="19"/>
      <c r="E628" s="18"/>
    </row>
    <row r="629" spans="1:5" customFormat="1" x14ac:dyDescent="0.2">
      <c r="A629" s="19"/>
      <c r="E629" s="18"/>
    </row>
    <row r="630" spans="1:5" customFormat="1" x14ac:dyDescent="0.2">
      <c r="A630" s="19"/>
      <c r="E630" s="18"/>
    </row>
    <row r="631" spans="1:5" customFormat="1" x14ac:dyDescent="0.2">
      <c r="A631" s="19"/>
      <c r="E631" s="18"/>
    </row>
    <row r="632" spans="1:5" customFormat="1" x14ac:dyDescent="0.2">
      <c r="A632" s="19"/>
      <c r="E632" s="18"/>
    </row>
    <row r="633" spans="1:5" customFormat="1" x14ac:dyDescent="0.2">
      <c r="A633" s="19"/>
      <c r="E633" s="18"/>
    </row>
    <row r="634" spans="1:5" customFormat="1" x14ac:dyDescent="0.2">
      <c r="A634" s="19"/>
      <c r="E634" s="18"/>
    </row>
    <row r="635" spans="1:5" customFormat="1" x14ac:dyDescent="0.2">
      <c r="A635" s="19"/>
      <c r="E635" s="18"/>
    </row>
    <row r="636" spans="1:5" customFormat="1" x14ac:dyDescent="0.2">
      <c r="A636" s="19"/>
      <c r="E636" s="18"/>
    </row>
    <row r="637" spans="1:5" customFormat="1" x14ac:dyDescent="0.2">
      <c r="A637" s="19"/>
      <c r="E637" s="18"/>
    </row>
    <row r="638" spans="1:5" customFormat="1" x14ac:dyDescent="0.2">
      <c r="A638" s="19"/>
      <c r="E638" s="18"/>
    </row>
    <row r="639" spans="1:5" customFormat="1" x14ac:dyDescent="0.2">
      <c r="A639" s="19"/>
      <c r="E639" s="18"/>
    </row>
    <row r="640" spans="1:5" customFormat="1" x14ac:dyDescent="0.2">
      <c r="A640" s="19"/>
      <c r="E640" s="18"/>
    </row>
    <row r="641" spans="1:5" customFormat="1" x14ac:dyDescent="0.2">
      <c r="A641" s="19"/>
      <c r="E641" s="18"/>
    </row>
    <row r="642" spans="1:5" customFormat="1" x14ac:dyDescent="0.2">
      <c r="A642" s="19"/>
      <c r="E642" s="18"/>
    </row>
    <row r="643" spans="1:5" customFormat="1" x14ac:dyDescent="0.2">
      <c r="A643" s="19"/>
      <c r="E643" s="18"/>
    </row>
    <row r="644" spans="1:5" customFormat="1" x14ac:dyDescent="0.2">
      <c r="A644" s="19"/>
      <c r="E644" s="18"/>
    </row>
    <row r="645" spans="1:5" customFormat="1" x14ac:dyDescent="0.2">
      <c r="A645" s="19"/>
      <c r="E645" s="18"/>
    </row>
    <row r="646" spans="1:5" customFormat="1" x14ac:dyDescent="0.2">
      <c r="A646" s="19"/>
      <c r="E646" s="18"/>
    </row>
    <row r="647" spans="1:5" customFormat="1" x14ac:dyDescent="0.2">
      <c r="A647" s="19"/>
      <c r="E647" s="18"/>
    </row>
    <row r="648" spans="1:5" customFormat="1" x14ac:dyDescent="0.2">
      <c r="A648" s="19"/>
      <c r="E648" s="18"/>
    </row>
    <row r="649" spans="1:5" customFormat="1" x14ac:dyDescent="0.2">
      <c r="A649" s="19"/>
      <c r="E649" s="18"/>
    </row>
    <row r="650" spans="1:5" customFormat="1" x14ac:dyDescent="0.2">
      <c r="A650" s="19"/>
      <c r="E650" s="18"/>
    </row>
    <row r="651" spans="1:5" customFormat="1" x14ac:dyDescent="0.2">
      <c r="A651" s="19"/>
      <c r="E651" s="18"/>
    </row>
    <row r="652" spans="1:5" customFormat="1" x14ac:dyDescent="0.2">
      <c r="A652" s="19"/>
      <c r="E652" s="18"/>
    </row>
    <row r="653" spans="1:5" customFormat="1" x14ac:dyDescent="0.2">
      <c r="A653" s="19"/>
      <c r="E653" s="18"/>
    </row>
    <row r="654" spans="1:5" customFormat="1" x14ac:dyDescent="0.2">
      <c r="A654" s="19"/>
      <c r="E654" s="18"/>
    </row>
    <row r="655" spans="1:5" customFormat="1" x14ac:dyDescent="0.2">
      <c r="A655" s="19"/>
      <c r="E655" s="18"/>
    </row>
    <row r="656" spans="1:5" customFormat="1" x14ac:dyDescent="0.2">
      <c r="A656" s="19"/>
      <c r="E656" s="18"/>
    </row>
    <row r="657" spans="1:5" customFormat="1" x14ac:dyDescent="0.2">
      <c r="A657" s="19"/>
      <c r="E657" s="18"/>
    </row>
    <row r="658" spans="1:5" customFormat="1" x14ac:dyDescent="0.2">
      <c r="A658" s="19"/>
      <c r="E658" s="18"/>
    </row>
    <row r="659" spans="1:5" customFormat="1" x14ac:dyDescent="0.2">
      <c r="A659" s="19"/>
      <c r="E659" s="18"/>
    </row>
    <row r="660" spans="1:5" customFormat="1" x14ac:dyDescent="0.2">
      <c r="A660" s="19"/>
      <c r="E660" s="18"/>
    </row>
    <row r="661" spans="1:5" customFormat="1" x14ac:dyDescent="0.2">
      <c r="A661" s="19"/>
      <c r="E661" s="18"/>
    </row>
    <row r="662" spans="1:5" customFormat="1" x14ac:dyDescent="0.2">
      <c r="A662" s="19"/>
      <c r="E662" s="18"/>
    </row>
    <row r="663" spans="1:5" customFormat="1" x14ac:dyDescent="0.2">
      <c r="A663" s="19"/>
      <c r="E663" s="18"/>
    </row>
    <row r="664" spans="1:5" customFormat="1" x14ac:dyDescent="0.2">
      <c r="A664" s="19"/>
      <c r="E664" s="18"/>
    </row>
    <row r="665" spans="1:5" customFormat="1" x14ac:dyDescent="0.2">
      <c r="A665" s="19"/>
      <c r="E665" s="18"/>
    </row>
    <row r="666" spans="1:5" customFormat="1" x14ac:dyDescent="0.2">
      <c r="A666" s="19"/>
      <c r="E666" s="18"/>
    </row>
    <row r="667" spans="1:5" customFormat="1" x14ac:dyDescent="0.2">
      <c r="A667" s="19"/>
      <c r="E667" s="18"/>
    </row>
    <row r="668" spans="1:5" customFormat="1" x14ac:dyDescent="0.2">
      <c r="A668" s="19"/>
      <c r="E668" s="18"/>
    </row>
    <row r="669" spans="1:5" customFormat="1" x14ac:dyDescent="0.2">
      <c r="A669" s="19"/>
      <c r="E669" s="18"/>
    </row>
    <row r="670" spans="1:5" customFormat="1" x14ac:dyDescent="0.2">
      <c r="A670" s="19"/>
      <c r="E670" s="18"/>
    </row>
    <row r="671" spans="1:5" customFormat="1" x14ac:dyDescent="0.2">
      <c r="A671" s="19"/>
      <c r="E671" s="18"/>
    </row>
    <row r="672" spans="1:5" customFormat="1" x14ac:dyDescent="0.2">
      <c r="A672" s="19"/>
      <c r="E672" s="18"/>
    </row>
    <row r="673" spans="1:5" customFormat="1" x14ac:dyDescent="0.2">
      <c r="A673" s="19"/>
      <c r="E673" s="18"/>
    </row>
    <row r="674" spans="1:5" customFormat="1" x14ac:dyDescent="0.2">
      <c r="A674" s="19"/>
      <c r="E674" s="18"/>
    </row>
    <row r="675" spans="1:5" customFormat="1" x14ac:dyDescent="0.2">
      <c r="A675" s="19"/>
      <c r="E675" s="18"/>
    </row>
    <row r="676" spans="1:5" customFormat="1" x14ac:dyDescent="0.2">
      <c r="A676" s="19"/>
      <c r="E676" s="18"/>
    </row>
    <row r="677" spans="1:5" customFormat="1" x14ac:dyDescent="0.2">
      <c r="A677" s="19"/>
      <c r="E677" s="18"/>
    </row>
    <row r="678" spans="1:5" customFormat="1" x14ac:dyDescent="0.2">
      <c r="A678" s="19"/>
      <c r="E678" s="18"/>
    </row>
    <row r="679" spans="1:5" customFormat="1" x14ac:dyDescent="0.2">
      <c r="A679" s="19"/>
      <c r="E679" s="18"/>
    </row>
    <row r="680" spans="1:5" customFormat="1" x14ac:dyDescent="0.2">
      <c r="A680" s="19"/>
      <c r="E680" s="18"/>
    </row>
    <row r="681" spans="1:5" customFormat="1" x14ac:dyDescent="0.2">
      <c r="A681" s="19"/>
      <c r="E681" s="18"/>
    </row>
    <row r="682" spans="1:5" customFormat="1" x14ac:dyDescent="0.2">
      <c r="A682" s="19"/>
      <c r="E682" s="18"/>
    </row>
    <row r="683" spans="1:5" customFormat="1" x14ac:dyDescent="0.2">
      <c r="A683" s="19"/>
      <c r="E683" s="18"/>
    </row>
    <row r="684" spans="1:5" customFormat="1" x14ac:dyDescent="0.2">
      <c r="A684" s="19"/>
      <c r="E684" s="18"/>
    </row>
    <row r="685" spans="1:5" customFormat="1" x14ac:dyDescent="0.2">
      <c r="A685" s="19"/>
      <c r="E685" s="18"/>
    </row>
    <row r="686" spans="1:5" customFormat="1" x14ac:dyDescent="0.2">
      <c r="A686" s="19"/>
      <c r="E686" s="18"/>
    </row>
    <row r="687" spans="1:5" customFormat="1" x14ac:dyDescent="0.2">
      <c r="A687" s="19"/>
      <c r="E687" s="18"/>
    </row>
    <row r="688" spans="1:5" customFormat="1" x14ac:dyDescent="0.2">
      <c r="A688" s="19"/>
      <c r="E688" s="18"/>
    </row>
    <row r="689" spans="1:5" customFormat="1" x14ac:dyDescent="0.2">
      <c r="A689" s="19"/>
      <c r="E689" s="18"/>
    </row>
    <row r="690" spans="1:5" customFormat="1" x14ac:dyDescent="0.2">
      <c r="A690" s="19"/>
      <c r="E690" s="18"/>
    </row>
    <row r="691" spans="1:5" customFormat="1" x14ac:dyDescent="0.2">
      <c r="A691" s="19"/>
      <c r="E691" s="18"/>
    </row>
    <row r="692" spans="1:5" customFormat="1" x14ac:dyDescent="0.2">
      <c r="A692" s="19"/>
      <c r="E692" s="18"/>
    </row>
    <row r="693" spans="1:5" customFormat="1" x14ac:dyDescent="0.2">
      <c r="A693" s="19"/>
      <c r="E693" s="18"/>
    </row>
    <row r="694" spans="1:5" customFormat="1" x14ac:dyDescent="0.2">
      <c r="A694" s="19"/>
      <c r="E694" s="18"/>
    </row>
    <row r="695" spans="1:5" customFormat="1" x14ac:dyDescent="0.2">
      <c r="A695" s="19"/>
      <c r="E695" s="18"/>
    </row>
    <row r="696" spans="1:5" customFormat="1" x14ac:dyDescent="0.2">
      <c r="A696" s="19"/>
      <c r="E696" s="18"/>
    </row>
    <row r="697" spans="1:5" customFormat="1" x14ac:dyDescent="0.2">
      <c r="A697" s="19"/>
      <c r="E697" s="18"/>
    </row>
    <row r="698" spans="1:5" customFormat="1" x14ac:dyDescent="0.2">
      <c r="A698" s="19"/>
      <c r="E698" s="18"/>
    </row>
    <row r="699" spans="1:5" customFormat="1" x14ac:dyDescent="0.2">
      <c r="A699" s="19"/>
      <c r="E699" s="18"/>
    </row>
    <row r="700" spans="1:5" customFormat="1" x14ac:dyDescent="0.2">
      <c r="A700" s="19"/>
      <c r="E700" s="18"/>
    </row>
    <row r="701" spans="1:5" customFormat="1" x14ac:dyDescent="0.2">
      <c r="A701" s="19"/>
      <c r="E701" s="18"/>
    </row>
    <row r="702" spans="1:5" customFormat="1" x14ac:dyDescent="0.2">
      <c r="A702" s="19"/>
      <c r="E702" s="18"/>
    </row>
    <row r="703" spans="1:5" customFormat="1" x14ac:dyDescent="0.2">
      <c r="A703" s="19"/>
      <c r="E703" s="18"/>
    </row>
    <row r="704" spans="1:5" customFormat="1" x14ac:dyDescent="0.2">
      <c r="A704" s="19"/>
      <c r="E704" s="18"/>
    </row>
    <row r="705" spans="1:5" customFormat="1" x14ac:dyDescent="0.2">
      <c r="A705" s="19"/>
      <c r="E705" s="18"/>
    </row>
    <row r="706" spans="1:5" customFormat="1" x14ac:dyDescent="0.2">
      <c r="A706" s="19"/>
      <c r="E706" s="18"/>
    </row>
    <row r="707" spans="1:5" customFormat="1" x14ac:dyDescent="0.2">
      <c r="A707" s="19"/>
      <c r="E707" s="18"/>
    </row>
    <row r="708" spans="1:5" customFormat="1" x14ac:dyDescent="0.2">
      <c r="A708" s="19"/>
      <c r="E708" s="18"/>
    </row>
    <row r="709" spans="1:5" customFormat="1" x14ac:dyDescent="0.2">
      <c r="A709" s="19"/>
      <c r="E709" s="18"/>
    </row>
    <row r="710" spans="1:5" customFormat="1" x14ac:dyDescent="0.2">
      <c r="A710" s="19"/>
      <c r="E710" s="18"/>
    </row>
    <row r="711" spans="1:5" customFormat="1" x14ac:dyDescent="0.2">
      <c r="A711" s="19"/>
      <c r="E711" s="18"/>
    </row>
    <row r="712" spans="1:5" customFormat="1" x14ac:dyDescent="0.2">
      <c r="A712" s="19"/>
      <c r="E712" s="18"/>
    </row>
    <row r="713" spans="1:5" customFormat="1" x14ac:dyDescent="0.2">
      <c r="A713" s="19"/>
      <c r="E713" s="18"/>
    </row>
    <row r="714" spans="1:5" customFormat="1" x14ac:dyDescent="0.2">
      <c r="A714" s="19"/>
      <c r="E714" s="18"/>
    </row>
    <row r="715" spans="1:5" customFormat="1" x14ac:dyDescent="0.2">
      <c r="A715" s="19"/>
      <c r="E715" s="18"/>
    </row>
    <row r="716" spans="1:5" customFormat="1" x14ac:dyDescent="0.2">
      <c r="A716" s="19"/>
      <c r="E716" s="18"/>
    </row>
    <row r="717" spans="1:5" customFormat="1" x14ac:dyDescent="0.2">
      <c r="A717" s="19"/>
      <c r="E717" s="18"/>
    </row>
    <row r="718" spans="1:5" customFormat="1" x14ac:dyDescent="0.2">
      <c r="A718" s="19"/>
      <c r="E718" s="18"/>
    </row>
    <row r="719" spans="1:5" customFormat="1" x14ac:dyDescent="0.2">
      <c r="A719" s="19"/>
      <c r="E719" s="18"/>
    </row>
    <row r="720" spans="1:5" customFormat="1" x14ac:dyDescent="0.2">
      <c r="A720" s="19"/>
      <c r="E720" s="18"/>
    </row>
    <row r="721" spans="1:5" customFormat="1" x14ac:dyDescent="0.2">
      <c r="A721" s="19"/>
      <c r="E721" s="18"/>
    </row>
    <row r="722" spans="1:5" customFormat="1" x14ac:dyDescent="0.2">
      <c r="A722" s="19"/>
      <c r="E722" s="18"/>
    </row>
    <row r="723" spans="1:5" customFormat="1" x14ac:dyDescent="0.2">
      <c r="A723" s="19"/>
      <c r="E723" s="18"/>
    </row>
    <row r="724" spans="1:5" customFormat="1" x14ac:dyDescent="0.2">
      <c r="A724" s="19"/>
      <c r="E724" s="18"/>
    </row>
    <row r="725" spans="1:5" customFormat="1" x14ac:dyDescent="0.2">
      <c r="A725" s="19"/>
      <c r="E725" s="18"/>
    </row>
    <row r="726" spans="1:5" customFormat="1" x14ac:dyDescent="0.2">
      <c r="A726" s="19"/>
      <c r="E726" s="18"/>
    </row>
    <row r="727" spans="1:5" customFormat="1" x14ac:dyDescent="0.2">
      <c r="A727" s="19"/>
      <c r="E727" s="18"/>
    </row>
    <row r="728" spans="1:5" customFormat="1" x14ac:dyDescent="0.2">
      <c r="A728" s="19"/>
      <c r="E728" s="18"/>
    </row>
    <row r="729" spans="1:5" customFormat="1" x14ac:dyDescent="0.2">
      <c r="A729" s="19"/>
      <c r="E729" s="18"/>
    </row>
    <row r="730" spans="1:5" customFormat="1" x14ac:dyDescent="0.2">
      <c r="A730" s="19"/>
      <c r="E730" s="18"/>
    </row>
    <row r="731" spans="1:5" customFormat="1" x14ac:dyDescent="0.2">
      <c r="A731" s="19"/>
      <c r="E731" s="18"/>
    </row>
    <row r="732" spans="1:5" customFormat="1" x14ac:dyDescent="0.2">
      <c r="A732" s="19"/>
      <c r="E732" s="18"/>
    </row>
    <row r="733" spans="1:5" customFormat="1" x14ac:dyDescent="0.2">
      <c r="A733" s="19"/>
      <c r="E733" s="18"/>
    </row>
    <row r="734" spans="1:5" customFormat="1" x14ac:dyDescent="0.2">
      <c r="A734" s="19"/>
      <c r="E734" s="18"/>
    </row>
    <row r="735" spans="1:5" customFormat="1" x14ac:dyDescent="0.2">
      <c r="A735" s="19"/>
      <c r="E735" s="18"/>
    </row>
    <row r="736" spans="1:5" customFormat="1" x14ac:dyDescent="0.2">
      <c r="A736" s="19"/>
      <c r="E736" s="18"/>
    </row>
    <row r="737" spans="1:5" customFormat="1" x14ac:dyDescent="0.2">
      <c r="A737" s="19"/>
      <c r="E737" s="18"/>
    </row>
    <row r="738" spans="1:5" customFormat="1" x14ac:dyDescent="0.2">
      <c r="A738" s="19"/>
      <c r="E738" s="18"/>
    </row>
    <row r="739" spans="1:5" customFormat="1" x14ac:dyDescent="0.2">
      <c r="A739" s="19"/>
      <c r="E739" s="18"/>
    </row>
    <row r="740" spans="1:5" customFormat="1" x14ac:dyDescent="0.2">
      <c r="A740" s="19"/>
      <c r="E740" s="18"/>
    </row>
    <row r="741" spans="1:5" customFormat="1" x14ac:dyDescent="0.2">
      <c r="A741" s="19"/>
      <c r="E741" s="18"/>
    </row>
    <row r="742" spans="1:5" customFormat="1" x14ac:dyDescent="0.2">
      <c r="A742" s="19"/>
      <c r="E742" s="18"/>
    </row>
    <row r="743" spans="1:5" customFormat="1" x14ac:dyDescent="0.2">
      <c r="A743" s="19"/>
      <c r="E743" s="18"/>
    </row>
    <row r="744" spans="1:5" customFormat="1" x14ac:dyDescent="0.2">
      <c r="A744" s="19"/>
      <c r="E744" s="18"/>
    </row>
    <row r="745" spans="1:5" customFormat="1" x14ac:dyDescent="0.2">
      <c r="A745" s="19"/>
      <c r="E745" s="18"/>
    </row>
    <row r="746" spans="1:5" customFormat="1" x14ac:dyDescent="0.2">
      <c r="A746" s="19"/>
      <c r="E746" s="18"/>
    </row>
    <row r="747" spans="1:5" customFormat="1" x14ac:dyDescent="0.2">
      <c r="A747" s="19"/>
      <c r="E747" s="18"/>
    </row>
    <row r="748" spans="1:5" customFormat="1" x14ac:dyDescent="0.2">
      <c r="A748" s="19"/>
      <c r="E748" s="18"/>
    </row>
    <row r="749" spans="1:5" customFormat="1" x14ac:dyDescent="0.2">
      <c r="A749" s="19"/>
      <c r="E749" s="18"/>
    </row>
    <row r="750" spans="1:5" customFormat="1" x14ac:dyDescent="0.2">
      <c r="A750" s="19"/>
      <c r="E750" s="18"/>
    </row>
    <row r="751" spans="1:5" customFormat="1" x14ac:dyDescent="0.2">
      <c r="A751" s="19"/>
      <c r="E751" s="18"/>
    </row>
    <row r="752" spans="1:5" customFormat="1" x14ac:dyDescent="0.2">
      <c r="A752" s="19"/>
      <c r="E752" s="18"/>
    </row>
    <row r="753" spans="1:5" customFormat="1" x14ac:dyDescent="0.2">
      <c r="A753" s="19"/>
      <c r="E753" s="18"/>
    </row>
    <row r="754" spans="1:5" customFormat="1" x14ac:dyDescent="0.2">
      <c r="A754" s="19"/>
      <c r="E754" s="18"/>
    </row>
    <row r="755" spans="1:5" customFormat="1" x14ac:dyDescent="0.2">
      <c r="A755" s="19"/>
      <c r="E755" s="18"/>
    </row>
    <row r="756" spans="1:5" customFormat="1" x14ac:dyDescent="0.2">
      <c r="A756" s="19"/>
      <c r="E756" s="18"/>
    </row>
    <row r="757" spans="1:5" customFormat="1" x14ac:dyDescent="0.2">
      <c r="A757" s="19"/>
      <c r="E757" s="18"/>
    </row>
    <row r="758" spans="1:5" customFormat="1" x14ac:dyDescent="0.2">
      <c r="A758" s="19"/>
      <c r="E758" s="18"/>
    </row>
    <row r="759" spans="1:5" customFormat="1" x14ac:dyDescent="0.2">
      <c r="A759" s="19"/>
      <c r="E759" s="18"/>
    </row>
    <row r="760" spans="1:5" customFormat="1" x14ac:dyDescent="0.2">
      <c r="A760" s="19"/>
      <c r="E760" s="18"/>
    </row>
    <row r="761" spans="1:5" customFormat="1" x14ac:dyDescent="0.2">
      <c r="A761" s="19"/>
      <c r="E761" s="18"/>
    </row>
    <row r="762" spans="1:5" customFormat="1" x14ac:dyDescent="0.2">
      <c r="A762" s="19"/>
      <c r="E762" s="18"/>
    </row>
    <row r="763" spans="1:5" customFormat="1" x14ac:dyDescent="0.2">
      <c r="A763" s="19"/>
      <c r="E763" s="18"/>
    </row>
    <row r="764" spans="1:5" customFormat="1" x14ac:dyDescent="0.2">
      <c r="A764" s="19"/>
      <c r="E764" s="18"/>
    </row>
    <row r="765" spans="1:5" customFormat="1" x14ac:dyDescent="0.2">
      <c r="A765" s="19"/>
      <c r="E765" s="18"/>
    </row>
    <row r="766" spans="1:5" customFormat="1" x14ac:dyDescent="0.2">
      <c r="A766" s="19"/>
      <c r="E766" s="18"/>
    </row>
    <row r="767" spans="1:5" customFormat="1" x14ac:dyDescent="0.2">
      <c r="A767" s="19"/>
      <c r="E767" s="18"/>
    </row>
    <row r="768" spans="1:5" customFormat="1" x14ac:dyDescent="0.2">
      <c r="A768" s="19"/>
      <c r="E768" s="18"/>
    </row>
    <row r="769" spans="1:5" customFormat="1" x14ac:dyDescent="0.2">
      <c r="A769" s="19"/>
      <c r="E769" s="18"/>
    </row>
    <row r="770" spans="1:5" customFormat="1" x14ac:dyDescent="0.2">
      <c r="A770" s="19"/>
      <c r="E770" s="18"/>
    </row>
    <row r="771" spans="1:5" customFormat="1" x14ac:dyDescent="0.2">
      <c r="A771" s="19"/>
      <c r="E771" s="18"/>
    </row>
    <row r="772" spans="1:5" customFormat="1" x14ac:dyDescent="0.2">
      <c r="A772" s="19"/>
      <c r="E772" s="18"/>
    </row>
    <row r="773" spans="1:5" customFormat="1" x14ac:dyDescent="0.2">
      <c r="A773" s="19"/>
      <c r="E773" s="18"/>
    </row>
    <row r="774" spans="1:5" customFormat="1" x14ac:dyDescent="0.2">
      <c r="A774" s="19"/>
      <c r="E774" s="18"/>
    </row>
    <row r="775" spans="1:5" customFormat="1" x14ac:dyDescent="0.2">
      <c r="A775" s="19"/>
      <c r="E775" s="18"/>
    </row>
    <row r="776" spans="1:5" customFormat="1" x14ac:dyDescent="0.2">
      <c r="A776" s="19"/>
      <c r="E776" s="18"/>
    </row>
    <row r="777" spans="1:5" customFormat="1" x14ac:dyDescent="0.2">
      <c r="A777" s="19"/>
      <c r="E777" s="18"/>
    </row>
    <row r="778" spans="1:5" customFormat="1" x14ac:dyDescent="0.2">
      <c r="A778" s="19"/>
      <c r="E778" s="18"/>
    </row>
    <row r="779" spans="1:5" customFormat="1" x14ac:dyDescent="0.2">
      <c r="A779" s="19"/>
      <c r="E779" s="18"/>
    </row>
    <row r="780" spans="1:5" customFormat="1" x14ac:dyDescent="0.2">
      <c r="A780" s="19"/>
      <c r="E780" s="18"/>
    </row>
    <row r="781" spans="1:5" customFormat="1" x14ac:dyDescent="0.2">
      <c r="A781" s="19"/>
      <c r="E781" s="18"/>
    </row>
    <row r="782" spans="1:5" customFormat="1" x14ac:dyDescent="0.2">
      <c r="A782" s="19"/>
      <c r="E782" s="18"/>
    </row>
    <row r="783" spans="1:5" customFormat="1" x14ac:dyDescent="0.2">
      <c r="A783" s="19"/>
      <c r="E783" s="18"/>
    </row>
    <row r="784" spans="1:5" customFormat="1" x14ac:dyDescent="0.2">
      <c r="A784" s="19"/>
      <c r="E784" s="18"/>
    </row>
    <row r="785" spans="1:5" customFormat="1" x14ac:dyDescent="0.2">
      <c r="A785" s="19"/>
      <c r="E785" s="18"/>
    </row>
    <row r="786" spans="1:5" customFormat="1" x14ac:dyDescent="0.2">
      <c r="A786" s="19"/>
      <c r="E786" s="18"/>
    </row>
    <row r="787" spans="1:5" customFormat="1" x14ac:dyDescent="0.2">
      <c r="A787" s="19"/>
      <c r="E787" s="18"/>
    </row>
    <row r="788" spans="1:5" customFormat="1" x14ac:dyDescent="0.2">
      <c r="A788" s="19"/>
      <c r="E788" s="18"/>
    </row>
    <row r="789" spans="1:5" customFormat="1" x14ac:dyDescent="0.2">
      <c r="A789" s="19"/>
      <c r="E789" s="18"/>
    </row>
    <row r="790" spans="1:5" customFormat="1" x14ac:dyDescent="0.2">
      <c r="A790" s="19"/>
      <c r="E790" s="18"/>
    </row>
    <row r="791" spans="1:5" customFormat="1" x14ac:dyDescent="0.2">
      <c r="A791" s="19"/>
      <c r="E791" s="18"/>
    </row>
    <row r="792" spans="1:5" customFormat="1" x14ac:dyDescent="0.2">
      <c r="A792" s="19"/>
      <c r="E792" s="18"/>
    </row>
    <row r="793" spans="1:5" customFormat="1" x14ac:dyDescent="0.2">
      <c r="A793" s="19"/>
      <c r="E793" s="18"/>
    </row>
    <row r="794" spans="1:5" customFormat="1" x14ac:dyDescent="0.2">
      <c r="A794" s="19"/>
      <c r="E794" s="18"/>
    </row>
    <row r="795" spans="1:5" customFormat="1" x14ac:dyDescent="0.2">
      <c r="A795" s="19"/>
      <c r="E795" s="18"/>
    </row>
    <row r="796" spans="1:5" customFormat="1" x14ac:dyDescent="0.2">
      <c r="A796" s="19"/>
      <c r="E796" s="18"/>
    </row>
    <row r="797" spans="1:5" customFormat="1" x14ac:dyDescent="0.2">
      <c r="A797" s="19"/>
      <c r="E797" s="18"/>
    </row>
    <row r="798" spans="1:5" customFormat="1" x14ac:dyDescent="0.2">
      <c r="A798" s="19"/>
      <c r="E798" s="18"/>
    </row>
    <row r="799" spans="1:5" customFormat="1" x14ac:dyDescent="0.2">
      <c r="A799" s="19"/>
      <c r="E799" s="18"/>
    </row>
    <row r="800" spans="1:5" customFormat="1" x14ac:dyDescent="0.2">
      <c r="A800" s="19"/>
      <c r="E800" s="18"/>
    </row>
    <row r="801" spans="1:5" customFormat="1" x14ac:dyDescent="0.2">
      <c r="A801" s="19"/>
      <c r="E801" s="18"/>
    </row>
    <row r="802" spans="1:5" customFormat="1" x14ac:dyDescent="0.2">
      <c r="A802" s="19"/>
      <c r="E802" s="18"/>
    </row>
    <row r="803" spans="1:5" customFormat="1" x14ac:dyDescent="0.2">
      <c r="A803" s="19"/>
      <c r="E803" s="18"/>
    </row>
    <row r="804" spans="1:5" customFormat="1" x14ac:dyDescent="0.2">
      <c r="A804" s="19"/>
      <c r="E804" s="18"/>
    </row>
    <row r="805" spans="1:5" customFormat="1" x14ac:dyDescent="0.2">
      <c r="A805" s="19"/>
      <c r="E805" s="18"/>
    </row>
    <row r="806" spans="1:5" customFormat="1" x14ac:dyDescent="0.2">
      <c r="A806" s="19"/>
      <c r="E806" s="18"/>
    </row>
    <row r="807" spans="1:5" customFormat="1" x14ac:dyDescent="0.2">
      <c r="A807" s="19"/>
      <c r="E807" s="18"/>
    </row>
    <row r="808" spans="1:5" customFormat="1" x14ac:dyDescent="0.2">
      <c r="A808" s="19"/>
      <c r="E808" s="18"/>
    </row>
    <row r="809" spans="1:5" customFormat="1" x14ac:dyDescent="0.2">
      <c r="A809" s="19"/>
      <c r="E809" s="18"/>
    </row>
    <row r="810" spans="1:5" customFormat="1" x14ac:dyDescent="0.2">
      <c r="A810" s="19"/>
      <c r="E810" s="18"/>
    </row>
    <row r="811" spans="1:5" customFormat="1" x14ac:dyDescent="0.2">
      <c r="A811" s="19"/>
      <c r="E811" s="18"/>
    </row>
    <row r="812" spans="1:5" customFormat="1" x14ac:dyDescent="0.2">
      <c r="A812" s="19"/>
      <c r="E812" s="18"/>
    </row>
    <row r="813" spans="1:5" customFormat="1" x14ac:dyDescent="0.2">
      <c r="A813" s="19"/>
      <c r="E813" s="18"/>
    </row>
    <row r="814" spans="1:5" customFormat="1" x14ac:dyDescent="0.2">
      <c r="A814" s="19"/>
      <c r="E814" s="18"/>
    </row>
    <row r="815" spans="1:5" customFormat="1" x14ac:dyDescent="0.2">
      <c r="A815" s="19"/>
      <c r="E815" s="18"/>
    </row>
    <row r="816" spans="1:5" customFormat="1" x14ac:dyDescent="0.2">
      <c r="A816" s="19"/>
      <c r="E816" s="18"/>
    </row>
    <row r="817" spans="1:5" customFormat="1" x14ac:dyDescent="0.2">
      <c r="A817" s="19"/>
      <c r="E817" s="18"/>
    </row>
    <row r="818" spans="1:5" customFormat="1" x14ac:dyDescent="0.2">
      <c r="A818" s="19"/>
      <c r="E818" s="18"/>
    </row>
    <row r="819" spans="1:5" customFormat="1" x14ac:dyDescent="0.2">
      <c r="A819" s="19"/>
      <c r="E819" s="18"/>
    </row>
    <row r="820" spans="1:5" customFormat="1" x14ac:dyDescent="0.2">
      <c r="A820" s="19"/>
      <c r="E820" s="18"/>
    </row>
    <row r="821" spans="1:5" customFormat="1" x14ac:dyDescent="0.2">
      <c r="A821" s="19"/>
      <c r="E821" s="18"/>
    </row>
    <row r="822" spans="1:5" customFormat="1" x14ac:dyDescent="0.2">
      <c r="A822" s="19"/>
      <c r="E822" s="18"/>
    </row>
    <row r="823" spans="1:5" customFormat="1" x14ac:dyDescent="0.2">
      <c r="A823" s="19"/>
      <c r="E823" s="18"/>
    </row>
    <row r="824" spans="1:5" customFormat="1" x14ac:dyDescent="0.2">
      <c r="A824" s="19"/>
      <c r="E824" s="18"/>
    </row>
    <row r="825" spans="1:5" customFormat="1" x14ac:dyDescent="0.2">
      <c r="A825" s="19"/>
      <c r="E825" s="18"/>
    </row>
    <row r="826" spans="1:5" customFormat="1" x14ac:dyDescent="0.2">
      <c r="A826" s="19"/>
      <c r="E826" s="18"/>
    </row>
    <row r="827" spans="1:5" customFormat="1" x14ac:dyDescent="0.2">
      <c r="A827" s="19"/>
      <c r="E827" s="18"/>
    </row>
    <row r="828" spans="1:5" customFormat="1" x14ac:dyDescent="0.2">
      <c r="A828" s="19"/>
      <c r="E828" s="18"/>
    </row>
    <row r="829" spans="1:5" customFormat="1" x14ac:dyDescent="0.2">
      <c r="A829" s="19"/>
      <c r="E829" s="18"/>
    </row>
    <row r="830" spans="1:5" customFormat="1" x14ac:dyDescent="0.2">
      <c r="A830" s="19"/>
      <c r="E830" s="18"/>
    </row>
    <row r="831" spans="1:5" customFormat="1" x14ac:dyDescent="0.2">
      <c r="A831" s="19"/>
      <c r="E831" s="18"/>
    </row>
    <row r="832" spans="1:5" customFormat="1" x14ac:dyDescent="0.2">
      <c r="A832" s="19"/>
      <c r="E832" s="18"/>
    </row>
    <row r="833" spans="1:5" customFormat="1" x14ac:dyDescent="0.2">
      <c r="A833" s="19"/>
      <c r="E833" s="18"/>
    </row>
    <row r="834" spans="1:5" customFormat="1" x14ac:dyDescent="0.2">
      <c r="A834" s="19"/>
      <c r="E834" s="18"/>
    </row>
    <row r="835" spans="1:5" customFormat="1" x14ac:dyDescent="0.2">
      <c r="A835" s="19"/>
      <c r="E835" s="18"/>
    </row>
    <row r="836" spans="1:5" customFormat="1" x14ac:dyDescent="0.2">
      <c r="A836" s="19"/>
      <c r="E836" s="18"/>
    </row>
    <row r="837" spans="1:5" customFormat="1" x14ac:dyDescent="0.2">
      <c r="A837" s="19"/>
      <c r="E837" s="18"/>
    </row>
    <row r="838" spans="1:5" customFormat="1" x14ac:dyDescent="0.2">
      <c r="A838" s="19"/>
      <c r="E838" s="18"/>
    </row>
    <row r="839" spans="1:5" customFormat="1" x14ac:dyDescent="0.2">
      <c r="A839" s="19"/>
      <c r="E839" s="18"/>
    </row>
    <row r="840" spans="1:5" customFormat="1" x14ac:dyDescent="0.2">
      <c r="A840" s="19"/>
      <c r="E840" s="18"/>
    </row>
    <row r="841" spans="1:5" customFormat="1" x14ac:dyDescent="0.2">
      <c r="A841" s="19"/>
      <c r="E841" s="18"/>
    </row>
    <row r="842" spans="1:5" customFormat="1" x14ac:dyDescent="0.2">
      <c r="A842" s="19"/>
      <c r="E842" s="18"/>
    </row>
    <row r="843" spans="1:5" customFormat="1" x14ac:dyDescent="0.2">
      <c r="A843" s="19"/>
      <c r="E843" s="18"/>
    </row>
    <row r="844" spans="1:5" customFormat="1" x14ac:dyDescent="0.2">
      <c r="A844" s="19"/>
      <c r="E844" s="18"/>
    </row>
    <row r="845" spans="1:5" customFormat="1" x14ac:dyDescent="0.2">
      <c r="A845" s="19"/>
      <c r="E845" s="18"/>
    </row>
    <row r="846" spans="1:5" customFormat="1" x14ac:dyDescent="0.2">
      <c r="A846" s="19"/>
      <c r="E846" s="18"/>
    </row>
    <row r="847" spans="1:5" customFormat="1" x14ac:dyDescent="0.2">
      <c r="A847" s="19"/>
      <c r="E847" s="18"/>
    </row>
    <row r="848" spans="1:5" customFormat="1" x14ac:dyDescent="0.2">
      <c r="A848" s="19"/>
      <c r="E848" s="18"/>
    </row>
    <row r="849" spans="1:5" customFormat="1" x14ac:dyDescent="0.2">
      <c r="A849" s="19"/>
      <c r="E849" s="18"/>
    </row>
    <row r="850" spans="1:5" customFormat="1" x14ac:dyDescent="0.2">
      <c r="A850" s="19"/>
      <c r="E850" s="18"/>
    </row>
    <row r="851" spans="1:5" customFormat="1" x14ac:dyDescent="0.2">
      <c r="A851" s="19"/>
      <c r="E851" s="18"/>
    </row>
    <row r="852" spans="1:5" customFormat="1" x14ac:dyDescent="0.2">
      <c r="A852" s="19"/>
      <c r="E852" s="18"/>
    </row>
    <row r="853" spans="1:5" customFormat="1" x14ac:dyDescent="0.2">
      <c r="A853" s="19"/>
      <c r="E853" s="18"/>
    </row>
    <row r="854" spans="1:5" customFormat="1" x14ac:dyDescent="0.2">
      <c r="A854" s="19"/>
      <c r="E854" s="18"/>
    </row>
    <row r="855" spans="1:5" customFormat="1" x14ac:dyDescent="0.2">
      <c r="A855" s="19"/>
      <c r="E855" s="18"/>
    </row>
    <row r="856" spans="1:5" customFormat="1" x14ac:dyDescent="0.2">
      <c r="A856" s="19"/>
      <c r="E856" s="18"/>
    </row>
    <row r="857" spans="1:5" customFormat="1" x14ac:dyDescent="0.2">
      <c r="A857" s="19"/>
      <c r="E857" s="18"/>
    </row>
    <row r="858" spans="1:5" customFormat="1" x14ac:dyDescent="0.2">
      <c r="A858" s="19"/>
      <c r="E858" s="18"/>
    </row>
    <row r="859" spans="1:5" customFormat="1" x14ac:dyDescent="0.2">
      <c r="A859" s="19"/>
      <c r="E859" s="18"/>
    </row>
    <row r="860" spans="1:5" customFormat="1" x14ac:dyDescent="0.2">
      <c r="A860" s="19"/>
      <c r="E860" s="18"/>
    </row>
    <row r="861" spans="1:5" customFormat="1" x14ac:dyDescent="0.2">
      <c r="A861" s="19"/>
      <c r="E861" s="18"/>
    </row>
    <row r="862" spans="1:5" customFormat="1" x14ac:dyDescent="0.2">
      <c r="A862" s="19"/>
      <c r="E862" s="18"/>
    </row>
    <row r="863" spans="1:5" customFormat="1" x14ac:dyDescent="0.2">
      <c r="A863" s="19"/>
      <c r="E863" s="18"/>
    </row>
    <row r="864" spans="1:5" customFormat="1" x14ac:dyDescent="0.2">
      <c r="A864" s="19"/>
      <c r="E864" s="18"/>
    </row>
    <row r="865" spans="1:5" customFormat="1" x14ac:dyDescent="0.2">
      <c r="A865" s="19"/>
      <c r="E865" s="18"/>
    </row>
    <row r="866" spans="1:5" customFormat="1" x14ac:dyDescent="0.2">
      <c r="A866" s="19"/>
      <c r="E866" s="18"/>
    </row>
    <row r="867" spans="1:5" customFormat="1" x14ac:dyDescent="0.2">
      <c r="A867" s="19"/>
      <c r="E867" s="18"/>
    </row>
    <row r="868" spans="1:5" customFormat="1" x14ac:dyDescent="0.2">
      <c r="A868" s="19"/>
      <c r="E868" s="18"/>
    </row>
    <row r="869" spans="1:5" customFormat="1" x14ac:dyDescent="0.2">
      <c r="A869" s="19"/>
      <c r="E869" s="18"/>
    </row>
    <row r="870" spans="1:5" customFormat="1" x14ac:dyDescent="0.2">
      <c r="A870" s="19"/>
      <c r="E870" s="18"/>
    </row>
    <row r="871" spans="1:5" customFormat="1" x14ac:dyDescent="0.2">
      <c r="A871" s="19"/>
      <c r="E871" s="18"/>
    </row>
    <row r="872" spans="1:5" customFormat="1" x14ac:dyDescent="0.2">
      <c r="A872" s="19"/>
      <c r="E872" s="18"/>
    </row>
    <row r="873" spans="1:5" customFormat="1" x14ac:dyDescent="0.2">
      <c r="A873" s="19"/>
      <c r="E873" s="18"/>
    </row>
    <row r="874" spans="1:5" customFormat="1" x14ac:dyDescent="0.2">
      <c r="A874" s="19"/>
      <c r="E874" s="18"/>
    </row>
    <row r="875" spans="1:5" customFormat="1" x14ac:dyDescent="0.2">
      <c r="A875" s="19"/>
      <c r="E875" s="18"/>
    </row>
    <row r="876" spans="1:5" customFormat="1" x14ac:dyDescent="0.2">
      <c r="A876" s="19"/>
      <c r="E876" s="18"/>
    </row>
    <row r="877" spans="1:5" customFormat="1" x14ac:dyDescent="0.2">
      <c r="A877" s="19"/>
      <c r="E877" s="18"/>
    </row>
    <row r="878" spans="1:5" customFormat="1" x14ac:dyDescent="0.2">
      <c r="A878" s="19"/>
      <c r="E878" s="18"/>
    </row>
    <row r="879" spans="1:5" customFormat="1" x14ac:dyDescent="0.2">
      <c r="A879" s="19"/>
      <c r="E879" s="18"/>
    </row>
    <row r="880" spans="1:5" customFormat="1" x14ac:dyDescent="0.2">
      <c r="A880" s="19"/>
      <c r="E880" s="18"/>
    </row>
    <row r="881" spans="1:5" customFormat="1" x14ac:dyDescent="0.2">
      <c r="A881" s="19"/>
      <c r="E881" s="18"/>
    </row>
    <row r="882" spans="1:5" customFormat="1" x14ac:dyDescent="0.2">
      <c r="A882" s="19"/>
      <c r="E882" s="18"/>
    </row>
    <row r="883" spans="1:5" customFormat="1" x14ac:dyDescent="0.2">
      <c r="A883" s="19"/>
      <c r="E883" s="18"/>
    </row>
    <row r="884" spans="1:5" customFormat="1" x14ac:dyDescent="0.2">
      <c r="A884" s="19"/>
      <c r="E884" s="18"/>
    </row>
    <row r="885" spans="1:5" customFormat="1" x14ac:dyDescent="0.2">
      <c r="A885" s="19"/>
      <c r="E885" s="18"/>
    </row>
    <row r="886" spans="1:5" customFormat="1" x14ac:dyDescent="0.2">
      <c r="A886" s="19"/>
      <c r="E886" s="18"/>
    </row>
    <row r="887" spans="1:5" customFormat="1" x14ac:dyDescent="0.2">
      <c r="A887" s="19"/>
      <c r="E887" s="18"/>
    </row>
    <row r="888" spans="1:5" customFormat="1" x14ac:dyDescent="0.2">
      <c r="A888" s="19"/>
      <c r="E888" s="18"/>
    </row>
    <row r="889" spans="1:5" customFormat="1" x14ac:dyDescent="0.2">
      <c r="A889" s="19"/>
      <c r="E889" s="18"/>
    </row>
    <row r="890" spans="1:5" customFormat="1" x14ac:dyDescent="0.2">
      <c r="A890" s="19"/>
      <c r="E890" s="18"/>
    </row>
    <row r="891" spans="1:5" customFormat="1" x14ac:dyDescent="0.2">
      <c r="A891" s="19"/>
      <c r="E891" s="18"/>
    </row>
    <row r="892" spans="1:5" customFormat="1" x14ac:dyDescent="0.2">
      <c r="A892" s="19"/>
      <c r="E892" s="18"/>
    </row>
    <row r="893" spans="1:5" customFormat="1" x14ac:dyDescent="0.2">
      <c r="A893" s="19"/>
      <c r="E893" s="18"/>
    </row>
    <row r="894" spans="1:5" customFormat="1" x14ac:dyDescent="0.2">
      <c r="A894" s="19"/>
      <c r="E894" s="18"/>
    </row>
    <row r="895" spans="1:5" customFormat="1" x14ac:dyDescent="0.2">
      <c r="A895" s="19"/>
      <c r="E895" s="18"/>
    </row>
    <row r="896" spans="1:5" customFormat="1" x14ac:dyDescent="0.2">
      <c r="A896" s="19"/>
      <c r="E896" s="18"/>
    </row>
    <row r="897" spans="1:5" customFormat="1" x14ac:dyDescent="0.2">
      <c r="A897" s="19"/>
      <c r="E897" s="18"/>
    </row>
    <row r="898" spans="1:5" customFormat="1" x14ac:dyDescent="0.2">
      <c r="A898" s="19"/>
      <c r="E898" s="18"/>
    </row>
    <row r="899" spans="1:5" customFormat="1" x14ac:dyDescent="0.2">
      <c r="A899" s="19"/>
      <c r="E899" s="18"/>
    </row>
    <row r="900" spans="1:5" customFormat="1" x14ac:dyDescent="0.2">
      <c r="A900" s="19"/>
      <c r="E900" s="18"/>
    </row>
    <row r="901" spans="1:5" customFormat="1" x14ac:dyDescent="0.2">
      <c r="A901" s="19"/>
      <c r="E901" s="18"/>
    </row>
    <row r="902" spans="1:5" customFormat="1" x14ac:dyDescent="0.2">
      <c r="A902" s="19"/>
      <c r="E902" s="18"/>
    </row>
    <row r="903" spans="1:5" customFormat="1" x14ac:dyDescent="0.2">
      <c r="A903" s="19"/>
      <c r="E903" s="18"/>
    </row>
    <row r="904" spans="1:5" customFormat="1" x14ac:dyDescent="0.2">
      <c r="A904" s="19"/>
      <c r="E904" s="18"/>
    </row>
    <row r="905" spans="1:5" customFormat="1" x14ac:dyDescent="0.2">
      <c r="A905" s="19"/>
      <c r="E905" s="18"/>
    </row>
    <row r="906" spans="1:5" customFormat="1" x14ac:dyDescent="0.2">
      <c r="A906" s="19"/>
      <c r="E906" s="18"/>
    </row>
    <row r="907" spans="1:5" customFormat="1" x14ac:dyDescent="0.2">
      <c r="A907" s="19"/>
      <c r="E907" s="18"/>
    </row>
    <row r="908" spans="1:5" customFormat="1" x14ac:dyDescent="0.2">
      <c r="A908" s="19"/>
      <c r="E908" s="18"/>
    </row>
    <row r="909" spans="1:5" customFormat="1" x14ac:dyDescent="0.2">
      <c r="A909" s="19"/>
      <c r="E909" s="18"/>
    </row>
    <row r="910" spans="1:5" customFormat="1" x14ac:dyDescent="0.2">
      <c r="A910" s="19"/>
      <c r="E910" s="18"/>
    </row>
    <row r="911" spans="1:5" customFormat="1" x14ac:dyDescent="0.2">
      <c r="A911" s="19"/>
      <c r="E911" s="18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9025-8582-4540-8FFD-C59A9F5DFBD7}">
  <dimension ref="A1:K911"/>
  <sheetViews>
    <sheetView zoomScale="110" workbookViewId="0">
      <selection activeCell="C69" sqref="C69"/>
    </sheetView>
  </sheetViews>
  <sheetFormatPr baseColWidth="10" defaultRowHeight="15" x14ac:dyDescent="0.2"/>
  <cols>
    <col min="1" max="1" width="29.6640625" style="19" customWidth="1"/>
    <col min="2" max="2" width="61.6640625" bestFit="1" customWidth="1"/>
    <col min="3" max="3" width="16.6640625" bestFit="1" customWidth="1"/>
    <col min="4" max="4" width="11.5" bestFit="1" customWidth="1"/>
    <col min="5" max="5" width="11.83203125" style="18" bestFit="1" customWidth="1"/>
    <col min="6" max="6" width="20.1640625" bestFit="1" customWidth="1"/>
    <col min="7" max="7" width="23.33203125" bestFit="1" customWidth="1"/>
    <col min="8" max="8" width="10.1640625" style="8" bestFit="1" customWidth="1"/>
    <col min="9" max="9" width="11.1640625" style="9" bestFit="1" customWidth="1"/>
    <col min="10" max="10" width="9.83203125" style="9" bestFit="1" customWidth="1"/>
    <col min="11" max="11" width="10" style="9" bestFit="1" customWidth="1"/>
  </cols>
  <sheetData>
    <row r="1" spans="1:11" x14ac:dyDescent="0.2">
      <c r="B1" s="6" t="s">
        <v>3</v>
      </c>
      <c r="C1" t="s">
        <v>995</v>
      </c>
    </row>
    <row r="2" spans="1:11" x14ac:dyDescent="0.2">
      <c r="A2" s="15" t="s">
        <v>1108</v>
      </c>
      <c r="B2" s="6" t="s">
        <v>981</v>
      </c>
      <c r="C2" t="s">
        <v>983</v>
      </c>
    </row>
    <row r="3" spans="1:11" x14ac:dyDescent="0.2">
      <c r="A3" s="16" t="s">
        <v>1109</v>
      </c>
      <c r="B3" s="6" t="s">
        <v>982</v>
      </c>
      <c r="C3" t="s">
        <v>983</v>
      </c>
    </row>
    <row r="4" spans="1:11" x14ac:dyDescent="0.2">
      <c r="A4" s="17" t="s">
        <v>996</v>
      </c>
    </row>
    <row r="5" spans="1:11" x14ac:dyDescent="0.2">
      <c r="A5" s="19" t="s">
        <v>997</v>
      </c>
      <c r="B5" s="6" t="s">
        <v>984</v>
      </c>
      <c r="C5" t="s">
        <v>986</v>
      </c>
      <c r="D5" t="s">
        <v>987</v>
      </c>
      <c r="E5" s="18" t="s">
        <v>988</v>
      </c>
      <c r="F5" t="s">
        <v>989</v>
      </c>
      <c r="G5" t="s">
        <v>990</v>
      </c>
      <c r="H5" s="8" t="s">
        <v>991</v>
      </c>
      <c r="I5" s="9" t="s">
        <v>992</v>
      </c>
      <c r="J5" s="9" t="s">
        <v>993</v>
      </c>
      <c r="K5" s="9" t="s">
        <v>994</v>
      </c>
    </row>
    <row r="6" spans="1:11" x14ac:dyDescent="0.2">
      <c r="B6" s="12" t="s">
        <v>185</v>
      </c>
      <c r="C6">
        <v>3114</v>
      </c>
      <c r="D6">
        <v>12</v>
      </c>
      <c r="E6" s="18">
        <v>16.650000000000002</v>
      </c>
      <c r="F6">
        <v>25.73</v>
      </c>
      <c r="G6">
        <v>1</v>
      </c>
      <c r="H6" s="8">
        <v>1.3875000000000002</v>
      </c>
      <c r="I6" s="9">
        <v>0.64710454722114275</v>
      </c>
      <c r="J6" s="9">
        <v>3.8535645472061657E-3</v>
      </c>
      <c r="K6" s="9">
        <v>8.3333333333333329E-2</v>
      </c>
    </row>
    <row r="7" spans="1:11" x14ac:dyDescent="0.2">
      <c r="B7" s="7" t="s">
        <v>232</v>
      </c>
      <c r="C7">
        <v>1552</v>
      </c>
      <c r="D7">
        <v>18</v>
      </c>
      <c r="E7" s="18">
        <v>23.989999999999995</v>
      </c>
      <c r="F7">
        <v>0</v>
      </c>
      <c r="G7">
        <v>0</v>
      </c>
      <c r="H7" s="8">
        <v>1.3327777777777774</v>
      </c>
      <c r="I7" s="9" t="e">
        <v>#DIV/0!</v>
      </c>
      <c r="J7" s="9">
        <v>1.1597938144329897E-2</v>
      </c>
      <c r="K7" s="9">
        <v>0</v>
      </c>
    </row>
    <row r="8" spans="1:11" x14ac:dyDescent="0.2">
      <c r="B8" s="13" t="s">
        <v>932</v>
      </c>
      <c r="C8">
        <v>975</v>
      </c>
      <c r="D8">
        <v>9</v>
      </c>
      <c r="E8" s="18">
        <v>8.98</v>
      </c>
      <c r="F8">
        <v>0</v>
      </c>
      <c r="G8">
        <v>0</v>
      </c>
      <c r="H8" s="8">
        <v>0.99777777777777787</v>
      </c>
      <c r="I8" s="9" t="e">
        <v>#DIV/0!</v>
      </c>
      <c r="J8" s="9">
        <v>9.2307692307692316E-3</v>
      </c>
      <c r="K8" s="9">
        <v>0</v>
      </c>
    </row>
    <row r="9" spans="1:11" x14ac:dyDescent="0.2">
      <c r="B9" s="7" t="s">
        <v>848</v>
      </c>
      <c r="C9">
        <v>838</v>
      </c>
      <c r="D9">
        <v>5</v>
      </c>
      <c r="E9" s="18">
        <v>4.8800000000000008</v>
      </c>
      <c r="F9">
        <v>0</v>
      </c>
      <c r="G9">
        <v>0</v>
      </c>
      <c r="H9" s="8">
        <v>0.9760000000000002</v>
      </c>
      <c r="I9" s="9" t="e">
        <v>#DIV/0!</v>
      </c>
      <c r="J9" s="9">
        <v>5.9665871121718375E-3</v>
      </c>
      <c r="K9" s="9">
        <v>0</v>
      </c>
    </row>
    <row r="10" spans="1:11" x14ac:dyDescent="0.2">
      <c r="B10" s="7" t="s">
        <v>1141</v>
      </c>
      <c r="C10">
        <v>635</v>
      </c>
      <c r="D10">
        <v>4</v>
      </c>
      <c r="E10" s="18">
        <v>3.18</v>
      </c>
      <c r="F10">
        <v>0</v>
      </c>
      <c r="G10">
        <v>0</v>
      </c>
      <c r="H10" s="8">
        <v>0.79500000000000004</v>
      </c>
      <c r="I10" s="9" t="e">
        <v>#DIV/0!</v>
      </c>
      <c r="J10" s="9">
        <v>6.2992125984251968E-3</v>
      </c>
      <c r="K10" s="9">
        <v>0</v>
      </c>
    </row>
    <row r="11" spans="1:11" x14ac:dyDescent="0.2">
      <c r="B11" s="7" t="s">
        <v>173</v>
      </c>
      <c r="C11">
        <v>488</v>
      </c>
      <c r="D11">
        <v>6</v>
      </c>
      <c r="E11" s="18">
        <v>7.51</v>
      </c>
      <c r="F11">
        <v>0</v>
      </c>
      <c r="G11">
        <v>0</v>
      </c>
      <c r="H11" s="8">
        <v>1.2516666666666667</v>
      </c>
      <c r="I11" s="9" t="e">
        <v>#DIV/0!</v>
      </c>
      <c r="J11" s="9">
        <v>1.2295081967213115E-2</v>
      </c>
      <c r="K11" s="9">
        <v>0</v>
      </c>
    </row>
    <row r="12" spans="1:11" x14ac:dyDescent="0.2">
      <c r="A12" s="11" t="s">
        <v>998</v>
      </c>
      <c r="B12" s="7" t="s">
        <v>108</v>
      </c>
      <c r="C12">
        <v>333</v>
      </c>
      <c r="D12">
        <v>5</v>
      </c>
      <c r="E12" s="18">
        <v>6.330000000000001</v>
      </c>
      <c r="F12">
        <v>0</v>
      </c>
      <c r="G12">
        <v>0</v>
      </c>
      <c r="H12" s="8">
        <v>1.2660000000000002</v>
      </c>
      <c r="I12" s="9" t="e">
        <v>#DIV/0!</v>
      </c>
      <c r="J12" s="9">
        <v>1.5015015015015015E-2</v>
      </c>
      <c r="K12" s="9">
        <v>0</v>
      </c>
    </row>
    <row r="13" spans="1:11" x14ac:dyDescent="0.2">
      <c r="A13" s="11" t="s">
        <v>1000</v>
      </c>
      <c r="B13" s="7" t="s">
        <v>354</v>
      </c>
      <c r="C13">
        <v>253</v>
      </c>
      <c r="D13">
        <v>6</v>
      </c>
      <c r="E13" s="18">
        <v>7.6</v>
      </c>
      <c r="F13">
        <v>0</v>
      </c>
      <c r="G13">
        <v>0</v>
      </c>
      <c r="H13" s="8">
        <v>1.2666666666666666</v>
      </c>
      <c r="I13" s="9" t="e">
        <v>#DIV/0!</v>
      </c>
      <c r="J13" s="9">
        <v>2.3715415019762844E-2</v>
      </c>
      <c r="K13" s="9">
        <v>0</v>
      </c>
    </row>
    <row r="14" spans="1:11" x14ac:dyDescent="0.2">
      <c r="B14" s="12" t="s">
        <v>196</v>
      </c>
      <c r="C14">
        <v>137</v>
      </c>
      <c r="D14">
        <v>9</v>
      </c>
      <c r="E14" s="18">
        <v>10.379999999999999</v>
      </c>
      <c r="F14">
        <v>31.34</v>
      </c>
      <c r="G14">
        <v>1</v>
      </c>
      <c r="H14" s="8">
        <v>1.1533333333333333</v>
      </c>
      <c r="I14" s="9">
        <v>0.33120612635609442</v>
      </c>
      <c r="J14" s="9">
        <v>6.569343065693431E-2</v>
      </c>
      <c r="K14" s="9">
        <v>0.1111111111111111</v>
      </c>
    </row>
    <row r="15" spans="1:11" x14ac:dyDescent="0.2">
      <c r="A15" s="11" t="s">
        <v>1002</v>
      </c>
      <c r="B15" s="13" t="s">
        <v>236</v>
      </c>
      <c r="C15">
        <v>129</v>
      </c>
      <c r="D15">
        <v>8</v>
      </c>
      <c r="E15" s="18">
        <v>10.739999999999998</v>
      </c>
      <c r="F15">
        <v>0</v>
      </c>
      <c r="G15">
        <v>0</v>
      </c>
      <c r="H15" s="8">
        <v>1.3424999999999998</v>
      </c>
      <c r="I15" s="9" t="e">
        <v>#DIV/0!</v>
      </c>
      <c r="J15" s="9">
        <v>6.2015503875968991E-2</v>
      </c>
      <c r="K15" s="9">
        <v>0</v>
      </c>
    </row>
    <row r="16" spans="1:11" x14ac:dyDescent="0.2">
      <c r="A16" s="11" t="s">
        <v>1000</v>
      </c>
      <c r="B16" s="13" t="s">
        <v>359</v>
      </c>
      <c r="C16">
        <v>129</v>
      </c>
      <c r="D16">
        <v>1</v>
      </c>
      <c r="E16" s="18">
        <v>1.04</v>
      </c>
      <c r="F16">
        <v>0</v>
      </c>
      <c r="G16">
        <v>0</v>
      </c>
      <c r="H16" s="8">
        <v>1.04</v>
      </c>
      <c r="I16" s="9" t="e">
        <v>#DIV/0!</v>
      </c>
      <c r="J16" s="9">
        <v>7.7519379844961239E-3</v>
      </c>
      <c r="K16" s="9">
        <v>0</v>
      </c>
    </row>
    <row r="17" spans="1:11" x14ac:dyDescent="0.2">
      <c r="A17" s="11" t="s">
        <v>1000</v>
      </c>
      <c r="B17" s="13" t="s">
        <v>642</v>
      </c>
      <c r="C17">
        <v>99</v>
      </c>
      <c r="D17">
        <v>3</v>
      </c>
      <c r="E17" s="18">
        <v>3.73</v>
      </c>
      <c r="F17">
        <v>0</v>
      </c>
      <c r="G17">
        <v>0</v>
      </c>
      <c r="H17" s="8">
        <v>1.2433333333333334</v>
      </c>
      <c r="I17" s="9" t="e">
        <v>#DIV/0!</v>
      </c>
      <c r="J17" s="9">
        <v>3.0303030303030304E-2</v>
      </c>
      <c r="K17" s="9">
        <v>0</v>
      </c>
    </row>
    <row r="18" spans="1:11" x14ac:dyDescent="0.2">
      <c r="B18" s="7" t="s">
        <v>640</v>
      </c>
      <c r="C18">
        <v>89</v>
      </c>
      <c r="D18">
        <v>1</v>
      </c>
      <c r="E18" s="18">
        <v>1.1499999999999999</v>
      </c>
      <c r="F18">
        <v>0</v>
      </c>
      <c r="G18">
        <v>0</v>
      </c>
      <c r="H18" s="8">
        <v>1.1499999999999999</v>
      </c>
      <c r="I18" s="9" t="e">
        <v>#DIV/0!</v>
      </c>
      <c r="J18" s="9">
        <v>1.1235955056179775E-2</v>
      </c>
      <c r="K18" s="9">
        <v>0</v>
      </c>
    </row>
    <row r="19" spans="1:11" x14ac:dyDescent="0.2">
      <c r="A19" s="11" t="s">
        <v>1005</v>
      </c>
      <c r="B19" s="13" t="s">
        <v>879</v>
      </c>
      <c r="C19">
        <v>71</v>
      </c>
      <c r="D19">
        <v>1</v>
      </c>
      <c r="E19" s="18">
        <v>1.2</v>
      </c>
      <c r="F19">
        <v>0</v>
      </c>
      <c r="G19">
        <v>0</v>
      </c>
      <c r="H19" s="8">
        <v>1.2</v>
      </c>
      <c r="I19" s="9" t="e">
        <v>#DIV/0!</v>
      </c>
      <c r="J19" s="9">
        <v>1.4084507042253521E-2</v>
      </c>
      <c r="K19" s="9">
        <v>0</v>
      </c>
    </row>
    <row r="20" spans="1:11" x14ac:dyDescent="0.2">
      <c r="B20" s="7" t="s">
        <v>195</v>
      </c>
      <c r="C20">
        <v>50</v>
      </c>
      <c r="D20">
        <v>3</v>
      </c>
      <c r="E20" s="18">
        <v>3.4</v>
      </c>
      <c r="F20">
        <v>0</v>
      </c>
      <c r="G20">
        <v>0</v>
      </c>
      <c r="H20" s="8">
        <v>1.1333333333333333</v>
      </c>
      <c r="I20" s="9" t="e">
        <v>#DIV/0!</v>
      </c>
      <c r="J20" s="9">
        <v>0.06</v>
      </c>
      <c r="K20" s="9">
        <v>0</v>
      </c>
    </row>
    <row r="21" spans="1:11" x14ac:dyDescent="0.2">
      <c r="A21" s="11" t="s">
        <v>1006</v>
      </c>
      <c r="B21" s="13" t="s">
        <v>566</v>
      </c>
      <c r="C21">
        <v>46</v>
      </c>
      <c r="D21">
        <v>1</v>
      </c>
      <c r="E21" s="18">
        <v>1.03</v>
      </c>
      <c r="F21">
        <v>0</v>
      </c>
      <c r="G21">
        <v>0</v>
      </c>
      <c r="H21" s="8">
        <v>1.03</v>
      </c>
      <c r="I21" s="9" t="e">
        <v>#DIV/0!</v>
      </c>
      <c r="J21" s="9">
        <v>2.1739130434782608E-2</v>
      </c>
      <c r="K21" s="9">
        <v>0</v>
      </c>
    </row>
    <row r="22" spans="1:11" x14ac:dyDescent="0.2">
      <c r="A22" s="11" t="s">
        <v>1007</v>
      </c>
      <c r="B22" s="7" t="s">
        <v>1153</v>
      </c>
      <c r="C22">
        <v>41</v>
      </c>
      <c r="D22">
        <v>1</v>
      </c>
      <c r="E22" s="18">
        <v>1.27</v>
      </c>
      <c r="F22">
        <v>0</v>
      </c>
      <c r="G22">
        <v>0</v>
      </c>
      <c r="H22" s="8">
        <v>1.27</v>
      </c>
      <c r="I22" s="9" t="e">
        <v>#DIV/0!</v>
      </c>
      <c r="J22" s="9">
        <v>2.4390243902439025E-2</v>
      </c>
      <c r="K22" s="9">
        <v>0</v>
      </c>
    </row>
    <row r="23" spans="1:11" x14ac:dyDescent="0.2">
      <c r="A23" s="11" t="s">
        <v>1000</v>
      </c>
      <c r="B23" s="7" t="s">
        <v>184</v>
      </c>
      <c r="C23">
        <v>38</v>
      </c>
      <c r="D23">
        <v>4</v>
      </c>
      <c r="E23" s="18">
        <v>4.9799999999999995</v>
      </c>
      <c r="F23">
        <v>0</v>
      </c>
      <c r="G23">
        <v>0</v>
      </c>
      <c r="H23" s="8">
        <v>1.2449999999999999</v>
      </c>
      <c r="I23" s="9" t="e">
        <v>#DIV/0!</v>
      </c>
      <c r="J23" s="9">
        <v>0.10526315789473684</v>
      </c>
      <c r="K23" s="9">
        <v>0</v>
      </c>
    </row>
    <row r="24" spans="1:11" x14ac:dyDescent="0.2">
      <c r="A24" s="11" t="s">
        <v>1009</v>
      </c>
      <c r="B24" s="7" t="s">
        <v>1231</v>
      </c>
      <c r="C24">
        <v>37</v>
      </c>
      <c r="D24">
        <v>1</v>
      </c>
      <c r="E24" s="18">
        <v>1.51</v>
      </c>
      <c r="F24">
        <v>0</v>
      </c>
      <c r="G24">
        <v>0</v>
      </c>
      <c r="H24" s="8">
        <v>1.51</v>
      </c>
      <c r="I24" s="9" t="e">
        <v>#DIV/0!</v>
      </c>
      <c r="J24" s="9">
        <v>2.7027027027027029E-2</v>
      </c>
      <c r="K24" s="9">
        <v>0</v>
      </c>
    </row>
    <row r="25" spans="1:11" x14ac:dyDescent="0.2">
      <c r="B25" s="7" t="s">
        <v>1154</v>
      </c>
      <c r="C25">
        <v>30</v>
      </c>
      <c r="D25">
        <v>1</v>
      </c>
      <c r="E25" s="18">
        <v>0.39</v>
      </c>
      <c r="F25">
        <v>0</v>
      </c>
      <c r="G25">
        <v>0</v>
      </c>
      <c r="H25" s="8">
        <v>0.39</v>
      </c>
      <c r="I25" s="9" t="e">
        <v>#DIV/0!</v>
      </c>
      <c r="J25" s="9">
        <v>3.3333333333333333E-2</v>
      </c>
      <c r="K25" s="9">
        <v>0</v>
      </c>
    </row>
    <row r="26" spans="1:11" x14ac:dyDescent="0.2">
      <c r="B26" s="13" t="s">
        <v>407</v>
      </c>
      <c r="C26">
        <v>22</v>
      </c>
      <c r="D26">
        <v>2</v>
      </c>
      <c r="E26" s="18">
        <v>2.0099999999999998</v>
      </c>
      <c r="F26">
        <v>0</v>
      </c>
      <c r="G26">
        <v>0</v>
      </c>
      <c r="H26" s="8">
        <v>1.0049999999999999</v>
      </c>
      <c r="I26" s="9" t="e">
        <v>#DIV/0!</v>
      </c>
      <c r="J26" s="9">
        <v>9.0909090909090912E-2</v>
      </c>
      <c r="K26" s="9">
        <v>0</v>
      </c>
    </row>
    <row r="27" spans="1:11" x14ac:dyDescent="0.2">
      <c r="A27" s="11" t="s">
        <v>1013</v>
      </c>
      <c r="B27" s="13" t="s">
        <v>413</v>
      </c>
      <c r="C27">
        <v>21</v>
      </c>
      <c r="D27">
        <v>1</v>
      </c>
      <c r="E27" s="18">
        <v>1.28</v>
      </c>
      <c r="F27">
        <v>0</v>
      </c>
      <c r="G27">
        <v>0</v>
      </c>
      <c r="H27" s="8">
        <v>1.28</v>
      </c>
      <c r="I27" s="9" t="e">
        <v>#DIV/0!</v>
      </c>
      <c r="J27" s="9">
        <v>4.7619047619047616E-2</v>
      </c>
      <c r="K27" s="9">
        <v>0</v>
      </c>
    </row>
    <row r="28" spans="1:11" x14ac:dyDescent="0.2">
      <c r="B28" s="7" t="s">
        <v>1157</v>
      </c>
      <c r="C28">
        <v>19</v>
      </c>
      <c r="D28">
        <v>2</v>
      </c>
      <c r="E28" s="18">
        <v>2.23</v>
      </c>
      <c r="F28">
        <v>0</v>
      </c>
      <c r="G28">
        <v>0</v>
      </c>
      <c r="H28" s="8">
        <v>1.115</v>
      </c>
      <c r="I28" s="9" t="e">
        <v>#DIV/0!</v>
      </c>
      <c r="J28" s="9">
        <v>0.10526315789473684</v>
      </c>
      <c r="K28" s="9">
        <v>0</v>
      </c>
    </row>
    <row r="29" spans="1:11" x14ac:dyDescent="0.2">
      <c r="B29" s="13" t="s">
        <v>961</v>
      </c>
      <c r="C29">
        <v>17</v>
      </c>
      <c r="D29">
        <v>1</v>
      </c>
      <c r="E29" s="18">
        <v>1.1499999999999999</v>
      </c>
      <c r="F29">
        <v>0</v>
      </c>
      <c r="G29">
        <v>0</v>
      </c>
      <c r="H29" s="8">
        <v>1.1499999999999999</v>
      </c>
      <c r="I29" s="9" t="e">
        <v>#DIV/0!</v>
      </c>
      <c r="J29" s="9">
        <v>5.8823529411764705E-2</v>
      </c>
      <c r="K29" s="9">
        <v>0</v>
      </c>
    </row>
    <row r="30" spans="1:11" x14ac:dyDescent="0.2">
      <c r="A30" s="11" t="s">
        <v>998</v>
      </c>
      <c r="B30" s="13" t="s">
        <v>575</v>
      </c>
      <c r="C30">
        <v>17</v>
      </c>
      <c r="D30">
        <v>1</v>
      </c>
      <c r="E30" s="18">
        <v>1.1499999999999999</v>
      </c>
      <c r="F30">
        <v>0</v>
      </c>
      <c r="G30">
        <v>0</v>
      </c>
      <c r="H30" s="8">
        <v>1.1499999999999999</v>
      </c>
      <c r="I30" s="9" t="e">
        <v>#DIV/0!</v>
      </c>
      <c r="J30" s="9">
        <v>5.8823529411764705E-2</v>
      </c>
      <c r="K30" s="9">
        <v>0</v>
      </c>
    </row>
    <row r="31" spans="1:11" x14ac:dyDescent="0.2">
      <c r="A31" s="11" t="s">
        <v>998</v>
      </c>
      <c r="B31" s="7" t="s">
        <v>706</v>
      </c>
      <c r="C31">
        <v>16</v>
      </c>
      <c r="D31">
        <v>1</v>
      </c>
      <c r="E31" s="18">
        <v>0.11</v>
      </c>
      <c r="F31">
        <v>0</v>
      </c>
      <c r="G31">
        <v>0</v>
      </c>
      <c r="H31" s="8">
        <v>0.11</v>
      </c>
      <c r="I31" s="9" t="e">
        <v>#DIV/0!</v>
      </c>
      <c r="J31" s="9">
        <v>6.25E-2</v>
      </c>
      <c r="K31" s="9">
        <v>0</v>
      </c>
    </row>
    <row r="32" spans="1:11" x14ac:dyDescent="0.2">
      <c r="A32" s="11" t="s">
        <v>1000</v>
      </c>
      <c r="B32" s="7" t="s">
        <v>188</v>
      </c>
      <c r="C32">
        <v>14</v>
      </c>
      <c r="D32">
        <v>2</v>
      </c>
      <c r="E32" s="18">
        <v>2.7199999999999998</v>
      </c>
      <c r="F32">
        <v>0</v>
      </c>
      <c r="G32">
        <v>0</v>
      </c>
      <c r="H32" s="8">
        <v>1.3599999999999999</v>
      </c>
      <c r="I32" s="9" t="e">
        <v>#DIV/0!</v>
      </c>
      <c r="J32" s="9">
        <v>0.14285714285714285</v>
      </c>
      <c r="K32" s="9">
        <v>0</v>
      </c>
    </row>
    <row r="33" spans="1:11" x14ac:dyDescent="0.2">
      <c r="B33" s="7" t="s">
        <v>1168</v>
      </c>
      <c r="C33">
        <v>14</v>
      </c>
      <c r="D33">
        <v>1</v>
      </c>
      <c r="E33" s="18">
        <v>1.63</v>
      </c>
      <c r="F33">
        <v>0</v>
      </c>
      <c r="G33">
        <v>0</v>
      </c>
      <c r="H33" s="8">
        <v>1.63</v>
      </c>
      <c r="I33" s="9" t="e">
        <v>#DIV/0!</v>
      </c>
      <c r="J33" s="9">
        <v>7.1428571428571425E-2</v>
      </c>
      <c r="K33" s="9">
        <v>0</v>
      </c>
    </row>
    <row r="34" spans="1:11" x14ac:dyDescent="0.2">
      <c r="B34" s="7" t="s">
        <v>174</v>
      </c>
      <c r="C34">
        <v>10</v>
      </c>
      <c r="D34">
        <v>1</v>
      </c>
      <c r="E34" s="18">
        <v>1.5</v>
      </c>
      <c r="F34">
        <v>0</v>
      </c>
      <c r="G34">
        <v>0</v>
      </c>
      <c r="H34" s="8">
        <v>1.5</v>
      </c>
      <c r="I34" s="9" t="e">
        <v>#DIV/0!</v>
      </c>
      <c r="J34" s="9">
        <v>0.1</v>
      </c>
      <c r="K34" s="9">
        <v>0</v>
      </c>
    </row>
    <row r="35" spans="1:11" x14ac:dyDescent="0.2">
      <c r="B35" s="13" t="s">
        <v>722</v>
      </c>
      <c r="C35">
        <v>10</v>
      </c>
      <c r="D35">
        <v>1</v>
      </c>
      <c r="E35" s="18">
        <v>1.1299999999999999</v>
      </c>
      <c r="F35">
        <v>0</v>
      </c>
      <c r="G35">
        <v>0</v>
      </c>
      <c r="H35" s="8">
        <v>1.1299999999999999</v>
      </c>
      <c r="I35" s="9" t="e">
        <v>#DIV/0!</v>
      </c>
      <c r="J35" s="9">
        <v>0.1</v>
      </c>
      <c r="K35" s="9">
        <v>0</v>
      </c>
    </row>
    <row r="36" spans="1:11" x14ac:dyDescent="0.2">
      <c r="B36" s="7" t="s">
        <v>1275</v>
      </c>
      <c r="C36">
        <v>8</v>
      </c>
      <c r="D36">
        <v>1</v>
      </c>
      <c r="E36" s="18">
        <v>1.94</v>
      </c>
      <c r="F36">
        <v>0</v>
      </c>
      <c r="G36">
        <v>0</v>
      </c>
      <c r="H36" s="8">
        <v>1.94</v>
      </c>
      <c r="I36" s="9" t="e">
        <v>#DIV/0!</v>
      </c>
      <c r="J36" s="9">
        <v>0.125</v>
      </c>
      <c r="K36" s="9">
        <v>0</v>
      </c>
    </row>
    <row r="37" spans="1:11" x14ac:dyDescent="0.2">
      <c r="A37" s="11" t="s">
        <v>1022</v>
      </c>
      <c r="B37" s="7" t="s">
        <v>111</v>
      </c>
      <c r="C37">
        <v>8</v>
      </c>
      <c r="D37">
        <v>1</v>
      </c>
      <c r="E37" s="18">
        <v>1.1299999999999999</v>
      </c>
      <c r="F37">
        <v>0</v>
      </c>
      <c r="G37">
        <v>0</v>
      </c>
      <c r="H37" s="8">
        <v>1.1299999999999999</v>
      </c>
      <c r="I37" s="9" t="e">
        <v>#DIV/0!</v>
      </c>
      <c r="J37" s="9">
        <v>0.125</v>
      </c>
      <c r="K37" s="9">
        <v>0</v>
      </c>
    </row>
    <row r="38" spans="1:11" x14ac:dyDescent="0.2">
      <c r="B38" s="7" t="s">
        <v>1279</v>
      </c>
      <c r="C38">
        <v>8</v>
      </c>
      <c r="D38">
        <v>1</v>
      </c>
      <c r="E38" s="18">
        <v>1.21</v>
      </c>
      <c r="F38">
        <v>0</v>
      </c>
      <c r="G38">
        <v>0</v>
      </c>
      <c r="H38" s="8">
        <v>1.21</v>
      </c>
      <c r="I38" s="9" t="e">
        <v>#DIV/0!</v>
      </c>
      <c r="J38" s="9">
        <v>0.125</v>
      </c>
      <c r="K38" s="9">
        <v>0</v>
      </c>
    </row>
    <row r="39" spans="1:11" x14ac:dyDescent="0.2">
      <c r="A39" s="11" t="s">
        <v>1023</v>
      </c>
      <c r="B39" s="13" t="s">
        <v>880</v>
      </c>
      <c r="C39">
        <v>7</v>
      </c>
      <c r="D39">
        <v>2</v>
      </c>
      <c r="E39" s="18">
        <v>2.2999999999999998</v>
      </c>
      <c r="F39">
        <v>0</v>
      </c>
      <c r="G39">
        <v>0</v>
      </c>
      <c r="H39" s="8">
        <v>1.1499999999999999</v>
      </c>
      <c r="I39" s="9" t="e">
        <v>#DIV/0!</v>
      </c>
      <c r="J39" s="9">
        <v>0.2857142857142857</v>
      </c>
      <c r="K39" s="9">
        <v>0</v>
      </c>
    </row>
    <row r="40" spans="1:11" x14ac:dyDescent="0.2">
      <c r="B40" s="13" t="s">
        <v>510</v>
      </c>
      <c r="C40">
        <v>6</v>
      </c>
      <c r="D40">
        <v>1</v>
      </c>
      <c r="E40" s="18">
        <v>1.1499999999999999</v>
      </c>
      <c r="F40">
        <v>0</v>
      </c>
      <c r="G40">
        <v>0</v>
      </c>
      <c r="H40" s="8">
        <v>1.1499999999999999</v>
      </c>
      <c r="I40" s="9" t="e">
        <v>#DIV/0!</v>
      </c>
      <c r="J40" s="9">
        <v>0.16666666666666666</v>
      </c>
      <c r="K40" s="9">
        <v>0</v>
      </c>
    </row>
    <row r="41" spans="1:11" x14ac:dyDescent="0.2">
      <c r="B41" s="13" t="s">
        <v>723</v>
      </c>
      <c r="C41">
        <v>6</v>
      </c>
      <c r="D41">
        <v>1</v>
      </c>
      <c r="E41" s="18">
        <v>1.17</v>
      </c>
      <c r="F41">
        <v>0</v>
      </c>
      <c r="G41">
        <v>0</v>
      </c>
      <c r="H41" s="8">
        <v>1.17</v>
      </c>
      <c r="I41" s="9" t="e">
        <v>#DIV/0!</v>
      </c>
      <c r="J41" s="9">
        <v>0.16666666666666666</v>
      </c>
      <c r="K41" s="9">
        <v>0</v>
      </c>
    </row>
    <row r="42" spans="1:11" x14ac:dyDescent="0.2">
      <c r="A42" s="11"/>
      <c r="B42" s="12" t="s">
        <v>342</v>
      </c>
      <c r="C42">
        <v>6</v>
      </c>
      <c r="D42">
        <v>1</v>
      </c>
      <c r="E42" s="18">
        <v>1.05</v>
      </c>
      <c r="F42">
        <v>25.73</v>
      </c>
      <c r="G42">
        <v>1</v>
      </c>
      <c r="H42" s="8">
        <v>1.05</v>
      </c>
      <c r="I42" s="9">
        <v>4.0808394869801791E-2</v>
      </c>
      <c r="J42" s="9">
        <v>0.16666666666666666</v>
      </c>
      <c r="K42" s="9">
        <v>1</v>
      </c>
    </row>
    <row r="43" spans="1:11" x14ac:dyDescent="0.2">
      <c r="A43" s="11" t="s">
        <v>1028</v>
      </c>
      <c r="B43" s="7" t="s">
        <v>401</v>
      </c>
      <c r="C43">
        <v>5</v>
      </c>
      <c r="D43">
        <v>1</v>
      </c>
      <c r="E43" s="18">
        <v>1.1100000000000001</v>
      </c>
      <c r="F43">
        <v>0</v>
      </c>
      <c r="G43">
        <v>0</v>
      </c>
      <c r="H43" s="8">
        <v>1.1100000000000001</v>
      </c>
      <c r="I43" s="9" t="e">
        <v>#DIV/0!</v>
      </c>
      <c r="J43" s="9">
        <v>0.2</v>
      </c>
      <c r="K43" s="9">
        <v>0</v>
      </c>
    </row>
    <row r="44" spans="1:11" x14ac:dyDescent="0.2">
      <c r="B44" s="7" t="s">
        <v>754</v>
      </c>
      <c r="C44">
        <v>5</v>
      </c>
      <c r="D44">
        <v>1</v>
      </c>
      <c r="E44" s="18">
        <v>1.7</v>
      </c>
      <c r="F44">
        <v>0</v>
      </c>
      <c r="G44">
        <v>0</v>
      </c>
      <c r="H44" s="8">
        <v>1.7</v>
      </c>
      <c r="I44" s="9" t="e">
        <v>#DIV/0!</v>
      </c>
      <c r="J44" s="9">
        <v>0.2</v>
      </c>
      <c r="K44" s="9">
        <v>0</v>
      </c>
    </row>
    <row r="45" spans="1:11" x14ac:dyDescent="0.2">
      <c r="A45" s="11" t="s">
        <v>1028</v>
      </c>
      <c r="B45" s="7" t="s">
        <v>321</v>
      </c>
      <c r="C45">
        <v>4</v>
      </c>
      <c r="D45">
        <v>2</v>
      </c>
      <c r="E45" s="18">
        <v>2.4900000000000002</v>
      </c>
      <c r="F45">
        <v>0</v>
      </c>
      <c r="G45">
        <v>0</v>
      </c>
      <c r="H45" s="8">
        <v>1.2450000000000001</v>
      </c>
      <c r="I45" s="9" t="e">
        <v>#DIV/0!</v>
      </c>
      <c r="J45" s="9">
        <v>0.5</v>
      </c>
      <c r="K45" s="9">
        <v>0</v>
      </c>
    </row>
    <row r="46" spans="1:11" x14ac:dyDescent="0.2">
      <c r="B46" s="13" t="s">
        <v>572</v>
      </c>
      <c r="C46">
        <v>4</v>
      </c>
      <c r="D46">
        <v>1</v>
      </c>
      <c r="E46" s="18">
        <v>1.05</v>
      </c>
      <c r="F46">
        <v>0</v>
      </c>
      <c r="G46">
        <v>0</v>
      </c>
      <c r="H46" s="8">
        <v>1.05</v>
      </c>
      <c r="I46" s="9" t="e">
        <v>#DIV/0!</v>
      </c>
      <c r="J46" s="9">
        <v>0.25</v>
      </c>
      <c r="K46" s="9">
        <v>0</v>
      </c>
    </row>
    <row r="47" spans="1:11" x14ac:dyDescent="0.2">
      <c r="B47" s="7" t="s">
        <v>1155</v>
      </c>
      <c r="C47">
        <v>4</v>
      </c>
      <c r="D47">
        <v>1</v>
      </c>
      <c r="E47" s="18">
        <v>1.34</v>
      </c>
      <c r="F47">
        <v>0</v>
      </c>
      <c r="G47">
        <v>0</v>
      </c>
      <c r="H47" s="8">
        <v>1.34</v>
      </c>
      <c r="I47" s="9" t="e">
        <v>#DIV/0!</v>
      </c>
      <c r="J47" s="9">
        <v>0.25</v>
      </c>
      <c r="K47" s="9">
        <v>0</v>
      </c>
    </row>
    <row r="48" spans="1:11" x14ac:dyDescent="0.2">
      <c r="A48" s="11" t="s">
        <v>1054</v>
      </c>
      <c r="B48" s="7" t="s">
        <v>357</v>
      </c>
      <c r="C48">
        <v>4</v>
      </c>
      <c r="D48">
        <v>1</v>
      </c>
      <c r="E48" s="18">
        <v>0.39</v>
      </c>
      <c r="F48">
        <v>0</v>
      </c>
      <c r="G48">
        <v>0</v>
      </c>
      <c r="H48" s="8">
        <v>0.39</v>
      </c>
      <c r="I48" s="9" t="e">
        <v>#DIV/0!</v>
      </c>
      <c r="J48" s="9">
        <v>0.25</v>
      </c>
      <c r="K48" s="9">
        <v>0</v>
      </c>
    </row>
    <row r="49" spans="1:11" x14ac:dyDescent="0.2">
      <c r="B49" s="13" t="s">
        <v>82</v>
      </c>
      <c r="C49">
        <v>4</v>
      </c>
      <c r="D49">
        <v>1</v>
      </c>
      <c r="E49" s="18">
        <v>1.1499999999999999</v>
      </c>
      <c r="F49">
        <v>0</v>
      </c>
      <c r="G49">
        <v>0</v>
      </c>
      <c r="H49" s="8">
        <v>1.1499999999999999</v>
      </c>
      <c r="I49" s="9" t="e">
        <v>#DIV/0!</v>
      </c>
      <c r="J49" s="9">
        <v>0.25</v>
      </c>
      <c r="K49" s="9">
        <v>0</v>
      </c>
    </row>
    <row r="50" spans="1:11" x14ac:dyDescent="0.2">
      <c r="A50" s="11" t="s">
        <v>1054</v>
      </c>
      <c r="B50" s="7" t="s">
        <v>709</v>
      </c>
      <c r="C50">
        <v>3</v>
      </c>
      <c r="D50">
        <v>1</v>
      </c>
      <c r="E50" s="18">
        <v>1.1399999999999999</v>
      </c>
      <c r="F50">
        <v>0</v>
      </c>
      <c r="G50">
        <v>0</v>
      </c>
      <c r="H50" s="8">
        <v>1.1399999999999999</v>
      </c>
      <c r="I50" s="9" t="e">
        <v>#DIV/0!</v>
      </c>
      <c r="J50" s="9">
        <v>0.33333333333333331</v>
      </c>
      <c r="K50" s="9">
        <v>0</v>
      </c>
    </row>
    <row r="51" spans="1:11" x14ac:dyDescent="0.2">
      <c r="A51" s="11" t="s">
        <v>1028</v>
      </c>
      <c r="B51" s="7" t="s">
        <v>1227</v>
      </c>
      <c r="C51">
        <v>3</v>
      </c>
      <c r="D51">
        <v>1</v>
      </c>
      <c r="E51" s="18">
        <v>1.55</v>
      </c>
      <c r="F51">
        <v>0</v>
      </c>
      <c r="G51">
        <v>0</v>
      </c>
      <c r="H51" s="8">
        <v>1.55</v>
      </c>
      <c r="I51" s="9" t="e">
        <v>#DIV/0!</v>
      </c>
      <c r="J51" s="9">
        <v>0.33333333333333331</v>
      </c>
      <c r="K51" s="9">
        <v>0</v>
      </c>
    </row>
    <row r="52" spans="1:11" x14ac:dyDescent="0.2">
      <c r="A52" s="11" t="s">
        <v>1028</v>
      </c>
      <c r="B52" s="13" t="s">
        <v>884</v>
      </c>
      <c r="C52">
        <v>3</v>
      </c>
      <c r="D52">
        <v>1</v>
      </c>
      <c r="E52" s="18">
        <v>1.1399999999999999</v>
      </c>
      <c r="F52">
        <v>0</v>
      </c>
      <c r="G52">
        <v>0</v>
      </c>
      <c r="H52" s="8">
        <v>1.1399999999999999</v>
      </c>
      <c r="I52" s="9" t="e">
        <v>#DIV/0!</v>
      </c>
      <c r="J52" s="9">
        <v>0.33333333333333331</v>
      </c>
      <c r="K52" s="9">
        <v>0</v>
      </c>
    </row>
    <row r="53" spans="1:11" x14ac:dyDescent="0.2">
      <c r="B53" s="7" t="s">
        <v>628</v>
      </c>
      <c r="C53">
        <v>3</v>
      </c>
      <c r="D53">
        <v>1</v>
      </c>
      <c r="E53" s="18">
        <v>1.07</v>
      </c>
      <c r="F53">
        <v>0</v>
      </c>
      <c r="G53">
        <v>0</v>
      </c>
      <c r="H53" s="8">
        <v>1.07</v>
      </c>
      <c r="I53" s="9" t="e">
        <v>#DIV/0!</v>
      </c>
      <c r="J53" s="9">
        <v>0.33333333333333331</v>
      </c>
      <c r="K53" s="9">
        <v>0</v>
      </c>
    </row>
    <row r="54" spans="1:11" x14ac:dyDescent="0.2">
      <c r="B54" s="12" t="s">
        <v>660</v>
      </c>
      <c r="C54">
        <v>3</v>
      </c>
      <c r="D54">
        <v>2</v>
      </c>
      <c r="E54" s="18">
        <v>2.73</v>
      </c>
      <c r="F54">
        <v>0</v>
      </c>
      <c r="G54">
        <v>0</v>
      </c>
      <c r="H54" s="8">
        <v>1.365</v>
      </c>
      <c r="I54" s="9" t="e">
        <v>#DIV/0!</v>
      </c>
      <c r="J54" s="9">
        <v>0.66666666666666663</v>
      </c>
      <c r="K54" s="9">
        <v>0</v>
      </c>
    </row>
    <row r="55" spans="1:11" x14ac:dyDescent="0.2">
      <c r="A55" s="11" t="s">
        <v>1036</v>
      </c>
      <c r="B55" s="7" t="s">
        <v>190</v>
      </c>
      <c r="C55">
        <v>3</v>
      </c>
      <c r="D55">
        <v>1</v>
      </c>
      <c r="E55" s="18">
        <v>1.22</v>
      </c>
      <c r="F55">
        <v>0</v>
      </c>
      <c r="G55">
        <v>0</v>
      </c>
      <c r="H55" s="8">
        <v>1.22</v>
      </c>
      <c r="I55" s="9" t="e">
        <v>#DIV/0!</v>
      </c>
      <c r="J55" s="9">
        <v>0.33333333333333331</v>
      </c>
      <c r="K55" s="9">
        <v>0</v>
      </c>
    </row>
    <row r="56" spans="1:11" x14ac:dyDescent="0.2">
      <c r="B56" s="7" t="s">
        <v>440</v>
      </c>
      <c r="C56">
        <v>3</v>
      </c>
      <c r="D56">
        <v>1</v>
      </c>
      <c r="E56" s="18">
        <v>1.02</v>
      </c>
      <c r="F56">
        <v>0</v>
      </c>
      <c r="G56">
        <v>0</v>
      </c>
      <c r="H56" s="8">
        <v>1.02</v>
      </c>
      <c r="I56" s="9" t="e">
        <v>#DIV/0!</v>
      </c>
      <c r="J56" s="9">
        <v>0.33333333333333331</v>
      </c>
      <c r="K56" s="9">
        <v>0</v>
      </c>
    </row>
    <row r="57" spans="1:11" x14ac:dyDescent="0.2">
      <c r="A57" s="11" t="s">
        <v>1046</v>
      </c>
      <c r="B57" s="7" t="s">
        <v>1292</v>
      </c>
      <c r="C57">
        <v>3</v>
      </c>
      <c r="D57">
        <v>1</v>
      </c>
      <c r="E57" s="18">
        <v>1.51</v>
      </c>
      <c r="F57">
        <v>0</v>
      </c>
      <c r="G57">
        <v>0</v>
      </c>
      <c r="H57" s="8">
        <v>1.51</v>
      </c>
      <c r="I57" s="9" t="e">
        <v>#DIV/0!</v>
      </c>
      <c r="J57" s="9">
        <v>0.33333333333333331</v>
      </c>
      <c r="K57" s="9">
        <v>0</v>
      </c>
    </row>
    <row r="58" spans="1:11" x14ac:dyDescent="0.2">
      <c r="A58" s="11" t="s">
        <v>1000</v>
      </c>
      <c r="B58" s="7" t="s">
        <v>1208</v>
      </c>
      <c r="C58">
        <v>3</v>
      </c>
      <c r="D58">
        <v>1</v>
      </c>
      <c r="E58" s="18">
        <v>1.42</v>
      </c>
      <c r="F58">
        <v>0</v>
      </c>
      <c r="G58">
        <v>0</v>
      </c>
      <c r="H58" s="8">
        <v>1.42</v>
      </c>
      <c r="I58" s="9" t="e">
        <v>#DIV/0!</v>
      </c>
      <c r="J58" s="9">
        <v>0.33333333333333331</v>
      </c>
      <c r="K58" s="9">
        <v>0</v>
      </c>
    </row>
    <row r="59" spans="1:11" x14ac:dyDescent="0.2">
      <c r="B59" s="13" t="s">
        <v>963</v>
      </c>
      <c r="C59">
        <v>3</v>
      </c>
      <c r="D59">
        <v>1</v>
      </c>
      <c r="E59" s="18">
        <v>1.2</v>
      </c>
      <c r="F59">
        <v>0</v>
      </c>
      <c r="G59">
        <v>0</v>
      </c>
      <c r="H59" s="8">
        <v>1.2</v>
      </c>
      <c r="I59" s="9" t="e">
        <v>#DIV/0!</v>
      </c>
      <c r="J59" s="9">
        <v>0.33333333333333331</v>
      </c>
      <c r="K59" s="9">
        <v>0</v>
      </c>
    </row>
    <row r="60" spans="1:11" x14ac:dyDescent="0.2">
      <c r="B60" s="7" t="s">
        <v>1272</v>
      </c>
      <c r="C60">
        <v>3</v>
      </c>
      <c r="D60">
        <v>1</v>
      </c>
      <c r="E60" s="18">
        <v>1.69</v>
      </c>
      <c r="F60">
        <v>0</v>
      </c>
      <c r="G60">
        <v>0</v>
      </c>
      <c r="H60" s="8">
        <v>1.69</v>
      </c>
      <c r="I60" s="9" t="e">
        <v>#DIV/0!</v>
      </c>
      <c r="J60" s="9">
        <v>0.33333333333333331</v>
      </c>
      <c r="K60" s="9">
        <v>0</v>
      </c>
    </row>
    <row r="61" spans="1:11" x14ac:dyDescent="0.2">
      <c r="B61" s="13" t="s">
        <v>385</v>
      </c>
      <c r="C61">
        <v>3</v>
      </c>
      <c r="D61">
        <v>2</v>
      </c>
      <c r="E61" s="18">
        <v>2.1</v>
      </c>
      <c r="F61">
        <v>0</v>
      </c>
      <c r="G61">
        <v>0</v>
      </c>
      <c r="H61" s="8">
        <v>1.05</v>
      </c>
      <c r="I61" s="9" t="e">
        <v>#DIV/0!</v>
      </c>
      <c r="J61" s="9">
        <v>0.66666666666666663</v>
      </c>
      <c r="K61" s="9">
        <v>0</v>
      </c>
    </row>
    <row r="62" spans="1:11" x14ac:dyDescent="0.2">
      <c r="B62" s="12" t="s">
        <v>431</v>
      </c>
      <c r="C62">
        <v>3</v>
      </c>
      <c r="D62">
        <v>1</v>
      </c>
      <c r="E62" s="18">
        <v>1.18</v>
      </c>
      <c r="F62">
        <v>0</v>
      </c>
      <c r="G62">
        <v>0</v>
      </c>
      <c r="H62" s="8">
        <v>1.18</v>
      </c>
      <c r="I62" s="9" t="e">
        <v>#DIV/0!</v>
      </c>
      <c r="J62" s="9">
        <v>0.33333333333333331</v>
      </c>
      <c r="K62" s="9">
        <v>0</v>
      </c>
    </row>
    <row r="63" spans="1:11" x14ac:dyDescent="0.2">
      <c r="A63" s="11" t="s">
        <v>1047</v>
      </c>
      <c r="B63" s="7" t="s">
        <v>1207</v>
      </c>
      <c r="C63">
        <v>2</v>
      </c>
      <c r="D63">
        <v>1</v>
      </c>
      <c r="E63" s="18">
        <v>1.55</v>
      </c>
      <c r="F63">
        <v>0</v>
      </c>
      <c r="G63">
        <v>0</v>
      </c>
      <c r="H63" s="8">
        <v>1.55</v>
      </c>
      <c r="I63" s="9" t="e">
        <v>#DIV/0!</v>
      </c>
      <c r="J63" s="9">
        <v>0.5</v>
      </c>
      <c r="K63" s="9">
        <v>0</v>
      </c>
    </row>
    <row r="64" spans="1:11" x14ac:dyDescent="0.2">
      <c r="A64" s="11" t="s">
        <v>1047</v>
      </c>
      <c r="B64" s="13" t="s">
        <v>850</v>
      </c>
      <c r="C64">
        <v>2</v>
      </c>
      <c r="D64">
        <v>1</v>
      </c>
      <c r="E64" s="18">
        <v>1.1599999999999999</v>
      </c>
      <c r="F64">
        <v>0</v>
      </c>
      <c r="G64">
        <v>0</v>
      </c>
      <c r="H64" s="8">
        <v>1.1599999999999999</v>
      </c>
      <c r="I64" s="9" t="e">
        <v>#DIV/0!</v>
      </c>
      <c r="J64" s="9">
        <v>0.5</v>
      </c>
      <c r="K64" s="9">
        <v>0</v>
      </c>
    </row>
    <row r="65" spans="1:11" x14ac:dyDescent="0.2">
      <c r="B65" s="7" t="s">
        <v>1265</v>
      </c>
      <c r="C65">
        <v>2</v>
      </c>
      <c r="D65">
        <v>1</v>
      </c>
      <c r="E65" s="18">
        <v>1.6</v>
      </c>
      <c r="F65">
        <v>0</v>
      </c>
      <c r="G65">
        <v>0</v>
      </c>
      <c r="H65" s="8">
        <v>1.6</v>
      </c>
      <c r="I65" s="9" t="e">
        <v>#DIV/0!</v>
      </c>
      <c r="J65" s="9">
        <v>0.5</v>
      </c>
      <c r="K65" s="9">
        <v>0</v>
      </c>
    </row>
    <row r="66" spans="1:11" x14ac:dyDescent="0.2">
      <c r="B66" s="7" t="s">
        <v>750</v>
      </c>
      <c r="C66">
        <v>2</v>
      </c>
      <c r="D66">
        <v>1</v>
      </c>
      <c r="E66" s="18">
        <v>1.58</v>
      </c>
      <c r="F66">
        <v>0</v>
      </c>
      <c r="G66">
        <v>0</v>
      </c>
      <c r="H66" s="8">
        <v>1.58</v>
      </c>
      <c r="I66" s="9" t="e">
        <v>#DIV/0!</v>
      </c>
      <c r="J66" s="9">
        <v>0.5</v>
      </c>
      <c r="K66" s="9">
        <v>0</v>
      </c>
    </row>
    <row r="67" spans="1:11" x14ac:dyDescent="0.2">
      <c r="A67" s="11" t="s">
        <v>1075</v>
      </c>
      <c r="B67" s="7" t="s">
        <v>178</v>
      </c>
      <c r="C67">
        <v>2</v>
      </c>
      <c r="D67">
        <v>1</v>
      </c>
      <c r="E67" s="18">
        <v>1.1000000000000001</v>
      </c>
      <c r="F67">
        <v>0</v>
      </c>
      <c r="G67">
        <v>0</v>
      </c>
      <c r="H67" s="8">
        <v>1.1000000000000001</v>
      </c>
      <c r="I67" s="9" t="e">
        <v>#DIV/0!</v>
      </c>
      <c r="J67" s="9">
        <v>0.5</v>
      </c>
      <c r="K67" s="9">
        <v>0</v>
      </c>
    </row>
    <row r="68" spans="1:11" x14ac:dyDescent="0.2">
      <c r="A68" s="11" t="s">
        <v>1087</v>
      </c>
      <c r="B68" s="13" t="s">
        <v>434</v>
      </c>
      <c r="C68">
        <v>2</v>
      </c>
      <c r="D68">
        <v>1</v>
      </c>
      <c r="E68" s="18">
        <v>1.19</v>
      </c>
      <c r="F68">
        <v>0</v>
      </c>
      <c r="G68">
        <v>0</v>
      </c>
      <c r="H68" s="8">
        <v>1.19</v>
      </c>
      <c r="I68" s="9" t="e">
        <v>#DIV/0!</v>
      </c>
      <c r="J68" s="9">
        <v>0.5</v>
      </c>
      <c r="K68" s="9">
        <v>0</v>
      </c>
    </row>
    <row r="69" spans="1:11" x14ac:dyDescent="0.2">
      <c r="B69" s="7" t="s">
        <v>1219</v>
      </c>
      <c r="C69">
        <v>2</v>
      </c>
      <c r="D69">
        <v>1</v>
      </c>
      <c r="E69" s="18">
        <v>1.26</v>
      </c>
      <c r="F69">
        <v>0</v>
      </c>
      <c r="G69">
        <v>0</v>
      </c>
      <c r="H69" s="8">
        <v>1.26</v>
      </c>
      <c r="I69" s="9" t="e">
        <v>#DIV/0!</v>
      </c>
      <c r="J69" s="9">
        <v>0.5</v>
      </c>
      <c r="K69" s="9">
        <v>0</v>
      </c>
    </row>
    <row r="70" spans="1:11" x14ac:dyDescent="0.2">
      <c r="B70" s="13" t="s">
        <v>114</v>
      </c>
      <c r="C70">
        <v>2</v>
      </c>
      <c r="D70">
        <v>1</v>
      </c>
      <c r="E70" s="18">
        <v>0.24</v>
      </c>
      <c r="F70">
        <v>0</v>
      </c>
      <c r="G70">
        <v>0</v>
      </c>
      <c r="H70" s="8">
        <v>0.24</v>
      </c>
      <c r="I70" s="9" t="e">
        <v>#DIV/0!</v>
      </c>
      <c r="J70" s="9">
        <v>0.5</v>
      </c>
      <c r="K70" s="9">
        <v>0</v>
      </c>
    </row>
    <row r="71" spans="1:11" x14ac:dyDescent="0.2">
      <c r="A71" s="11" t="s">
        <v>1105</v>
      </c>
      <c r="B71" s="12" t="s">
        <v>176</v>
      </c>
      <c r="C71">
        <v>2</v>
      </c>
      <c r="D71">
        <v>1</v>
      </c>
      <c r="E71" s="18">
        <v>1.29</v>
      </c>
      <c r="F71">
        <v>25.73</v>
      </c>
      <c r="G71">
        <v>1</v>
      </c>
      <c r="H71" s="8">
        <v>1.29</v>
      </c>
      <c r="I71" s="9">
        <v>5.0136027982899338E-2</v>
      </c>
      <c r="J71" s="9">
        <v>0.5</v>
      </c>
      <c r="K71" s="9">
        <v>1</v>
      </c>
    </row>
    <row r="72" spans="1:11" x14ac:dyDescent="0.2">
      <c r="B72" s="7" t="s">
        <v>192</v>
      </c>
      <c r="C72">
        <v>2</v>
      </c>
      <c r="D72">
        <v>2</v>
      </c>
      <c r="E72" s="18">
        <v>2.44</v>
      </c>
      <c r="F72">
        <v>0</v>
      </c>
      <c r="G72">
        <v>0</v>
      </c>
      <c r="H72" s="8">
        <v>1.22</v>
      </c>
      <c r="I72" s="9" t="e">
        <v>#DIV/0!</v>
      </c>
      <c r="J72" s="9">
        <v>1</v>
      </c>
      <c r="K72" s="9">
        <v>0</v>
      </c>
    </row>
    <row r="73" spans="1:11" x14ac:dyDescent="0.2">
      <c r="A73" s="11" t="s">
        <v>1028</v>
      </c>
      <c r="B73" s="13" t="s">
        <v>881</v>
      </c>
      <c r="C73">
        <v>2</v>
      </c>
      <c r="D73">
        <v>1</v>
      </c>
      <c r="E73" s="18">
        <v>1.2</v>
      </c>
      <c r="F73">
        <v>0</v>
      </c>
      <c r="G73">
        <v>0</v>
      </c>
      <c r="H73" s="8">
        <v>1.2</v>
      </c>
      <c r="I73" s="9" t="e">
        <v>#DIV/0!</v>
      </c>
      <c r="J73" s="9">
        <v>0.5</v>
      </c>
      <c r="K73" s="9">
        <v>0</v>
      </c>
    </row>
    <row r="74" spans="1:11" x14ac:dyDescent="0.2">
      <c r="B74" s="7" t="s">
        <v>601</v>
      </c>
      <c r="C74">
        <v>2</v>
      </c>
      <c r="D74">
        <v>1</v>
      </c>
      <c r="E74" s="18">
        <v>1.23</v>
      </c>
      <c r="F74">
        <v>0</v>
      </c>
      <c r="G74">
        <v>0</v>
      </c>
      <c r="H74" s="8">
        <v>1.23</v>
      </c>
      <c r="I74" s="9" t="e">
        <v>#DIV/0!</v>
      </c>
      <c r="J74" s="9">
        <v>0.5</v>
      </c>
      <c r="K74" s="9">
        <v>0</v>
      </c>
    </row>
    <row r="75" spans="1:11" x14ac:dyDescent="0.2">
      <c r="B75" s="7" t="s">
        <v>1159</v>
      </c>
      <c r="C75">
        <v>2</v>
      </c>
      <c r="D75">
        <v>2</v>
      </c>
      <c r="E75" s="18">
        <v>1.95</v>
      </c>
      <c r="F75">
        <v>0</v>
      </c>
      <c r="G75">
        <v>0</v>
      </c>
      <c r="H75" s="8">
        <v>0.97499999999999998</v>
      </c>
      <c r="I75" s="9" t="e">
        <v>#DIV/0!</v>
      </c>
      <c r="J75" s="9">
        <v>1</v>
      </c>
      <c r="K75" s="9">
        <v>0</v>
      </c>
    </row>
    <row r="76" spans="1:11" x14ac:dyDescent="0.2">
      <c r="A76" s="11" t="s">
        <v>1009</v>
      </c>
      <c r="B76" s="14" t="s">
        <v>417</v>
      </c>
      <c r="C76">
        <v>2</v>
      </c>
      <c r="D76">
        <v>1</v>
      </c>
      <c r="E76" s="18">
        <v>0.3</v>
      </c>
      <c r="F76">
        <v>0</v>
      </c>
      <c r="G76">
        <v>0</v>
      </c>
      <c r="H76" s="8">
        <v>0.3</v>
      </c>
      <c r="I76" s="9" t="e">
        <v>#DIV/0!</v>
      </c>
      <c r="J76" s="9">
        <v>0.5</v>
      </c>
      <c r="K76" s="9">
        <v>0</v>
      </c>
    </row>
    <row r="77" spans="1:11" x14ac:dyDescent="0.2">
      <c r="B77" s="7" t="s">
        <v>1217</v>
      </c>
      <c r="C77">
        <v>2</v>
      </c>
      <c r="D77">
        <v>1</v>
      </c>
      <c r="E77" s="18">
        <v>1.56</v>
      </c>
      <c r="F77">
        <v>0</v>
      </c>
      <c r="G77">
        <v>0</v>
      </c>
      <c r="H77" s="8">
        <v>1.56</v>
      </c>
      <c r="I77" s="9" t="e">
        <v>#DIV/0!</v>
      </c>
      <c r="J77" s="9">
        <v>0.5</v>
      </c>
      <c r="K77" s="9">
        <v>0</v>
      </c>
    </row>
    <row r="78" spans="1:11" x14ac:dyDescent="0.2">
      <c r="A78" s="11" t="s">
        <v>1047</v>
      </c>
      <c r="B78" s="13" t="s">
        <v>931</v>
      </c>
      <c r="C78">
        <v>2</v>
      </c>
      <c r="D78">
        <v>1</v>
      </c>
      <c r="E78" s="18">
        <v>1.2</v>
      </c>
      <c r="F78">
        <v>0</v>
      </c>
      <c r="G78">
        <v>0</v>
      </c>
      <c r="H78" s="8">
        <v>1.2</v>
      </c>
      <c r="I78" s="9" t="e">
        <v>#DIV/0!</v>
      </c>
      <c r="J78" s="9">
        <v>0.5</v>
      </c>
      <c r="K78" s="9">
        <v>0</v>
      </c>
    </row>
    <row r="79" spans="1:11" x14ac:dyDescent="0.2">
      <c r="A79" s="11" t="s">
        <v>1083</v>
      </c>
      <c r="B79" s="7" t="s">
        <v>106</v>
      </c>
      <c r="C79">
        <v>2</v>
      </c>
      <c r="D79">
        <v>1</v>
      </c>
      <c r="E79" s="18">
        <v>0.46</v>
      </c>
      <c r="F79">
        <v>0</v>
      </c>
      <c r="G79">
        <v>0</v>
      </c>
      <c r="H79" s="8">
        <v>0.46</v>
      </c>
      <c r="I79" s="9" t="e">
        <v>#DIV/0!</v>
      </c>
      <c r="J79" s="9">
        <v>0.5</v>
      </c>
      <c r="K79" s="9">
        <v>0</v>
      </c>
    </row>
    <row r="80" spans="1:11" x14ac:dyDescent="0.2">
      <c r="A80" s="11" t="s">
        <v>1028</v>
      </c>
      <c r="B80" s="7" t="s">
        <v>888</v>
      </c>
      <c r="C80">
        <v>2</v>
      </c>
      <c r="D80">
        <v>1</v>
      </c>
      <c r="E80" s="18">
        <v>1.53</v>
      </c>
      <c r="F80">
        <v>0</v>
      </c>
      <c r="G80">
        <v>0</v>
      </c>
      <c r="H80" s="8">
        <v>1.53</v>
      </c>
      <c r="I80" s="9" t="e">
        <v>#DIV/0!</v>
      </c>
      <c r="J80" s="9">
        <v>0.5</v>
      </c>
      <c r="K80" s="9">
        <v>0</v>
      </c>
    </row>
    <row r="81" spans="1:11" x14ac:dyDescent="0.2">
      <c r="B81" s="13" t="s">
        <v>707</v>
      </c>
      <c r="C81">
        <v>2</v>
      </c>
      <c r="D81">
        <v>1</v>
      </c>
      <c r="E81" s="18">
        <v>0.36</v>
      </c>
      <c r="F81">
        <v>0</v>
      </c>
      <c r="G81">
        <v>0</v>
      </c>
      <c r="H81" s="8">
        <v>0.36</v>
      </c>
      <c r="I81" s="9" t="e">
        <v>#DIV/0!</v>
      </c>
      <c r="J81" s="9">
        <v>0.5</v>
      </c>
      <c r="K81" s="9">
        <v>0</v>
      </c>
    </row>
    <row r="82" spans="1:11" x14ac:dyDescent="0.2">
      <c r="B82" s="7" t="s">
        <v>1274</v>
      </c>
      <c r="C82">
        <v>2</v>
      </c>
      <c r="D82">
        <v>1</v>
      </c>
      <c r="E82" s="18">
        <v>2.04</v>
      </c>
      <c r="F82">
        <v>0</v>
      </c>
      <c r="G82">
        <v>0</v>
      </c>
      <c r="H82" s="8">
        <v>2.04</v>
      </c>
      <c r="I82" s="9" t="e">
        <v>#DIV/0!</v>
      </c>
      <c r="J82" s="9">
        <v>0.5</v>
      </c>
      <c r="K82" s="9">
        <v>0</v>
      </c>
    </row>
    <row r="83" spans="1:11" x14ac:dyDescent="0.2">
      <c r="A83" s="11" t="s">
        <v>1047</v>
      </c>
      <c r="B83" s="7" t="s">
        <v>1188</v>
      </c>
      <c r="C83">
        <v>1</v>
      </c>
      <c r="D83">
        <v>1</v>
      </c>
      <c r="E83" s="18">
        <v>0.46</v>
      </c>
      <c r="F83">
        <v>0</v>
      </c>
      <c r="G83">
        <v>0</v>
      </c>
      <c r="H83" s="8">
        <v>0.46</v>
      </c>
      <c r="I83" s="9" t="e">
        <v>#DIV/0!</v>
      </c>
      <c r="J83" s="9">
        <v>1</v>
      </c>
      <c r="K83" s="9">
        <v>0</v>
      </c>
    </row>
    <row r="84" spans="1:11" x14ac:dyDescent="0.2">
      <c r="B84" s="7" t="s">
        <v>679</v>
      </c>
      <c r="C84">
        <v>1</v>
      </c>
      <c r="D84">
        <v>1</v>
      </c>
      <c r="E84" s="18">
        <v>1.1499999999999999</v>
      </c>
      <c r="F84">
        <v>0</v>
      </c>
      <c r="G84">
        <v>0</v>
      </c>
      <c r="H84" s="8">
        <v>1.1499999999999999</v>
      </c>
      <c r="I84" s="9" t="e">
        <v>#DIV/0!</v>
      </c>
      <c r="J84" s="9">
        <v>1</v>
      </c>
      <c r="K84" s="9">
        <v>0</v>
      </c>
    </row>
    <row r="85" spans="1:11" x14ac:dyDescent="0.2">
      <c r="B85" s="13" t="s">
        <v>753</v>
      </c>
      <c r="C85">
        <v>1</v>
      </c>
      <c r="D85">
        <v>1</v>
      </c>
      <c r="E85" s="18">
        <v>0.46</v>
      </c>
      <c r="F85">
        <v>0</v>
      </c>
      <c r="G85">
        <v>0</v>
      </c>
      <c r="H85" s="8">
        <v>0.46</v>
      </c>
      <c r="I85" s="9" t="e">
        <v>#DIV/0!</v>
      </c>
      <c r="J85" s="9">
        <v>1</v>
      </c>
      <c r="K85" s="9">
        <v>0</v>
      </c>
    </row>
    <row r="86" spans="1:11" x14ac:dyDescent="0.2">
      <c r="B86" s="7" t="s">
        <v>1278</v>
      </c>
      <c r="C86">
        <v>1</v>
      </c>
      <c r="D86">
        <v>1</v>
      </c>
      <c r="E86" s="18">
        <v>0.46</v>
      </c>
      <c r="F86">
        <v>0</v>
      </c>
      <c r="G86">
        <v>0</v>
      </c>
      <c r="H86" s="8">
        <v>0.46</v>
      </c>
      <c r="I86" s="9" t="e">
        <v>#DIV/0!</v>
      </c>
      <c r="J86" s="9">
        <v>1</v>
      </c>
      <c r="K86" s="9">
        <v>0</v>
      </c>
    </row>
    <row r="87" spans="1:11" x14ac:dyDescent="0.2">
      <c r="B87" s="7" t="s">
        <v>1143</v>
      </c>
      <c r="C87">
        <v>1</v>
      </c>
      <c r="D87">
        <v>1</v>
      </c>
      <c r="E87" s="18">
        <v>1.2</v>
      </c>
      <c r="F87">
        <v>0</v>
      </c>
      <c r="G87">
        <v>0</v>
      </c>
      <c r="H87" s="8">
        <v>1.2</v>
      </c>
      <c r="I87" s="9" t="e">
        <v>#DIV/0!</v>
      </c>
      <c r="J87" s="9">
        <v>1</v>
      </c>
      <c r="K87" s="9">
        <v>0</v>
      </c>
    </row>
    <row r="88" spans="1:11" x14ac:dyDescent="0.2">
      <c r="B88" s="7" t="s">
        <v>1286</v>
      </c>
      <c r="C88">
        <v>1</v>
      </c>
      <c r="D88">
        <v>1</v>
      </c>
      <c r="E88" s="18">
        <v>1.67</v>
      </c>
      <c r="F88">
        <v>0</v>
      </c>
      <c r="G88">
        <v>0</v>
      </c>
      <c r="H88" s="8">
        <v>1.67</v>
      </c>
      <c r="I88" s="9" t="e">
        <v>#DIV/0!</v>
      </c>
      <c r="J88" s="9">
        <v>1</v>
      </c>
      <c r="K88" s="9">
        <v>0</v>
      </c>
    </row>
    <row r="89" spans="1:11" x14ac:dyDescent="0.2">
      <c r="B89" s="7" t="s">
        <v>1225</v>
      </c>
      <c r="C89">
        <v>1</v>
      </c>
      <c r="D89">
        <v>1</v>
      </c>
      <c r="E89" s="18">
        <v>1.62</v>
      </c>
      <c r="F89">
        <v>0</v>
      </c>
      <c r="G89">
        <v>0</v>
      </c>
      <c r="H89" s="8">
        <v>1.62</v>
      </c>
      <c r="I89" s="9" t="e">
        <v>#DIV/0!</v>
      </c>
      <c r="J89" s="9">
        <v>1</v>
      </c>
      <c r="K89" s="9">
        <v>0</v>
      </c>
    </row>
    <row r="90" spans="1:11" x14ac:dyDescent="0.2">
      <c r="A90" s="11" t="s">
        <v>1072</v>
      </c>
      <c r="B90" s="13" t="s">
        <v>163</v>
      </c>
      <c r="C90">
        <v>1</v>
      </c>
      <c r="D90">
        <v>1</v>
      </c>
      <c r="E90" s="18">
        <v>1.1299999999999999</v>
      </c>
      <c r="F90">
        <v>0</v>
      </c>
      <c r="G90">
        <v>0</v>
      </c>
      <c r="H90" s="8">
        <v>1.1299999999999999</v>
      </c>
      <c r="I90" s="9" t="e">
        <v>#DIV/0!</v>
      </c>
      <c r="J90" s="9">
        <v>1</v>
      </c>
      <c r="K90" s="9">
        <v>0</v>
      </c>
    </row>
    <row r="91" spans="1:11" x14ac:dyDescent="0.2">
      <c r="B91" s="13" t="s">
        <v>849</v>
      </c>
      <c r="C91">
        <v>1</v>
      </c>
      <c r="D91">
        <v>1</v>
      </c>
      <c r="E91" s="18">
        <v>1.01</v>
      </c>
      <c r="F91">
        <v>0</v>
      </c>
      <c r="G91">
        <v>0</v>
      </c>
      <c r="H91" s="8">
        <v>1.01</v>
      </c>
      <c r="I91" s="9" t="e">
        <v>#DIV/0!</v>
      </c>
      <c r="J91" s="9">
        <v>1</v>
      </c>
      <c r="K91" s="9">
        <v>0</v>
      </c>
    </row>
    <row r="92" spans="1:11" x14ac:dyDescent="0.2">
      <c r="A92" s="11" t="s">
        <v>1067</v>
      </c>
      <c r="B92" s="7" t="s">
        <v>1378</v>
      </c>
      <c r="C92">
        <v>1</v>
      </c>
      <c r="D92">
        <v>1</v>
      </c>
      <c r="E92" s="18">
        <v>1.63</v>
      </c>
      <c r="F92">
        <v>0</v>
      </c>
      <c r="G92">
        <v>0</v>
      </c>
      <c r="H92" s="8">
        <v>1.63</v>
      </c>
      <c r="I92" s="9" t="e">
        <v>#DIV/0!</v>
      </c>
      <c r="J92" s="9">
        <v>1</v>
      </c>
      <c r="K92" s="9">
        <v>0</v>
      </c>
    </row>
    <row r="93" spans="1:11" x14ac:dyDescent="0.2">
      <c r="B93" s="7" t="s">
        <v>1118</v>
      </c>
      <c r="C93">
        <v>1</v>
      </c>
      <c r="D93">
        <v>1</v>
      </c>
      <c r="E93" s="18">
        <v>0.46</v>
      </c>
      <c r="F93">
        <v>0</v>
      </c>
      <c r="G93">
        <v>0</v>
      </c>
      <c r="H93" s="8">
        <v>0.46</v>
      </c>
      <c r="I93" s="9" t="e">
        <v>#DIV/0!</v>
      </c>
      <c r="J93" s="9">
        <v>1</v>
      </c>
      <c r="K93" s="9">
        <v>0</v>
      </c>
    </row>
    <row r="94" spans="1:11" x14ac:dyDescent="0.2">
      <c r="A94" s="11" t="s">
        <v>1083</v>
      </c>
      <c r="B94" s="7" t="s">
        <v>482</v>
      </c>
      <c r="C94">
        <v>1</v>
      </c>
      <c r="D94">
        <v>1</v>
      </c>
      <c r="E94" s="18">
        <v>1.19</v>
      </c>
      <c r="F94">
        <v>0</v>
      </c>
      <c r="G94">
        <v>0</v>
      </c>
      <c r="H94" s="8">
        <v>1.19</v>
      </c>
      <c r="I94" s="9" t="e">
        <v>#DIV/0!</v>
      </c>
      <c r="J94" s="9">
        <v>1</v>
      </c>
      <c r="K94" s="9">
        <v>0</v>
      </c>
    </row>
    <row r="95" spans="1:11" x14ac:dyDescent="0.2">
      <c r="A95" s="11" t="s">
        <v>1047</v>
      </c>
      <c r="B95" s="13" t="s">
        <v>423</v>
      </c>
      <c r="C95">
        <v>1</v>
      </c>
      <c r="D95">
        <v>1</v>
      </c>
      <c r="E95" s="18">
        <v>1.23</v>
      </c>
      <c r="F95">
        <v>0</v>
      </c>
      <c r="G95">
        <v>0</v>
      </c>
      <c r="H95" s="8">
        <v>1.23</v>
      </c>
      <c r="I95" s="9" t="e">
        <v>#DIV/0!</v>
      </c>
      <c r="J95" s="9">
        <v>1</v>
      </c>
      <c r="K95" s="9">
        <v>0</v>
      </c>
    </row>
    <row r="96" spans="1:11" x14ac:dyDescent="0.2">
      <c r="B96" s="7" t="s">
        <v>768</v>
      </c>
      <c r="C96">
        <v>1</v>
      </c>
      <c r="D96">
        <v>1</v>
      </c>
      <c r="E96" s="18">
        <v>1.22</v>
      </c>
      <c r="F96">
        <v>0</v>
      </c>
      <c r="G96">
        <v>0</v>
      </c>
      <c r="H96" s="8">
        <v>1.22</v>
      </c>
      <c r="I96" s="9" t="e">
        <v>#DIV/0!</v>
      </c>
      <c r="J96" s="9">
        <v>1</v>
      </c>
      <c r="K96" s="9">
        <v>0</v>
      </c>
    </row>
    <row r="97" spans="1:11" x14ac:dyDescent="0.2">
      <c r="B97" s="7" t="s">
        <v>1211</v>
      </c>
      <c r="C97">
        <v>1</v>
      </c>
      <c r="D97">
        <v>1</v>
      </c>
      <c r="E97" s="18">
        <v>1.67</v>
      </c>
      <c r="F97">
        <v>0</v>
      </c>
      <c r="G97">
        <v>0</v>
      </c>
      <c r="H97" s="8">
        <v>1.67</v>
      </c>
      <c r="I97" s="9" t="e">
        <v>#DIV/0!</v>
      </c>
      <c r="J97" s="9">
        <v>1</v>
      </c>
      <c r="K97" s="9">
        <v>0</v>
      </c>
    </row>
    <row r="98" spans="1:11" x14ac:dyDescent="0.2">
      <c r="A98" s="11" t="s">
        <v>1047</v>
      </c>
      <c r="B98" s="7" t="s">
        <v>489</v>
      </c>
      <c r="C98">
        <v>1</v>
      </c>
      <c r="D98">
        <v>1</v>
      </c>
      <c r="E98" s="18">
        <v>1.26</v>
      </c>
      <c r="F98">
        <v>0</v>
      </c>
      <c r="G98">
        <v>0</v>
      </c>
      <c r="H98" s="8">
        <v>1.26</v>
      </c>
      <c r="I98" s="9" t="e">
        <v>#DIV/0!</v>
      </c>
      <c r="J98" s="9">
        <v>1</v>
      </c>
      <c r="K98" s="9">
        <v>0</v>
      </c>
    </row>
    <row r="99" spans="1:11" x14ac:dyDescent="0.2">
      <c r="B99" s="7" t="s">
        <v>347</v>
      </c>
      <c r="C99">
        <v>1</v>
      </c>
      <c r="D99">
        <v>1</v>
      </c>
      <c r="E99" s="18">
        <v>1.21</v>
      </c>
      <c r="F99">
        <v>0</v>
      </c>
      <c r="G99">
        <v>0</v>
      </c>
      <c r="H99" s="8">
        <v>1.21</v>
      </c>
      <c r="I99" s="9" t="e">
        <v>#DIV/0!</v>
      </c>
      <c r="J99" s="9">
        <v>1</v>
      </c>
      <c r="K99" s="9">
        <v>0</v>
      </c>
    </row>
    <row r="100" spans="1:11" x14ac:dyDescent="0.2">
      <c r="A100" s="11" t="s">
        <v>1047</v>
      </c>
      <c r="B100" s="7" t="s">
        <v>502</v>
      </c>
      <c r="C100">
        <v>1</v>
      </c>
      <c r="D100">
        <v>1</v>
      </c>
      <c r="E100" s="18">
        <v>1.23</v>
      </c>
      <c r="F100">
        <v>0</v>
      </c>
      <c r="G100">
        <v>0</v>
      </c>
      <c r="H100" s="8">
        <v>1.23</v>
      </c>
      <c r="I100" s="9" t="e">
        <v>#DIV/0!</v>
      </c>
      <c r="J100" s="9">
        <v>1</v>
      </c>
      <c r="K100" s="9">
        <v>0</v>
      </c>
    </row>
    <row r="101" spans="1:11" x14ac:dyDescent="0.2">
      <c r="B101" s="7" t="s">
        <v>659</v>
      </c>
      <c r="C101">
        <v>1</v>
      </c>
      <c r="D101">
        <v>1</v>
      </c>
      <c r="E101" s="18">
        <v>0</v>
      </c>
      <c r="F101">
        <v>0</v>
      </c>
      <c r="G101">
        <v>0</v>
      </c>
      <c r="H101" s="8">
        <v>0</v>
      </c>
      <c r="I101" s="9" t="e">
        <v>#DIV/0!</v>
      </c>
      <c r="J101" s="9">
        <v>1</v>
      </c>
      <c r="K101" s="9">
        <v>0</v>
      </c>
    </row>
    <row r="102" spans="1:11" x14ac:dyDescent="0.2">
      <c r="A102" s="11" t="s">
        <v>1077</v>
      </c>
      <c r="B102" s="13" t="s">
        <v>222</v>
      </c>
      <c r="C102">
        <v>1</v>
      </c>
      <c r="D102">
        <v>1</v>
      </c>
      <c r="E102" s="18">
        <v>1.3</v>
      </c>
      <c r="F102">
        <v>0</v>
      </c>
      <c r="G102">
        <v>0</v>
      </c>
      <c r="H102" s="8">
        <v>1.3</v>
      </c>
      <c r="I102" s="9" t="e">
        <v>#DIV/0!</v>
      </c>
      <c r="J102" s="9">
        <v>1</v>
      </c>
      <c r="K102" s="9">
        <v>0</v>
      </c>
    </row>
    <row r="103" spans="1:11" x14ac:dyDescent="0.2">
      <c r="B103" s="7" t="s">
        <v>175</v>
      </c>
      <c r="C103">
        <v>1</v>
      </c>
      <c r="D103">
        <v>1</v>
      </c>
      <c r="E103" s="18">
        <v>1.03</v>
      </c>
      <c r="F103">
        <v>0</v>
      </c>
      <c r="G103">
        <v>0</v>
      </c>
      <c r="H103" s="8">
        <v>1.03</v>
      </c>
      <c r="I103" s="9" t="e">
        <v>#DIV/0!</v>
      </c>
      <c r="J103" s="9">
        <v>1</v>
      </c>
      <c r="K103" s="9">
        <v>0</v>
      </c>
    </row>
    <row r="104" spans="1:11" x14ac:dyDescent="0.2">
      <c r="A104" s="11" t="s">
        <v>1047</v>
      </c>
      <c r="B104" s="7" t="s">
        <v>929</v>
      </c>
      <c r="C104">
        <v>1</v>
      </c>
      <c r="D104">
        <v>1</v>
      </c>
      <c r="E104" s="18">
        <v>0.62</v>
      </c>
      <c r="F104">
        <v>0</v>
      </c>
      <c r="G104">
        <v>0</v>
      </c>
      <c r="H104" s="8">
        <v>0.62</v>
      </c>
      <c r="I104" s="9" t="e">
        <v>#DIV/0!</v>
      </c>
      <c r="J104" s="9">
        <v>1</v>
      </c>
      <c r="K104" s="9">
        <v>0</v>
      </c>
    </row>
    <row r="105" spans="1:11" x14ac:dyDescent="0.2">
      <c r="B105" s="13" t="s">
        <v>974</v>
      </c>
      <c r="C105">
        <v>1</v>
      </c>
      <c r="D105">
        <v>1</v>
      </c>
      <c r="E105" s="18">
        <v>1.62</v>
      </c>
      <c r="F105">
        <v>0</v>
      </c>
      <c r="G105">
        <v>0</v>
      </c>
      <c r="H105" s="8">
        <v>1.62</v>
      </c>
      <c r="I105" s="9" t="e">
        <v>#DIV/0!</v>
      </c>
      <c r="J105" s="9">
        <v>1</v>
      </c>
      <c r="K105" s="9">
        <v>0</v>
      </c>
    </row>
    <row r="106" spans="1:11" x14ac:dyDescent="0.2">
      <c r="B106" s="7" t="s">
        <v>230</v>
      </c>
      <c r="C106">
        <v>1</v>
      </c>
      <c r="D106">
        <v>1</v>
      </c>
      <c r="E106" s="18">
        <v>1.01</v>
      </c>
      <c r="F106">
        <v>0</v>
      </c>
      <c r="G106">
        <v>0</v>
      </c>
      <c r="H106" s="8">
        <v>1.01</v>
      </c>
      <c r="I106" s="9" t="e">
        <v>#DIV/0!</v>
      </c>
      <c r="J106" s="9">
        <v>1</v>
      </c>
      <c r="K106" s="9">
        <v>0</v>
      </c>
    </row>
    <row r="107" spans="1:11" x14ac:dyDescent="0.2">
      <c r="B107" s="13" t="s">
        <v>420</v>
      </c>
      <c r="C107">
        <v>1</v>
      </c>
      <c r="D107">
        <v>1</v>
      </c>
      <c r="E107" s="18">
        <v>1.2</v>
      </c>
      <c r="F107">
        <v>0</v>
      </c>
      <c r="G107">
        <v>0</v>
      </c>
      <c r="H107" s="8">
        <v>1.2</v>
      </c>
      <c r="I107" s="9" t="e">
        <v>#DIV/0!</v>
      </c>
      <c r="J107" s="9">
        <v>1</v>
      </c>
      <c r="K107" s="9">
        <v>0</v>
      </c>
    </row>
    <row r="108" spans="1:11" x14ac:dyDescent="0.2">
      <c r="A108" s="11" t="s">
        <v>1044</v>
      </c>
      <c r="B108" s="14" t="s">
        <v>327</v>
      </c>
      <c r="C108">
        <v>1</v>
      </c>
      <c r="D108">
        <v>1</v>
      </c>
      <c r="E108" s="18">
        <v>1.17</v>
      </c>
      <c r="F108">
        <v>0</v>
      </c>
      <c r="G108">
        <v>0</v>
      </c>
      <c r="H108" s="8">
        <v>1.17</v>
      </c>
      <c r="I108" s="9" t="e">
        <v>#DIV/0!</v>
      </c>
      <c r="J108" s="9">
        <v>1</v>
      </c>
      <c r="K108" s="9">
        <v>0</v>
      </c>
    </row>
    <row r="109" spans="1:11" x14ac:dyDescent="0.2">
      <c r="B109" s="13" t="s">
        <v>98</v>
      </c>
      <c r="C109">
        <v>1</v>
      </c>
      <c r="D109">
        <v>1</v>
      </c>
      <c r="E109" s="18">
        <v>1.31</v>
      </c>
      <c r="F109">
        <v>0</v>
      </c>
      <c r="G109">
        <v>0</v>
      </c>
      <c r="H109" s="8">
        <v>1.31</v>
      </c>
      <c r="I109" s="9" t="e">
        <v>#DIV/0!</v>
      </c>
      <c r="J109" s="9">
        <v>1</v>
      </c>
      <c r="K109" s="9">
        <v>0</v>
      </c>
    </row>
    <row r="110" spans="1:11" x14ac:dyDescent="0.2">
      <c r="A110" s="11" t="s">
        <v>1083</v>
      </c>
      <c r="B110" s="14" t="s">
        <v>77</v>
      </c>
      <c r="C110">
        <v>1</v>
      </c>
      <c r="D110">
        <v>1</v>
      </c>
      <c r="E110" s="18">
        <v>1.2</v>
      </c>
      <c r="F110">
        <v>0</v>
      </c>
      <c r="G110">
        <v>0</v>
      </c>
      <c r="H110" s="8">
        <v>1.2</v>
      </c>
      <c r="I110" s="9" t="e">
        <v>#DIV/0!</v>
      </c>
      <c r="J110" s="9">
        <v>1</v>
      </c>
      <c r="K110" s="9">
        <v>0</v>
      </c>
    </row>
    <row r="111" spans="1:11" x14ac:dyDescent="0.2">
      <c r="B111" s="13" t="s">
        <v>63</v>
      </c>
      <c r="C111">
        <v>1</v>
      </c>
      <c r="D111">
        <v>1</v>
      </c>
      <c r="E111" s="18">
        <v>1.19</v>
      </c>
      <c r="F111">
        <v>0</v>
      </c>
      <c r="G111">
        <v>0</v>
      </c>
      <c r="H111" s="8">
        <v>1.19</v>
      </c>
      <c r="I111" s="9" t="e">
        <v>#DIV/0!</v>
      </c>
      <c r="J111" s="9">
        <v>1</v>
      </c>
      <c r="K111" s="9">
        <v>0</v>
      </c>
    </row>
    <row r="112" spans="1:11" x14ac:dyDescent="0.2">
      <c r="A112" s="11" t="s">
        <v>1047</v>
      </c>
      <c r="B112" s="7" t="s">
        <v>355</v>
      </c>
      <c r="C112">
        <v>1</v>
      </c>
      <c r="D112">
        <v>1</v>
      </c>
      <c r="E112" s="18">
        <v>1.0900000000000001</v>
      </c>
      <c r="F112">
        <v>0</v>
      </c>
      <c r="G112">
        <v>0</v>
      </c>
      <c r="H112" s="8">
        <v>1.0900000000000001</v>
      </c>
      <c r="I112" s="9" t="e">
        <v>#DIV/0!</v>
      </c>
      <c r="J112" s="9">
        <v>1</v>
      </c>
      <c r="K112" s="9">
        <v>0</v>
      </c>
    </row>
    <row r="113" spans="1:11" x14ac:dyDescent="0.2">
      <c r="B113" s="7" t="s">
        <v>194</v>
      </c>
      <c r="C113">
        <v>1</v>
      </c>
      <c r="D113">
        <v>1</v>
      </c>
      <c r="E113" s="18">
        <v>1.25</v>
      </c>
      <c r="F113">
        <v>0</v>
      </c>
      <c r="G113">
        <v>0</v>
      </c>
      <c r="H113" s="8">
        <v>1.25</v>
      </c>
      <c r="I113" s="9" t="e">
        <v>#DIV/0!</v>
      </c>
      <c r="J113" s="9">
        <v>1</v>
      </c>
      <c r="K113" s="9">
        <v>0</v>
      </c>
    </row>
    <row r="114" spans="1:11" x14ac:dyDescent="0.2">
      <c r="A114" s="11" t="s">
        <v>1059</v>
      </c>
      <c r="B114" s="13" t="s">
        <v>356</v>
      </c>
      <c r="C114">
        <v>1</v>
      </c>
      <c r="D114">
        <v>1</v>
      </c>
      <c r="E114" s="18">
        <v>1.21</v>
      </c>
      <c r="F114">
        <v>0</v>
      </c>
      <c r="G114">
        <v>0</v>
      </c>
      <c r="H114" s="8">
        <v>1.21</v>
      </c>
      <c r="I114" s="9" t="e">
        <v>#DIV/0!</v>
      </c>
      <c r="J114" s="9">
        <v>1</v>
      </c>
      <c r="K114" s="9">
        <v>0</v>
      </c>
    </row>
    <row r="115" spans="1:11" x14ac:dyDescent="0.2">
      <c r="B115" s="7" t="s">
        <v>1218</v>
      </c>
      <c r="C115">
        <v>1</v>
      </c>
      <c r="D115">
        <v>1</v>
      </c>
      <c r="E115" s="18">
        <v>1.79</v>
      </c>
      <c r="F115">
        <v>0</v>
      </c>
      <c r="G115">
        <v>0</v>
      </c>
      <c r="H115" s="8">
        <v>1.79</v>
      </c>
      <c r="I115" s="9" t="e">
        <v>#DIV/0!</v>
      </c>
      <c r="J115" s="9">
        <v>1</v>
      </c>
      <c r="K115" s="9">
        <v>0</v>
      </c>
    </row>
    <row r="116" spans="1:11" x14ac:dyDescent="0.2">
      <c r="B116" s="13" t="s">
        <v>786</v>
      </c>
      <c r="C116">
        <v>1</v>
      </c>
      <c r="D116">
        <v>1</v>
      </c>
      <c r="E116" s="18">
        <v>1.2</v>
      </c>
      <c r="F116">
        <v>0</v>
      </c>
      <c r="G116">
        <v>0</v>
      </c>
      <c r="H116" s="8">
        <v>1.2</v>
      </c>
      <c r="I116" s="9" t="e">
        <v>#DIV/0!</v>
      </c>
      <c r="J116" s="9">
        <v>1</v>
      </c>
      <c r="K116" s="9">
        <v>0</v>
      </c>
    </row>
    <row r="117" spans="1:11" x14ac:dyDescent="0.2">
      <c r="B117" s="7" t="s">
        <v>346</v>
      </c>
      <c r="C117">
        <v>1</v>
      </c>
      <c r="D117">
        <v>1</v>
      </c>
      <c r="E117" s="18">
        <v>1.17</v>
      </c>
      <c r="F117">
        <v>0</v>
      </c>
      <c r="G117">
        <v>0</v>
      </c>
      <c r="H117" s="8">
        <v>1.17</v>
      </c>
      <c r="I117" s="9" t="e">
        <v>#DIV/0!</v>
      </c>
      <c r="J117" s="9">
        <v>1</v>
      </c>
      <c r="K117" s="9">
        <v>0</v>
      </c>
    </row>
    <row r="118" spans="1:11" x14ac:dyDescent="0.2">
      <c r="A118" s="11" t="s">
        <v>1098</v>
      </c>
      <c r="B118" s="7" t="s">
        <v>319</v>
      </c>
      <c r="C118">
        <v>1</v>
      </c>
      <c r="D118">
        <v>1</v>
      </c>
      <c r="E118" s="18">
        <v>1.18</v>
      </c>
      <c r="F118">
        <v>0</v>
      </c>
      <c r="G118">
        <v>0</v>
      </c>
      <c r="H118" s="8">
        <v>1.18</v>
      </c>
      <c r="I118" s="9" t="e">
        <v>#DIV/0!</v>
      </c>
      <c r="J118" s="9">
        <v>1</v>
      </c>
      <c r="K118" s="9">
        <v>0</v>
      </c>
    </row>
    <row r="119" spans="1:11" x14ac:dyDescent="0.2">
      <c r="A119" s="11" t="s">
        <v>1083</v>
      </c>
      <c r="B119" s="7" t="s">
        <v>197</v>
      </c>
      <c r="C119">
        <v>1</v>
      </c>
      <c r="D119">
        <v>1</v>
      </c>
      <c r="E119" s="18">
        <v>1.24</v>
      </c>
      <c r="F119">
        <v>0</v>
      </c>
      <c r="G119">
        <v>0</v>
      </c>
      <c r="H119" s="8">
        <v>1.24</v>
      </c>
      <c r="I119" s="9" t="e">
        <v>#DIV/0!</v>
      </c>
      <c r="J119" s="9">
        <v>1</v>
      </c>
      <c r="K119" s="9">
        <v>0</v>
      </c>
    </row>
    <row r="120" spans="1:11" x14ac:dyDescent="0.2">
      <c r="B120" s="7" t="s">
        <v>233</v>
      </c>
      <c r="C120">
        <v>1</v>
      </c>
      <c r="D120">
        <v>1</v>
      </c>
      <c r="E120" s="18">
        <v>1.28</v>
      </c>
      <c r="F120">
        <v>0</v>
      </c>
      <c r="G120">
        <v>0</v>
      </c>
      <c r="H120" s="8">
        <v>1.28</v>
      </c>
      <c r="I120" s="9" t="e">
        <v>#DIV/0!</v>
      </c>
      <c r="J120" s="9">
        <v>1</v>
      </c>
      <c r="K120" s="9">
        <v>0</v>
      </c>
    </row>
    <row r="121" spans="1:11" x14ac:dyDescent="0.2">
      <c r="B121" s="13" t="s">
        <v>291</v>
      </c>
      <c r="C121">
        <v>1</v>
      </c>
      <c r="D121">
        <v>1</v>
      </c>
      <c r="E121" s="18">
        <v>1.19</v>
      </c>
      <c r="F121">
        <v>0</v>
      </c>
      <c r="G121">
        <v>0</v>
      </c>
      <c r="H121" s="8">
        <v>1.19</v>
      </c>
      <c r="I121" s="9" t="e">
        <v>#DIV/0!</v>
      </c>
      <c r="J121" s="9">
        <v>1</v>
      </c>
      <c r="K121" s="9">
        <v>0</v>
      </c>
    </row>
    <row r="122" spans="1:11" x14ac:dyDescent="0.2">
      <c r="A122" s="11" t="s">
        <v>1100</v>
      </c>
      <c r="B122" s="13" t="s">
        <v>234</v>
      </c>
      <c r="C122">
        <v>1</v>
      </c>
      <c r="D122">
        <v>1</v>
      </c>
      <c r="E122" s="18">
        <v>1.22</v>
      </c>
      <c r="F122">
        <v>25.73</v>
      </c>
      <c r="G122">
        <v>1</v>
      </c>
      <c r="H122" s="8">
        <v>1.22</v>
      </c>
      <c r="I122" s="9">
        <v>4.7415468324912551E-2</v>
      </c>
      <c r="J122" s="9">
        <v>1</v>
      </c>
      <c r="K122" s="9">
        <v>1</v>
      </c>
    </row>
    <row r="123" spans="1:11" x14ac:dyDescent="0.2">
      <c r="B123" s="7" t="s">
        <v>439</v>
      </c>
      <c r="C123">
        <v>1</v>
      </c>
      <c r="D123">
        <v>1</v>
      </c>
      <c r="E123" s="18">
        <v>1.02</v>
      </c>
      <c r="F123">
        <v>0</v>
      </c>
      <c r="G123">
        <v>0</v>
      </c>
      <c r="H123" s="8">
        <v>1.02</v>
      </c>
      <c r="I123" s="9" t="e">
        <v>#DIV/0!</v>
      </c>
      <c r="J123" s="9">
        <v>1</v>
      </c>
      <c r="K123" s="9">
        <v>0</v>
      </c>
    </row>
    <row r="124" spans="1:11" x14ac:dyDescent="0.2">
      <c r="B124" s="13" t="s">
        <v>787</v>
      </c>
      <c r="C124">
        <v>1</v>
      </c>
      <c r="D124">
        <v>1</v>
      </c>
      <c r="E124" s="18">
        <v>1.29</v>
      </c>
      <c r="F124">
        <v>0</v>
      </c>
      <c r="G124">
        <v>0</v>
      </c>
      <c r="H124" s="8">
        <v>1.29</v>
      </c>
      <c r="I124" s="9" t="e">
        <v>#DIV/0!</v>
      </c>
      <c r="J124" s="9">
        <v>1</v>
      </c>
      <c r="K124" s="9">
        <v>0</v>
      </c>
    </row>
    <row r="125" spans="1:11" x14ac:dyDescent="0.2">
      <c r="B125" s="13" t="s">
        <v>573</v>
      </c>
      <c r="C125">
        <v>1</v>
      </c>
      <c r="D125">
        <v>1</v>
      </c>
      <c r="E125" s="18">
        <v>1.05</v>
      </c>
      <c r="F125">
        <v>0</v>
      </c>
      <c r="G125">
        <v>0</v>
      </c>
      <c r="H125" s="8">
        <v>1.05</v>
      </c>
      <c r="I125" s="9" t="e">
        <v>#DIV/0!</v>
      </c>
      <c r="J125" s="9">
        <v>1</v>
      </c>
      <c r="K125" s="9">
        <v>0</v>
      </c>
    </row>
    <row r="126" spans="1:11" x14ac:dyDescent="0.2">
      <c r="B126" s="13" t="s">
        <v>235</v>
      </c>
      <c r="C126">
        <v>1</v>
      </c>
      <c r="D126">
        <v>1</v>
      </c>
      <c r="E126" s="18">
        <v>1.1000000000000001</v>
      </c>
      <c r="F126">
        <v>0</v>
      </c>
      <c r="G126">
        <v>0</v>
      </c>
      <c r="H126" s="8">
        <v>1.1000000000000001</v>
      </c>
      <c r="I126" s="9" t="e">
        <v>#DIV/0!</v>
      </c>
      <c r="J126" s="9">
        <v>1</v>
      </c>
      <c r="K126" s="9">
        <v>0</v>
      </c>
    </row>
    <row r="127" spans="1:11" x14ac:dyDescent="0.2">
      <c r="B127" s="13" t="s">
        <v>72</v>
      </c>
      <c r="C127">
        <v>1</v>
      </c>
      <c r="D127">
        <v>1</v>
      </c>
      <c r="E127" s="18">
        <v>1.17</v>
      </c>
      <c r="F127">
        <v>0</v>
      </c>
      <c r="G127">
        <v>0</v>
      </c>
      <c r="H127" s="8">
        <v>1.17</v>
      </c>
      <c r="I127" s="9" t="e">
        <v>#DIV/0!</v>
      </c>
      <c r="J127" s="9">
        <v>1</v>
      </c>
      <c r="K127" s="9">
        <v>0</v>
      </c>
    </row>
    <row r="128" spans="1:11" x14ac:dyDescent="0.2">
      <c r="A128" s="11" t="s">
        <v>1047</v>
      </c>
      <c r="B128" s="7" t="s">
        <v>752</v>
      </c>
      <c r="C128">
        <v>1</v>
      </c>
      <c r="D128">
        <v>1</v>
      </c>
      <c r="E128" s="18">
        <v>1.58</v>
      </c>
      <c r="F128">
        <v>0</v>
      </c>
      <c r="G128">
        <v>0</v>
      </c>
      <c r="H128" s="8">
        <v>1.58</v>
      </c>
      <c r="I128" s="9" t="e">
        <v>#DIV/0!</v>
      </c>
      <c r="J128" s="9">
        <v>1</v>
      </c>
      <c r="K128" s="9">
        <v>0</v>
      </c>
    </row>
    <row r="129" spans="2:11" x14ac:dyDescent="0.2">
      <c r="B129" s="14" t="s">
        <v>408</v>
      </c>
      <c r="C129">
        <v>1</v>
      </c>
      <c r="D129">
        <v>1</v>
      </c>
      <c r="E129" s="18">
        <v>1.1399999999999999</v>
      </c>
      <c r="F129">
        <v>0</v>
      </c>
      <c r="G129">
        <v>0</v>
      </c>
      <c r="H129" s="8">
        <v>1.1399999999999999</v>
      </c>
      <c r="I129" s="9" t="e">
        <v>#DIV/0!</v>
      </c>
      <c r="J129" s="9">
        <v>1</v>
      </c>
      <c r="K129" s="9">
        <v>0</v>
      </c>
    </row>
    <row r="130" spans="2:11" x14ac:dyDescent="0.2">
      <c r="B130" s="7" t="s">
        <v>441</v>
      </c>
      <c r="C130">
        <v>1</v>
      </c>
      <c r="D130">
        <v>1</v>
      </c>
      <c r="E130" s="18">
        <v>0.97</v>
      </c>
      <c r="F130">
        <v>0</v>
      </c>
      <c r="G130">
        <v>0</v>
      </c>
      <c r="H130" s="8">
        <v>0.97</v>
      </c>
      <c r="I130" s="9" t="e">
        <v>#DIV/0!</v>
      </c>
      <c r="J130" s="9">
        <v>1</v>
      </c>
      <c r="K130" s="9">
        <v>0</v>
      </c>
    </row>
    <row r="131" spans="2:11" x14ac:dyDescent="0.2">
      <c r="B131" s="13" t="s">
        <v>977</v>
      </c>
      <c r="C131">
        <v>1</v>
      </c>
      <c r="D131">
        <v>1</v>
      </c>
      <c r="E131" s="18">
        <v>1.25</v>
      </c>
      <c r="F131">
        <v>0</v>
      </c>
      <c r="G131">
        <v>0</v>
      </c>
      <c r="H131" s="8">
        <v>1.25</v>
      </c>
      <c r="I131" s="9" t="e">
        <v>#DIV/0!</v>
      </c>
      <c r="J131" s="9">
        <v>1</v>
      </c>
      <c r="K131" s="9">
        <v>0</v>
      </c>
    </row>
    <row r="132" spans="2:11" x14ac:dyDescent="0.2">
      <c r="B132" s="7" t="s">
        <v>186</v>
      </c>
      <c r="C132">
        <v>1</v>
      </c>
      <c r="D132">
        <v>1</v>
      </c>
      <c r="E132" s="18">
        <v>1.2</v>
      </c>
      <c r="F132">
        <v>0</v>
      </c>
      <c r="G132">
        <v>0</v>
      </c>
      <c r="H132" s="8">
        <v>1.2</v>
      </c>
      <c r="I132" s="9" t="e">
        <v>#DIV/0!</v>
      </c>
      <c r="J132" s="9">
        <v>1</v>
      </c>
      <c r="K132" s="9">
        <v>0</v>
      </c>
    </row>
    <row r="133" spans="2:11" x14ac:dyDescent="0.2">
      <c r="B133" s="7" t="s">
        <v>1138</v>
      </c>
      <c r="C133">
        <v>1</v>
      </c>
      <c r="D133">
        <v>1</v>
      </c>
      <c r="E133" s="18">
        <v>1.33</v>
      </c>
      <c r="F133">
        <v>0</v>
      </c>
      <c r="G133">
        <v>0</v>
      </c>
      <c r="H133" s="8">
        <v>1.33</v>
      </c>
      <c r="I133" s="9" t="e">
        <v>#DIV/0!</v>
      </c>
      <c r="J133" s="9">
        <v>1</v>
      </c>
      <c r="K133" s="9">
        <v>0</v>
      </c>
    </row>
    <row r="134" spans="2:11" x14ac:dyDescent="0.2">
      <c r="B134" s="7" t="s">
        <v>187</v>
      </c>
      <c r="C134">
        <v>1</v>
      </c>
      <c r="D134">
        <v>1</v>
      </c>
      <c r="E134" s="18">
        <v>1.23</v>
      </c>
      <c r="F134">
        <v>0</v>
      </c>
      <c r="G134">
        <v>0</v>
      </c>
      <c r="H134" s="8">
        <v>1.23</v>
      </c>
      <c r="I134" s="9" t="e">
        <v>#DIV/0!</v>
      </c>
      <c r="J134" s="9">
        <v>1</v>
      </c>
      <c r="K134" s="9">
        <v>0</v>
      </c>
    </row>
    <row r="135" spans="2:11" x14ac:dyDescent="0.2">
      <c r="B135" s="7" t="s">
        <v>1142</v>
      </c>
      <c r="C135">
        <v>1</v>
      </c>
      <c r="D135">
        <v>1</v>
      </c>
      <c r="E135" s="18">
        <v>1.4</v>
      </c>
      <c r="F135">
        <v>0</v>
      </c>
      <c r="G135">
        <v>0</v>
      </c>
      <c r="H135" s="8">
        <v>1.4</v>
      </c>
      <c r="I135" s="9" t="e">
        <v>#DIV/0!</v>
      </c>
      <c r="J135" s="9">
        <v>1</v>
      </c>
      <c r="K135" s="9">
        <v>0</v>
      </c>
    </row>
    <row r="136" spans="2:11" x14ac:dyDescent="0.2">
      <c r="B136" s="14" t="s">
        <v>83</v>
      </c>
      <c r="C136">
        <v>1</v>
      </c>
      <c r="D136">
        <v>1</v>
      </c>
      <c r="E136" s="18">
        <v>1.0900000000000001</v>
      </c>
      <c r="F136">
        <v>0</v>
      </c>
      <c r="G136">
        <v>0</v>
      </c>
      <c r="H136" s="8">
        <v>1.0900000000000001</v>
      </c>
      <c r="I136" s="9" t="e">
        <v>#DIV/0!</v>
      </c>
      <c r="J136" s="9">
        <v>1</v>
      </c>
      <c r="K136" s="9">
        <v>0</v>
      </c>
    </row>
    <row r="137" spans="2:11" x14ac:dyDescent="0.2">
      <c r="B137" s="7" t="s">
        <v>748</v>
      </c>
      <c r="C137">
        <v>1</v>
      </c>
      <c r="D137">
        <v>1</v>
      </c>
      <c r="E137" s="18">
        <v>1.05</v>
      </c>
      <c r="F137">
        <v>0</v>
      </c>
      <c r="G137">
        <v>0</v>
      </c>
      <c r="H137" s="8">
        <v>1.05</v>
      </c>
      <c r="I137" s="9" t="e">
        <v>#DIV/0!</v>
      </c>
      <c r="J137" s="9">
        <v>1</v>
      </c>
      <c r="K137" s="9">
        <v>0</v>
      </c>
    </row>
    <row r="138" spans="2:11" x14ac:dyDescent="0.2">
      <c r="B138" s="14" t="s">
        <v>418</v>
      </c>
      <c r="C138">
        <v>1</v>
      </c>
      <c r="D138">
        <v>1</v>
      </c>
      <c r="E138" s="18">
        <v>1.28</v>
      </c>
      <c r="F138">
        <v>0</v>
      </c>
      <c r="G138">
        <v>0</v>
      </c>
      <c r="H138" s="8">
        <v>1.28</v>
      </c>
      <c r="I138" s="9" t="e">
        <v>#DIV/0!</v>
      </c>
      <c r="J138" s="9">
        <v>1</v>
      </c>
      <c r="K138" s="9">
        <v>0</v>
      </c>
    </row>
    <row r="139" spans="2:11" x14ac:dyDescent="0.2">
      <c r="B139" s="7" t="s">
        <v>630</v>
      </c>
      <c r="C139">
        <v>1</v>
      </c>
      <c r="D139">
        <v>1</v>
      </c>
      <c r="E139" s="18">
        <v>1.1499999999999999</v>
      </c>
      <c r="F139">
        <v>0</v>
      </c>
      <c r="G139">
        <v>0</v>
      </c>
      <c r="H139" s="8">
        <v>1.1499999999999999</v>
      </c>
      <c r="I139" s="9" t="e">
        <v>#DIV/0!</v>
      </c>
      <c r="J139" s="9">
        <v>1</v>
      </c>
      <c r="K139" s="9">
        <v>0</v>
      </c>
    </row>
    <row r="140" spans="2:11" x14ac:dyDescent="0.2">
      <c r="B140" s="7" t="s">
        <v>181</v>
      </c>
      <c r="C140">
        <v>1</v>
      </c>
      <c r="D140">
        <v>1</v>
      </c>
      <c r="E140" s="18">
        <v>1.42</v>
      </c>
      <c r="F140">
        <v>0</v>
      </c>
      <c r="G140">
        <v>0</v>
      </c>
      <c r="H140" s="8">
        <v>1.42</v>
      </c>
      <c r="I140" s="9" t="e">
        <v>#DIV/0!</v>
      </c>
      <c r="J140" s="9">
        <v>1</v>
      </c>
      <c r="K140" s="9">
        <v>0</v>
      </c>
    </row>
    <row r="141" spans="2:11" x14ac:dyDescent="0.2">
      <c r="B141" s="13" t="s">
        <v>891</v>
      </c>
      <c r="C141">
        <v>1</v>
      </c>
      <c r="D141">
        <v>1</v>
      </c>
      <c r="E141" s="18">
        <v>1.67</v>
      </c>
      <c r="F141">
        <v>0</v>
      </c>
      <c r="G141">
        <v>0</v>
      </c>
      <c r="H141" s="8">
        <v>1.67</v>
      </c>
      <c r="I141" s="9" t="e">
        <v>#DIV/0!</v>
      </c>
      <c r="J141" s="9">
        <v>1</v>
      </c>
      <c r="K141" s="9">
        <v>0</v>
      </c>
    </row>
    <row r="142" spans="2:11" x14ac:dyDescent="0.2">
      <c r="B142" s="13" t="s">
        <v>107</v>
      </c>
      <c r="C142">
        <v>1</v>
      </c>
      <c r="D142">
        <v>1</v>
      </c>
      <c r="E142" s="18">
        <v>1.4</v>
      </c>
      <c r="F142">
        <v>0</v>
      </c>
      <c r="G142">
        <v>0</v>
      </c>
      <c r="H142" s="8">
        <v>1.4</v>
      </c>
      <c r="I142" s="9" t="e">
        <v>#DIV/0!</v>
      </c>
      <c r="J142" s="9">
        <v>1</v>
      </c>
      <c r="K142" s="9">
        <v>0</v>
      </c>
    </row>
    <row r="143" spans="2:11" x14ac:dyDescent="0.2">
      <c r="B143" s="7" t="s">
        <v>1175</v>
      </c>
      <c r="C143">
        <v>1</v>
      </c>
      <c r="D143">
        <v>1</v>
      </c>
      <c r="E143" s="18">
        <v>1.74</v>
      </c>
      <c r="F143">
        <v>0</v>
      </c>
      <c r="G143">
        <v>0</v>
      </c>
      <c r="H143" s="8">
        <v>1.74</v>
      </c>
      <c r="I143" s="9" t="e">
        <v>#DIV/0!</v>
      </c>
      <c r="J143" s="9">
        <v>1</v>
      </c>
      <c r="K143" s="9">
        <v>0</v>
      </c>
    </row>
    <row r="144" spans="2:11" x14ac:dyDescent="0.2">
      <c r="B144" s="13" t="s">
        <v>517</v>
      </c>
      <c r="C144">
        <v>1</v>
      </c>
      <c r="D144">
        <v>1</v>
      </c>
      <c r="E144" s="18">
        <v>1.1499999999999999</v>
      </c>
      <c r="F144">
        <v>0</v>
      </c>
      <c r="G144">
        <v>0</v>
      </c>
      <c r="H144" s="8">
        <v>1.1499999999999999</v>
      </c>
      <c r="I144" s="9" t="e">
        <v>#DIV/0!</v>
      </c>
      <c r="J144" s="9">
        <v>1</v>
      </c>
      <c r="K144" s="9">
        <v>0</v>
      </c>
    </row>
    <row r="145" spans="2:11" x14ac:dyDescent="0.2">
      <c r="B145" s="7" t="s">
        <v>1191</v>
      </c>
      <c r="C145">
        <v>1</v>
      </c>
      <c r="D145">
        <v>1</v>
      </c>
      <c r="E145" s="18">
        <v>1.55</v>
      </c>
      <c r="F145">
        <v>0</v>
      </c>
      <c r="G145">
        <v>0</v>
      </c>
      <c r="H145" s="8">
        <v>1.55</v>
      </c>
      <c r="I145" s="9" t="e">
        <v>#DIV/0!</v>
      </c>
      <c r="J145" s="9">
        <v>1</v>
      </c>
      <c r="K145" s="9">
        <v>0</v>
      </c>
    </row>
    <row r="146" spans="2:11" x14ac:dyDescent="0.2">
      <c r="B146" s="7" t="s">
        <v>363</v>
      </c>
      <c r="C146">
        <v>1</v>
      </c>
      <c r="D146">
        <v>1</v>
      </c>
      <c r="E146" s="18">
        <v>1.07</v>
      </c>
      <c r="F146">
        <v>0</v>
      </c>
      <c r="G146">
        <v>0</v>
      </c>
      <c r="H146" s="8">
        <v>1.07</v>
      </c>
      <c r="I146" s="9" t="e">
        <v>#DIV/0!</v>
      </c>
      <c r="J146" s="9">
        <v>1</v>
      </c>
      <c r="K146" s="9">
        <v>0</v>
      </c>
    </row>
    <row r="147" spans="2:11" x14ac:dyDescent="0.2">
      <c r="B147" s="12" t="s">
        <v>180</v>
      </c>
      <c r="C147">
        <v>1</v>
      </c>
      <c r="D147">
        <v>1</v>
      </c>
      <c r="E147" s="18">
        <v>1.18</v>
      </c>
      <c r="F147">
        <v>25.73</v>
      </c>
      <c r="G147">
        <v>1</v>
      </c>
      <c r="H147" s="8">
        <v>1.18</v>
      </c>
      <c r="I147" s="9">
        <v>4.5860862806062962E-2</v>
      </c>
      <c r="J147" s="9">
        <v>1</v>
      </c>
      <c r="K147" s="9">
        <v>1</v>
      </c>
    </row>
    <row r="148" spans="2:11" x14ac:dyDescent="0.2">
      <c r="B148" s="13" t="s">
        <v>247</v>
      </c>
      <c r="C148">
        <v>1</v>
      </c>
      <c r="D148">
        <v>1</v>
      </c>
      <c r="E148" s="18">
        <v>0.97</v>
      </c>
      <c r="F148">
        <v>0</v>
      </c>
      <c r="G148">
        <v>0</v>
      </c>
      <c r="H148" s="8">
        <v>0.97</v>
      </c>
      <c r="I148" s="9" t="e">
        <v>#DIV/0!</v>
      </c>
      <c r="J148" s="9">
        <v>1</v>
      </c>
      <c r="K148" s="9">
        <v>0</v>
      </c>
    </row>
    <row r="149" spans="2:11" x14ac:dyDescent="0.2">
      <c r="B149" s="13" t="s">
        <v>412</v>
      </c>
      <c r="C149">
        <v>1</v>
      </c>
      <c r="D149">
        <v>1</v>
      </c>
      <c r="E149" s="18">
        <v>1.19</v>
      </c>
      <c r="F149">
        <v>0</v>
      </c>
      <c r="G149">
        <v>0</v>
      </c>
      <c r="H149" s="8">
        <v>1.19</v>
      </c>
      <c r="I149" s="9" t="e">
        <v>#DIV/0!</v>
      </c>
      <c r="J149" s="9">
        <v>1</v>
      </c>
      <c r="K149" s="9">
        <v>0</v>
      </c>
    </row>
    <row r="150" spans="2:11" x14ac:dyDescent="0.2">
      <c r="B150" s="7" t="s">
        <v>250</v>
      </c>
      <c r="C150">
        <v>1</v>
      </c>
      <c r="D150">
        <v>1</v>
      </c>
      <c r="E150" s="18">
        <v>0.93</v>
      </c>
      <c r="F150">
        <v>0</v>
      </c>
      <c r="G150">
        <v>0</v>
      </c>
      <c r="H150" s="8">
        <v>0.93</v>
      </c>
      <c r="I150" s="9" t="e">
        <v>#DIV/0!</v>
      </c>
      <c r="J150" s="9">
        <v>1</v>
      </c>
      <c r="K150" s="9">
        <v>0</v>
      </c>
    </row>
    <row r="151" spans="2:11" x14ac:dyDescent="0.2">
      <c r="B151" s="7" t="s">
        <v>751</v>
      </c>
      <c r="C151">
        <v>1</v>
      </c>
      <c r="D151">
        <v>1</v>
      </c>
      <c r="E151" s="18">
        <v>1.5</v>
      </c>
      <c r="F151">
        <v>0</v>
      </c>
      <c r="G151">
        <v>0</v>
      </c>
      <c r="H151" s="8">
        <v>1.5</v>
      </c>
      <c r="I151" s="9" t="e">
        <v>#DIV/0!</v>
      </c>
      <c r="J151" s="9">
        <v>1</v>
      </c>
      <c r="K151" s="9">
        <v>0</v>
      </c>
    </row>
    <row r="152" spans="2:11" x14ac:dyDescent="0.2">
      <c r="B152" s="13" t="s">
        <v>935</v>
      </c>
      <c r="C152">
        <v>1</v>
      </c>
      <c r="D152">
        <v>1</v>
      </c>
      <c r="E152" s="18">
        <v>1.67</v>
      </c>
      <c r="F152">
        <v>0</v>
      </c>
      <c r="G152">
        <v>0</v>
      </c>
      <c r="H152" s="8">
        <v>1.67</v>
      </c>
      <c r="I152" s="9" t="e">
        <v>#DIV/0!</v>
      </c>
      <c r="J152" s="9">
        <v>1</v>
      </c>
      <c r="K152" s="9">
        <v>0</v>
      </c>
    </row>
    <row r="153" spans="2:11" x14ac:dyDescent="0.2">
      <c r="B153" s="7" t="s">
        <v>749</v>
      </c>
      <c r="C153">
        <v>1</v>
      </c>
      <c r="D153">
        <v>1</v>
      </c>
      <c r="E153" s="18">
        <v>1.81</v>
      </c>
      <c r="F153">
        <v>0</v>
      </c>
      <c r="G153">
        <v>0</v>
      </c>
      <c r="H153" s="8">
        <v>1.81</v>
      </c>
      <c r="I153" s="9" t="e">
        <v>#DIV/0!</v>
      </c>
      <c r="J153" s="9">
        <v>1</v>
      </c>
      <c r="K153" s="9">
        <v>0</v>
      </c>
    </row>
    <row r="154" spans="2:11" x14ac:dyDescent="0.2">
      <c r="B154" s="13" t="s">
        <v>874</v>
      </c>
      <c r="C154">
        <v>1</v>
      </c>
      <c r="D154">
        <v>1</v>
      </c>
      <c r="E154" s="18">
        <v>1.25</v>
      </c>
      <c r="F154">
        <v>0</v>
      </c>
      <c r="G154">
        <v>0</v>
      </c>
      <c r="H154" s="8">
        <v>1.25</v>
      </c>
      <c r="I154" s="9" t="e">
        <v>#DIV/0!</v>
      </c>
      <c r="J154" s="9">
        <v>1</v>
      </c>
      <c r="K154" s="9">
        <v>0</v>
      </c>
    </row>
    <row r="155" spans="2:11" x14ac:dyDescent="0.2">
      <c r="B155" s="7" t="s">
        <v>1261</v>
      </c>
      <c r="C155">
        <v>1</v>
      </c>
      <c r="D155">
        <v>1</v>
      </c>
      <c r="E155" s="18">
        <v>1.5</v>
      </c>
      <c r="F155">
        <v>0</v>
      </c>
      <c r="G155">
        <v>0</v>
      </c>
      <c r="H155" s="8">
        <v>1.5</v>
      </c>
      <c r="I155" s="9" t="e">
        <v>#DIV/0!</v>
      </c>
      <c r="J155" s="9">
        <v>1</v>
      </c>
      <c r="K155" s="9">
        <v>0</v>
      </c>
    </row>
    <row r="156" spans="2:11" x14ac:dyDescent="0.2">
      <c r="B156" s="7" t="s">
        <v>109</v>
      </c>
      <c r="C156">
        <v>1</v>
      </c>
      <c r="D156">
        <v>1</v>
      </c>
      <c r="E156" s="18">
        <v>0.42</v>
      </c>
      <c r="F156">
        <v>0</v>
      </c>
      <c r="G156">
        <v>0</v>
      </c>
      <c r="H156" s="8">
        <v>0.42</v>
      </c>
      <c r="I156" s="9" t="e">
        <v>#DIV/0!</v>
      </c>
      <c r="J156" s="9">
        <v>1</v>
      </c>
      <c r="K156" s="9">
        <v>0</v>
      </c>
    </row>
    <row r="157" spans="2:11" x14ac:dyDescent="0.2">
      <c r="B157" s="7" t="s">
        <v>1268</v>
      </c>
      <c r="C157">
        <v>1</v>
      </c>
      <c r="D157">
        <v>1</v>
      </c>
      <c r="E157" s="18">
        <v>1.62</v>
      </c>
      <c r="F157">
        <v>0</v>
      </c>
      <c r="G157">
        <v>0</v>
      </c>
      <c r="H157" s="8">
        <v>1.62</v>
      </c>
      <c r="I157" s="9" t="e">
        <v>#DIV/0!</v>
      </c>
      <c r="J157" s="9">
        <v>1</v>
      </c>
      <c r="K157" s="9">
        <v>0</v>
      </c>
    </row>
    <row r="158" spans="2:11" x14ac:dyDescent="0.2">
      <c r="B158" s="7" t="s">
        <v>287</v>
      </c>
      <c r="C158">
        <v>1</v>
      </c>
      <c r="D158">
        <v>1</v>
      </c>
      <c r="E158" s="18">
        <v>0.93</v>
      </c>
      <c r="F158">
        <v>0</v>
      </c>
      <c r="G158">
        <v>0</v>
      </c>
      <c r="H158" s="8">
        <v>0.93</v>
      </c>
      <c r="I158" s="9" t="e">
        <v>#DIV/0!</v>
      </c>
      <c r="J158" s="9">
        <v>1</v>
      </c>
      <c r="K158" s="9">
        <v>0</v>
      </c>
    </row>
    <row r="159" spans="2:11" x14ac:dyDescent="0.2">
      <c r="B159" s="7" t="s">
        <v>48</v>
      </c>
      <c r="C159">
        <v>1</v>
      </c>
      <c r="D159">
        <v>1</v>
      </c>
      <c r="E159" s="18">
        <v>0.54</v>
      </c>
      <c r="F159">
        <v>0</v>
      </c>
      <c r="G159">
        <v>0</v>
      </c>
      <c r="H159" s="8">
        <v>0.54</v>
      </c>
      <c r="I159" s="9" t="e">
        <v>#DIV/0!</v>
      </c>
      <c r="J159" s="9">
        <v>1</v>
      </c>
      <c r="K159" s="9">
        <v>0</v>
      </c>
    </row>
    <row r="160" spans="2:11" x14ac:dyDescent="0.2">
      <c r="B160" s="13" t="s">
        <v>605</v>
      </c>
      <c r="C160">
        <v>1</v>
      </c>
      <c r="D160">
        <v>1</v>
      </c>
      <c r="E160" s="18">
        <v>0.36</v>
      </c>
      <c r="F160">
        <v>0</v>
      </c>
      <c r="G160">
        <v>0</v>
      </c>
      <c r="H160" s="8">
        <v>0.36</v>
      </c>
      <c r="I160" s="9" t="e">
        <v>#DIV/0!</v>
      </c>
      <c r="J160" s="9">
        <v>1</v>
      </c>
      <c r="K160" s="9">
        <v>0</v>
      </c>
    </row>
    <row r="161" spans="2:11" x14ac:dyDescent="0.2">
      <c r="B161" s="7" t="s">
        <v>183</v>
      </c>
      <c r="C161">
        <v>1</v>
      </c>
      <c r="D161">
        <v>1</v>
      </c>
      <c r="E161" s="18">
        <v>1.43</v>
      </c>
      <c r="F161">
        <v>0</v>
      </c>
      <c r="G161">
        <v>0</v>
      </c>
      <c r="H161" s="8">
        <v>1.43</v>
      </c>
      <c r="I161" s="9" t="e">
        <v>#DIV/0!</v>
      </c>
      <c r="J161" s="9">
        <v>1</v>
      </c>
      <c r="K161" s="9">
        <v>0</v>
      </c>
    </row>
    <row r="162" spans="2:11" x14ac:dyDescent="0.2">
      <c r="B162" s="13" t="s">
        <v>790</v>
      </c>
      <c r="C162">
        <v>1</v>
      </c>
      <c r="D162">
        <v>1</v>
      </c>
      <c r="E162" s="18">
        <v>1.1299999999999999</v>
      </c>
      <c r="F162">
        <v>0</v>
      </c>
      <c r="G162">
        <v>0</v>
      </c>
      <c r="H162" s="8">
        <v>1.1299999999999999</v>
      </c>
      <c r="I162" s="9" t="e">
        <v>#DIV/0!</v>
      </c>
      <c r="J162" s="9">
        <v>1</v>
      </c>
      <c r="K162" s="9">
        <v>0</v>
      </c>
    </row>
    <row r="163" spans="2:11" x14ac:dyDescent="0.2">
      <c r="B163" s="7" t="s">
        <v>199</v>
      </c>
      <c r="C163">
        <v>1</v>
      </c>
      <c r="D163">
        <v>1</v>
      </c>
      <c r="E163" s="18">
        <v>1.3</v>
      </c>
      <c r="F163">
        <v>0</v>
      </c>
      <c r="G163">
        <v>0</v>
      </c>
      <c r="H163" s="8">
        <v>1.3</v>
      </c>
      <c r="I163" s="9" t="e">
        <v>#DIV/0!</v>
      </c>
      <c r="J163" s="9">
        <v>1</v>
      </c>
      <c r="K163" s="9">
        <v>0</v>
      </c>
    </row>
    <row r="164" spans="2:11" x14ac:dyDescent="0.2">
      <c r="B164" s="7" t="s">
        <v>1290</v>
      </c>
      <c r="C164">
        <v>1</v>
      </c>
      <c r="D164">
        <v>1</v>
      </c>
      <c r="E164" s="18">
        <v>1.63</v>
      </c>
      <c r="F164">
        <v>0</v>
      </c>
      <c r="G164">
        <v>0</v>
      </c>
      <c r="H164" s="8">
        <v>1.63</v>
      </c>
      <c r="I164" s="9" t="e">
        <v>#DIV/0!</v>
      </c>
      <c r="J164" s="9">
        <v>1</v>
      </c>
      <c r="K164" s="9">
        <v>0</v>
      </c>
    </row>
    <row r="165" spans="2:11" x14ac:dyDescent="0.2">
      <c r="B165" s="7" t="s">
        <v>348</v>
      </c>
      <c r="C165">
        <v>1</v>
      </c>
      <c r="D165">
        <v>1</v>
      </c>
      <c r="E165" s="18">
        <v>1.17</v>
      </c>
      <c r="F165">
        <v>0</v>
      </c>
      <c r="G165">
        <v>0</v>
      </c>
      <c r="H165" s="8">
        <v>1.17</v>
      </c>
      <c r="I165" s="9" t="e">
        <v>#DIV/0!</v>
      </c>
      <c r="J165" s="9">
        <v>1</v>
      </c>
      <c r="K165" s="9">
        <v>0</v>
      </c>
    </row>
    <row r="166" spans="2:11" x14ac:dyDescent="0.2">
      <c r="B166" s="7" t="s">
        <v>1298</v>
      </c>
      <c r="C166">
        <v>1</v>
      </c>
      <c r="D166">
        <v>1</v>
      </c>
      <c r="E166" s="18">
        <v>0.36</v>
      </c>
      <c r="F166">
        <v>0</v>
      </c>
      <c r="G166">
        <v>0</v>
      </c>
      <c r="H166" s="8">
        <v>0.36</v>
      </c>
      <c r="I166" s="9" t="e">
        <v>#DIV/0!</v>
      </c>
      <c r="J166" s="9">
        <v>1</v>
      </c>
      <c r="K166" s="9">
        <v>0</v>
      </c>
    </row>
    <row r="167" spans="2:11" x14ac:dyDescent="0.2">
      <c r="B167" s="7" t="s">
        <v>200</v>
      </c>
      <c r="C167">
        <v>1</v>
      </c>
      <c r="D167">
        <v>1</v>
      </c>
      <c r="E167" s="18">
        <v>0.54</v>
      </c>
      <c r="F167">
        <v>0</v>
      </c>
      <c r="G167">
        <v>0</v>
      </c>
      <c r="H167" s="8">
        <v>0.54</v>
      </c>
      <c r="I167" s="9" t="e">
        <v>#DIV/0!</v>
      </c>
      <c r="J167" s="9">
        <v>1</v>
      </c>
      <c r="K167" s="9">
        <v>0</v>
      </c>
    </row>
    <row r="168" spans="2:11" x14ac:dyDescent="0.2">
      <c r="B168" s="7" t="s">
        <v>1381</v>
      </c>
      <c r="C168">
        <v>1</v>
      </c>
      <c r="D168">
        <v>1</v>
      </c>
      <c r="E168" s="18">
        <v>1.67</v>
      </c>
      <c r="F168">
        <v>0</v>
      </c>
      <c r="G168">
        <v>0</v>
      </c>
      <c r="H168" s="8">
        <v>1.67</v>
      </c>
      <c r="I168" s="9" t="e">
        <v>#DIV/0!</v>
      </c>
      <c r="J168" s="9">
        <v>1</v>
      </c>
      <c r="K168" s="9">
        <v>0</v>
      </c>
    </row>
    <row r="169" spans="2:11" x14ac:dyDescent="0.2">
      <c r="B169" s="12" t="s">
        <v>979</v>
      </c>
      <c r="C169">
        <v>1</v>
      </c>
      <c r="D169">
        <v>1</v>
      </c>
      <c r="E169" s="18">
        <v>1.18</v>
      </c>
      <c r="F169">
        <v>29.69</v>
      </c>
      <c r="G169">
        <v>1</v>
      </c>
      <c r="H169" s="8">
        <v>1.18</v>
      </c>
      <c r="I169" s="9">
        <v>3.9744021556079485E-2</v>
      </c>
      <c r="J169" s="9">
        <v>1</v>
      </c>
      <c r="K169" s="9">
        <v>1</v>
      </c>
    </row>
    <row r="170" spans="2:11" x14ac:dyDescent="0.2">
      <c r="B170" s="7" t="s">
        <v>917</v>
      </c>
      <c r="C170">
        <v>1</v>
      </c>
      <c r="D170">
        <v>1</v>
      </c>
      <c r="E170" s="18">
        <v>1.17</v>
      </c>
      <c r="F170">
        <v>0</v>
      </c>
      <c r="G170">
        <v>0</v>
      </c>
      <c r="H170" s="8">
        <v>1.17</v>
      </c>
      <c r="I170" s="9" t="e">
        <v>#DIV/0!</v>
      </c>
      <c r="J170" s="9">
        <v>1</v>
      </c>
      <c r="K170" s="9">
        <v>0</v>
      </c>
    </row>
    <row r="171" spans="2:11" x14ac:dyDescent="0.2">
      <c r="B171" s="14" t="s">
        <v>330</v>
      </c>
      <c r="C171">
        <v>0</v>
      </c>
      <c r="D171">
        <v>1</v>
      </c>
      <c r="E171" s="18">
        <v>1.17</v>
      </c>
      <c r="F171">
        <v>0</v>
      </c>
      <c r="G171">
        <v>0</v>
      </c>
      <c r="H171" s="8">
        <v>1.17</v>
      </c>
      <c r="I171" s="9" t="e">
        <v>#DIV/0!</v>
      </c>
      <c r="J171" s="9" t="e">
        <v>#DIV/0!</v>
      </c>
      <c r="K171" s="9">
        <v>0</v>
      </c>
    </row>
    <row r="172" spans="2:11" x14ac:dyDescent="0.2">
      <c r="B172" s="7" t="s">
        <v>985</v>
      </c>
      <c r="C172">
        <v>9490</v>
      </c>
      <c r="D172">
        <v>254</v>
      </c>
      <c r="E172" s="18">
        <v>302.89</v>
      </c>
      <c r="F172">
        <v>189.68</v>
      </c>
      <c r="G172">
        <v>7</v>
      </c>
      <c r="H172" s="8">
        <v>1.1924803149606302</v>
      </c>
      <c r="I172" s="9">
        <v>1.596847321805146</v>
      </c>
      <c r="J172" s="9">
        <v>2.6765015806111698E-2</v>
      </c>
      <c r="K172" s="9">
        <v>2.7559055118110236E-2</v>
      </c>
    </row>
    <row r="173" spans="2:11" x14ac:dyDescent="0.2">
      <c r="E173"/>
    </row>
    <row r="174" spans="2:11" x14ac:dyDescent="0.2">
      <c r="E174"/>
    </row>
    <row r="175" spans="2:11" x14ac:dyDescent="0.2">
      <c r="E175"/>
    </row>
    <row r="176" spans="2:11" x14ac:dyDescent="0.2">
      <c r="E176"/>
    </row>
    <row r="177" spans="5:5" x14ac:dyDescent="0.2">
      <c r="E177"/>
    </row>
    <row r="178" spans="5:5" x14ac:dyDescent="0.2">
      <c r="E178"/>
    </row>
    <row r="179" spans="5:5" x14ac:dyDescent="0.2">
      <c r="E179"/>
    </row>
    <row r="180" spans="5:5" x14ac:dyDescent="0.2">
      <c r="E180"/>
    </row>
    <row r="181" spans="5:5" x14ac:dyDescent="0.2">
      <c r="E181"/>
    </row>
    <row r="182" spans="5:5" x14ac:dyDescent="0.2">
      <c r="E182"/>
    </row>
    <row r="183" spans="5:5" x14ac:dyDescent="0.2">
      <c r="E183"/>
    </row>
    <row r="184" spans="5:5" x14ac:dyDescent="0.2">
      <c r="E184"/>
    </row>
    <row r="185" spans="5:5" x14ac:dyDescent="0.2">
      <c r="E185"/>
    </row>
    <row r="186" spans="5:5" x14ac:dyDescent="0.2">
      <c r="E186"/>
    </row>
    <row r="187" spans="5:5" x14ac:dyDescent="0.2">
      <c r="E187"/>
    </row>
    <row r="188" spans="5:5" x14ac:dyDescent="0.2">
      <c r="E188"/>
    </row>
    <row r="189" spans="5:5" x14ac:dyDescent="0.2">
      <c r="E189"/>
    </row>
    <row r="190" spans="5:5" x14ac:dyDescent="0.2">
      <c r="E190"/>
    </row>
    <row r="191" spans="5:5" x14ac:dyDescent="0.2">
      <c r="E191"/>
    </row>
    <row r="192" spans="5:5" x14ac:dyDescent="0.2">
      <c r="E192"/>
    </row>
    <row r="193" spans="5:5" x14ac:dyDescent="0.2">
      <c r="E193"/>
    </row>
    <row r="194" spans="5:5" x14ac:dyDescent="0.2">
      <c r="E194"/>
    </row>
    <row r="195" spans="5:5" x14ac:dyDescent="0.2">
      <c r="E195"/>
    </row>
    <row r="196" spans="5:5" x14ac:dyDescent="0.2">
      <c r="E196"/>
    </row>
    <row r="197" spans="5:5" x14ac:dyDescent="0.2">
      <c r="E197"/>
    </row>
    <row r="198" spans="5:5" x14ac:dyDescent="0.2">
      <c r="E198"/>
    </row>
    <row r="199" spans="5:5" x14ac:dyDescent="0.2">
      <c r="E199"/>
    </row>
    <row r="200" spans="5:5" x14ac:dyDescent="0.2">
      <c r="E200"/>
    </row>
    <row r="201" spans="5:5" x14ac:dyDescent="0.2">
      <c r="E201"/>
    </row>
    <row r="202" spans="5:5" x14ac:dyDescent="0.2">
      <c r="E202"/>
    </row>
    <row r="203" spans="5:5" x14ac:dyDescent="0.2">
      <c r="E203"/>
    </row>
    <row r="204" spans="5:5" x14ac:dyDescent="0.2">
      <c r="E204"/>
    </row>
    <row r="205" spans="5:5" x14ac:dyDescent="0.2">
      <c r="E205"/>
    </row>
    <row r="206" spans="5:5" x14ac:dyDescent="0.2">
      <c r="E206"/>
    </row>
    <row r="207" spans="5:5" x14ac:dyDescent="0.2">
      <c r="E207"/>
    </row>
    <row r="208" spans="5:5" x14ac:dyDescent="0.2">
      <c r="E208"/>
    </row>
    <row r="209" spans="5:5" x14ac:dyDescent="0.2">
      <c r="E209"/>
    </row>
    <row r="210" spans="5:5" x14ac:dyDescent="0.2">
      <c r="E210"/>
    </row>
    <row r="211" spans="5:5" x14ac:dyDescent="0.2">
      <c r="E211"/>
    </row>
    <row r="212" spans="5:5" x14ac:dyDescent="0.2">
      <c r="E212"/>
    </row>
    <row r="213" spans="5:5" x14ac:dyDescent="0.2">
      <c r="E213"/>
    </row>
    <row r="214" spans="5:5" x14ac:dyDescent="0.2">
      <c r="E214"/>
    </row>
    <row r="215" spans="5:5" x14ac:dyDescent="0.2">
      <c r="E215"/>
    </row>
    <row r="216" spans="5:5" x14ac:dyDescent="0.2">
      <c r="E216"/>
    </row>
    <row r="217" spans="5:5" x14ac:dyDescent="0.2">
      <c r="E217"/>
    </row>
    <row r="218" spans="5:5" x14ac:dyDescent="0.2">
      <c r="E218"/>
    </row>
    <row r="219" spans="5:5" x14ac:dyDescent="0.2">
      <c r="E219"/>
    </row>
    <row r="220" spans="5:5" x14ac:dyDescent="0.2">
      <c r="E220"/>
    </row>
    <row r="221" spans="5:5" x14ac:dyDescent="0.2">
      <c r="E221"/>
    </row>
    <row r="222" spans="5:5" x14ac:dyDescent="0.2">
      <c r="E222"/>
    </row>
    <row r="223" spans="5:5" x14ac:dyDescent="0.2">
      <c r="E223"/>
    </row>
    <row r="224" spans="5:5" x14ac:dyDescent="0.2">
      <c r="E224"/>
    </row>
    <row r="225" spans="5:5" x14ac:dyDescent="0.2">
      <c r="E225"/>
    </row>
    <row r="226" spans="5:5" x14ac:dyDescent="0.2">
      <c r="E226"/>
    </row>
    <row r="227" spans="5:5" x14ac:dyDescent="0.2">
      <c r="E227"/>
    </row>
    <row r="228" spans="5:5" x14ac:dyDescent="0.2">
      <c r="E228"/>
    </row>
    <row r="229" spans="5:5" x14ac:dyDescent="0.2">
      <c r="E229"/>
    </row>
    <row r="230" spans="5:5" x14ac:dyDescent="0.2">
      <c r="E230"/>
    </row>
    <row r="231" spans="5:5" x14ac:dyDescent="0.2">
      <c r="E231"/>
    </row>
    <row r="232" spans="5:5" x14ac:dyDescent="0.2">
      <c r="E232"/>
    </row>
    <row r="233" spans="5:5" x14ac:dyDescent="0.2">
      <c r="E233"/>
    </row>
    <row r="234" spans="5:5" x14ac:dyDescent="0.2">
      <c r="E234"/>
    </row>
    <row r="235" spans="5:5" x14ac:dyDescent="0.2">
      <c r="E235"/>
    </row>
    <row r="236" spans="5:5" x14ac:dyDescent="0.2">
      <c r="E236"/>
    </row>
    <row r="237" spans="5:5" x14ac:dyDescent="0.2">
      <c r="E237"/>
    </row>
    <row r="238" spans="5:5" x14ac:dyDescent="0.2">
      <c r="E238"/>
    </row>
    <row r="239" spans="5:5" x14ac:dyDescent="0.2">
      <c r="E239"/>
    </row>
    <row r="240" spans="5:5" x14ac:dyDescent="0.2">
      <c r="E240"/>
    </row>
    <row r="241" spans="5:5" x14ac:dyDescent="0.2">
      <c r="E241"/>
    </row>
    <row r="242" spans="5:5" x14ac:dyDescent="0.2">
      <c r="E242"/>
    </row>
    <row r="243" spans="5:5" x14ac:dyDescent="0.2">
      <c r="E243"/>
    </row>
    <row r="244" spans="5:5" x14ac:dyDescent="0.2">
      <c r="E244"/>
    </row>
    <row r="245" spans="5:5" x14ac:dyDescent="0.2">
      <c r="E245"/>
    </row>
    <row r="246" spans="5:5" x14ac:dyDescent="0.2">
      <c r="E246"/>
    </row>
    <row r="247" spans="5:5" x14ac:dyDescent="0.2">
      <c r="E247"/>
    </row>
    <row r="248" spans="5:5" x14ac:dyDescent="0.2">
      <c r="E248"/>
    </row>
    <row r="249" spans="5:5" x14ac:dyDescent="0.2">
      <c r="E249"/>
    </row>
    <row r="250" spans="5:5" x14ac:dyDescent="0.2">
      <c r="E250"/>
    </row>
    <row r="251" spans="5:5" x14ac:dyDescent="0.2">
      <c r="E251"/>
    </row>
    <row r="252" spans="5:5" x14ac:dyDescent="0.2">
      <c r="E252"/>
    </row>
    <row r="253" spans="5:5" x14ac:dyDescent="0.2">
      <c r="E253"/>
    </row>
    <row r="254" spans="5:5" x14ac:dyDescent="0.2">
      <c r="E254"/>
    </row>
    <row r="255" spans="5:5" x14ac:dyDescent="0.2">
      <c r="E255"/>
    </row>
    <row r="256" spans="5:5" x14ac:dyDescent="0.2">
      <c r="E256"/>
    </row>
    <row r="257" spans="5:5" x14ac:dyDescent="0.2">
      <c r="E257"/>
    </row>
    <row r="258" spans="5:5" x14ac:dyDescent="0.2">
      <c r="E258"/>
    </row>
    <row r="259" spans="5:5" x14ac:dyDescent="0.2">
      <c r="E259"/>
    </row>
    <row r="260" spans="5:5" x14ac:dyDescent="0.2">
      <c r="E260"/>
    </row>
    <row r="261" spans="5:5" x14ac:dyDescent="0.2">
      <c r="E261"/>
    </row>
    <row r="262" spans="5:5" x14ac:dyDescent="0.2">
      <c r="E262"/>
    </row>
    <row r="263" spans="5:5" x14ac:dyDescent="0.2">
      <c r="E263"/>
    </row>
    <row r="264" spans="5:5" x14ac:dyDescent="0.2">
      <c r="E264"/>
    </row>
    <row r="265" spans="5:5" x14ac:dyDescent="0.2">
      <c r="E265"/>
    </row>
    <row r="266" spans="5:5" x14ac:dyDescent="0.2">
      <c r="E266"/>
    </row>
    <row r="267" spans="5:5" x14ac:dyDescent="0.2">
      <c r="E267"/>
    </row>
    <row r="268" spans="5:5" x14ac:dyDescent="0.2">
      <c r="E268"/>
    </row>
    <row r="269" spans="5:5" x14ac:dyDescent="0.2">
      <c r="E269"/>
    </row>
    <row r="270" spans="5:5" x14ac:dyDescent="0.2">
      <c r="E270"/>
    </row>
    <row r="271" spans="5:5" x14ac:dyDescent="0.2">
      <c r="E271"/>
    </row>
    <row r="272" spans="5:5" x14ac:dyDescent="0.2">
      <c r="E272"/>
    </row>
    <row r="273" spans="5:5" x14ac:dyDescent="0.2">
      <c r="E273"/>
    </row>
    <row r="274" spans="5:5" x14ac:dyDescent="0.2">
      <c r="E274"/>
    </row>
    <row r="275" spans="5:5" x14ac:dyDescent="0.2">
      <c r="E275"/>
    </row>
    <row r="276" spans="5:5" x14ac:dyDescent="0.2">
      <c r="E276"/>
    </row>
    <row r="277" spans="5:5" x14ac:dyDescent="0.2">
      <c r="E277"/>
    </row>
    <row r="278" spans="5:5" x14ac:dyDescent="0.2">
      <c r="E278"/>
    </row>
    <row r="279" spans="5:5" x14ac:dyDescent="0.2">
      <c r="E279"/>
    </row>
    <row r="280" spans="5:5" x14ac:dyDescent="0.2">
      <c r="E280"/>
    </row>
    <row r="281" spans="5:5" x14ac:dyDescent="0.2">
      <c r="E281"/>
    </row>
    <row r="282" spans="5:5" x14ac:dyDescent="0.2">
      <c r="E282"/>
    </row>
    <row r="283" spans="5:5" x14ac:dyDescent="0.2">
      <c r="E283"/>
    </row>
    <row r="284" spans="5:5" x14ac:dyDescent="0.2">
      <c r="E284"/>
    </row>
    <row r="285" spans="5:5" x14ac:dyDescent="0.2">
      <c r="E285"/>
    </row>
    <row r="286" spans="5:5" x14ac:dyDescent="0.2">
      <c r="E286"/>
    </row>
    <row r="287" spans="5:5" x14ac:dyDescent="0.2">
      <c r="E287"/>
    </row>
    <row r="288" spans="5:5" x14ac:dyDescent="0.2">
      <c r="E288"/>
    </row>
    <row r="289" spans="5:5" x14ac:dyDescent="0.2">
      <c r="E289"/>
    </row>
    <row r="290" spans="5:5" x14ac:dyDescent="0.2">
      <c r="E290"/>
    </row>
    <row r="291" spans="5:5" x14ac:dyDescent="0.2">
      <c r="E291"/>
    </row>
    <row r="292" spans="5:5" x14ac:dyDescent="0.2">
      <c r="E292"/>
    </row>
    <row r="293" spans="5:5" x14ac:dyDescent="0.2">
      <c r="E293"/>
    </row>
    <row r="294" spans="5:5" x14ac:dyDescent="0.2">
      <c r="E294"/>
    </row>
    <row r="295" spans="5:5" x14ac:dyDescent="0.2">
      <c r="E295"/>
    </row>
    <row r="296" spans="5:5" x14ac:dyDescent="0.2">
      <c r="E296"/>
    </row>
    <row r="297" spans="5:5" x14ac:dyDescent="0.2">
      <c r="E297"/>
    </row>
    <row r="298" spans="5:5" x14ac:dyDescent="0.2">
      <c r="E298"/>
    </row>
    <row r="299" spans="5:5" x14ac:dyDescent="0.2">
      <c r="E299"/>
    </row>
    <row r="300" spans="5:5" x14ac:dyDescent="0.2">
      <c r="E300"/>
    </row>
    <row r="301" spans="5:5" x14ac:dyDescent="0.2">
      <c r="E301"/>
    </row>
    <row r="302" spans="5:5" x14ac:dyDescent="0.2">
      <c r="E302"/>
    </row>
    <row r="303" spans="5:5" x14ac:dyDescent="0.2">
      <c r="E303"/>
    </row>
    <row r="304" spans="5:5" x14ac:dyDescent="0.2">
      <c r="E304"/>
    </row>
    <row r="305" spans="5:5" x14ac:dyDescent="0.2">
      <c r="E305"/>
    </row>
    <row r="306" spans="5:5" x14ac:dyDescent="0.2">
      <c r="E306"/>
    </row>
    <row r="307" spans="5:5" x14ac:dyDescent="0.2">
      <c r="E307"/>
    </row>
    <row r="308" spans="5:5" x14ac:dyDescent="0.2">
      <c r="E308"/>
    </row>
    <row r="309" spans="5:5" x14ac:dyDescent="0.2">
      <c r="E309"/>
    </row>
    <row r="310" spans="5:5" x14ac:dyDescent="0.2">
      <c r="E310"/>
    </row>
    <row r="311" spans="5:5" x14ac:dyDescent="0.2">
      <c r="E311"/>
    </row>
    <row r="312" spans="5:5" x14ac:dyDescent="0.2">
      <c r="E312"/>
    </row>
    <row r="313" spans="5:5" x14ac:dyDescent="0.2">
      <c r="E313"/>
    </row>
    <row r="314" spans="5:5" x14ac:dyDescent="0.2">
      <c r="E314"/>
    </row>
    <row r="315" spans="5:5" x14ac:dyDescent="0.2">
      <c r="E315"/>
    </row>
    <row r="316" spans="5:5" x14ac:dyDescent="0.2">
      <c r="E316"/>
    </row>
    <row r="317" spans="5:5" x14ac:dyDescent="0.2">
      <c r="E317"/>
    </row>
    <row r="318" spans="5:5" x14ac:dyDescent="0.2">
      <c r="E318"/>
    </row>
    <row r="319" spans="5:5" x14ac:dyDescent="0.2">
      <c r="E319"/>
    </row>
    <row r="320" spans="5:5" x14ac:dyDescent="0.2">
      <c r="E320"/>
    </row>
    <row r="321" spans="5:5" x14ac:dyDescent="0.2">
      <c r="E321"/>
    </row>
    <row r="322" spans="5:5" x14ac:dyDescent="0.2">
      <c r="E322"/>
    </row>
    <row r="323" spans="5:5" x14ac:dyDescent="0.2">
      <c r="E323"/>
    </row>
    <row r="324" spans="5:5" x14ac:dyDescent="0.2">
      <c r="E324"/>
    </row>
    <row r="325" spans="5:5" x14ac:dyDescent="0.2">
      <c r="E325"/>
    </row>
    <row r="326" spans="5:5" x14ac:dyDescent="0.2">
      <c r="E326"/>
    </row>
    <row r="327" spans="5:5" x14ac:dyDescent="0.2">
      <c r="E327"/>
    </row>
    <row r="328" spans="5:5" x14ac:dyDescent="0.2">
      <c r="E328"/>
    </row>
    <row r="329" spans="5:5" x14ac:dyDescent="0.2">
      <c r="E329"/>
    </row>
    <row r="330" spans="5:5" x14ac:dyDescent="0.2">
      <c r="E330"/>
    </row>
    <row r="331" spans="5:5" x14ac:dyDescent="0.2">
      <c r="E331"/>
    </row>
    <row r="332" spans="5:5" x14ac:dyDescent="0.2">
      <c r="E332"/>
    </row>
    <row r="333" spans="5:5" x14ac:dyDescent="0.2">
      <c r="E333"/>
    </row>
    <row r="334" spans="5:5" x14ac:dyDescent="0.2">
      <c r="E334"/>
    </row>
    <row r="335" spans="5:5" x14ac:dyDescent="0.2">
      <c r="E335"/>
    </row>
    <row r="336" spans="5:5" x14ac:dyDescent="0.2">
      <c r="E336"/>
    </row>
    <row r="337" spans="5:5" x14ac:dyDescent="0.2">
      <c r="E337"/>
    </row>
    <row r="338" spans="5:5" x14ac:dyDescent="0.2">
      <c r="E338"/>
    </row>
    <row r="339" spans="5:5" x14ac:dyDescent="0.2">
      <c r="E339"/>
    </row>
    <row r="340" spans="5:5" x14ac:dyDescent="0.2">
      <c r="E340"/>
    </row>
    <row r="341" spans="5:5" x14ac:dyDescent="0.2">
      <c r="E341"/>
    </row>
    <row r="342" spans="5:5" x14ac:dyDescent="0.2">
      <c r="E342"/>
    </row>
    <row r="343" spans="5:5" x14ac:dyDescent="0.2">
      <c r="E343"/>
    </row>
    <row r="344" spans="5:5" x14ac:dyDescent="0.2">
      <c r="E344"/>
    </row>
    <row r="345" spans="5:5" x14ac:dyDescent="0.2">
      <c r="E345"/>
    </row>
    <row r="346" spans="5:5" x14ac:dyDescent="0.2">
      <c r="E346"/>
    </row>
    <row r="347" spans="5:5" x14ac:dyDescent="0.2">
      <c r="E347"/>
    </row>
    <row r="348" spans="5:5" x14ac:dyDescent="0.2">
      <c r="E348"/>
    </row>
    <row r="349" spans="5:5" x14ac:dyDescent="0.2">
      <c r="E349"/>
    </row>
    <row r="350" spans="5:5" x14ac:dyDescent="0.2">
      <c r="E350"/>
    </row>
    <row r="351" spans="5:5" x14ac:dyDescent="0.2">
      <c r="E351"/>
    </row>
    <row r="352" spans="5:5" x14ac:dyDescent="0.2">
      <c r="E352"/>
    </row>
    <row r="353" spans="5:5" x14ac:dyDescent="0.2">
      <c r="E353"/>
    </row>
    <row r="354" spans="5:5" x14ac:dyDescent="0.2">
      <c r="E354"/>
    </row>
    <row r="355" spans="5:5" x14ac:dyDescent="0.2">
      <c r="E355"/>
    </row>
    <row r="356" spans="5:5" x14ac:dyDescent="0.2">
      <c r="E356"/>
    </row>
    <row r="357" spans="5:5" x14ac:dyDescent="0.2">
      <c r="E357"/>
    </row>
    <row r="358" spans="5:5" x14ac:dyDescent="0.2">
      <c r="E358"/>
    </row>
    <row r="359" spans="5:5" x14ac:dyDescent="0.2">
      <c r="E359"/>
    </row>
    <row r="360" spans="5:5" x14ac:dyDescent="0.2">
      <c r="E360"/>
    </row>
    <row r="361" spans="5:5" x14ac:dyDescent="0.2">
      <c r="E361"/>
    </row>
    <row r="362" spans="5:5" x14ac:dyDescent="0.2">
      <c r="E362"/>
    </row>
    <row r="363" spans="5:5" x14ac:dyDescent="0.2">
      <c r="E363"/>
    </row>
    <row r="364" spans="5:5" x14ac:dyDescent="0.2">
      <c r="E364"/>
    </row>
    <row r="365" spans="5:5" x14ac:dyDescent="0.2">
      <c r="E365"/>
    </row>
    <row r="366" spans="5:5" x14ac:dyDescent="0.2">
      <c r="E366"/>
    </row>
    <row r="367" spans="5:5" x14ac:dyDescent="0.2">
      <c r="E367"/>
    </row>
    <row r="368" spans="5:5" x14ac:dyDescent="0.2">
      <c r="E368"/>
    </row>
    <row r="369" spans="5:5" x14ac:dyDescent="0.2">
      <c r="E369"/>
    </row>
    <row r="370" spans="5:5" x14ac:dyDescent="0.2">
      <c r="E370"/>
    </row>
    <row r="371" spans="5:5" x14ac:dyDescent="0.2">
      <c r="E371"/>
    </row>
    <row r="372" spans="5:5" x14ac:dyDescent="0.2">
      <c r="E372"/>
    </row>
    <row r="373" spans="5:5" x14ac:dyDescent="0.2">
      <c r="E373"/>
    </row>
    <row r="374" spans="5:5" x14ac:dyDescent="0.2">
      <c r="E374"/>
    </row>
    <row r="375" spans="5:5" x14ac:dyDescent="0.2">
      <c r="E375"/>
    </row>
    <row r="376" spans="5:5" x14ac:dyDescent="0.2">
      <c r="E376"/>
    </row>
    <row r="377" spans="5:5" x14ac:dyDescent="0.2">
      <c r="E377"/>
    </row>
    <row r="378" spans="5:5" x14ac:dyDescent="0.2">
      <c r="E378"/>
    </row>
    <row r="379" spans="5:5" x14ac:dyDescent="0.2">
      <c r="E379"/>
    </row>
    <row r="380" spans="5:5" x14ac:dyDescent="0.2">
      <c r="E380"/>
    </row>
    <row r="381" spans="5:5" x14ac:dyDescent="0.2">
      <c r="E381"/>
    </row>
    <row r="382" spans="5:5" x14ac:dyDescent="0.2">
      <c r="E382"/>
    </row>
    <row r="383" spans="5:5" x14ac:dyDescent="0.2">
      <c r="E383"/>
    </row>
    <row r="384" spans="5:5" x14ac:dyDescent="0.2">
      <c r="E384"/>
    </row>
    <row r="385" spans="5:5" x14ac:dyDescent="0.2">
      <c r="E385"/>
    </row>
    <row r="386" spans="5:5" x14ac:dyDescent="0.2">
      <c r="E386"/>
    </row>
    <row r="387" spans="5:5" x14ac:dyDescent="0.2">
      <c r="E387"/>
    </row>
    <row r="388" spans="5:5" x14ac:dyDescent="0.2">
      <c r="E388"/>
    </row>
    <row r="389" spans="5:5" x14ac:dyDescent="0.2">
      <c r="E389"/>
    </row>
    <row r="390" spans="5:5" x14ac:dyDescent="0.2">
      <c r="E390"/>
    </row>
    <row r="391" spans="5:5" x14ac:dyDescent="0.2">
      <c r="E391"/>
    </row>
    <row r="392" spans="5:5" x14ac:dyDescent="0.2">
      <c r="E392"/>
    </row>
    <row r="393" spans="5:5" x14ac:dyDescent="0.2">
      <c r="E393"/>
    </row>
    <row r="394" spans="5:5" x14ac:dyDescent="0.2">
      <c r="E394"/>
    </row>
    <row r="395" spans="5:5" x14ac:dyDescent="0.2">
      <c r="E395"/>
    </row>
    <row r="396" spans="5:5" x14ac:dyDescent="0.2">
      <c r="E396"/>
    </row>
    <row r="397" spans="5:5" x14ac:dyDescent="0.2">
      <c r="E397"/>
    </row>
    <row r="398" spans="5:5" x14ac:dyDescent="0.2">
      <c r="E398"/>
    </row>
    <row r="399" spans="5:5" x14ac:dyDescent="0.2">
      <c r="E399"/>
    </row>
    <row r="400" spans="5:5" x14ac:dyDescent="0.2">
      <c r="E400"/>
    </row>
    <row r="401" spans="5:5" x14ac:dyDescent="0.2">
      <c r="E401"/>
    </row>
    <row r="402" spans="5:5" x14ac:dyDescent="0.2">
      <c r="E402"/>
    </row>
    <row r="403" spans="5:5" x14ac:dyDescent="0.2">
      <c r="E403"/>
    </row>
    <row r="404" spans="5:5" x14ac:dyDescent="0.2">
      <c r="E404"/>
    </row>
    <row r="405" spans="5:5" x14ac:dyDescent="0.2">
      <c r="E405"/>
    </row>
    <row r="406" spans="5:5" x14ac:dyDescent="0.2">
      <c r="E406"/>
    </row>
    <row r="407" spans="5:5" x14ac:dyDescent="0.2">
      <c r="E407"/>
    </row>
    <row r="408" spans="5:5" x14ac:dyDescent="0.2">
      <c r="E408"/>
    </row>
    <row r="409" spans="5:5" x14ac:dyDescent="0.2">
      <c r="E409"/>
    </row>
    <row r="410" spans="5:5" x14ac:dyDescent="0.2">
      <c r="E410"/>
    </row>
    <row r="411" spans="5:5" x14ac:dyDescent="0.2">
      <c r="E411"/>
    </row>
    <row r="412" spans="5:5" x14ac:dyDescent="0.2">
      <c r="E412"/>
    </row>
    <row r="413" spans="5:5" x14ac:dyDescent="0.2">
      <c r="E413"/>
    </row>
    <row r="414" spans="5:5" x14ac:dyDescent="0.2">
      <c r="E414"/>
    </row>
    <row r="415" spans="5:5" x14ac:dyDescent="0.2">
      <c r="E415"/>
    </row>
    <row r="416" spans="5:5" x14ac:dyDescent="0.2">
      <c r="E416"/>
    </row>
    <row r="417" spans="5:5" x14ac:dyDescent="0.2">
      <c r="E417"/>
    </row>
    <row r="418" spans="5:5" x14ac:dyDescent="0.2">
      <c r="E418"/>
    </row>
    <row r="419" spans="5:5" x14ac:dyDescent="0.2">
      <c r="E419"/>
    </row>
    <row r="420" spans="5:5" x14ac:dyDescent="0.2">
      <c r="E420"/>
    </row>
    <row r="421" spans="5:5" x14ac:dyDescent="0.2">
      <c r="E421"/>
    </row>
    <row r="422" spans="5:5" x14ac:dyDescent="0.2">
      <c r="E422"/>
    </row>
    <row r="423" spans="5:5" x14ac:dyDescent="0.2">
      <c r="E423"/>
    </row>
    <row r="424" spans="5:5" x14ac:dyDescent="0.2">
      <c r="E424"/>
    </row>
    <row r="425" spans="5:5" x14ac:dyDescent="0.2">
      <c r="E425"/>
    </row>
    <row r="426" spans="5:5" x14ac:dyDescent="0.2">
      <c r="E426"/>
    </row>
    <row r="427" spans="5:5" x14ac:dyDescent="0.2">
      <c r="E427"/>
    </row>
    <row r="428" spans="5:5" x14ac:dyDescent="0.2">
      <c r="E428"/>
    </row>
    <row r="429" spans="5:5" x14ac:dyDescent="0.2">
      <c r="E429"/>
    </row>
    <row r="430" spans="5:5" x14ac:dyDescent="0.2">
      <c r="E430"/>
    </row>
    <row r="431" spans="5:5" x14ac:dyDescent="0.2">
      <c r="E431"/>
    </row>
    <row r="432" spans="5:5" x14ac:dyDescent="0.2">
      <c r="E432"/>
    </row>
    <row r="433" spans="5:5" x14ac:dyDescent="0.2">
      <c r="E433"/>
    </row>
    <row r="434" spans="5:5" x14ac:dyDescent="0.2">
      <c r="E434"/>
    </row>
    <row r="435" spans="5:5" x14ac:dyDescent="0.2">
      <c r="E435"/>
    </row>
    <row r="436" spans="5:5" x14ac:dyDescent="0.2">
      <c r="E436"/>
    </row>
    <row r="437" spans="5:5" x14ac:dyDescent="0.2">
      <c r="E437"/>
    </row>
    <row r="438" spans="5:5" x14ac:dyDescent="0.2">
      <c r="E438"/>
    </row>
    <row r="439" spans="5:5" x14ac:dyDescent="0.2">
      <c r="E439"/>
    </row>
    <row r="440" spans="5:5" x14ac:dyDescent="0.2">
      <c r="E440"/>
    </row>
    <row r="441" spans="5:5" x14ac:dyDescent="0.2">
      <c r="E441"/>
    </row>
    <row r="442" spans="5:5" x14ac:dyDescent="0.2">
      <c r="E442"/>
    </row>
    <row r="443" spans="5:5" x14ac:dyDescent="0.2">
      <c r="E443"/>
    </row>
    <row r="444" spans="5:5" x14ac:dyDescent="0.2">
      <c r="E444"/>
    </row>
    <row r="445" spans="5:5" x14ac:dyDescent="0.2">
      <c r="E445"/>
    </row>
    <row r="446" spans="5:5" x14ac:dyDescent="0.2">
      <c r="E446"/>
    </row>
    <row r="447" spans="5:5" x14ac:dyDescent="0.2">
      <c r="E447"/>
    </row>
    <row r="448" spans="5:5" x14ac:dyDescent="0.2">
      <c r="E448"/>
    </row>
    <row r="449" spans="5:5" x14ac:dyDescent="0.2">
      <c r="E449"/>
    </row>
    <row r="450" spans="5:5" x14ac:dyDescent="0.2">
      <c r="E450"/>
    </row>
    <row r="451" spans="5:5" x14ac:dyDescent="0.2">
      <c r="E451"/>
    </row>
    <row r="452" spans="5:5" x14ac:dyDescent="0.2">
      <c r="E452"/>
    </row>
    <row r="453" spans="5:5" x14ac:dyDescent="0.2">
      <c r="E453"/>
    </row>
    <row r="454" spans="5:5" x14ac:dyDescent="0.2">
      <c r="E454"/>
    </row>
    <row r="455" spans="5:5" x14ac:dyDescent="0.2">
      <c r="E455"/>
    </row>
    <row r="456" spans="5:5" x14ac:dyDescent="0.2">
      <c r="E456"/>
    </row>
    <row r="457" spans="5:5" x14ac:dyDescent="0.2">
      <c r="E457"/>
    </row>
    <row r="458" spans="5:5" x14ac:dyDescent="0.2">
      <c r="E458"/>
    </row>
    <row r="459" spans="5:5" x14ac:dyDescent="0.2">
      <c r="E459"/>
    </row>
    <row r="460" spans="5:5" x14ac:dyDescent="0.2">
      <c r="E460"/>
    </row>
    <row r="461" spans="5:5" x14ac:dyDescent="0.2">
      <c r="E461"/>
    </row>
    <row r="462" spans="5:5" x14ac:dyDescent="0.2">
      <c r="E462"/>
    </row>
    <row r="463" spans="5:5" x14ac:dyDescent="0.2">
      <c r="E463"/>
    </row>
    <row r="464" spans="5:5" x14ac:dyDescent="0.2">
      <c r="E464"/>
    </row>
    <row r="465" spans="5:5" x14ac:dyDescent="0.2">
      <c r="E465"/>
    </row>
    <row r="466" spans="5:5" x14ac:dyDescent="0.2">
      <c r="E466"/>
    </row>
    <row r="467" spans="5:5" x14ac:dyDescent="0.2">
      <c r="E467"/>
    </row>
    <row r="468" spans="5:5" x14ac:dyDescent="0.2">
      <c r="E468"/>
    </row>
    <row r="469" spans="5:5" x14ac:dyDescent="0.2">
      <c r="E469"/>
    </row>
    <row r="470" spans="5:5" x14ac:dyDescent="0.2">
      <c r="E470"/>
    </row>
    <row r="471" spans="5:5" x14ac:dyDescent="0.2">
      <c r="E471"/>
    </row>
    <row r="472" spans="5:5" x14ac:dyDescent="0.2">
      <c r="E472"/>
    </row>
    <row r="473" spans="5:5" x14ac:dyDescent="0.2">
      <c r="E473"/>
    </row>
    <row r="474" spans="5:5" x14ac:dyDescent="0.2">
      <c r="E474"/>
    </row>
    <row r="475" spans="5:5" x14ac:dyDescent="0.2">
      <c r="E475"/>
    </row>
    <row r="476" spans="5:5" x14ac:dyDescent="0.2">
      <c r="E476"/>
    </row>
    <row r="477" spans="5:5" x14ac:dyDescent="0.2">
      <c r="E477"/>
    </row>
    <row r="478" spans="5:5" x14ac:dyDescent="0.2">
      <c r="E478"/>
    </row>
    <row r="479" spans="5:5" x14ac:dyDescent="0.2">
      <c r="E479"/>
    </row>
    <row r="480" spans="5:5" x14ac:dyDescent="0.2">
      <c r="E480"/>
    </row>
    <row r="481" spans="5:5" x14ac:dyDescent="0.2">
      <c r="E481"/>
    </row>
    <row r="482" spans="5:5" x14ac:dyDescent="0.2">
      <c r="E482"/>
    </row>
    <row r="483" spans="5:5" x14ac:dyDescent="0.2">
      <c r="E483"/>
    </row>
    <row r="484" spans="5:5" x14ac:dyDescent="0.2">
      <c r="E484"/>
    </row>
    <row r="485" spans="5:5" x14ac:dyDescent="0.2">
      <c r="E485"/>
    </row>
    <row r="486" spans="5:5" x14ac:dyDescent="0.2">
      <c r="E486"/>
    </row>
    <row r="487" spans="5:5" x14ac:dyDescent="0.2">
      <c r="E487"/>
    </row>
    <row r="488" spans="5:5" x14ac:dyDescent="0.2">
      <c r="E488"/>
    </row>
    <row r="489" spans="5:5" x14ac:dyDescent="0.2">
      <c r="E489"/>
    </row>
    <row r="490" spans="5:5" x14ac:dyDescent="0.2">
      <c r="E490"/>
    </row>
    <row r="491" spans="5:5" x14ac:dyDescent="0.2">
      <c r="E491"/>
    </row>
    <row r="492" spans="5:5" x14ac:dyDescent="0.2">
      <c r="E492"/>
    </row>
    <row r="493" spans="5:5" x14ac:dyDescent="0.2">
      <c r="E493"/>
    </row>
    <row r="494" spans="5:5" x14ac:dyDescent="0.2">
      <c r="E494"/>
    </row>
    <row r="495" spans="5:5" x14ac:dyDescent="0.2">
      <c r="E495"/>
    </row>
    <row r="496" spans="5:5" x14ac:dyDescent="0.2">
      <c r="E496"/>
    </row>
    <row r="497" spans="5:5" x14ac:dyDescent="0.2">
      <c r="E497"/>
    </row>
    <row r="498" spans="5:5" x14ac:dyDescent="0.2">
      <c r="E498"/>
    </row>
    <row r="499" spans="5:5" x14ac:dyDescent="0.2">
      <c r="E499"/>
    </row>
    <row r="500" spans="5:5" x14ac:dyDescent="0.2">
      <c r="E500"/>
    </row>
    <row r="501" spans="5:5" x14ac:dyDescent="0.2">
      <c r="E501"/>
    </row>
    <row r="502" spans="5:5" x14ac:dyDescent="0.2">
      <c r="E502"/>
    </row>
    <row r="503" spans="5:5" x14ac:dyDescent="0.2">
      <c r="E503"/>
    </row>
    <row r="504" spans="5:5" x14ac:dyDescent="0.2">
      <c r="E504"/>
    </row>
    <row r="505" spans="5:5" x14ac:dyDescent="0.2">
      <c r="E505"/>
    </row>
    <row r="506" spans="5:5" x14ac:dyDescent="0.2">
      <c r="E506"/>
    </row>
    <row r="507" spans="5:5" x14ac:dyDescent="0.2">
      <c r="E507"/>
    </row>
    <row r="508" spans="5:5" x14ac:dyDescent="0.2">
      <c r="E508"/>
    </row>
    <row r="509" spans="5:5" x14ac:dyDescent="0.2">
      <c r="E509"/>
    </row>
    <row r="510" spans="5:5" x14ac:dyDescent="0.2">
      <c r="E510"/>
    </row>
    <row r="511" spans="5:5" x14ac:dyDescent="0.2">
      <c r="E511"/>
    </row>
    <row r="512" spans="5:5" x14ac:dyDescent="0.2">
      <c r="E512"/>
    </row>
    <row r="513" spans="5:5" x14ac:dyDescent="0.2">
      <c r="E513"/>
    </row>
    <row r="514" spans="5:5" x14ac:dyDescent="0.2">
      <c r="E514"/>
    </row>
    <row r="515" spans="5:5" x14ac:dyDescent="0.2">
      <c r="E515"/>
    </row>
    <row r="516" spans="5:5" x14ac:dyDescent="0.2">
      <c r="E516"/>
    </row>
    <row r="517" spans="5:5" x14ac:dyDescent="0.2">
      <c r="E517"/>
    </row>
    <row r="518" spans="5:5" x14ac:dyDescent="0.2">
      <c r="E518"/>
    </row>
    <row r="519" spans="5:5" x14ac:dyDescent="0.2">
      <c r="E519"/>
    </row>
    <row r="520" spans="5:5" x14ac:dyDescent="0.2">
      <c r="E520"/>
    </row>
    <row r="521" spans="5:5" x14ac:dyDescent="0.2">
      <c r="E521"/>
    </row>
    <row r="522" spans="5:5" x14ac:dyDescent="0.2">
      <c r="E522"/>
    </row>
    <row r="523" spans="5:5" x14ac:dyDescent="0.2">
      <c r="E523"/>
    </row>
    <row r="524" spans="5:5" x14ac:dyDescent="0.2">
      <c r="E524"/>
    </row>
    <row r="525" spans="5:5" x14ac:dyDescent="0.2">
      <c r="E525"/>
    </row>
    <row r="526" spans="5:5" x14ac:dyDescent="0.2">
      <c r="E526"/>
    </row>
    <row r="527" spans="5:5" x14ac:dyDescent="0.2">
      <c r="E527"/>
    </row>
    <row r="528" spans="5:5" x14ac:dyDescent="0.2">
      <c r="E528"/>
    </row>
    <row r="529" spans="5:5" x14ac:dyDescent="0.2">
      <c r="E529"/>
    </row>
    <row r="530" spans="5:5" x14ac:dyDescent="0.2">
      <c r="E530"/>
    </row>
    <row r="531" spans="5:5" x14ac:dyDescent="0.2">
      <c r="E531"/>
    </row>
    <row r="532" spans="5:5" x14ac:dyDescent="0.2">
      <c r="E532"/>
    </row>
    <row r="533" spans="5:5" x14ac:dyDescent="0.2">
      <c r="E533"/>
    </row>
    <row r="534" spans="5:5" x14ac:dyDescent="0.2">
      <c r="E534"/>
    </row>
    <row r="535" spans="5:5" x14ac:dyDescent="0.2">
      <c r="E535"/>
    </row>
    <row r="536" spans="5:5" x14ac:dyDescent="0.2">
      <c r="E536"/>
    </row>
    <row r="537" spans="5:5" x14ac:dyDescent="0.2">
      <c r="E537"/>
    </row>
    <row r="538" spans="5:5" x14ac:dyDescent="0.2">
      <c r="E538"/>
    </row>
    <row r="539" spans="5:5" x14ac:dyDescent="0.2">
      <c r="E539"/>
    </row>
    <row r="540" spans="5:5" x14ac:dyDescent="0.2">
      <c r="E540"/>
    </row>
    <row r="541" spans="5:5" x14ac:dyDescent="0.2">
      <c r="E541"/>
    </row>
    <row r="542" spans="5:5" x14ac:dyDescent="0.2">
      <c r="E542"/>
    </row>
    <row r="543" spans="5:5" x14ac:dyDescent="0.2">
      <c r="E543"/>
    </row>
    <row r="544" spans="5:5" x14ac:dyDescent="0.2">
      <c r="E544"/>
    </row>
    <row r="545" spans="5:5" x14ac:dyDescent="0.2">
      <c r="E545"/>
    </row>
    <row r="546" spans="5:5" x14ac:dyDescent="0.2">
      <c r="E546"/>
    </row>
    <row r="547" spans="5:5" x14ac:dyDescent="0.2">
      <c r="E547"/>
    </row>
    <row r="548" spans="5:5" x14ac:dyDescent="0.2">
      <c r="E548"/>
    </row>
    <row r="549" spans="5:5" x14ac:dyDescent="0.2">
      <c r="E549"/>
    </row>
    <row r="550" spans="5:5" x14ac:dyDescent="0.2">
      <c r="E550"/>
    </row>
    <row r="551" spans="5:5" x14ac:dyDescent="0.2">
      <c r="E551"/>
    </row>
    <row r="552" spans="5:5" x14ac:dyDescent="0.2">
      <c r="E552"/>
    </row>
    <row r="553" spans="5:5" x14ac:dyDescent="0.2">
      <c r="E553"/>
    </row>
    <row r="554" spans="5:5" x14ac:dyDescent="0.2">
      <c r="E554"/>
    </row>
    <row r="555" spans="5:5" x14ac:dyDescent="0.2">
      <c r="E555"/>
    </row>
    <row r="556" spans="5:5" x14ac:dyDescent="0.2">
      <c r="E556"/>
    </row>
    <row r="557" spans="5:5" x14ac:dyDescent="0.2">
      <c r="E557"/>
    </row>
    <row r="558" spans="5:5" x14ac:dyDescent="0.2">
      <c r="E558"/>
    </row>
    <row r="559" spans="5:5" x14ac:dyDescent="0.2">
      <c r="E559"/>
    </row>
    <row r="560" spans="5:5" x14ac:dyDescent="0.2">
      <c r="E560"/>
    </row>
    <row r="561" spans="5:5" x14ac:dyDescent="0.2">
      <c r="E561"/>
    </row>
    <row r="562" spans="5:5" x14ac:dyDescent="0.2">
      <c r="E562"/>
    </row>
    <row r="563" spans="5:5" x14ac:dyDescent="0.2">
      <c r="E563"/>
    </row>
    <row r="564" spans="5:5" x14ac:dyDescent="0.2">
      <c r="E564"/>
    </row>
    <row r="565" spans="5:5" x14ac:dyDescent="0.2">
      <c r="E565"/>
    </row>
    <row r="566" spans="5:5" x14ac:dyDescent="0.2">
      <c r="E566"/>
    </row>
    <row r="567" spans="5:5" x14ac:dyDescent="0.2">
      <c r="E567"/>
    </row>
    <row r="568" spans="5:5" x14ac:dyDescent="0.2">
      <c r="E568"/>
    </row>
    <row r="569" spans="5:5" x14ac:dyDescent="0.2">
      <c r="E569"/>
    </row>
    <row r="570" spans="5:5" x14ac:dyDescent="0.2">
      <c r="E570"/>
    </row>
    <row r="571" spans="5:5" x14ac:dyDescent="0.2">
      <c r="E571"/>
    </row>
    <row r="572" spans="5:5" x14ac:dyDescent="0.2">
      <c r="E572"/>
    </row>
    <row r="573" spans="5:5" x14ac:dyDescent="0.2">
      <c r="E573"/>
    </row>
    <row r="574" spans="5:5" x14ac:dyDescent="0.2">
      <c r="E574"/>
    </row>
    <row r="575" spans="5:5" x14ac:dyDescent="0.2">
      <c r="E575"/>
    </row>
    <row r="576" spans="5:5" x14ac:dyDescent="0.2">
      <c r="E576"/>
    </row>
    <row r="577" spans="5:5" x14ac:dyDescent="0.2">
      <c r="E577"/>
    </row>
    <row r="578" spans="5:5" x14ac:dyDescent="0.2">
      <c r="E578"/>
    </row>
    <row r="579" spans="5:5" x14ac:dyDescent="0.2">
      <c r="E579"/>
    </row>
    <row r="580" spans="5:5" x14ac:dyDescent="0.2">
      <c r="E580"/>
    </row>
    <row r="581" spans="5:5" x14ac:dyDescent="0.2">
      <c r="E581"/>
    </row>
    <row r="582" spans="5:5" x14ac:dyDescent="0.2">
      <c r="E582"/>
    </row>
    <row r="583" spans="5:5" x14ac:dyDescent="0.2">
      <c r="E583"/>
    </row>
    <row r="584" spans="5:5" x14ac:dyDescent="0.2">
      <c r="E584"/>
    </row>
    <row r="585" spans="5:5" x14ac:dyDescent="0.2">
      <c r="E585"/>
    </row>
    <row r="586" spans="5:5" x14ac:dyDescent="0.2">
      <c r="E586"/>
    </row>
    <row r="587" spans="5:5" x14ac:dyDescent="0.2">
      <c r="E587"/>
    </row>
    <row r="588" spans="5:5" x14ac:dyDescent="0.2">
      <c r="E588"/>
    </row>
    <row r="589" spans="5:5" x14ac:dyDescent="0.2">
      <c r="E589"/>
    </row>
    <row r="590" spans="5:5" x14ac:dyDescent="0.2">
      <c r="E590"/>
    </row>
    <row r="591" spans="5:5" x14ac:dyDescent="0.2">
      <c r="E591"/>
    </row>
    <row r="592" spans="5:5" x14ac:dyDescent="0.2">
      <c r="E592"/>
    </row>
    <row r="593" spans="5:5" x14ac:dyDescent="0.2">
      <c r="E593"/>
    </row>
    <row r="594" spans="5:5" x14ac:dyDescent="0.2">
      <c r="E594"/>
    </row>
    <row r="595" spans="5:5" x14ac:dyDescent="0.2">
      <c r="E595"/>
    </row>
    <row r="596" spans="5:5" x14ac:dyDescent="0.2">
      <c r="E596"/>
    </row>
    <row r="597" spans="5:5" x14ac:dyDescent="0.2">
      <c r="E597"/>
    </row>
    <row r="598" spans="5:5" x14ac:dyDescent="0.2">
      <c r="E598"/>
    </row>
    <row r="599" spans="5:5" x14ac:dyDescent="0.2">
      <c r="E599"/>
    </row>
    <row r="600" spans="5:5" x14ac:dyDescent="0.2">
      <c r="E600"/>
    </row>
    <row r="601" spans="5:5" x14ac:dyDescent="0.2">
      <c r="E601"/>
    </row>
    <row r="602" spans="5:5" x14ac:dyDescent="0.2">
      <c r="E602"/>
    </row>
    <row r="603" spans="5:5" x14ac:dyDescent="0.2">
      <c r="E603"/>
    </row>
    <row r="604" spans="5:5" x14ac:dyDescent="0.2">
      <c r="E604"/>
    </row>
    <row r="605" spans="5:5" x14ac:dyDescent="0.2">
      <c r="E605"/>
    </row>
    <row r="606" spans="5:5" x14ac:dyDescent="0.2">
      <c r="E606"/>
    </row>
    <row r="607" spans="5:5" x14ac:dyDescent="0.2">
      <c r="E607"/>
    </row>
    <row r="608" spans="5:5" x14ac:dyDescent="0.2">
      <c r="E608"/>
    </row>
    <row r="609" spans="5:5" x14ac:dyDescent="0.2">
      <c r="E609"/>
    </row>
    <row r="610" spans="5:5" x14ac:dyDescent="0.2">
      <c r="E610"/>
    </row>
    <row r="611" spans="5:5" x14ac:dyDescent="0.2">
      <c r="E611"/>
    </row>
    <row r="612" spans="5:5" x14ac:dyDescent="0.2">
      <c r="E612"/>
    </row>
    <row r="613" spans="5:5" x14ac:dyDescent="0.2">
      <c r="E613"/>
    </row>
    <row r="614" spans="5:5" x14ac:dyDescent="0.2">
      <c r="E614"/>
    </row>
    <row r="615" spans="5:5" x14ac:dyDescent="0.2">
      <c r="E615"/>
    </row>
    <row r="616" spans="5:5" x14ac:dyDescent="0.2">
      <c r="E616"/>
    </row>
    <row r="617" spans="5:5" x14ac:dyDescent="0.2">
      <c r="E617"/>
    </row>
    <row r="618" spans="5:5" x14ac:dyDescent="0.2">
      <c r="E618"/>
    </row>
    <row r="619" spans="5:5" x14ac:dyDescent="0.2">
      <c r="E619"/>
    </row>
    <row r="620" spans="5:5" x14ac:dyDescent="0.2">
      <c r="E620"/>
    </row>
    <row r="621" spans="5:5" x14ac:dyDescent="0.2">
      <c r="E621"/>
    </row>
    <row r="622" spans="5:5" x14ac:dyDescent="0.2">
      <c r="E622"/>
    </row>
    <row r="623" spans="5:5" x14ac:dyDescent="0.2">
      <c r="E623"/>
    </row>
    <row r="624" spans="5:5" x14ac:dyDescent="0.2">
      <c r="E624"/>
    </row>
    <row r="625" spans="5:5" x14ac:dyDescent="0.2">
      <c r="E625"/>
    </row>
    <row r="626" spans="5:5" x14ac:dyDescent="0.2">
      <c r="E626"/>
    </row>
    <row r="627" spans="5:5" x14ac:dyDescent="0.2">
      <c r="E627"/>
    </row>
    <row r="628" spans="5:5" x14ac:dyDescent="0.2">
      <c r="E628"/>
    </row>
    <row r="629" spans="5:5" x14ac:dyDescent="0.2">
      <c r="E629"/>
    </row>
    <row r="630" spans="5:5" x14ac:dyDescent="0.2">
      <c r="E630"/>
    </row>
    <row r="631" spans="5:5" x14ac:dyDescent="0.2">
      <c r="E631"/>
    </row>
    <row r="632" spans="5:5" x14ac:dyDescent="0.2">
      <c r="E632"/>
    </row>
    <row r="633" spans="5:5" x14ac:dyDescent="0.2">
      <c r="E633"/>
    </row>
    <row r="634" spans="5:5" x14ac:dyDescent="0.2">
      <c r="E634"/>
    </row>
    <row r="635" spans="5:5" x14ac:dyDescent="0.2">
      <c r="E635"/>
    </row>
    <row r="636" spans="5:5" x14ac:dyDescent="0.2">
      <c r="E636"/>
    </row>
    <row r="637" spans="5:5" x14ac:dyDescent="0.2">
      <c r="E637"/>
    </row>
    <row r="638" spans="5:5" x14ac:dyDescent="0.2">
      <c r="E638"/>
    </row>
    <row r="639" spans="5:5" x14ac:dyDescent="0.2">
      <c r="E639"/>
    </row>
    <row r="640" spans="5:5" x14ac:dyDescent="0.2">
      <c r="E640"/>
    </row>
    <row r="641" spans="5:5" x14ac:dyDescent="0.2">
      <c r="E641"/>
    </row>
    <row r="642" spans="5:5" x14ac:dyDescent="0.2">
      <c r="E642"/>
    </row>
    <row r="643" spans="5:5" x14ac:dyDescent="0.2">
      <c r="E643"/>
    </row>
    <row r="644" spans="5:5" x14ac:dyDescent="0.2">
      <c r="E644"/>
    </row>
    <row r="645" spans="5:5" x14ac:dyDescent="0.2">
      <c r="E645"/>
    </row>
    <row r="646" spans="5:5" x14ac:dyDescent="0.2">
      <c r="E646"/>
    </row>
    <row r="647" spans="5:5" x14ac:dyDescent="0.2">
      <c r="E647"/>
    </row>
    <row r="648" spans="5:5" x14ac:dyDescent="0.2">
      <c r="E648"/>
    </row>
    <row r="649" spans="5:5" x14ac:dyDescent="0.2">
      <c r="E649"/>
    </row>
    <row r="650" spans="5:5" x14ac:dyDescent="0.2">
      <c r="E650"/>
    </row>
    <row r="651" spans="5:5" x14ac:dyDescent="0.2">
      <c r="E651"/>
    </row>
    <row r="652" spans="5:5" x14ac:dyDescent="0.2">
      <c r="E652"/>
    </row>
    <row r="653" spans="5:5" x14ac:dyDescent="0.2">
      <c r="E653"/>
    </row>
    <row r="654" spans="5:5" x14ac:dyDescent="0.2">
      <c r="E654"/>
    </row>
    <row r="655" spans="5:5" x14ac:dyDescent="0.2">
      <c r="E655"/>
    </row>
    <row r="656" spans="5:5" x14ac:dyDescent="0.2">
      <c r="E656"/>
    </row>
    <row r="657" spans="5:5" x14ac:dyDescent="0.2">
      <c r="E657"/>
    </row>
    <row r="658" spans="5:5" x14ac:dyDescent="0.2">
      <c r="E658"/>
    </row>
    <row r="659" spans="5:5" x14ac:dyDescent="0.2">
      <c r="E659"/>
    </row>
    <row r="660" spans="5:5" x14ac:dyDescent="0.2">
      <c r="E660"/>
    </row>
    <row r="661" spans="5:5" x14ac:dyDescent="0.2">
      <c r="E661"/>
    </row>
    <row r="662" spans="5:5" x14ac:dyDescent="0.2">
      <c r="E662"/>
    </row>
    <row r="663" spans="5:5" x14ac:dyDescent="0.2">
      <c r="E663"/>
    </row>
    <row r="664" spans="5:5" x14ac:dyDescent="0.2">
      <c r="E664"/>
    </row>
    <row r="665" spans="5:5" x14ac:dyDescent="0.2">
      <c r="E665"/>
    </row>
    <row r="666" spans="5:5" x14ac:dyDescent="0.2">
      <c r="E666"/>
    </row>
    <row r="667" spans="5:5" x14ac:dyDescent="0.2">
      <c r="E667"/>
    </row>
    <row r="668" spans="5:5" x14ac:dyDescent="0.2">
      <c r="E668"/>
    </row>
    <row r="669" spans="5:5" x14ac:dyDescent="0.2">
      <c r="E669"/>
    </row>
    <row r="670" spans="5:5" x14ac:dyDescent="0.2">
      <c r="E670"/>
    </row>
    <row r="671" spans="5:5" x14ac:dyDescent="0.2">
      <c r="E671"/>
    </row>
    <row r="672" spans="5:5" x14ac:dyDescent="0.2">
      <c r="E672"/>
    </row>
    <row r="673" spans="5:5" x14ac:dyDescent="0.2">
      <c r="E673"/>
    </row>
    <row r="674" spans="5:5" x14ac:dyDescent="0.2">
      <c r="E674"/>
    </row>
    <row r="675" spans="5:5" x14ac:dyDescent="0.2">
      <c r="E675"/>
    </row>
    <row r="676" spans="5:5" x14ac:dyDescent="0.2">
      <c r="E676"/>
    </row>
    <row r="677" spans="5:5" x14ac:dyDescent="0.2">
      <c r="E677"/>
    </row>
    <row r="678" spans="5:5" x14ac:dyDescent="0.2">
      <c r="E678"/>
    </row>
    <row r="679" spans="5:5" x14ac:dyDescent="0.2">
      <c r="E679"/>
    </row>
    <row r="680" spans="5:5" x14ac:dyDescent="0.2">
      <c r="E680"/>
    </row>
    <row r="681" spans="5:5" x14ac:dyDescent="0.2">
      <c r="E681"/>
    </row>
    <row r="682" spans="5:5" x14ac:dyDescent="0.2">
      <c r="E682"/>
    </row>
    <row r="683" spans="5:5" x14ac:dyDescent="0.2">
      <c r="E683"/>
    </row>
    <row r="684" spans="5:5" x14ac:dyDescent="0.2">
      <c r="E684"/>
    </row>
    <row r="685" spans="5:5" x14ac:dyDescent="0.2">
      <c r="E685"/>
    </row>
    <row r="686" spans="5:5" x14ac:dyDescent="0.2">
      <c r="E686"/>
    </row>
    <row r="687" spans="5:5" x14ac:dyDescent="0.2">
      <c r="E687"/>
    </row>
    <row r="688" spans="5:5" x14ac:dyDescent="0.2">
      <c r="E688"/>
    </row>
    <row r="689" spans="5:5" x14ac:dyDescent="0.2">
      <c r="E689"/>
    </row>
    <row r="690" spans="5:5" x14ac:dyDescent="0.2">
      <c r="E690"/>
    </row>
    <row r="691" spans="5:5" x14ac:dyDescent="0.2">
      <c r="E691"/>
    </row>
    <row r="692" spans="5:5" x14ac:dyDescent="0.2">
      <c r="E692"/>
    </row>
    <row r="693" spans="5:5" x14ac:dyDescent="0.2">
      <c r="E693"/>
    </row>
    <row r="694" spans="5:5" x14ac:dyDescent="0.2">
      <c r="E694"/>
    </row>
    <row r="695" spans="5:5" x14ac:dyDescent="0.2">
      <c r="E695"/>
    </row>
    <row r="696" spans="5:5" x14ac:dyDescent="0.2">
      <c r="E696"/>
    </row>
    <row r="697" spans="5:5" x14ac:dyDescent="0.2">
      <c r="E697"/>
    </row>
    <row r="698" spans="5:5" x14ac:dyDescent="0.2">
      <c r="E698"/>
    </row>
    <row r="699" spans="5:5" x14ac:dyDescent="0.2">
      <c r="E699"/>
    </row>
    <row r="700" spans="5:5" x14ac:dyDescent="0.2">
      <c r="E700"/>
    </row>
    <row r="701" spans="5:5" x14ac:dyDescent="0.2">
      <c r="E701"/>
    </row>
    <row r="702" spans="5:5" x14ac:dyDescent="0.2">
      <c r="E702"/>
    </row>
    <row r="703" spans="5:5" x14ac:dyDescent="0.2">
      <c r="E703"/>
    </row>
    <row r="704" spans="5:5" x14ac:dyDescent="0.2">
      <c r="E704"/>
    </row>
    <row r="705" spans="5:5" x14ac:dyDescent="0.2">
      <c r="E705"/>
    </row>
    <row r="706" spans="5:5" x14ac:dyDescent="0.2">
      <c r="E706"/>
    </row>
    <row r="707" spans="5:5" x14ac:dyDescent="0.2">
      <c r="E707"/>
    </row>
    <row r="708" spans="5:5" x14ac:dyDescent="0.2">
      <c r="E708"/>
    </row>
    <row r="709" spans="5:5" x14ac:dyDescent="0.2">
      <c r="E709"/>
    </row>
    <row r="710" spans="5:5" x14ac:dyDescent="0.2">
      <c r="E710"/>
    </row>
    <row r="711" spans="5:5" x14ac:dyDescent="0.2">
      <c r="E711"/>
    </row>
    <row r="712" spans="5:5" x14ac:dyDescent="0.2">
      <c r="E712"/>
    </row>
    <row r="713" spans="5:5" x14ac:dyDescent="0.2">
      <c r="E713"/>
    </row>
    <row r="714" spans="5:5" x14ac:dyDescent="0.2">
      <c r="E714"/>
    </row>
    <row r="715" spans="5:5" x14ac:dyDescent="0.2">
      <c r="E715"/>
    </row>
    <row r="716" spans="5:5" x14ac:dyDescent="0.2">
      <c r="E716"/>
    </row>
    <row r="717" spans="5:5" x14ac:dyDescent="0.2">
      <c r="E717"/>
    </row>
    <row r="718" spans="5:5" x14ac:dyDescent="0.2">
      <c r="E718"/>
    </row>
    <row r="719" spans="5:5" x14ac:dyDescent="0.2">
      <c r="E719"/>
    </row>
    <row r="720" spans="5:5" x14ac:dyDescent="0.2">
      <c r="E720"/>
    </row>
    <row r="721" spans="5:5" x14ac:dyDescent="0.2">
      <c r="E721"/>
    </row>
    <row r="722" spans="5:5" x14ac:dyDescent="0.2">
      <c r="E722"/>
    </row>
    <row r="723" spans="5:5" x14ac:dyDescent="0.2">
      <c r="E723"/>
    </row>
    <row r="724" spans="5:5" x14ac:dyDescent="0.2">
      <c r="E724"/>
    </row>
    <row r="725" spans="5:5" x14ac:dyDescent="0.2">
      <c r="E725"/>
    </row>
    <row r="726" spans="5:5" x14ac:dyDescent="0.2">
      <c r="E726"/>
    </row>
    <row r="727" spans="5:5" x14ac:dyDescent="0.2">
      <c r="E727"/>
    </row>
    <row r="728" spans="5:5" x14ac:dyDescent="0.2">
      <c r="E728"/>
    </row>
    <row r="729" spans="5:5" x14ac:dyDescent="0.2">
      <c r="E729"/>
    </row>
    <row r="730" spans="5:5" x14ac:dyDescent="0.2">
      <c r="E730"/>
    </row>
    <row r="731" spans="5:5" x14ac:dyDescent="0.2">
      <c r="E731"/>
    </row>
    <row r="732" spans="5:5" x14ac:dyDescent="0.2">
      <c r="E732"/>
    </row>
    <row r="733" spans="5:5" x14ac:dyDescent="0.2">
      <c r="E733"/>
    </row>
    <row r="734" spans="5:5" x14ac:dyDescent="0.2">
      <c r="E734"/>
    </row>
    <row r="735" spans="5:5" x14ac:dyDescent="0.2">
      <c r="E735"/>
    </row>
    <row r="736" spans="5:5" x14ac:dyDescent="0.2">
      <c r="E736"/>
    </row>
    <row r="737" spans="5:5" x14ac:dyDescent="0.2">
      <c r="E737"/>
    </row>
    <row r="738" spans="5:5" x14ac:dyDescent="0.2">
      <c r="E738"/>
    </row>
    <row r="739" spans="5:5" x14ac:dyDescent="0.2">
      <c r="E739"/>
    </row>
    <row r="740" spans="5:5" x14ac:dyDescent="0.2">
      <c r="E740"/>
    </row>
    <row r="741" spans="5:5" x14ac:dyDescent="0.2">
      <c r="E741"/>
    </row>
    <row r="742" spans="5:5" x14ac:dyDescent="0.2">
      <c r="E742"/>
    </row>
    <row r="743" spans="5:5" x14ac:dyDescent="0.2">
      <c r="E743"/>
    </row>
    <row r="744" spans="5:5" x14ac:dyDescent="0.2">
      <c r="E744"/>
    </row>
    <row r="745" spans="5:5" x14ac:dyDescent="0.2">
      <c r="E745"/>
    </row>
    <row r="746" spans="5:5" x14ac:dyDescent="0.2">
      <c r="E746"/>
    </row>
    <row r="747" spans="5:5" x14ac:dyDescent="0.2">
      <c r="E747"/>
    </row>
    <row r="748" spans="5:5" x14ac:dyDescent="0.2">
      <c r="E748"/>
    </row>
    <row r="749" spans="5:5" x14ac:dyDescent="0.2">
      <c r="E749"/>
    </row>
    <row r="750" spans="5:5" x14ac:dyDescent="0.2">
      <c r="E750"/>
    </row>
    <row r="751" spans="5:5" x14ac:dyDescent="0.2">
      <c r="E751"/>
    </row>
    <row r="752" spans="5:5" x14ac:dyDescent="0.2">
      <c r="E752"/>
    </row>
    <row r="753" spans="5:5" x14ac:dyDescent="0.2">
      <c r="E753"/>
    </row>
    <row r="754" spans="5:5" x14ac:dyDescent="0.2">
      <c r="E754"/>
    </row>
    <row r="755" spans="5:5" x14ac:dyDescent="0.2">
      <c r="E755"/>
    </row>
    <row r="756" spans="5:5" x14ac:dyDescent="0.2">
      <c r="E756"/>
    </row>
    <row r="757" spans="5:5" x14ac:dyDescent="0.2">
      <c r="E757"/>
    </row>
    <row r="758" spans="5:5" x14ac:dyDescent="0.2">
      <c r="E758"/>
    </row>
    <row r="759" spans="5:5" x14ac:dyDescent="0.2">
      <c r="E759"/>
    </row>
    <row r="760" spans="5:5" x14ac:dyDescent="0.2">
      <c r="E760"/>
    </row>
    <row r="761" spans="5:5" x14ac:dyDescent="0.2">
      <c r="E761"/>
    </row>
    <row r="762" spans="5:5" x14ac:dyDescent="0.2">
      <c r="E762"/>
    </row>
    <row r="763" spans="5:5" x14ac:dyDescent="0.2">
      <c r="E763"/>
    </row>
    <row r="764" spans="5:5" x14ac:dyDescent="0.2">
      <c r="E764"/>
    </row>
    <row r="765" spans="5:5" x14ac:dyDescent="0.2">
      <c r="E765"/>
    </row>
    <row r="766" spans="5:5" x14ac:dyDescent="0.2">
      <c r="E766"/>
    </row>
    <row r="767" spans="5:5" x14ac:dyDescent="0.2">
      <c r="E767"/>
    </row>
    <row r="768" spans="5:5" x14ac:dyDescent="0.2">
      <c r="E768"/>
    </row>
    <row r="769" spans="5:5" x14ac:dyDescent="0.2">
      <c r="E769"/>
    </row>
    <row r="770" spans="5:5" x14ac:dyDescent="0.2">
      <c r="E770"/>
    </row>
    <row r="771" spans="5:5" x14ac:dyDescent="0.2">
      <c r="E771"/>
    </row>
    <row r="772" spans="5:5" x14ac:dyDescent="0.2">
      <c r="E772"/>
    </row>
    <row r="773" spans="5:5" x14ac:dyDescent="0.2">
      <c r="E773"/>
    </row>
    <row r="774" spans="5:5" x14ac:dyDescent="0.2">
      <c r="E774"/>
    </row>
    <row r="775" spans="5:5" x14ac:dyDescent="0.2">
      <c r="E775"/>
    </row>
    <row r="776" spans="5:5" x14ac:dyDescent="0.2">
      <c r="E776"/>
    </row>
    <row r="777" spans="5:5" x14ac:dyDescent="0.2">
      <c r="E777"/>
    </row>
    <row r="778" spans="5:5" x14ac:dyDescent="0.2">
      <c r="E778"/>
    </row>
    <row r="779" spans="5:5" x14ac:dyDescent="0.2">
      <c r="E779"/>
    </row>
    <row r="780" spans="5:5" x14ac:dyDescent="0.2">
      <c r="E780"/>
    </row>
    <row r="781" spans="5:5" x14ac:dyDescent="0.2">
      <c r="E781"/>
    </row>
    <row r="782" spans="5:5" x14ac:dyDescent="0.2">
      <c r="E782"/>
    </row>
    <row r="783" spans="5:5" x14ac:dyDescent="0.2">
      <c r="E783"/>
    </row>
    <row r="784" spans="5:5" x14ac:dyDescent="0.2">
      <c r="E784"/>
    </row>
    <row r="785" spans="5:5" x14ac:dyDescent="0.2">
      <c r="E785"/>
    </row>
    <row r="786" spans="5:5" x14ac:dyDescent="0.2">
      <c r="E786"/>
    </row>
    <row r="787" spans="5:5" x14ac:dyDescent="0.2">
      <c r="E787"/>
    </row>
    <row r="788" spans="5:5" x14ac:dyDescent="0.2">
      <c r="E788"/>
    </row>
    <row r="789" spans="5:5" x14ac:dyDescent="0.2">
      <c r="E789"/>
    </row>
    <row r="790" spans="5:5" x14ac:dyDescent="0.2">
      <c r="E790"/>
    </row>
    <row r="791" spans="5:5" x14ac:dyDescent="0.2">
      <c r="E791"/>
    </row>
    <row r="792" spans="5:5" x14ac:dyDescent="0.2">
      <c r="E792"/>
    </row>
    <row r="793" spans="5:5" x14ac:dyDescent="0.2">
      <c r="E793"/>
    </row>
    <row r="794" spans="5:5" x14ac:dyDescent="0.2">
      <c r="E794"/>
    </row>
    <row r="795" spans="5:5" x14ac:dyDescent="0.2">
      <c r="E795"/>
    </row>
    <row r="796" spans="5:5" x14ac:dyDescent="0.2">
      <c r="E796"/>
    </row>
    <row r="797" spans="5:5" x14ac:dyDescent="0.2">
      <c r="E797"/>
    </row>
    <row r="798" spans="5:5" x14ac:dyDescent="0.2">
      <c r="E798"/>
    </row>
    <row r="799" spans="5:5" x14ac:dyDescent="0.2">
      <c r="E799"/>
    </row>
    <row r="800" spans="5:5" x14ac:dyDescent="0.2">
      <c r="E800"/>
    </row>
    <row r="801" spans="5:5" x14ac:dyDescent="0.2">
      <c r="E801"/>
    </row>
    <row r="802" spans="5:5" x14ac:dyDescent="0.2">
      <c r="E802"/>
    </row>
    <row r="803" spans="5:5" x14ac:dyDescent="0.2">
      <c r="E803"/>
    </row>
    <row r="804" spans="5:5" x14ac:dyDescent="0.2">
      <c r="E804"/>
    </row>
    <row r="805" spans="5:5" x14ac:dyDescent="0.2">
      <c r="E805"/>
    </row>
    <row r="806" spans="5:5" x14ac:dyDescent="0.2">
      <c r="E806"/>
    </row>
    <row r="807" spans="5:5" x14ac:dyDescent="0.2">
      <c r="E807"/>
    </row>
    <row r="808" spans="5:5" x14ac:dyDescent="0.2">
      <c r="E808"/>
    </row>
    <row r="809" spans="5:5" x14ac:dyDescent="0.2">
      <c r="E809"/>
    </row>
    <row r="810" spans="5:5" x14ac:dyDescent="0.2">
      <c r="E810"/>
    </row>
    <row r="811" spans="5:5" x14ac:dyDescent="0.2">
      <c r="E811"/>
    </row>
    <row r="812" spans="5:5" x14ac:dyDescent="0.2">
      <c r="E812"/>
    </row>
    <row r="813" spans="5:5" x14ac:dyDescent="0.2">
      <c r="E813"/>
    </row>
    <row r="814" spans="5:5" x14ac:dyDescent="0.2">
      <c r="E814"/>
    </row>
    <row r="815" spans="5:5" x14ac:dyDescent="0.2">
      <c r="E815"/>
    </row>
    <row r="816" spans="5:5" x14ac:dyDescent="0.2">
      <c r="E816"/>
    </row>
    <row r="817" spans="5:5" x14ac:dyDescent="0.2">
      <c r="E817"/>
    </row>
    <row r="818" spans="5:5" x14ac:dyDescent="0.2">
      <c r="E818"/>
    </row>
    <row r="819" spans="5:5" x14ac:dyDescent="0.2">
      <c r="E819"/>
    </row>
    <row r="820" spans="5:5" x14ac:dyDescent="0.2">
      <c r="E820"/>
    </row>
    <row r="821" spans="5:5" x14ac:dyDescent="0.2">
      <c r="E821"/>
    </row>
    <row r="822" spans="5:5" x14ac:dyDescent="0.2">
      <c r="E822"/>
    </row>
    <row r="823" spans="5:5" x14ac:dyDescent="0.2">
      <c r="E823"/>
    </row>
    <row r="824" spans="5:5" x14ac:dyDescent="0.2">
      <c r="E824"/>
    </row>
    <row r="825" spans="5:5" x14ac:dyDescent="0.2">
      <c r="E825"/>
    </row>
    <row r="826" spans="5:5" x14ac:dyDescent="0.2">
      <c r="E826"/>
    </row>
    <row r="827" spans="5:5" x14ac:dyDescent="0.2">
      <c r="E827"/>
    </row>
    <row r="828" spans="5:5" x14ac:dyDescent="0.2">
      <c r="E828"/>
    </row>
    <row r="829" spans="5:5" x14ac:dyDescent="0.2">
      <c r="E829"/>
    </row>
    <row r="830" spans="5:5" x14ac:dyDescent="0.2">
      <c r="E830"/>
    </row>
    <row r="831" spans="5:5" x14ac:dyDescent="0.2">
      <c r="E831"/>
    </row>
    <row r="832" spans="5:5" x14ac:dyDescent="0.2">
      <c r="E832"/>
    </row>
    <row r="833" spans="5:5" x14ac:dyDescent="0.2">
      <c r="E833"/>
    </row>
    <row r="834" spans="5:5" x14ac:dyDescent="0.2">
      <c r="E834"/>
    </row>
    <row r="835" spans="5:5" x14ac:dyDescent="0.2">
      <c r="E835"/>
    </row>
    <row r="836" spans="5:5" x14ac:dyDescent="0.2">
      <c r="E836"/>
    </row>
    <row r="837" spans="5:5" x14ac:dyDescent="0.2">
      <c r="E837"/>
    </row>
    <row r="838" spans="5:5" x14ac:dyDescent="0.2">
      <c r="E838"/>
    </row>
    <row r="839" spans="5:5" x14ac:dyDescent="0.2">
      <c r="E839"/>
    </row>
    <row r="840" spans="5:5" x14ac:dyDescent="0.2">
      <c r="E840"/>
    </row>
    <row r="841" spans="5:5" x14ac:dyDescent="0.2">
      <c r="E841"/>
    </row>
    <row r="842" spans="5:5" x14ac:dyDescent="0.2">
      <c r="E842"/>
    </row>
    <row r="843" spans="5:5" x14ac:dyDescent="0.2">
      <c r="E843"/>
    </row>
    <row r="844" spans="5:5" x14ac:dyDescent="0.2">
      <c r="E844"/>
    </row>
    <row r="845" spans="5:5" x14ac:dyDescent="0.2">
      <c r="E845"/>
    </row>
    <row r="846" spans="5:5" x14ac:dyDescent="0.2">
      <c r="E846"/>
    </row>
    <row r="847" spans="5:5" x14ac:dyDescent="0.2">
      <c r="E847"/>
    </row>
    <row r="848" spans="5:5" x14ac:dyDescent="0.2">
      <c r="E848"/>
    </row>
    <row r="849" spans="5:5" x14ac:dyDescent="0.2">
      <c r="E849"/>
    </row>
    <row r="850" spans="5:5" x14ac:dyDescent="0.2">
      <c r="E850"/>
    </row>
    <row r="851" spans="5:5" x14ac:dyDescent="0.2">
      <c r="E851"/>
    </row>
    <row r="852" spans="5:5" x14ac:dyDescent="0.2">
      <c r="E852"/>
    </row>
    <row r="853" spans="5:5" x14ac:dyDescent="0.2">
      <c r="E853"/>
    </row>
    <row r="854" spans="5:5" x14ac:dyDescent="0.2">
      <c r="E854"/>
    </row>
    <row r="855" spans="5:5" x14ac:dyDescent="0.2">
      <c r="E855"/>
    </row>
    <row r="856" spans="5:5" x14ac:dyDescent="0.2">
      <c r="E856"/>
    </row>
    <row r="857" spans="5:5" x14ac:dyDescent="0.2">
      <c r="E857"/>
    </row>
    <row r="858" spans="5:5" x14ac:dyDescent="0.2">
      <c r="E858"/>
    </row>
    <row r="859" spans="5:5" x14ac:dyDescent="0.2">
      <c r="E859"/>
    </row>
    <row r="860" spans="5:5" x14ac:dyDescent="0.2">
      <c r="E860"/>
    </row>
    <row r="861" spans="5:5" x14ac:dyDescent="0.2">
      <c r="E861"/>
    </row>
    <row r="862" spans="5:5" x14ac:dyDescent="0.2">
      <c r="E862"/>
    </row>
    <row r="863" spans="5:5" x14ac:dyDescent="0.2">
      <c r="E863"/>
    </row>
    <row r="864" spans="5:5" x14ac:dyDescent="0.2">
      <c r="E864"/>
    </row>
    <row r="865" spans="5:5" x14ac:dyDescent="0.2">
      <c r="E865"/>
    </row>
    <row r="866" spans="5:5" x14ac:dyDescent="0.2">
      <c r="E866"/>
    </row>
    <row r="867" spans="5:5" x14ac:dyDescent="0.2">
      <c r="E867"/>
    </row>
    <row r="868" spans="5:5" x14ac:dyDescent="0.2">
      <c r="E868"/>
    </row>
    <row r="869" spans="5:5" x14ac:dyDescent="0.2">
      <c r="E869"/>
    </row>
    <row r="870" spans="5:5" x14ac:dyDescent="0.2">
      <c r="E870"/>
    </row>
    <row r="871" spans="5:5" x14ac:dyDescent="0.2">
      <c r="E871"/>
    </row>
    <row r="872" spans="5:5" x14ac:dyDescent="0.2">
      <c r="E872"/>
    </row>
    <row r="873" spans="5:5" x14ac:dyDescent="0.2">
      <c r="E873"/>
    </row>
    <row r="874" spans="5:5" x14ac:dyDescent="0.2">
      <c r="E874"/>
    </row>
    <row r="875" spans="5:5" x14ac:dyDescent="0.2">
      <c r="E875"/>
    </row>
    <row r="876" spans="5:5" x14ac:dyDescent="0.2">
      <c r="E876"/>
    </row>
    <row r="877" spans="5:5" x14ac:dyDescent="0.2">
      <c r="E877"/>
    </row>
    <row r="878" spans="5:5" x14ac:dyDescent="0.2">
      <c r="E878"/>
    </row>
    <row r="879" spans="5:5" x14ac:dyDescent="0.2">
      <c r="E879"/>
    </row>
    <row r="880" spans="5:5" x14ac:dyDescent="0.2">
      <c r="E880"/>
    </row>
    <row r="881" spans="5:5" x14ac:dyDescent="0.2">
      <c r="E881"/>
    </row>
    <row r="882" spans="5:5" x14ac:dyDescent="0.2">
      <c r="E882"/>
    </row>
    <row r="883" spans="5:5" x14ac:dyDescent="0.2">
      <c r="E883"/>
    </row>
    <row r="884" spans="5:5" x14ac:dyDescent="0.2">
      <c r="E884"/>
    </row>
    <row r="885" spans="5:5" x14ac:dyDescent="0.2">
      <c r="E885"/>
    </row>
    <row r="886" spans="5:5" x14ac:dyDescent="0.2">
      <c r="E886"/>
    </row>
    <row r="887" spans="5:5" x14ac:dyDescent="0.2">
      <c r="E887"/>
    </row>
    <row r="888" spans="5:5" x14ac:dyDescent="0.2">
      <c r="E888"/>
    </row>
    <row r="889" spans="5:5" x14ac:dyDescent="0.2">
      <c r="E889"/>
    </row>
    <row r="890" spans="5:5" x14ac:dyDescent="0.2">
      <c r="E890"/>
    </row>
    <row r="891" spans="5:5" x14ac:dyDescent="0.2">
      <c r="E891"/>
    </row>
    <row r="892" spans="5:5" x14ac:dyDescent="0.2">
      <c r="E892"/>
    </row>
    <row r="893" spans="5:5" x14ac:dyDescent="0.2">
      <c r="E893"/>
    </row>
    <row r="894" spans="5:5" x14ac:dyDescent="0.2">
      <c r="E894"/>
    </row>
    <row r="895" spans="5:5" x14ac:dyDescent="0.2">
      <c r="E895"/>
    </row>
    <row r="896" spans="5:5" x14ac:dyDescent="0.2">
      <c r="E896"/>
    </row>
    <row r="897" spans="5:5" x14ac:dyDescent="0.2">
      <c r="E897"/>
    </row>
    <row r="898" spans="5:5" x14ac:dyDescent="0.2">
      <c r="E898"/>
    </row>
    <row r="899" spans="5:5" x14ac:dyDescent="0.2">
      <c r="E899"/>
    </row>
    <row r="900" spans="5:5" x14ac:dyDescent="0.2">
      <c r="E900"/>
    </row>
    <row r="901" spans="5:5" x14ac:dyDescent="0.2">
      <c r="E901"/>
    </row>
    <row r="902" spans="5:5" x14ac:dyDescent="0.2">
      <c r="E902"/>
    </row>
    <row r="903" spans="5:5" x14ac:dyDescent="0.2">
      <c r="E903"/>
    </row>
    <row r="904" spans="5:5" x14ac:dyDescent="0.2">
      <c r="E904"/>
    </row>
    <row r="905" spans="5:5" x14ac:dyDescent="0.2">
      <c r="E905"/>
    </row>
    <row r="906" spans="5:5" x14ac:dyDescent="0.2">
      <c r="E906"/>
    </row>
    <row r="907" spans="5:5" x14ac:dyDescent="0.2">
      <c r="E907"/>
    </row>
    <row r="908" spans="5:5" x14ac:dyDescent="0.2">
      <c r="E908"/>
    </row>
    <row r="909" spans="5:5" x14ac:dyDescent="0.2">
      <c r="E909"/>
    </row>
    <row r="910" spans="5:5" x14ac:dyDescent="0.2">
      <c r="E910"/>
    </row>
    <row r="911" spans="5:5" x14ac:dyDescent="0.2">
      <c r="E9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8CEE-AE29-E342-97A3-D2BE872DDAF9}">
  <dimension ref="A1:K911"/>
  <sheetViews>
    <sheetView workbookViewId="0">
      <selection activeCell="C69" sqref="C69"/>
    </sheetView>
  </sheetViews>
  <sheetFormatPr baseColWidth="10" defaultRowHeight="15" x14ac:dyDescent="0.2"/>
  <cols>
    <col min="1" max="1" width="24.1640625" style="19" customWidth="1"/>
    <col min="2" max="2" width="29" bestFit="1" customWidth="1"/>
    <col min="3" max="3" width="22.83203125" bestFit="1" customWidth="1"/>
    <col min="4" max="4" width="11.5" bestFit="1" customWidth="1"/>
    <col min="5" max="5" width="11.83203125" style="18" bestFit="1" customWidth="1"/>
    <col min="6" max="6" width="20.1640625" bestFit="1" customWidth="1"/>
    <col min="7" max="7" width="23.33203125" bestFit="1" customWidth="1"/>
    <col min="8" max="8" width="10.1640625" style="8" bestFit="1" customWidth="1"/>
    <col min="9" max="9" width="11.1640625" style="9" bestFit="1" customWidth="1"/>
    <col min="10" max="10" width="9.83203125" style="9" bestFit="1" customWidth="1"/>
    <col min="11" max="11" width="10" style="9" bestFit="1" customWidth="1"/>
  </cols>
  <sheetData>
    <row r="1" spans="1:11" x14ac:dyDescent="0.2">
      <c r="B1" s="6" t="s">
        <v>3</v>
      </c>
      <c r="C1" t="s">
        <v>53</v>
      </c>
    </row>
    <row r="2" spans="1:11" x14ac:dyDescent="0.2">
      <c r="A2" s="15" t="s">
        <v>1108</v>
      </c>
      <c r="B2" s="6" t="s">
        <v>981</v>
      </c>
      <c r="C2" t="s">
        <v>983</v>
      </c>
    </row>
    <row r="3" spans="1:11" x14ac:dyDescent="0.2">
      <c r="A3" s="16" t="s">
        <v>1109</v>
      </c>
      <c r="B3" s="6" t="s">
        <v>982</v>
      </c>
      <c r="C3" t="s">
        <v>983</v>
      </c>
    </row>
    <row r="4" spans="1:11" x14ac:dyDescent="0.2">
      <c r="A4" s="17" t="s">
        <v>996</v>
      </c>
    </row>
    <row r="5" spans="1:11" x14ac:dyDescent="0.2">
      <c r="A5" s="19" t="s">
        <v>997</v>
      </c>
      <c r="B5" s="6" t="s">
        <v>984</v>
      </c>
      <c r="C5" t="s">
        <v>986</v>
      </c>
      <c r="D5" t="s">
        <v>987</v>
      </c>
      <c r="E5" s="18" t="s">
        <v>988</v>
      </c>
      <c r="F5" t="s">
        <v>989</v>
      </c>
      <c r="G5" t="s">
        <v>990</v>
      </c>
      <c r="H5" s="8" t="s">
        <v>991</v>
      </c>
      <c r="I5" s="9" t="s">
        <v>992</v>
      </c>
      <c r="J5" s="9" t="s">
        <v>993</v>
      </c>
      <c r="K5" s="9" t="s">
        <v>994</v>
      </c>
    </row>
    <row r="6" spans="1:11" x14ac:dyDescent="0.2">
      <c r="B6" s="12" t="s">
        <v>109</v>
      </c>
      <c r="C6">
        <v>135</v>
      </c>
      <c r="D6">
        <v>9</v>
      </c>
      <c r="E6" s="18">
        <v>6.2799999999999994</v>
      </c>
      <c r="F6">
        <v>7.83</v>
      </c>
      <c r="G6">
        <v>1</v>
      </c>
      <c r="H6" s="8">
        <v>0.69777777777777772</v>
      </c>
      <c r="I6" s="9">
        <v>0.80204342273307783</v>
      </c>
      <c r="J6" s="9">
        <v>6.6666666666666666E-2</v>
      </c>
      <c r="K6" s="9">
        <v>0.1111111111111111</v>
      </c>
    </row>
    <row r="7" spans="1:11" x14ac:dyDescent="0.2">
      <c r="B7" s="7" t="s">
        <v>105</v>
      </c>
      <c r="C7">
        <v>83</v>
      </c>
      <c r="D7">
        <v>6</v>
      </c>
      <c r="E7" s="18">
        <v>5.5200000000000005</v>
      </c>
      <c r="F7">
        <v>0</v>
      </c>
      <c r="G7">
        <v>0</v>
      </c>
      <c r="H7" s="8">
        <v>0.92</v>
      </c>
      <c r="I7" s="9" t="e">
        <v>#DIV/0!</v>
      </c>
      <c r="J7" s="9">
        <v>7.2289156626506021E-2</v>
      </c>
      <c r="K7" s="9">
        <v>0</v>
      </c>
    </row>
    <row r="8" spans="1:11" x14ac:dyDescent="0.2">
      <c r="B8" s="7" t="s">
        <v>111</v>
      </c>
      <c r="C8">
        <v>83</v>
      </c>
      <c r="D8">
        <v>9</v>
      </c>
      <c r="E8" s="18">
        <v>7.1</v>
      </c>
      <c r="F8">
        <v>0</v>
      </c>
      <c r="G8">
        <v>0</v>
      </c>
      <c r="H8" s="8">
        <v>0.78888888888888886</v>
      </c>
      <c r="I8" s="9" t="e">
        <v>#DIV/0!</v>
      </c>
      <c r="J8" s="9">
        <v>0.10843373493975904</v>
      </c>
      <c r="K8" s="9">
        <v>0</v>
      </c>
    </row>
    <row r="9" spans="1:11" x14ac:dyDescent="0.2">
      <c r="A9" s="11" t="s">
        <v>1003</v>
      </c>
      <c r="B9" s="13" t="s">
        <v>110</v>
      </c>
      <c r="C9">
        <v>56</v>
      </c>
      <c r="D9">
        <v>4</v>
      </c>
      <c r="E9" s="18">
        <v>2.4</v>
      </c>
      <c r="F9">
        <v>0</v>
      </c>
      <c r="G9">
        <v>0</v>
      </c>
      <c r="H9" s="8">
        <v>0.6</v>
      </c>
      <c r="I9" s="9" t="e">
        <v>#DIV/0!</v>
      </c>
      <c r="J9" s="9">
        <v>7.1428571428571425E-2</v>
      </c>
      <c r="K9" s="9">
        <v>0</v>
      </c>
    </row>
    <row r="10" spans="1:11" x14ac:dyDescent="0.2">
      <c r="A10" s="11" t="s">
        <v>1004</v>
      </c>
      <c r="B10" s="13" t="s">
        <v>55</v>
      </c>
      <c r="C10">
        <v>51</v>
      </c>
      <c r="D10">
        <v>1</v>
      </c>
      <c r="E10" s="18">
        <v>1.18</v>
      </c>
      <c r="F10">
        <v>0</v>
      </c>
      <c r="G10">
        <v>0</v>
      </c>
      <c r="H10" s="8">
        <v>1.18</v>
      </c>
      <c r="I10" s="9" t="e">
        <v>#DIV/0!</v>
      </c>
      <c r="J10" s="9">
        <v>1.9607843137254902E-2</v>
      </c>
      <c r="K10" s="9">
        <v>0</v>
      </c>
    </row>
    <row r="11" spans="1:11" x14ac:dyDescent="0.2">
      <c r="B11" s="7" t="s">
        <v>108</v>
      </c>
      <c r="C11">
        <v>49</v>
      </c>
      <c r="D11">
        <v>5</v>
      </c>
      <c r="E11" s="18">
        <v>2.8000000000000003</v>
      </c>
      <c r="F11">
        <v>0</v>
      </c>
      <c r="G11">
        <v>0</v>
      </c>
      <c r="H11" s="8">
        <v>0.56000000000000005</v>
      </c>
      <c r="I11" s="9" t="e">
        <v>#DIV/0!</v>
      </c>
      <c r="J11" s="9">
        <v>0.10204081632653061</v>
      </c>
      <c r="K11" s="9">
        <v>0</v>
      </c>
    </row>
    <row r="12" spans="1:11" x14ac:dyDescent="0.2">
      <c r="B12" s="12" t="s">
        <v>431</v>
      </c>
      <c r="C12">
        <v>38</v>
      </c>
      <c r="D12">
        <v>3</v>
      </c>
      <c r="E12" s="18">
        <v>2.95</v>
      </c>
      <c r="F12">
        <v>8.93</v>
      </c>
      <c r="G12">
        <v>1</v>
      </c>
      <c r="H12" s="8">
        <v>0.98333333333333339</v>
      </c>
      <c r="I12" s="9">
        <v>0.33034714445688695</v>
      </c>
      <c r="J12" s="9">
        <v>7.8947368421052627E-2</v>
      </c>
      <c r="K12" s="9">
        <v>0.33333333333333331</v>
      </c>
    </row>
    <row r="13" spans="1:11" x14ac:dyDescent="0.2">
      <c r="B13" s="7" t="s">
        <v>613</v>
      </c>
      <c r="C13">
        <v>32</v>
      </c>
      <c r="D13">
        <v>1</v>
      </c>
      <c r="E13" s="18">
        <v>0.6</v>
      </c>
      <c r="F13">
        <v>0</v>
      </c>
      <c r="G13">
        <v>0</v>
      </c>
      <c r="H13" s="8">
        <v>0.6</v>
      </c>
      <c r="I13" s="9" t="e">
        <v>#DIV/0!</v>
      </c>
      <c r="J13" s="9">
        <v>3.125E-2</v>
      </c>
      <c r="K13" s="9">
        <v>0</v>
      </c>
    </row>
    <row r="14" spans="1:11" x14ac:dyDescent="0.2">
      <c r="B14" s="7" t="s">
        <v>97</v>
      </c>
      <c r="C14">
        <v>27</v>
      </c>
      <c r="D14">
        <v>3</v>
      </c>
      <c r="E14" s="18">
        <v>2.8000000000000003</v>
      </c>
      <c r="F14">
        <v>0</v>
      </c>
      <c r="G14">
        <v>0</v>
      </c>
      <c r="H14" s="8">
        <v>0.93333333333333346</v>
      </c>
      <c r="I14" s="9" t="e">
        <v>#DIV/0!</v>
      </c>
      <c r="J14" s="9">
        <v>0.1111111111111111</v>
      </c>
      <c r="K14" s="9">
        <v>0</v>
      </c>
    </row>
    <row r="15" spans="1:11" x14ac:dyDescent="0.2">
      <c r="B15" s="7" t="s">
        <v>233</v>
      </c>
      <c r="C15">
        <v>20</v>
      </c>
      <c r="D15">
        <v>7</v>
      </c>
      <c r="E15" s="18">
        <v>6.120000000000001</v>
      </c>
      <c r="F15">
        <v>0</v>
      </c>
      <c r="G15">
        <v>0</v>
      </c>
      <c r="H15" s="8">
        <v>0.87428571428571444</v>
      </c>
      <c r="I15" s="9" t="e">
        <v>#DIV/0!</v>
      </c>
      <c r="J15" s="9">
        <v>0.35</v>
      </c>
      <c r="K15" s="9">
        <v>0</v>
      </c>
    </row>
    <row r="16" spans="1:11" x14ac:dyDescent="0.2">
      <c r="A16" s="11" t="s">
        <v>1000</v>
      </c>
      <c r="B16" s="13" t="s">
        <v>114</v>
      </c>
      <c r="C16">
        <v>14</v>
      </c>
      <c r="D16">
        <v>1</v>
      </c>
      <c r="E16" s="18">
        <v>0.72</v>
      </c>
      <c r="F16">
        <v>0</v>
      </c>
      <c r="G16">
        <v>0</v>
      </c>
      <c r="H16" s="8">
        <v>0.72</v>
      </c>
      <c r="I16" s="9" t="e">
        <v>#DIV/0!</v>
      </c>
      <c r="J16" s="9">
        <v>7.1428571428571425E-2</v>
      </c>
      <c r="K16" s="9">
        <v>0</v>
      </c>
    </row>
    <row r="17" spans="1:11" x14ac:dyDescent="0.2">
      <c r="A17" s="11" t="s">
        <v>1010</v>
      </c>
      <c r="B17" s="13" t="s">
        <v>511</v>
      </c>
      <c r="C17">
        <v>14</v>
      </c>
      <c r="D17">
        <v>1</v>
      </c>
      <c r="E17" s="18">
        <v>1.26</v>
      </c>
      <c r="F17">
        <v>0</v>
      </c>
      <c r="G17">
        <v>0</v>
      </c>
      <c r="H17" s="8">
        <v>1.26</v>
      </c>
      <c r="I17" s="9" t="e">
        <v>#DIV/0!</v>
      </c>
      <c r="J17" s="9">
        <v>7.1428571428571425E-2</v>
      </c>
      <c r="K17" s="9">
        <v>0</v>
      </c>
    </row>
    <row r="18" spans="1:11" x14ac:dyDescent="0.2">
      <c r="A18" s="11" t="s">
        <v>1013</v>
      </c>
      <c r="B18" s="13" t="s">
        <v>435</v>
      </c>
      <c r="C18">
        <v>9</v>
      </c>
      <c r="D18">
        <v>1</v>
      </c>
      <c r="E18" s="18">
        <v>1.37</v>
      </c>
      <c r="F18">
        <v>0</v>
      </c>
      <c r="G18">
        <v>0</v>
      </c>
      <c r="H18" s="8">
        <v>1.37</v>
      </c>
      <c r="I18" s="9" t="e">
        <v>#DIV/0!</v>
      </c>
      <c r="J18" s="9">
        <v>0.1111111111111111</v>
      </c>
      <c r="K18" s="9">
        <v>0</v>
      </c>
    </row>
    <row r="19" spans="1:11" x14ac:dyDescent="0.2">
      <c r="B19" s="12" t="s">
        <v>177</v>
      </c>
      <c r="C19">
        <v>9</v>
      </c>
      <c r="D19">
        <v>2</v>
      </c>
      <c r="E19" s="18">
        <v>2.0700000000000003</v>
      </c>
      <c r="F19">
        <v>7.83</v>
      </c>
      <c r="G19">
        <v>1</v>
      </c>
      <c r="H19" s="8">
        <v>1.0350000000000001</v>
      </c>
      <c r="I19" s="9">
        <v>0.26436781609195403</v>
      </c>
      <c r="J19" s="9">
        <v>0.22222222222222221</v>
      </c>
      <c r="K19" s="9">
        <v>0.5</v>
      </c>
    </row>
    <row r="20" spans="1:11" x14ac:dyDescent="0.2">
      <c r="A20" s="11" t="s">
        <v>1015</v>
      </c>
      <c r="B20" s="13" t="s">
        <v>60</v>
      </c>
      <c r="C20">
        <v>8</v>
      </c>
      <c r="D20">
        <v>1</v>
      </c>
      <c r="E20" s="18">
        <v>0.99</v>
      </c>
      <c r="F20">
        <v>0</v>
      </c>
      <c r="G20">
        <v>0</v>
      </c>
      <c r="H20" s="8">
        <v>0.99</v>
      </c>
      <c r="I20" s="9" t="e">
        <v>#DIV/0!</v>
      </c>
      <c r="J20" s="9">
        <v>0.125</v>
      </c>
      <c r="K20" s="9">
        <v>0</v>
      </c>
    </row>
    <row r="21" spans="1:11" x14ac:dyDescent="0.2">
      <c r="B21" s="7" t="s">
        <v>173</v>
      </c>
      <c r="C21">
        <v>8</v>
      </c>
      <c r="D21">
        <v>3</v>
      </c>
      <c r="E21" s="18">
        <v>2.44</v>
      </c>
      <c r="F21">
        <v>0</v>
      </c>
      <c r="G21">
        <v>0</v>
      </c>
      <c r="H21" s="8">
        <v>0.81333333333333335</v>
      </c>
      <c r="I21" s="9" t="e">
        <v>#DIV/0!</v>
      </c>
      <c r="J21" s="9">
        <v>0.375</v>
      </c>
      <c r="K21" s="9">
        <v>0</v>
      </c>
    </row>
    <row r="22" spans="1:11" x14ac:dyDescent="0.2">
      <c r="B22" s="7" t="s">
        <v>334</v>
      </c>
      <c r="C22">
        <v>7</v>
      </c>
      <c r="D22">
        <v>1</v>
      </c>
      <c r="E22" s="18">
        <v>0.57999999999999996</v>
      </c>
      <c r="F22">
        <v>0</v>
      </c>
      <c r="G22">
        <v>0</v>
      </c>
      <c r="H22" s="8">
        <v>0.57999999999999996</v>
      </c>
      <c r="I22" s="9" t="e">
        <v>#DIV/0!</v>
      </c>
      <c r="J22" s="9">
        <v>0.14285714285714285</v>
      </c>
      <c r="K22" s="9">
        <v>0</v>
      </c>
    </row>
    <row r="23" spans="1:11" x14ac:dyDescent="0.2">
      <c r="B23" s="7" t="s">
        <v>505</v>
      </c>
      <c r="C23">
        <v>6</v>
      </c>
      <c r="D23">
        <v>1</v>
      </c>
      <c r="E23" s="18">
        <v>1.35</v>
      </c>
      <c r="F23">
        <v>0</v>
      </c>
      <c r="G23">
        <v>0</v>
      </c>
      <c r="H23" s="8">
        <v>1.35</v>
      </c>
      <c r="I23" s="9" t="e">
        <v>#DIV/0!</v>
      </c>
      <c r="J23" s="9">
        <v>0.16666666666666666</v>
      </c>
      <c r="K23" s="9">
        <v>0</v>
      </c>
    </row>
    <row r="24" spans="1:11" x14ac:dyDescent="0.2">
      <c r="B24" s="7" t="s">
        <v>228</v>
      </c>
      <c r="C24">
        <v>6</v>
      </c>
      <c r="D24">
        <v>3</v>
      </c>
      <c r="E24" s="18">
        <v>1.85</v>
      </c>
      <c r="F24">
        <v>0</v>
      </c>
      <c r="G24">
        <v>0</v>
      </c>
      <c r="H24" s="8">
        <v>0.6166666666666667</v>
      </c>
      <c r="I24" s="9" t="e">
        <v>#DIV/0!</v>
      </c>
      <c r="J24" s="9">
        <v>0.5</v>
      </c>
      <c r="K24" s="9">
        <v>0</v>
      </c>
    </row>
    <row r="25" spans="1:11" x14ac:dyDescent="0.2">
      <c r="A25" s="11" t="s">
        <v>1024</v>
      </c>
      <c r="B25" s="13" t="s">
        <v>638</v>
      </c>
      <c r="C25">
        <v>4</v>
      </c>
      <c r="D25">
        <v>2</v>
      </c>
      <c r="E25" s="18">
        <v>1.98</v>
      </c>
      <c r="F25">
        <v>0</v>
      </c>
      <c r="G25">
        <v>0</v>
      </c>
      <c r="H25" s="8">
        <v>0.99</v>
      </c>
      <c r="I25" s="9" t="e">
        <v>#DIV/0!</v>
      </c>
      <c r="J25" s="9">
        <v>0.5</v>
      </c>
      <c r="K25" s="9">
        <v>0</v>
      </c>
    </row>
    <row r="26" spans="1:11" x14ac:dyDescent="0.2">
      <c r="B26" s="7" t="s">
        <v>477</v>
      </c>
      <c r="C26">
        <v>4</v>
      </c>
      <c r="D26">
        <v>2</v>
      </c>
      <c r="E26" s="18">
        <v>2.72</v>
      </c>
      <c r="F26">
        <v>0</v>
      </c>
      <c r="G26">
        <v>0</v>
      </c>
      <c r="H26" s="8">
        <v>1.36</v>
      </c>
      <c r="I26" s="9" t="e">
        <v>#DIV/0!</v>
      </c>
      <c r="J26" s="9">
        <v>0.5</v>
      </c>
      <c r="K26" s="9">
        <v>0</v>
      </c>
    </row>
    <row r="27" spans="1:11" x14ac:dyDescent="0.2">
      <c r="B27" s="7" t="s">
        <v>478</v>
      </c>
      <c r="C27">
        <v>3</v>
      </c>
      <c r="D27">
        <v>1</v>
      </c>
      <c r="E27" s="18">
        <v>1.37</v>
      </c>
      <c r="F27">
        <v>0</v>
      </c>
      <c r="G27">
        <v>0</v>
      </c>
      <c r="H27" s="8">
        <v>1.37</v>
      </c>
      <c r="I27" s="9" t="e">
        <v>#DIV/0!</v>
      </c>
      <c r="J27" s="9">
        <v>0.33333333333333331</v>
      </c>
      <c r="K27" s="9">
        <v>0</v>
      </c>
    </row>
    <row r="28" spans="1:11" x14ac:dyDescent="0.2">
      <c r="A28" s="11" t="s">
        <v>1028</v>
      </c>
      <c r="B28" s="13" t="s">
        <v>616</v>
      </c>
      <c r="C28">
        <v>3</v>
      </c>
      <c r="D28">
        <v>1</v>
      </c>
      <c r="E28" s="18">
        <v>0.44</v>
      </c>
      <c r="F28">
        <v>0</v>
      </c>
      <c r="G28">
        <v>0</v>
      </c>
      <c r="H28" s="8">
        <v>0.44</v>
      </c>
      <c r="I28" s="9" t="e">
        <v>#DIV/0!</v>
      </c>
      <c r="J28" s="9">
        <v>0.33333333333333331</v>
      </c>
      <c r="K28" s="9">
        <v>0</v>
      </c>
    </row>
    <row r="29" spans="1:11" x14ac:dyDescent="0.2">
      <c r="B29" s="7" t="s">
        <v>237</v>
      </c>
      <c r="C29">
        <v>3</v>
      </c>
      <c r="D29">
        <v>1</v>
      </c>
      <c r="E29" s="18">
        <v>0.99</v>
      </c>
      <c r="F29">
        <v>0</v>
      </c>
      <c r="G29">
        <v>0</v>
      </c>
      <c r="H29" s="8">
        <v>0.99</v>
      </c>
      <c r="I29" s="9" t="e">
        <v>#DIV/0!</v>
      </c>
      <c r="J29" s="9">
        <v>0.33333333333333331</v>
      </c>
      <c r="K29" s="9">
        <v>0</v>
      </c>
    </row>
    <row r="30" spans="1:11" x14ac:dyDescent="0.2">
      <c r="B30" s="7" t="s">
        <v>719</v>
      </c>
      <c r="C30">
        <v>3</v>
      </c>
      <c r="D30">
        <v>1</v>
      </c>
      <c r="E30" s="18">
        <v>0.6</v>
      </c>
      <c r="F30">
        <v>0</v>
      </c>
      <c r="G30">
        <v>0</v>
      </c>
      <c r="H30" s="8">
        <v>0.6</v>
      </c>
      <c r="I30" s="9" t="e">
        <v>#DIV/0!</v>
      </c>
      <c r="J30" s="9">
        <v>0.33333333333333331</v>
      </c>
      <c r="K30" s="9">
        <v>0</v>
      </c>
    </row>
    <row r="31" spans="1:11" x14ac:dyDescent="0.2">
      <c r="A31" s="11" t="s">
        <v>1027</v>
      </c>
      <c r="B31" s="13" t="s">
        <v>717</v>
      </c>
      <c r="C31">
        <v>3</v>
      </c>
      <c r="D31">
        <v>1</v>
      </c>
      <c r="E31" s="18">
        <v>0.99</v>
      </c>
      <c r="F31">
        <v>8.93</v>
      </c>
      <c r="G31">
        <v>1</v>
      </c>
      <c r="H31" s="8">
        <v>0.99</v>
      </c>
      <c r="I31" s="9">
        <v>0.11086226203807391</v>
      </c>
      <c r="J31" s="9">
        <v>0.33333333333333331</v>
      </c>
      <c r="K31" s="9">
        <v>1</v>
      </c>
    </row>
    <row r="32" spans="1:11" x14ac:dyDescent="0.2">
      <c r="B32" s="7" t="s">
        <v>476</v>
      </c>
      <c r="C32">
        <v>3</v>
      </c>
      <c r="D32">
        <v>1</v>
      </c>
      <c r="E32" s="18">
        <v>0.99</v>
      </c>
      <c r="F32">
        <v>0</v>
      </c>
      <c r="G32">
        <v>0</v>
      </c>
      <c r="H32" s="8">
        <v>0.99</v>
      </c>
      <c r="I32" s="9" t="e">
        <v>#DIV/0!</v>
      </c>
      <c r="J32" s="9">
        <v>0.33333333333333331</v>
      </c>
      <c r="K32" s="9">
        <v>0</v>
      </c>
    </row>
    <row r="33" spans="1:11" x14ac:dyDescent="0.2">
      <c r="A33" s="11" t="s">
        <v>1028</v>
      </c>
      <c r="B33" s="13" t="s">
        <v>725</v>
      </c>
      <c r="C33">
        <v>3</v>
      </c>
      <c r="D33">
        <v>1</v>
      </c>
      <c r="E33" s="18">
        <v>0.95</v>
      </c>
      <c r="F33">
        <v>0</v>
      </c>
      <c r="G33">
        <v>0</v>
      </c>
      <c r="H33" s="8">
        <v>0.95</v>
      </c>
      <c r="I33" s="9" t="e">
        <v>#DIV/0!</v>
      </c>
      <c r="J33" s="9">
        <v>0.33333333333333331</v>
      </c>
      <c r="K33" s="9">
        <v>0</v>
      </c>
    </row>
    <row r="34" spans="1:11" x14ac:dyDescent="0.2">
      <c r="B34" s="7" t="s">
        <v>106</v>
      </c>
      <c r="C34">
        <v>2</v>
      </c>
      <c r="D34">
        <v>1</v>
      </c>
      <c r="E34" s="18">
        <v>0.72</v>
      </c>
      <c r="F34">
        <v>0</v>
      </c>
      <c r="G34">
        <v>0</v>
      </c>
      <c r="H34" s="8">
        <v>0.72</v>
      </c>
      <c r="I34" s="9" t="e">
        <v>#DIV/0!</v>
      </c>
      <c r="J34" s="9">
        <v>0.5</v>
      </c>
      <c r="K34" s="9">
        <v>0</v>
      </c>
    </row>
    <row r="35" spans="1:11" x14ac:dyDescent="0.2">
      <c r="B35" s="7" t="s">
        <v>930</v>
      </c>
      <c r="C35">
        <v>2</v>
      </c>
      <c r="D35">
        <v>1</v>
      </c>
      <c r="E35" s="18">
        <v>0.5</v>
      </c>
      <c r="F35">
        <v>0</v>
      </c>
      <c r="G35">
        <v>0</v>
      </c>
      <c r="H35" s="8">
        <v>0.5</v>
      </c>
      <c r="I35" s="9" t="e">
        <v>#DIV/0!</v>
      </c>
      <c r="J35" s="9">
        <v>0.5</v>
      </c>
      <c r="K35" s="9">
        <v>0</v>
      </c>
    </row>
    <row r="36" spans="1:11" x14ac:dyDescent="0.2">
      <c r="B36" s="7" t="s">
        <v>641</v>
      </c>
      <c r="C36">
        <v>2</v>
      </c>
      <c r="D36">
        <v>1</v>
      </c>
      <c r="E36" s="18">
        <v>0.99</v>
      </c>
      <c r="F36">
        <v>0</v>
      </c>
      <c r="G36">
        <v>0</v>
      </c>
      <c r="H36" s="8">
        <v>0.99</v>
      </c>
      <c r="I36" s="9" t="e">
        <v>#DIV/0!</v>
      </c>
      <c r="J36" s="9">
        <v>0.5</v>
      </c>
      <c r="K36" s="9">
        <v>0</v>
      </c>
    </row>
    <row r="37" spans="1:11" x14ac:dyDescent="0.2">
      <c r="A37" s="11" t="s">
        <v>1038</v>
      </c>
      <c r="B37" s="13" t="s">
        <v>433</v>
      </c>
      <c r="C37">
        <v>2</v>
      </c>
      <c r="D37">
        <v>1</v>
      </c>
      <c r="E37" s="18">
        <v>1</v>
      </c>
      <c r="F37">
        <v>0</v>
      </c>
      <c r="G37">
        <v>0</v>
      </c>
      <c r="H37" s="8">
        <v>1</v>
      </c>
      <c r="I37" s="9" t="e">
        <v>#DIV/0!</v>
      </c>
      <c r="J37" s="9">
        <v>0.5</v>
      </c>
      <c r="K37" s="9">
        <v>0</v>
      </c>
    </row>
    <row r="38" spans="1:11" x14ac:dyDescent="0.2">
      <c r="B38" s="7" t="s">
        <v>344</v>
      </c>
      <c r="C38">
        <v>2</v>
      </c>
      <c r="D38">
        <v>1</v>
      </c>
      <c r="E38" s="18">
        <v>0.99</v>
      </c>
      <c r="F38">
        <v>0</v>
      </c>
      <c r="G38">
        <v>0</v>
      </c>
      <c r="H38" s="8">
        <v>0.99</v>
      </c>
      <c r="I38" s="9" t="e">
        <v>#DIV/0!</v>
      </c>
      <c r="J38" s="9">
        <v>0.5</v>
      </c>
      <c r="K38" s="9">
        <v>0</v>
      </c>
    </row>
    <row r="39" spans="1:11" x14ac:dyDescent="0.2">
      <c r="B39" s="7" t="s">
        <v>475</v>
      </c>
      <c r="C39">
        <v>2</v>
      </c>
      <c r="D39">
        <v>1</v>
      </c>
      <c r="E39" s="18">
        <v>1.37</v>
      </c>
      <c r="F39">
        <v>0</v>
      </c>
      <c r="G39">
        <v>0</v>
      </c>
      <c r="H39" s="8">
        <v>1.37</v>
      </c>
      <c r="I39" s="9" t="e">
        <v>#DIV/0!</v>
      </c>
      <c r="J39" s="9">
        <v>0.5</v>
      </c>
      <c r="K39" s="9">
        <v>0</v>
      </c>
    </row>
    <row r="40" spans="1:11" x14ac:dyDescent="0.2">
      <c r="B40" s="7" t="s">
        <v>718</v>
      </c>
      <c r="C40">
        <v>2</v>
      </c>
      <c r="D40">
        <v>1</v>
      </c>
      <c r="E40" s="18">
        <v>0.77</v>
      </c>
      <c r="F40">
        <v>0</v>
      </c>
      <c r="G40">
        <v>0</v>
      </c>
      <c r="H40" s="8">
        <v>0.77</v>
      </c>
      <c r="I40" s="9" t="e">
        <v>#DIV/0!</v>
      </c>
      <c r="J40" s="9">
        <v>0.5</v>
      </c>
      <c r="K40" s="9">
        <v>0</v>
      </c>
    </row>
    <row r="41" spans="1:11" x14ac:dyDescent="0.2">
      <c r="B41" s="12" t="s">
        <v>238</v>
      </c>
      <c r="C41">
        <v>2</v>
      </c>
      <c r="D41">
        <v>1</v>
      </c>
      <c r="E41" s="18">
        <v>1.37</v>
      </c>
      <c r="F41">
        <v>7.83</v>
      </c>
      <c r="G41">
        <v>1</v>
      </c>
      <c r="H41" s="8">
        <v>1.37</v>
      </c>
      <c r="I41" s="9">
        <v>0.17496807151979568</v>
      </c>
      <c r="J41" s="9">
        <v>0.5</v>
      </c>
      <c r="K41" s="9">
        <v>1</v>
      </c>
    </row>
    <row r="42" spans="1:11" x14ac:dyDescent="0.2">
      <c r="B42" s="7" t="s">
        <v>610</v>
      </c>
      <c r="C42">
        <v>2</v>
      </c>
      <c r="D42">
        <v>1</v>
      </c>
      <c r="E42" s="18">
        <v>0.97</v>
      </c>
      <c r="F42">
        <v>0</v>
      </c>
      <c r="G42">
        <v>0</v>
      </c>
      <c r="H42" s="8">
        <v>0.97</v>
      </c>
      <c r="I42" s="9" t="e">
        <v>#DIV/0!</v>
      </c>
      <c r="J42" s="9">
        <v>0.5</v>
      </c>
      <c r="K42" s="9">
        <v>0</v>
      </c>
    </row>
    <row r="43" spans="1:11" x14ac:dyDescent="0.2">
      <c r="B43" s="7" t="s">
        <v>729</v>
      </c>
      <c r="C43">
        <v>2</v>
      </c>
      <c r="D43">
        <v>1</v>
      </c>
      <c r="E43" s="18">
        <v>0.72</v>
      </c>
      <c r="F43">
        <v>0</v>
      </c>
      <c r="G43">
        <v>0</v>
      </c>
      <c r="H43" s="8">
        <v>0.72</v>
      </c>
      <c r="I43" s="9" t="e">
        <v>#DIV/0!</v>
      </c>
      <c r="J43" s="9">
        <v>0.5</v>
      </c>
      <c r="K43" s="9">
        <v>0</v>
      </c>
    </row>
    <row r="44" spans="1:11" x14ac:dyDescent="0.2">
      <c r="B44" s="7" t="s">
        <v>612</v>
      </c>
      <c r="C44">
        <v>2</v>
      </c>
      <c r="D44">
        <v>2</v>
      </c>
      <c r="E44" s="18">
        <v>1.8900000000000001</v>
      </c>
      <c r="F44">
        <v>0</v>
      </c>
      <c r="G44">
        <v>0</v>
      </c>
      <c r="H44" s="8">
        <v>0.94500000000000006</v>
      </c>
      <c r="I44" s="9" t="e">
        <v>#DIV/0!</v>
      </c>
      <c r="J44" s="9">
        <v>1</v>
      </c>
      <c r="K44" s="9">
        <v>0</v>
      </c>
    </row>
    <row r="45" spans="1:11" x14ac:dyDescent="0.2">
      <c r="B45" s="7" t="s">
        <v>720</v>
      </c>
      <c r="C45">
        <v>2</v>
      </c>
      <c r="D45">
        <v>2</v>
      </c>
      <c r="E45" s="18">
        <v>1.55</v>
      </c>
      <c r="F45">
        <v>0</v>
      </c>
      <c r="G45">
        <v>0</v>
      </c>
      <c r="H45" s="8">
        <v>0.77500000000000002</v>
      </c>
      <c r="I45" s="9" t="e">
        <v>#DIV/0!</v>
      </c>
      <c r="J45" s="9">
        <v>1</v>
      </c>
      <c r="K45" s="9">
        <v>0</v>
      </c>
    </row>
    <row r="46" spans="1:11" x14ac:dyDescent="0.2">
      <c r="A46" s="11" t="s">
        <v>1082</v>
      </c>
      <c r="B46" s="13" t="s">
        <v>783</v>
      </c>
      <c r="C46">
        <v>1</v>
      </c>
      <c r="D46">
        <v>1</v>
      </c>
      <c r="E46" s="18">
        <v>0.72</v>
      </c>
      <c r="F46">
        <v>0</v>
      </c>
      <c r="G46">
        <v>0</v>
      </c>
      <c r="H46" s="8">
        <v>0.72</v>
      </c>
      <c r="I46" s="9" t="e">
        <v>#DIV/0!</v>
      </c>
      <c r="J46" s="9">
        <v>1</v>
      </c>
      <c r="K46" s="9">
        <v>0</v>
      </c>
    </row>
    <row r="47" spans="1:11" x14ac:dyDescent="0.2">
      <c r="A47" s="11" t="s">
        <v>1079</v>
      </c>
      <c r="B47" s="13" t="s">
        <v>422</v>
      </c>
      <c r="C47">
        <v>1</v>
      </c>
      <c r="D47">
        <v>1</v>
      </c>
      <c r="E47" s="18">
        <v>0.93</v>
      </c>
      <c r="F47">
        <v>0</v>
      </c>
      <c r="G47">
        <v>0</v>
      </c>
      <c r="H47" s="8">
        <v>0.93</v>
      </c>
      <c r="I47" s="9" t="e">
        <v>#DIV/0!</v>
      </c>
      <c r="J47" s="9">
        <v>1</v>
      </c>
      <c r="K47" s="9">
        <v>0</v>
      </c>
    </row>
    <row r="48" spans="1:11" x14ac:dyDescent="0.2">
      <c r="A48" s="11" t="s">
        <v>1047</v>
      </c>
      <c r="B48" s="13" t="s">
        <v>564</v>
      </c>
      <c r="C48">
        <v>1</v>
      </c>
      <c r="D48">
        <v>1</v>
      </c>
      <c r="E48" s="18">
        <v>0.44</v>
      </c>
      <c r="F48">
        <v>0</v>
      </c>
      <c r="G48">
        <v>0</v>
      </c>
      <c r="H48" s="8">
        <v>0.44</v>
      </c>
      <c r="I48" s="9" t="e">
        <v>#DIV/0!</v>
      </c>
      <c r="J48" s="9">
        <v>1</v>
      </c>
      <c r="K48" s="9">
        <v>0</v>
      </c>
    </row>
    <row r="49" spans="1:11" x14ac:dyDescent="0.2">
      <c r="A49" s="11" t="s">
        <v>1028</v>
      </c>
      <c r="B49" s="13" t="s">
        <v>888</v>
      </c>
      <c r="C49">
        <v>1</v>
      </c>
      <c r="D49">
        <v>1</v>
      </c>
      <c r="E49" s="18">
        <v>0.35</v>
      </c>
      <c r="F49">
        <v>0</v>
      </c>
      <c r="G49">
        <v>0</v>
      </c>
      <c r="H49" s="8">
        <v>0.35</v>
      </c>
      <c r="I49" s="9" t="e">
        <v>#DIV/0!</v>
      </c>
      <c r="J49" s="9">
        <v>1</v>
      </c>
      <c r="K49" s="9">
        <v>0</v>
      </c>
    </row>
    <row r="50" spans="1:11" x14ac:dyDescent="0.2">
      <c r="A50" s="11" t="s">
        <v>1092</v>
      </c>
      <c r="B50" s="13" t="s">
        <v>643</v>
      </c>
      <c r="C50">
        <v>1</v>
      </c>
      <c r="D50">
        <v>1</v>
      </c>
      <c r="E50" s="18">
        <v>0.72</v>
      </c>
      <c r="F50">
        <v>0</v>
      </c>
      <c r="G50">
        <v>0</v>
      </c>
      <c r="H50" s="8">
        <v>0.72</v>
      </c>
      <c r="I50" s="9" t="e">
        <v>#DIV/0!</v>
      </c>
      <c r="J50" s="9">
        <v>1</v>
      </c>
      <c r="K50" s="9">
        <v>0</v>
      </c>
    </row>
    <row r="51" spans="1:11" x14ac:dyDescent="0.2">
      <c r="B51" s="7" t="s">
        <v>501</v>
      </c>
      <c r="C51">
        <v>1</v>
      </c>
      <c r="D51">
        <v>1</v>
      </c>
      <c r="E51" s="18">
        <v>1.3</v>
      </c>
      <c r="F51">
        <v>0</v>
      </c>
      <c r="G51">
        <v>0</v>
      </c>
      <c r="H51" s="8">
        <v>1.3</v>
      </c>
      <c r="I51" s="9" t="e">
        <v>#DIV/0!</v>
      </c>
      <c r="J51" s="9">
        <v>1</v>
      </c>
      <c r="K51" s="9">
        <v>0</v>
      </c>
    </row>
    <row r="52" spans="1:11" x14ac:dyDescent="0.2">
      <c r="B52" s="7" t="s">
        <v>568</v>
      </c>
      <c r="C52">
        <v>1</v>
      </c>
      <c r="D52">
        <v>1</v>
      </c>
      <c r="E52" s="18">
        <v>0.99</v>
      </c>
      <c r="F52">
        <v>0</v>
      </c>
      <c r="G52">
        <v>0</v>
      </c>
      <c r="H52" s="8">
        <v>0.99</v>
      </c>
      <c r="I52" s="9" t="e">
        <v>#DIV/0!</v>
      </c>
      <c r="J52" s="9">
        <v>1</v>
      </c>
      <c r="K52" s="9">
        <v>0</v>
      </c>
    </row>
    <row r="53" spans="1:11" x14ac:dyDescent="0.2">
      <c r="A53" s="11" t="s">
        <v>1088</v>
      </c>
      <c r="B53" s="13" t="s">
        <v>506</v>
      </c>
      <c r="C53">
        <v>1</v>
      </c>
      <c r="D53">
        <v>1</v>
      </c>
      <c r="E53" s="18">
        <v>0.99</v>
      </c>
      <c r="F53">
        <v>0</v>
      </c>
      <c r="G53">
        <v>0</v>
      </c>
      <c r="H53" s="8">
        <v>0.99</v>
      </c>
      <c r="I53" s="9" t="e">
        <v>#DIV/0!</v>
      </c>
      <c r="J53" s="9">
        <v>1</v>
      </c>
      <c r="K53" s="9">
        <v>0</v>
      </c>
    </row>
    <row r="54" spans="1:11" x14ac:dyDescent="0.2">
      <c r="A54" s="11" t="s">
        <v>1047</v>
      </c>
      <c r="B54" s="13" t="s">
        <v>611</v>
      </c>
      <c r="C54">
        <v>1</v>
      </c>
      <c r="D54">
        <v>1</v>
      </c>
      <c r="E54" s="18">
        <v>0.44</v>
      </c>
      <c r="F54">
        <v>0</v>
      </c>
      <c r="G54">
        <v>0</v>
      </c>
      <c r="H54" s="8">
        <v>0.44</v>
      </c>
      <c r="I54" s="9" t="e">
        <v>#DIV/0!</v>
      </c>
      <c r="J54" s="9">
        <v>1</v>
      </c>
      <c r="K54" s="9">
        <v>0</v>
      </c>
    </row>
    <row r="55" spans="1:11" x14ac:dyDescent="0.2">
      <c r="A55" s="11" t="s">
        <v>1044</v>
      </c>
      <c r="B55" s="13" t="s">
        <v>517</v>
      </c>
      <c r="C55">
        <v>1</v>
      </c>
      <c r="D55">
        <v>1</v>
      </c>
      <c r="E55" s="18">
        <v>0.44</v>
      </c>
      <c r="F55">
        <v>8.93</v>
      </c>
      <c r="G55">
        <v>1</v>
      </c>
      <c r="H55" s="8">
        <v>0.44</v>
      </c>
      <c r="I55" s="9">
        <v>4.9272116461366186E-2</v>
      </c>
      <c r="J55" s="9">
        <v>1</v>
      </c>
      <c r="K55" s="9">
        <v>1</v>
      </c>
    </row>
    <row r="56" spans="1:11" x14ac:dyDescent="0.2">
      <c r="B56" s="7" t="s">
        <v>231</v>
      </c>
      <c r="C56">
        <v>1</v>
      </c>
      <c r="D56">
        <v>1</v>
      </c>
      <c r="E56" s="18">
        <v>1</v>
      </c>
      <c r="F56">
        <v>0</v>
      </c>
      <c r="G56">
        <v>0</v>
      </c>
      <c r="H56" s="8">
        <v>1</v>
      </c>
      <c r="I56" s="9" t="e">
        <v>#DIV/0!</v>
      </c>
      <c r="J56" s="9">
        <v>1</v>
      </c>
      <c r="K56" s="9">
        <v>0</v>
      </c>
    </row>
    <row r="57" spans="1:11" x14ac:dyDescent="0.2">
      <c r="A57" s="11" t="s">
        <v>1069</v>
      </c>
      <c r="B57" s="13" t="s">
        <v>432</v>
      </c>
      <c r="C57">
        <v>1</v>
      </c>
      <c r="D57">
        <v>1</v>
      </c>
      <c r="E57" s="18">
        <v>0.45</v>
      </c>
      <c r="F57">
        <v>8.93</v>
      </c>
      <c r="G57">
        <v>1</v>
      </c>
      <c r="H57" s="8">
        <v>0.45</v>
      </c>
      <c r="I57" s="9">
        <v>5.0391937290033599E-2</v>
      </c>
      <c r="J57" s="9">
        <v>1</v>
      </c>
      <c r="K57" s="9">
        <v>1</v>
      </c>
    </row>
    <row r="58" spans="1:11" x14ac:dyDescent="0.2">
      <c r="A58" s="11" t="s">
        <v>1099</v>
      </c>
      <c r="B58" s="13" t="s">
        <v>419</v>
      </c>
      <c r="C58">
        <v>1</v>
      </c>
      <c r="D58">
        <v>1</v>
      </c>
      <c r="E58" s="18">
        <v>1</v>
      </c>
      <c r="F58">
        <v>0</v>
      </c>
      <c r="G58">
        <v>0</v>
      </c>
      <c r="H58" s="8">
        <v>1</v>
      </c>
      <c r="I58" s="9" t="e">
        <v>#DIV/0!</v>
      </c>
      <c r="J58" s="9">
        <v>1</v>
      </c>
      <c r="K58" s="9">
        <v>0</v>
      </c>
    </row>
    <row r="59" spans="1:11" x14ac:dyDescent="0.2">
      <c r="A59" s="11" t="s">
        <v>1088</v>
      </c>
      <c r="B59" s="13" t="s">
        <v>639</v>
      </c>
      <c r="C59">
        <v>1</v>
      </c>
      <c r="D59">
        <v>1</v>
      </c>
      <c r="E59" s="18">
        <v>0.61</v>
      </c>
      <c r="F59">
        <v>0</v>
      </c>
      <c r="G59">
        <v>0</v>
      </c>
      <c r="H59" s="8">
        <v>0.61</v>
      </c>
      <c r="I59" s="9" t="e">
        <v>#DIV/0!</v>
      </c>
      <c r="J59" s="9">
        <v>1</v>
      </c>
      <c r="K59" s="9">
        <v>0</v>
      </c>
    </row>
    <row r="60" spans="1:11" x14ac:dyDescent="0.2">
      <c r="A60" s="11" t="s">
        <v>1083</v>
      </c>
      <c r="B60" s="13" t="s">
        <v>428</v>
      </c>
      <c r="C60">
        <v>1</v>
      </c>
      <c r="D60">
        <v>1</v>
      </c>
      <c r="E60" s="18">
        <v>0.44</v>
      </c>
      <c r="F60">
        <v>0</v>
      </c>
      <c r="G60">
        <v>0</v>
      </c>
      <c r="H60" s="8">
        <v>0.44</v>
      </c>
      <c r="I60" s="9" t="e">
        <v>#DIV/0!</v>
      </c>
      <c r="J60" s="9">
        <v>1</v>
      </c>
      <c r="K60" s="9">
        <v>0</v>
      </c>
    </row>
    <row r="61" spans="1:11" x14ac:dyDescent="0.2">
      <c r="A61" s="11" t="s">
        <v>1065</v>
      </c>
      <c r="B61" s="13" t="s">
        <v>886</v>
      </c>
      <c r="C61">
        <v>1</v>
      </c>
      <c r="D61">
        <v>1</v>
      </c>
      <c r="E61" s="18">
        <v>0.65</v>
      </c>
      <c r="F61">
        <v>0</v>
      </c>
      <c r="G61">
        <v>0</v>
      </c>
      <c r="H61" s="8">
        <v>0.65</v>
      </c>
      <c r="I61" s="9" t="e">
        <v>#DIV/0!</v>
      </c>
      <c r="J61" s="9">
        <v>1</v>
      </c>
      <c r="K61" s="9">
        <v>0</v>
      </c>
    </row>
    <row r="62" spans="1:11" x14ac:dyDescent="0.2">
      <c r="A62" s="11" t="s">
        <v>1047</v>
      </c>
      <c r="B62" s="13" t="s">
        <v>358</v>
      </c>
      <c r="C62">
        <v>1</v>
      </c>
      <c r="D62">
        <v>1</v>
      </c>
      <c r="E62" s="18">
        <v>1</v>
      </c>
      <c r="F62">
        <v>0</v>
      </c>
      <c r="G62">
        <v>0</v>
      </c>
      <c r="H62" s="8">
        <v>1</v>
      </c>
      <c r="I62" s="9" t="e">
        <v>#DIV/0!</v>
      </c>
      <c r="J62" s="9">
        <v>1</v>
      </c>
      <c r="K62" s="9">
        <v>0</v>
      </c>
    </row>
    <row r="63" spans="1:11" x14ac:dyDescent="0.2">
      <c r="A63" s="11" t="s">
        <v>1047</v>
      </c>
      <c r="B63" s="13" t="s">
        <v>514</v>
      </c>
      <c r="C63">
        <v>1</v>
      </c>
      <c r="D63">
        <v>1</v>
      </c>
      <c r="E63" s="18">
        <v>0.44</v>
      </c>
      <c r="F63">
        <v>0</v>
      </c>
      <c r="G63">
        <v>0</v>
      </c>
      <c r="H63" s="8">
        <v>0.44</v>
      </c>
      <c r="I63" s="9" t="e">
        <v>#DIV/0!</v>
      </c>
      <c r="J63" s="9">
        <v>1</v>
      </c>
      <c r="K63" s="9">
        <v>0</v>
      </c>
    </row>
    <row r="64" spans="1:11" x14ac:dyDescent="0.2">
      <c r="A64" s="11" t="s">
        <v>1083</v>
      </c>
      <c r="B64" s="13" t="s">
        <v>623</v>
      </c>
      <c r="C64">
        <v>1</v>
      </c>
      <c r="D64">
        <v>1</v>
      </c>
      <c r="E64" s="18">
        <v>0.71</v>
      </c>
      <c r="F64">
        <v>0</v>
      </c>
      <c r="G64">
        <v>0</v>
      </c>
      <c r="H64" s="8">
        <v>0.71</v>
      </c>
      <c r="I64" s="9" t="e">
        <v>#DIV/0!</v>
      </c>
      <c r="J64" s="9">
        <v>1</v>
      </c>
      <c r="K64" s="9">
        <v>0</v>
      </c>
    </row>
    <row r="65" spans="1:11" x14ac:dyDescent="0.2">
      <c r="B65" s="7" t="s">
        <v>629</v>
      </c>
      <c r="C65">
        <v>1</v>
      </c>
      <c r="D65">
        <v>1</v>
      </c>
      <c r="E65" s="18">
        <v>0.99</v>
      </c>
      <c r="F65">
        <v>0</v>
      </c>
      <c r="G65">
        <v>0</v>
      </c>
      <c r="H65" s="8">
        <v>0.99</v>
      </c>
      <c r="I65" s="9" t="e">
        <v>#DIV/0!</v>
      </c>
      <c r="J65" s="9">
        <v>1</v>
      </c>
      <c r="K65" s="9">
        <v>0</v>
      </c>
    </row>
    <row r="66" spans="1:11" x14ac:dyDescent="0.2">
      <c r="A66" s="11" t="s">
        <v>1047</v>
      </c>
      <c r="B66" s="13" t="s">
        <v>710</v>
      </c>
      <c r="C66">
        <v>1</v>
      </c>
      <c r="D66">
        <v>1</v>
      </c>
      <c r="E66" s="18">
        <v>0.45</v>
      </c>
      <c r="F66">
        <v>0</v>
      </c>
      <c r="G66">
        <v>0</v>
      </c>
      <c r="H66" s="8">
        <v>0.45</v>
      </c>
      <c r="I66" s="9" t="e">
        <v>#DIV/0!</v>
      </c>
      <c r="J66" s="9">
        <v>1</v>
      </c>
      <c r="K66" s="9">
        <v>0</v>
      </c>
    </row>
    <row r="67" spans="1:11" x14ac:dyDescent="0.2">
      <c r="A67" s="11" t="s">
        <v>1088</v>
      </c>
      <c r="B67" s="13" t="s">
        <v>785</v>
      </c>
      <c r="C67">
        <v>1</v>
      </c>
      <c r="D67">
        <v>1</v>
      </c>
      <c r="E67" s="18">
        <v>0.99</v>
      </c>
      <c r="F67">
        <v>0</v>
      </c>
      <c r="G67">
        <v>0</v>
      </c>
      <c r="H67" s="8">
        <v>0.99</v>
      </c>
      <c r="I67" s="9" t="e">
        <v>#DIV/0!</v>
      </c>
      <c r="J67" s="9">
        <v>1</v>
      </c>
      <c r="K67" s="9">
        <v>0</v>
      </c>
    </row>
    <row r="68" spans="1:11" x14ac:dyDescent="0.2">
      <c r="B68" s="7" t="s">
        <v>421</v>
      </c>
      <c r="C68">
        <v>1</v>
      </c>
      <c r="D68">
        <v>1</v>
      </c>
      <c r="E68" s="18">
        <v>0.99</v>
      </c>
      <c r="F68">
        <v>0</v>
      </c>
      <c r="G68">
        <v>0</v>
      </c>
      <c r="H68" s="8">
        <v>0.99</v>
      </c>
      <c r="I68" s="9" t="e">
        <v>#DIV/0!</v>
      </c>
      <c r="J68" s="9">
        <v>1</v>
      </c>
      <c r="K68" s="9">
        <v>0</v>
      </c>
    </row>
    <row r="69" spans="1:11" x14ac:dyDescent="0.2">
      <c r="A69" s="11" t="s">
        <v>1083</v>
      </c>
      <c r="B69" s="13" t="s">
        <v>512</v>
      </c>
      <c r="C69">
        <v>1</v>
      </c>
      <c r="D69">
        <v>1</v>
      </c>
      <c r="E69" s="18">
        <v>1.35</v>
      </c>
      <c r="F69">
        <v>0</v>
      </c>
      <c r="G69">
        <v>0</v>
      </c>
      <c r="H69" s="8">
        <v>1.35</v>
      </c>
      <c r="I69" s="9" t="e">
        <v>#DIV/0!</v>
      </c>
      <c r="J69" s="9">
        <v>1</v>
      </c>
      <c r="K69" s="9">
        <v>0</v>
      </c>
    </row>
    <row r="70" spans="1:11" x14ac:dyDescent="0.2">
      <c r="A70" s="11" t="s">
        <v>1000</v>
      </c>
      <c r="B70" s="13" t="s">
        <v>708</v>
      </c>
      <c r="C70">
        <v>1</v>
      </c>
      <c r="D70">
        <v>1</v>
      </c>
      <c r="E70" s="18">
        <v>0.6</v>
      </c>
      <c r="F70">
        <v>0</v>
      </c>
      <c r="G70">
        <v>0</v>
      </c>
      <c r="H70" s="8">
        <v>0.6</v>
      </c>
      <c r="I70" s="9" t="e">
        <v>#DIV/0!</v>
      </c>
      <c r="J70" s="9">
        <v>1</v>
      </c>
      <c r="K70" s="9">
        <v>0</v>
      </c>
    </row>
    <row r="71" spans="1:11" x14ac:dyDescent="0.2">
      <c r="A71" s="11" t="s">
        <v>1083</v>
      </c>
      <c r="B71" s="13" t="s">
        <v>229</v>
      </c>
      <c r="C71">
        <v>1</v>
      </c>
      <c r="D71">
        <v>1</v>
      </c>
      <c r="E71" s="18">
        <v>0.72</v>
      </c>
      <c r="F71">
        <v>0</v>
      </c>
      <c r="G71">
        <v>0</v>
      </c>
      <c r="H71" s="8">
        <v>0.72</v>
      </c>
      <c r="I71" s="9" t="e">
        <v>#DIV/0!</v>
      </c>
      <c r="J71" s="9">
        <v>1</v>
      </c>
      <c r="K71" s="9">
        <v>0</v>
      </c>
    </row>
    <row r="72" spans="1:11" x14ac:dyDescent="0.2">
      <c r="B72" s="7" t="s">
        <v>96</v>
      </c>
      <c r="C72">
        <v>1</v>
      </c>
      <c r="D72">
        <v>1</v>
      </c>
      <c r="E72" s="18">
        <v>0.72</v>
      </c>
      <c r="F72">
        <v>0</v>
      </c>
      <c r="G72">
        <v>0</v>
      </c>
      <c r="H72" s="8">
        <v>0.72</v>
      </c>
      <c r="I72" s="9" t="e">
        <v>#DIV/0!</v>
      </c>
      <c r="J72" s="9">
        <v>1</v>
      </c>
      <c r="K72" s="9">
        <v>0</v>
      </c>
    </row>
    <row r="73" spans="1:11" x14ac:dyDescent="0.2">
      <c r="B73" s="7" t="s">
        <v>508</v>
      </c>
      <c r="C73">
        <v>1</v>
      </c>
      <c r="D73">
        <v>1</v>
      </c>
      <c r="E73" s="18">
        <v>1.37</v>
      </c>
      <c r="F73">
        <v>0</v>
      </c>
      <c r="G73">
        <v>0</v>
      </c>
      <c r="H73" s="8">
        <v>1.37</v>
      </c>
      <c r="I73" s="9" t="e">
        <v>#DIV/0!</v>
      </c>
      <c r="J73" s="9">
        <v>1</v>
      </c>
      <c r="K73" s="9">
        <v>0</v>
      </c>
    </row>
    <row r="74" spans="1:11" x14ac:dyDescent="0.2">
      <c r="A74" s="11" t="s">
        <v>1086</v>
      </c>
      <c r="B74" s="13" t="s">
        <v>929</v>
      </c>
      <c r="C74">
        <v>1</v>
      </c>
      <c r="D74">
        <v>1</v>
      </c>
      <c r="E74" s="18">
        <v>0.45</v>
      </c>
      <c r="F74">
        <v>0</v>
      </c>
      <c r="G74">
        <v>0</v>
      </c>
      <c r="H74" s="8">
        <v>0.45</v>
      </c>
      <c r="I74" s="9" t="e">
        <v>#DIV/0!</v>
      </c>
      <c r="J74" s="9">
        <v>1</v>
      </c>
      <c r="K74" s="9">
        <v>0</v>
      </c>
    </row>
    <row r="75" spans="1:11" x14ac:dyDescent="0.2">
      <c r="B75" s="7" t="s">
        <v>658</v>
      </c>
      <c r="C75">
        <v>1</v>
      </c>
      <c r="D75">
        <v>1</v>
      </c>
      <c r="E75" s="18">
        <v>0.99</v>
      </c>
      <c r="F75">
        <v>0</v>
      </c>
      <c r="G75">
        <v>0</v>
      </c>
      <c r="H75" s="8">
        <v>0.99</v>
      </c>
      <c r="I75" s="9" t="e">
        <v>#DIV/0!</v>
      </c>
      <c r="J75" s="9">
        <v>1</v>
      </c>
      <c r="K75" s="9">
        <v>0</v>
      </c>
    </row>
    <row r="76" spans="1:11" x14ac:dyDescent="0.2">
      <c r="A76" s="11" t="s">
        <v>1000</v>
      </c>
      <c r="B76" s="13" t="s">
        <v>236</v>
      </c>
      <c r="C76">
        <v>1</v>
      </c>
      <c r="D76">
        <v>1</v>
      </c>
      <c r="E76" s="18">
        <v>0.6</v>
      </c>
      <c r="F76">
        <v>0</v>
      </c>
      <c r="G76">
        <v>0</v>
      </c>
      <c r="H76" s="8">
        <v>0.6</v>
      </c>
      <c r="I76" s="9" t="e">
        <v>#DIV/0!</v>
      </c>
      <c r="J76" s="9">
        <v>1</v>
      </c>
      <c r="K76" s="9">
        <v>0</v>
      </c>
    </row>
    <row r="77" spans="1:11" x14ac:dyDescent="0.2">
      <c r="A77" s="11" t="s">
        <v>1000</v>
      </c>
      <c r="B77" s="13" t="s">
        <v>934</v>
      </c>
      <c r="C77">
        <v>1</v>
      </c>
      <c r="D77">
        <v>1</v>
      </c>
      <c r="E77" s="18">
        <v>0.35</v>
      </c>
      <c r="F77">
        <v>0</v>
      </c>
      <c r="G77">
        <v>0</v>
      </c>
      <c r="H77" s="8">
        <v>0.35</v>
      </c>
      <c r="I77" s="9" t="e">
        <v>#DIV/0!</v>
      </c>
      <c r="J77" s="9">
        <v>1</v>
      </c>
      <c r="K77" s="9">
        <v>0</v>
      </c>
    </row>
    <row r="78" spans="1:11" x14ac:dyDescent="0.2">
      <c r="B78" s="7" t="s">
        <v>985</v>
      </c>
      <c r="C78">
        <v>740</v>
      </c>
      <c r="D78">
        <v>119</v>
      </c>
      <c r="E78" s="18">
        <v>98.439999999999969</v>
      </c>
      <c r="F78">
        <v>59.209999999999994</v>
      </c>
      <c r="G78">
        <v>7</v>
      </c>
      <c r="H78" s="8">
        <v>0.82722689075630174</v>
      </c>
      <c r="I78" s="9">
        <v>1.6625570005066699</v>
      </c>
      <c r="J78" s="9">
        <v>0.16081081081081081</v>
      </c>
      <c r="K78" s="9">
        <v>5.8823529411764705E-2</v>
      </c>
    </row>
    <row r="79" spans="1:11" x14ac:dyDescent="0.2">
      <c r="E79"/>
      <c r="H79"/>
      <c r="I79"/>
      <c r="J79"/>
      <c r="K79"/>
    </row>
    <row r="80" spans="1:11" x14ac:dyDescent="0.2">
      <c r="E80"/>
      <c r="H80"/>
      <c r="I80"/>
      <c r="J80"/>
      <c r="K80"/>
    </row>
    <row r="81" spans="5:11" x14ac:dyDescent="0.2">
      <c r="E81"/>
      <c r="H81"/>
      <c r="I81"/>
      <c r="J81"/>
      <c r="K81"/>
    </row>
    <row r="82" spans="5:11" x14ac:dyDescent="0.2">
      <c r="E82"/>
      <c r="H82"/>
      <c r="I82"/>
      <c r="J82"/>
      <c r="K82"/>
    </row>
    <row r="83" spans="5:11" x14ac:dyDescent="0.2">
      <c r="E83"/>
      <c r="H83"/>
      <c r="I83"/>
      <c r="J83"/>
      <c r="K83"/>
    </row>
    <row r="84" spans="5:11" x14ac:dyDescent="0.2">
      <c r="E84"/>
      <c r="H84"/>
      <c r="I84"/>
      <c r="J84"/>
      <c r="K84"/>
    </row>
    <row r="85" spans="5:11" x14ac:dyDescent="0.2">
      <c r="E85"/>
      <c r="H85"/>
      <c r="I85"/>
      <c r="J85"/>
      <c r="K85"/>
    </row>
    <row r="86" spans="5:11" x14ac:dyDescent="0.2">
      <c r="E86"/>
      <c r="H86"/>
      <c r="I86"/>
      <c r="J86"/>
      <c r="K86"/>
    </row>
    <row r="87" spans="5:11" x14ac:dyDescent="0.2">
      <c r="E87"/>
      <c r="H87"/>
      <c r="I87"/>
      <c r="J87"/>
      <c r="K87"/>
    </row>
    <row r="88" spans="5:11" x14ac:dyDescent="0.2">
      <c r="E88"/>
      <c r="H88"/>
      <c r="I88"/>
      <c r="J88"/>
      <c r="K88"/>
    </row>
    <row r="89" spans="5:11" x14ac:dyDescent="0.2">
      <c r="E89"/>
      <c r="H89"/>
      <c r="I89"/>
      <c r="J89"/>
      <c r="K89"/>
    </row>
    <row r="90" spans="5:11" x14ac:dyDescent="0.2">
      <c r="E90"/>
      <c r="H90"/>
      <c r="I90"/>
      <c r="J90"/>
      <c r="K90"/>
    </row>
    <row r="91" spans="5:11" x14ac:dyDescent="0.2">
      <c r="E91"/>
      <c r="H91"/>
      <c r="I91"/>
      <c r="J91"/>
      <c r="K91"/>
    </row>
    <row r="92" spans="5:11" x14ac:dyDescent="0.2">
      <c r="E92"/>
      <c r="H92"/>
      <c r="I92"/>
      <c r="J92"/>
      <c r="K92"/>
    </row>
    <row r="93" spans="5:11" x14ac:dyDescent="0.2">
      <c r="E93"/>
      <c r="H93"/>
      <c r="I93"/>
      <c r="J93"/>
      <c r="K93"/>
    </row>
    <row r="94" spans="5:11" x14ac:dyDescent="0.2">
      <c r="E94"/>
      <c r="H94"/>
      <c r="I94"/>
      <c r="J94"/>
      <c r="K94"/>
    </row>
    <row r="95" spans="5:11" x14ac:dyDescent="0.2">
      <c r="E95"/>
      <c r="H95"/>
      <c r="I95"/>
      <c r="J95"/>
      <c r="K95"/>
    </row>
    <row r="96" spans="5:11" x14ac:dyDescent="0.2">
      <c r="E96"/>
      <c r="H96"/>
      <c r="I96"/>
      <c r="J96"/>
      <c r="K96"/>
    </row>
    <row r="97" spans="5:11" x14ac:dyDescent="0.2">
      <c r="E97"/>
      <c r="H97"/>
      <c r="I97"/>
      <c r="J97"/>
      <c r="K97"/>
    </row>
    <row r="98" spans="5:11" x14ac:dyDescent="0.2">
      <c r="E98"/>
      <c r="H98"/>
      <c r="I98"/>
      <c r="J98"/>
      <c r="K98"/>
    </row>
    <row r="99" spans="5:11" x14ac:dyDescent="0.2">
      <c r="E99"/>
      <c r="H99"/>
      <c r="I99"/>
      <c r="J99"/>
      <c r="K99"/>
    </row>
    <row r="100" spans="5:11" x14ac:dyDescent="0.2">
      <c r="E100"/>
      <c r="H100"/>
      <c r="I100"/>
      <c r="J100"/>
      <c r="K100"/>
    </row>
    <row r="101" spans="5:11" x14ac:dyDescent="0.2">
      <c r="E101"/>
      <c r="H101"/>
      <c r="I101"/>
      <c r="J101"/>
      <c r="K101"/>
    </row>
    <row r="102" spans="5:11" x14ac:dyDescent="0.2">
      <c r="E102"/>
      <c r="H102"/>
      <c r="I102"/>
      <c r="J102"/>
      <c r="K102"/>
    </row>
    <row r="103" spans="5:11" x14ac:dyDescent="0.2">
      <c r="E103"/>
      <c r="H103"/>
      <c r="I103"/>
      <c r="J103"/>
      <c r="K103"/>
    </row>
    <row r="104" spans="5:11" x14ac:dyDescent="0.2">
      <c r="E104"/>
      <c r="H104"/>
      <c r="I104"/>
      <c r="J104"/>
      <c r="K104"/>
    </row>
    <row r="105" spans="5:11" x14ac:dyDescent="0.2">
      <c r="E105"/>
      <c r="H105"/>
      <c r="I105"/>
      <c r="J105"/>
      <c r="K105"/>
    </row>
    <row r="106" spans="5:11" x14ac:dyDescent="0.2">
      <c r="E106"/>
      <c r="H106"/>
      <c r="I106"/>
      <c r="J106"/>
      <c r="K106"/>
    </row>
    <row r="107" spans="5:11" x14ac:dyDescent="0.2">
      <c r="E107"/>
      <c r="H107"/>
      <c r="I107"/>
      <c r="J107"/>
      <c r="K107"/>
    </row>
    <row r="108" spans="5:11" x14ac:dyDescent="0.2">
      <c r="E108"/>
      <c r="H108"/>
      <c r="I108"/>
      <c r="J108"/>
      <c r="K108"/>
    </row>
    <row r="109" spans="5:11" x14ac:dyDescent="0.2">
      <c r="E109"/>
      <c r="H109"/>
      <c r="I109"/>
      <c r="J109"/>
      <c r="K109"/>
    </row>
    <row r="110" spans="5:11" x14ac:dyDescent="0.2">
      <c r="E110"/>
      <c r="H110"/>
      <c r="I110"/>
      <c r="J110"/>
      <c r="K110"/>
    </row>
    <row r="111" spans="5:11" x14ac:dyDescent="0.2">
      <c r="E111"/>
      <c r="H111"/>
      <c r="I111"/>
      <c r="J111"/>
      <c r="K111"/>
    </row>
    <row r="112" spans="5:11" x14ac:dyDescent="0.2">
      <c r="E112"/>
      <c r="H112"/>
      <c r="I112"/>
      <c r="J112"/>
      <c r="K112"/>
    </row>
    <row r="113" spans="5:11" x14ac:dyDescent="0.2">
      <c r="E113"/>
      <c r="H113"/>
      <c r="I113"/>
      <c r="J113"/>
      <c r="K113"/>
    </row>
    <row r="114" spans="5:11" x14ac:dyDescent="0.2">
      <c r="E114"/>
      <c r="H114"/>
      <c r="I114"/>
      <c r="J114"/>
      <c r="K114"/>
    </row>
    <row r="115" spans="5:11" x14ac:dyDescent="0.2">
      <c r="E115"/>
      <c r="H115"/>
      <c r="I115"/>
      <c r="J115"/>
      <c r="K115"/>
    </row>
    <row r="116" spans="5:11" x14ac:dyDescent="0.2">
      <c r="E116"/>
      <c r="H116"/>
      <c r="I116"/>
      <c r="J116"/>
      <c r="K116"/>
    </row>
    <row r="117" spans="5:11" x14ac:dyDescent="0.2">
      <c r="E117"/>
      <c r="H117"/>
      <c r="I117"/>
      <c r="J117"/>
      <c r="K117"/>
    </row>
    <row r="118" spans="5:11" x14ac:dyDescent="0.2">
      <c r="E118"/>
      <c r="H118"/>
      <c r="I118"/>
      <c r="J118"/>
      <c r="K118"/>
    </row>
    <row r="119" spans="5:11" x14ac:dyDescent="0.2">
      <c r="E119"/>
      <c r="H119"/>
      <c r="I119"/>
      <c r="J119"/>
      <c r="K119"/>
    </row>
    <row r="120" spans="5:11" x14ac:dyDescent="0.2">
      <c r="E120"/>
      <c r="H120"/>
      <c r="I120"/>
      <c r="J120"/>
      <c r="K120"/>
    </row>
    <row r="121" spans="5:11" x14ac:dyDescent="0.2">
      <c r="E121"/>
      <c r="H121"/>
      <c r="I121"/>
      <c r="J121"/>
      <c r="K121"/>
    </row>
    <row r="122" spans="5:11" x14ac:dyDescent="0.2">
      <c r="E122"/>
      <c r="H122"/>
      <c r="I122"/>
      <c r="J122"/>
      <c r="K122"/>
    </row>
    <row r="123" spans="5:11" x14ac:dyDescent="0.2">
      <c r="E123"/>
      <c r="H123"/>
      <c r="I123"/>
      <c r="J123"/>
      <c r="K123"/>
    </row>
    <row r="124" spans="5:11" x14ac:dyDescent="0.2">
      <c r="E124"/>
      <c r="H124"/>
      <c r="I124"/>
      <c r="J124"/>
      <c r="K124"/>
    </row>
    <row r="125" spans="5:11" x14ac:dyDescent="0.2">
      <c r="E125"/>
      <c r="H125"/>
      <c r="I125"/>
      <c r="J125"/>
      <c r="K125"/>
    </row>
    <row r="126" spans="5:11" x14ac:dyDescent="0.2">
      <c r="E126"/>
      <c r="H126"/>
      <c r="I126"/>
      <c r="J126"/>
      <c r="K126"/>
    </row>
    <row r="127" spans="5:11" x14ac:dyDescent="0.2">
      <c r="E127"/>
      <c r="H127"/>
      <c r="I127"/>
      <c r="J127"/>
      <c r="K127"/>
    </row>
    <row r="128" spans="5:11" x14ac:dyDescent="0.2">
      <c r="E128"/>
      <c r="H128"/>
      <c r="I128"/>
      <c r="J128"/>
      <c r="K128"/>
    </row>
    <row r="129" spans="5:11" x14ac:dyDescent="0.2">
      <c r="E129"/>
      <c r="H129"/>
      <c r="I129"/>
      <c r="J129"/>
      <c r="K129"/>
    </row>
    <row r="130" spans="5:11" x14ac:dyDescent="0.2">
      <c r="E130"/>
      <c r="H130"/>
      <c r="I130"/>
      <c r="J130"/>
      <c r="K130"/>
    </row>
    <row r="131" spans="5:11" x14ac:dyDescent="0.2">
      <c r="E131"/>
      <c r="H131"/>
      <c r="I131"/>
      <c r="J131"/>
      <c r="K131"/>
    </row>
    <row r="132" spans="5:11" x14ac:dyDescent="0.2">
      <c r="E132"/>
      <c r="H132"/>
      <c r="I132"/>
      <c r="J132"/>
      <c r="K132"/>
    </row>
    <row r="133" spans="5:11" x14ac:dyDescent="0.2">
      <c r="E133"/>
      <c r="H133"/>
      <c r="I133"/>
      <c r="J133"/>
      <c r="K133"/>
    </row>
    <row r="134" spans="5:11" x14ac:dyDescent="0.2">
      <c r="E134"/>
      <c r="H134"/>
      <c r="I134"/>
      <c r="J134"/>
      <c r="K134"/>
    </row>
    <row r="135" spans="5:11" x14ac:dyDescent="0.2">
      <c r="E135"/>
      <c r="H135"/>
      <c r="I135"/>
      <c r="J135"/>
      <c r="K135"/>
    </row>
    <row r="136" spans="5:11" x14ac:dyDescent="0.2">
      <c r="E136"/>
      <c r="H136"/>
      <c r="I136"/>
      <c r="J136"/>
      <c r="K136"/>
    </row>
    <row r="137" spans="5:11" x14ac:dyDescent="0.2">
      <c r="E137"/>
      <c r="H137"/>
      <c r="I137"/>
      <c r="J137"/>
      <c r="K137"/>
    </row>
    <row r="138" spans="5:11" x14ac:dyDescent="0.2">
      <c r="E138"/>
      <c r="H138"/>
      <c r="I138"/>
      <c r="J138"/>
      <c r="K138"/>
    </row>
    <row r="139" spans="5:11" x14ac:dyDescent="0.2">
      <c r="E139"/>
      <c r="H139"/>
      <c r="I139"/>
      <c r="J139"/>
      <c r="K139"/>
    </row>
    <row r="140" spans="5:11" x14ac:dyDescent="0.2">
      <c r="E140"/>
      <c r="H140"/>
      <c r="I140"/>
      <c r="J140"/>
      <c r="K140"/>
    </row>
    <row r="141" spans="5:11" x14ac:dyDescent="0.2">
      <c r="E141"/>
      <c r="H141"/>
      <c r="I141"/>
      <c r="J141"/>
      <c r="K141"/>
    </row>
    <row r="142" spans="5:11" x14ac:dyDescent="0.2">
      <c r="E142"/>
      <c r="H142"/>
      <c r="I142"/>
      <c r="J142"/>
      <c r="K142"/>
    </row>
    <row r="143" spans="5:11" x14ac:dyDescent="0.2">
      <c r="E143"/>
      <c r="H143"/>
      <c r="I143"/>
      <c r="J143"/>
      <c r="K143"/>
    </row>
    <row r="144" spans="5:11" x14ac:dyDescent="0.2">
      <c r="E144"/>
      <c r="H144"/>
      <c r="I144"/>
      <c r="J144"/>
      <c r="K144"/>
    </row>
    <row r="145" spans="5:11" x14ac:dyDescent="0.2">
      <c r="E145"/>
      <c r="H145"/>
      <c r="I145"/>
      <c r="J145"/>
      <c r="K145"/>
    </row>
    <row r="146" spans="5:11" x14ac:dyDescent="0.2">
      <c r="E146"/>
      <c r="H146"/>
      <c r="I146"/>
      <c r="J146"/>
      <c r="K146"/>
    </row>
    <row r="147" spans="5:11" x14ac:dyDescent="0.2">
      <c r="E147"/>
      <c r="H147"/>
      <c r="I147"/>
      <c r="J147"/>
      <c r="K147"/>
    </row>
    <row r="148" spans="5:11" x14ac:dyDescent="0.2">
      <c r="E148"/>
      <c r="H148"/>
      <c r="I148"/>
      <c r="J148"/>
      <c r="K148"/>
    </row>
    <row r="149" spans="5:11" x14ac:dyDescent="0.2">
      <c r="E149"/>
      <c r="H149"/>
      <c r="I149"/>
      <c r="J149"/>
      <c r="K149"/>
    </row>
    <row r="150" spans="5:11" x14ac:dyDescent="0.2">
      <c r="E150"/>
      <c r="H150"/>
      <c r="I150"/>
      <c r="J150"/>
      <c r="K150"/>
    </row>
    <row r="151" spans="5:11" x14ac:dyDescent="0.2">
      <c r="E151"/>
      <c r="H151"/>
      <c r="I151"/>
      <c r="J151"/>
      <c r="K151"/>
    </row>
    <row r="152" spans="5:11" x14ac:dyDescent="0.2">
      <c r="E152"/>
      <c r="H152"/>
      <c r="I152"/>
      <c r="J152"/>
      <c r="K152"/>
    </row>
    <row r="153" spans="5:11" x14ac:dyDescent="0.2">
      <c r="E153"/>
      <c r="H153"/>
      <c r="I153"/>
      <c r="J153"/>
      <c r="K153"/>
    </row>
    <row r="154" spans="5:11" x14ac:dyDescent="0.2">
      <c r="E154"/>
      <c r="H154"/>
      <c r="I154"/>
      <c r="J154"/>
      <c r="K154"/>
    </row>
    <row r="155" spans="5:11" x14ac:dyDescent="0.2">
      <c r="E155"/>
      <c r="H155"/>
      <c r="I155"/>
      <c r="J155"/>
      <c r="K155"/>
    </row>
    <row r="156" spans="5:11" x14ac:dyDescent="0.2">
      <c r="E156"/>
      <c r="H156"/>
      <c r="I156"/>
      <c r="J156"/>
      <c r="K156"/>
    </row>
    <row r="157" spans="5:11" x14ac:dyDescent="0.2">
      <c r="E157"/>
      <c r="H157"/>
      <c r="I157"/>
      <c r="J157"/>
      <c r="K157"/>
    </row>
    <row r="158" spans="5:11" x14ac:dyDescent="0.2">
      <c r="E158"/>
      <c r="H158"/>
      <c r="I158"/>
      <c r="J158"/>
      <c r="K158"/>
    </row>
    <row r="159" spans="5:11" x14ac:dyDescent="0.2">
      <c r="E159"/>
      <c r="H159"/>
      <c r="I159"/>
      <c r="J159"/>
      <c r="K159"/>
    </row>
    <row r="160" spans="5:11" x14ac:dyDescent="0.2">
      <c r="E160"/>
      <c r="H160"/>
      <c r="I160"/>
      <c r="J160"/>
      <c r="K160"/>
    </row>
    <row r="161" spans="5:11" x14ac:dyDescent="0.2">
      <c r="E161"/>
      <c r="H161"/>
      <c r="I161"/>
      <c r="J161"/>
      <c r="K161"/>
    </row>
    <row r="162" spans="5:11" x14ac:dyDescent="0.2">
      <c r="E162"/>
      <c r="H162"/>
      <c r="I162"/>
      <c r="J162"/>
      <c r="K162"/>
    </row>
    <row r="163" spans="5:11" x14ac:dyDescent="0.2">
      <c r="E163"/>
      <c r="H163"/>
      <c r="I163"/>
      <c r="J163"/>
      <c r="K163"/>
    </row>
    <row r="164" spans="5:11" x14ac:dyDescent="0.2">
      <c r="E164"/>
      <c r="H164"/>
      <c r="I164"/>
      <c r="J164"/>
      <c r="K164"/>
    </row>
    <row r="165" spans="5:11" x14ac:dyDescent="0.2">
      <c r="E165"/>
      <c r="H165"/>
      <c r="I165"/>
      <c r="J165"/>
      <c r="K165"/>
    </row>
    <row r="166" spans="5:11" x14ac:dyDescent="0.2">
      <c r="E166"/>
      <c r="H166"/>
      <c r="I166"/>
      <c r="J166"/>
      <c r="K166"/>
    </row>
    <row r="167" spans="5:11" x14ac:dyDescent="0.2">
      <c r="E167"/>
      <c r="H167"/>
      <c r="I167"/>
      <c r="J167"/>
      <c r="K167"/>
    </row>
    <row r="168" spans="5:11" x14ac:dyDescent="0.2">
      <c r="E168"/>
      <c r="H168"/>
      <c r="I168"/>
      <c r="J168"/>
      <c r="K168"/>
    </row>
    <row r="169" spans="5:11" x14ac:dyDescent="0.2">
      <c r="E169"/>
      <c r="H169"/>
      <c r="I169"/>
      <c r="J169"/>
      <c r="K169"/>
    </row>
    <row r="170" spans="5:11" x14ac:dyDescent="0.2">
      <c r="E170"/>
      <c r="H170"/>
      <c r="I170"/>
      <c r="J170"/>
      <c r="K170"/>
    </row>
    <row r="171" spans="5:11" x14ac:dyDescent="0.2">
      <c r="E171"/>
      <c r="H171"/>
      <c r="I171"/>
      <c r="J171"/>
      <c r="K171"/>
    </row>
    <row r="172" spans="5:11" x14ac:dyDescent="0.2">
      <c r="E172"/>
      <c r="H172"/>
      <c r="I172"/>
      <c r="J172"/>
      <c r="K172"/>
    </row>
    <row r="173" spans="5:11" x14ac:dyDescent="0.2">
      <c r="E173"/>
      <c r="H173"/>
      <c r="I173"/>
      <c r="J173"/>
      <c r="K173"/>
    </row>
    <row r="174" spans="5:11" x14ac:dyDescent="0.2">
      <c r="E174"/>
      <c r="H174"/>
      <c r="I174"/>
      <c r="J174"/>
      <c r="K174"/>
    </row>
    <row r="175" spans="5:11" x14ac:dyDescent="0.2">
      <c r="E175"/>
      <c r="H175"/>
      <c r="I175"/>
      <c r="J175"/>
      <c r="K175"/>
    </row>
    <row r="176" spans="5:11" x14ac:dyDescent="0.2">
      <c r="E176"/>
      <c r="H176"/>
      <c r="I176"/>
      <c r="J176"/>
      <c r="K176"/>
    </row>
    <row r="177" spans="5:11" x14ac:dyDescent="0.2">
      <c r="E177"/>
      <c r="H177"/>
      <c r="I177"/>
      <c r="J177"/>
      <c r="K177"/>
    </row>
    <row r="178" spans="5:11" x14ac:dyDescent="0.2">
      <c r="E178"/>
      <c r="H178"/>
      <c r="I178"/>
      <c r="J178"/>
      <c r="K178"/>
    </row>
    <row r="179" spans="5:11" x14ac:dyDescent="0.2">
      <c r="E179"/>
      <c r="H179"/>
      <c r="I179"/>
      <c r="J179"/>
      <c r="K179"/>
    </row>
    <row r="180" spans="5:11" x14ac:dyDescent="0.2">
      <c r="E180"/>
      <c r="H180"/>
      <c r="I180"/>
      <c r="J180"/>
      <c r="K180"/>
    </row>
    <row r="181" spans="5:11" x14ac:dyDescent="0.2">
      <c r="E181"/>
      <c r="H181"/>
      <c r="I181"/>
      <c r="J181"/>
      <c r="K181"/>
    </row>
    <row r="182" spans="5:11" x14ac:dyDescent="0.2">
      <c r="E182"/>
      <c r="H182"/>
      <c r="I182"/>
      <c r="J182"/>
      <c r="K182"/>
    </row>
    <row r="183" spans="5:11" x14ac:dyDescent="0.2">
      <c r="E183"/>
      <c r="H183"/>
      <c r="I183"/>
      <c r="J183"/>
      <c r="K183"/>
    </row>
    <row r="184" spans="5:11" x14ac:dyDescent="0.2">
      <c r="E184"/>
      <c r="H184"/>
      <c r="I184"/>
      <c r="J184"/>
      <c r="K184"/>
    </row>
    <row r="185" spans="5:11" x14ac:dyDescent="0.2">
      <c r="E185"/>
      <c r="H185"/>
      <c r="I185"/>
      <c r="J185"/>
      <c r="K185"/>
    </row>
    <row r="186" spans="5:11" x14ac:dyDescent="0.2">
      <c r="E186"/>
      <c r="H186"/>
      <c r="I186"/>
      <c r="J186"/>
      <c r="K186"/>
    </row>
    <row r="187" spans="5:11" x14ac:dyDescent="0.2">
      <c r="E187"/>
      <c r="H187"/>
      <c r="I187"/>
      <c r="J187"/>
      <c r="K187"/>
    </row>
    <row r="188" spans="5:11" x14ac:dyDescent="0.2">
      <c r="E188"/>
      <c r="H188"/>
      <c r="I188"/>
      <c r="J188"/>
      <c r="K188"/>
    </row>
    <row r="189" spans="5:11" x14ac:dyDescent="0.2">
      <c r="E189"/>
      <c r="H189"/>
      <c r="I189"/>
      <c r="J189"/>
      <c r="K189"/>
    </row>
    <row r="190" spans="5:11" x14ac:dyDescent="0.2">
      <c r="E190"/>
      <c r="H190"/>
      <c r="I190"/>
      <c r="J190"/>
      <c r="K190"/>
    </row>
    <row r="191" spans="5:11" x14ac:dyDescent="0.2">
      <c r="E191"/>
      <c r="H191"/>
      <c r="I191"/>
      <c r="J191"/>
      <c r="K191"/>
    </row>
    <row r="192" spans="5:11" x14ac:dyDescent="0.2">
      <c r="E192"/>
      <c r="H192"/>
      <c r="I192"/>
      <c r="J192"/>
      <c r="K192"/>
    </row>
    <row r="193" spans="5:11" x14ac:dyDescent="0.2">
      <c r="E193"/>
      <c r="H193"/>
      <c r="I193"/>
      <c r="J193"/>
      <c r="K193"/>
    </row>
    <row r="194" spans="5:11" x14ac:dyDescent="0.2">
      <c r="E194"/>
      <c r="H194"/>
      <c r="I194"/>
      <c r="J194"/>
      <c r="K194"/>
    </row>
    <row r="195" spans="5:11" x14ac:dyDescent="0.2">
      <c r="E195"/>
      <c r="H195"/>
      <c r="I195"/>
      <c r="J195"/>
      <c r="K195"/>
    </row>
    <row r="196" spans="5:11" x14ac:dyDescent="0.2">
      <c r="E196"/>
      <c r="H196"/>
      <c r="I196"/>
      <c r="J196"/>
      <c r="K196"/>
    </row>
    <row r="197" spans="5:11" x14ac:dyDescent="0.2">
      <c r="E197"/>
      <c r="H197"/>
      <c r="I197"/>
      <c r="J197"/>
      <c r="K197"/>
    </row>
    <row r="198" spans="5:11" x14ac:dyDescent="0.2">
      <c r="E198"/>
      <c r="H198"/>
      <c r="I198"/>
      <c r="J198"/>
      <c r="K198"/>
    </row>
    <row r="199" spans="5:11" x14ac:dyDescent="0.2">
      <c r="E199"/>
      <c r="H199"/>
      <c r="I199"/>
      <c r="J199"/>
      <c r="K199"/>
    </row>
    <row r="200" spans="5:11" x14ac:dyDescent="0.2">
      <c r="E200"/>
      <c r="H200"/>
      <c r="I200"/>
      <c r="J200"/>
      <c r="K200"/>
    </row>
    <row r="201" spans="5:11" x14ac:dyDescent="0.2">
      <c r="E201"/>
      <c r="H201"/>
      <c r="I201"/>
      <c r="J201"/>
      <c r="K201"/>
    </row>
    <row r="202" spans="5:11" x14ac:dyDescent="0.2">
      <c r="E202"/>
      <c r="H202"/>
      <c r="I202"/>
      <c r="J202"/>
      <c r="K202"/>
    </row>
    <row r="203" spans="5:11" x14ac:dyDescent="0.2">
      <c r="E203"/>
      <c r="H203"/>
      <c r="I203"/>
      <c r="J203"/>
      <c r="K203"/>
    </row>
    <row r="204" spans="5:11" x14ac:dyDescent="0.2">
      <c r="E204"/>
      <c r="H204"/>
      <c r="I204"/>
      <c r="J204"/>
      <c r="K204"/>
    </row>
    <row r="205" spans="5:11" x14ac:dyDescent="0.2">
      <c r="E205"/>
      <c r="H205"/>
      <c r="I205"/>
      <c r="J205"/>
      <c r="K205"/>
    </row>
    <row r="206" spans="5:11" x14ac:dyDescent="0.2">
      <c r="E206"/>
      <c r="H206"/>
      <c r="I206"/>
      <c r="J206"/>
      <c r="K206"/>
    </row>
    <row r="207" spans="5:11" x14ac:dyDescent="0.2">
      <c r="E207"/>
      <c r="H207"/>
      <c r="I207"/>
      <c r="J207"/>
      <c r="K207"/>
    </row>
    <row r="208" spans="5:11" x14ac:dyDescent="0.2">
      <c r="E208"/>
      <c r="H208"/>
      <c r="I208"/>
      <c r="J208"/>
      <c r="K208"/>
    </row>
    <row r="209" spans="5:11" x14ac:dyDescent="0.2">
      <c r="E209"/>
      <c r="H209"/>
      <c r="I209"/>
      <c r="J209"/>
      <c r="K209"/>
    </row>
    <row r="210" spans="5:11" x14ac:dyDescent="0.2">
      <c r="E210"/>
      <c r="H210"/>
      <c r="I210"/>
      <c r="J210"/>
      <c r="K210"/>
    </row>
    <row r="211" spans="5:11" x14ac:dyDescent="0.2">
      <c r="E211"/>
      <c r="H211"/>
      <c r="I211"/>
      <c r="J211"/>
      <c r="K211"/>
    </row>
    <row r="212" spans="5:11" x14ac:dyDescent="0.2">
      <c r="E212"/>
      <c r="H212"/>
      <c r="I212"/>
      <c r="J212"/>
      <c r="K212"/>
    </row>
    <row r="213" spans="5:11" x14ac:dyDescent="0.2">
      <c r="E213"/>
      <c r="H213"/>
      <c r="I213"/>
      <c r="J213"/>
      <c r="K213"/>
    </row>
    <row r="214" spans="5:11" x14ac:dyDescent="0.2">
      <c r="E214"/>
      <c r="H214"/>
      <c r="I214"/>
      <c r="J214"/>
      <c r="K214"/>
    </row>
    <row r="215" spans="5:11" x14ac:dyDescent="0.2">
      <c r="E215"/>
      <c r="H215"/>
      <c r="I215"/>
      <c r="J215"/>
      <c r="K215"/>
    </row>
    <row r="216" spans="5:11" x14ac:dyDescent="0.2">
      <c r="E216"/>
      <c r="H216"/>
      <c r="I216"/>
      <c r="J216"/>
      <c r="K216"/>
    </row>
    <row r="217" spans="5:11" x14ac:dyDescent="0.2">
      <c r="E217"/>
      <c r="H217"/>
      <c r="I217"/>
      <c r="J217"/>
      <c r="K217"/>
    </row>
    <row r="218" spans="5:11" x14ac:dyDescent="0.2">
      <c r="E218"/>
      <c r="H218"/>
      <c r="I218"/>
      <c r="J218"/>
      <c r="K218"/>
    </row>
    <row r="219" spans="5:11" x14ac:dyDescent="0.2">
      <c r="E219"/>
      <c r="H219"/>
      <c r="I219"/>
      <c r="J219"/>
      <c r="K219"/>
    </row>
    <row r="220" spans="5:11" x14ac:dyDescent="0.2">
      <c r="E220"/>
      <c r="H220"/>
      <c r="I220"/>
      <c r="J220"/>
      <c r="K220"/>
    </row>
    <row r="221" spans="5:11" x14ac:dyDescent="0.2">
      <c r="E221"/>
      <c r="H221"/>
      <c r="I221"/>
      <c r="J221"/>
      <c r="K221"/>
    </row>
    <row r="222" spans="5:11" x14ac:dyDescent="0.2">
      <c r="E222"/>
      <c r="H222"/>
      <c r="I222"/>
      <c r="J222"/>
      <c r="K222"/>
    </row>
    <row r="223" spans="5:11" x14ac:dyDescent="0.2">
      <c r="E223"/>
      <c r="H223"/>
      <c r="I223"/>
      <c r="J223"/>
      <c r="K223"/>
    </row>
    <row r="224" spans="5:11" x14ac:dyDescent="0.2">
      <c r="E224"/>
      <c r="H224"/>
      <c r="I224"/>
      <c r="J224"/>
      <c r="K224"/>
    </row>
    <row r="225" spans="5:11" x14ac:dyDescent="0.2">
      <c r="E225"/>
      <c r="H225"/>
      <c r="I225"/>
      <c r="J225"/>
      <c r="K225"/>
    </row>
    <row r="226" spans="5:11" x14ac:dyDescent="0.2">
      <c r="E226"/>
      <c r="H226"/>
      <c r="I226"/>
      <c r="J226"/>
      <c r="K226"/>
    </row>
    <row r="227" spans="5:11" x14ac:dyDescent="0.2">
      <c r="E227"/>
      <c r="H227"/>
      <c r="I227"/>
      <c r="J227"/>
      <c r="K227"/>
    </row>
    <row r="228" spans="5:11" x14ac:dyDescent="0.2">
      <c r="E228"/>
      <c r="H228"/>
      <c r="I228"/>
      <c r="J228"/>
      <c r="K228"/>
    </row>
    <row r="229" spans="5:11" x14ac:dyDescent="0.2">
      <c r="E229"/>
      <c r="H229"/>
      <c r="I229"/>
      <c r="J229"/>
      <c r="K229"/>
    </row>
    <row r="230" spans="5:11" x14ac:dyDescent="0.2">
      <c r="E230"/>
      <c r="H230"/>
      <c r="I230"/>
      <c r="J230"/>
      <c r="K230"/>
    </row>
    <row r="231" spans="5:11" x14ac:dyDescent="0.2">
      <c r="E231"/>
      <c r="H231"/>
      <c r="I231"/>
      <c r="J231"/>
      <c r="K231"/>
    </row>
    <row r="232" spans="5:11" x14ac:dyDescent="0.2">
      <c r="E232"/>
      <c r="H232"/>
      <c r="I232"/>
      <c r="J232"/>
      <c r="K232"/>
    </row>
    <row r="233" spans="5:11" x14ac:dyDescent="0.2">
      <c r="E233"/>
      <c r="H233"/>
      <c r="I233"/>
      <c r="J233"/>
      <c r="K233"/>
    </row>
    <row r="234" spans="5:11" x14ac:dyDescent="0.2">
      <c r="E234"/>
      <c r="H234"/>
      <c r="I234"/>
      <c r="J234"/>
      <c r="K234"/>
    </row>
    <row r="235" spans="5:11" x14ac:dyDescent="0.2">
      <c r="E235"/>
      <c r="H235"/>
      <c r="I235"/>
      <c r="J235"/>
      <c r="K235"/>
    </row>
    <row r="236" spans="5:11" x14ac:dyDescent="0.2">
      <c r="E236"/>
      <c r="H236"/>
      <c r="I236"/>
      <c r="J236"/>
      <c r="K236"/>
    </row>
    <row r="237" spans="5:11" x14ac:dyDescent="0.2">
      <c r="E237"/>
      <c r="H237"/>
      <c r="I237"/>
      <c r="J237"/>
      <c r="K237"/>
    </row>
    <row r="238" spans="5:11" x14ac:dyDescent="0.2">
      <c r="E238"/>
      <c r="H238"/>
      <c r="I238"/>
      <c r="J238"/>
      <c r="K238"/>
    </row>
    <row r="239" spans="5:11" x14ac:dyDescent="0.2">
      <c r="E239"/>
      <c r="H239"/>
      <c r="I239"/>
      <c r="J239"/>
      <c r="K239"/>
    </row>
    <row r="240" spans="5:11" x14ac:dyDescent="0.2">
      <c r="E240"/>
      <c r="H240"/>
      <c r="I240"/>
      <c r="J240"/>
      <c r="K240"/>
    </row>
    <row r="241" spans="5:11" x14ac:dyDescent="0.2">
      <c r="E241"/>
      <c r="H241"/>
      <c r="I241"/>
      <c r="J241"/>
      <c r="K241"/>
    </row>
    <row r="242" spans="5:11" x14ac:dyDescent="0.2">
      <c r="E242"/>
      <c r="H242"/>
      <c r="I242"/>
      <c r="J242"/>
      <c r="K242"/>
    </row>
    <row r="243" spans="5:11" x14ac:dyDescent="0.2">
      <c r="E243"/>
      <c r="H243"/>
      <c r="I243"/>
      <c r="J243"/>
      <c r="K243"/>
    </row>
    <row r="244" spans="5:11" x14ac:dyDescent="0.2">
      <c r="E244"/>
      <c r="H244"/>
      <c r="I244"/>
      <c r="J244"/>
      <c r="K244"/>
    </row>
    <row r="245" spans="5:11" x14ac:dyDescent="0.2">
      <c r="E245"/>
      <c r="H245"/>
      <c r="I245"/>
      <c r="J245"/>
      <c r="K245"/>
    </row>
    <row r="246" spans="5:11" x14ac:dyDescent="0.2">
      <c r="E246"/>
      <c r="H246"/>
      <c r="I246"/>
      <c r="J246"/>
      <c r="K246"/>
    </row>
    <row r="247" spans="5:11" x14ac:dyDescent="0.2">
      <c r="E247"/>
      <c r="H247"/>
      <c r="I247"/>
      <c r="J247"/>
      <c r="K247"/>
    </row>
    <row r="248" spans="5:11" x14ac:dyDescent="0.2">
      <c r="E248"/>
      <c r="H248"/>
      <c r="I248"/>
      <c r="J248"/>
      <c r="K248"/>
    </row>
    <row r="249" spans="5:11" x14ac:dyDescent="0.2">
      <c r="E249"/>
      <c r="H249"/>
      <c r="I249"/>
      <c r="J249"/>
      <c r="K249"/>
    </row>
    <row r="250" spans="5:11" x14ac:dyDescent="0.2">
      <c r="E250"/>
      <c r="H250"/>
      <c r="I250"/>
      <c r="J250"/>
      <c r="K250"/>
    </row>
    <row r="251" spans="5:11" x14ac:dyDescent="0.2">
      <c r="E251"/>
      <c r="H251"/>
      <c r="I251"/>
      <c r="J251"/>
      <c r="K251"/>
    </row>
    <row r="252" spans="5:11" x14ac:dyDescent="0.2">
      <c r="E252"/>
      <c r="H252"/>
      <c r="I252"/>
      <c r="J252"/>
      <c r="K252"/>
    </row>
    <row r="253" spans="5:11" x14ac:dyDescent="0.2">
      <c r="E253"/>
      <c r="H253"/>
      <c r="I253"/>
      <c r="J253"/>
      <c r="K253"/>
    </row>
    <row r="254" spans="5:11" x14ac:dyDescent="0.2">
      <c r="E254"/>
      <c r="H254"/>
      <c r="I254"/>
      <c r="J254"/>
      <c r="K254"/>
    </row>
    <row r="255" spans="5:11" x14ac:dyDescent="0.2">
      <c r="E255"/>
      <c r="H255"/>
      <c r="I255"/>
      <c r="J255"/>
      <c r="K255"/>
    </row>
    <row r="256" spans="5:11" x14ac:dyDescent="0.2">
      <c r="E256"/>
      <c r="H256"/>
      <c r="I256"/>
      <c r="J256"/>
      <c r="K256"/>
    </row>
    <row r="257" spans="5:11" x14ac:dyDescent="0.2">
      <c r="E257"/>
      <c r="H257"/>
      <c r="I257"/>
      <c r="J257"/>
      <c r="K257"/>
    </row>
    <row r="258" spans="5:11" x14ac:dyDescent="0.2">
      <c r="E258"/>
      <c r="H258"/>
      <c r="I258"/>
      <c r="J258"/>
      <c r="K258"/>
    </row>
    <row r="259" spans="5:11" x14ac:dyDescent="0.2">
      <c r="E259"/>
      <c r="H259"/>
      <c r="I259"/>
      <c r="J259"/>
      <c r="K259"/>
    </row>
    <row r="260" spans="5:11" x14ac:dyDescent="0.2">
      <c r="E260"/>
      <c r="H260"/>
      <c r="I260"/>
      <c r="J260"/>
      <c r="K260"/>
    </row>
    <row r="261" spans="5:11" x14ac:dyDescent="0.2">
      <c r="E261"/>
      <c r="H261"/>
      <c r="I261"/>
      <c r="J261"/>
      <c r="K261"/>
    </row>
    <row r="262" spans="5:11" x14ac:dyDescent="0.2">
      <c r="E262"/>
      <c r="H262"/>
      <c r="I262"/>
      <c r="J262"/>
      <c r="K262"/>
    </row>
    <row r="263" spans="5:11" x14ac:dyDescent="0.2">
      <c r="E263"/>
      <c r="H263"/>
      <c r="I263"/>
      <c r="J263"/>
      <c r="K263"/>
    </row>
    <row r="264" spans="5:11" x14ac:dyDescent="0.2">
      <c r="E264"/>
      <c r="H264"/>
      <c r="I264"/>
      <c r="J264"/>
      <c r="K264"/>
    </row>
    <row r="265" spans="5:11" x14ac:dyDescent="0.2">
      <c r="E265"/>
      <c r="H265"/>
      <c r="I265"/>
      <c r="J265"/>
      <c r="K265"/>
    </row>
    <row r="266" spans="5:11" x14ac:dyDescent="0.2">
      <c r="E266"/>
      <c r="H266"/>
      <c r="I266"/>
      <c r="J266"/>
      <c r="K266"/>
    </row>
    <row r="267" spans="5:11" x14ac:dyDescent="0.2">
      <c r="E267"/>
      <c r="H267"/>
      <c r="I267"/>
      <c r="J267"/>
      <c r="K267"/>
    </row>
    <row r="268" spans="5:11" x14ac:dyDescent="0.2">
      <c r="E268"/>
      <c r="H268"/>
      <c r="I268"/>
      <c r="J268"/>
      <c r="K268"/>
    </row>
    <row r="269" spans="5:11" x14ac:dyDescent="0.2">
      <c r="E269"/>
      <c r="H269"/>
      <c r="I269"/>
      <c r="J269"/>
      <c r="K269"/>
    </row>
    <row r="270" spans="5:11" x14ac:dyDescent="0.2">
      <c r="E270"/>
      <c r="H270"/>
      <c r="I270"/>
      <c r="J270"/>
      <c r="K270"/>
    </row>
    <row r="271" spans="5:11" x14ac:dyDescent="0.2">
      <c r="E271"/>
      <c r="H271"/>
      <c r="I271"/>
      <c r="J271"/>
      <c r="K271"/>
    </row>
    <row r="272" spans="5:11" x14ac:dyDescent="0.2">
      <c r="E272"/>
      <c r="H272"/>
      <c r="I272"/>
      <c r="J272"/>
      <c r="K272"/>
    </row>
    <row r="273" spans="5:11" x14ac:dyDescent="0.2">
      <c r="E273"/>
      <c r="H273"/>
      <c r="I273"/>
      <c r="J273"/>
      <c r="K273"/>
    </row>
    <row r="274" spans="5:11" x14ac:dyDescent="0.2">
      <c r="E274"/>
      <c r="H274"/>
      <c r="I274"/>
      <c r="J274"/>
      <c r="K274"/>
    </row>
    <row r="275" spans="5:11" x14ac:dyDescent="0.2">
      <c r="E275"/>
      <c r="H275"/>
      <c r="I275"/>
      <c r="J275"/>
      <c r="K275"/>
    </row>
    <row r="276" spans="5:11" x14ac:dyDescent="0.2">
      <c r="E276"/>
      <c r="H276"/>
      <c r="I276"/>
      <c r="J276"/>
      <c r="K276"/>
    </row>
    <row r="277" spans="5:11" x14ac:dyDescent="0.2">
      <c r="E277"/>
      <c r="H277"/>
      <c r="I277"/>
      <c r="J277"/>
      <c r="K277"/>
    </row>
    <row r="278" spans="5:11" x14ac:dyDescent="0.2">
      <c r="E278"/>
      <c r="H278"/>
      <c r="I278"/>
      <c r="J278"/>
      <c r="K278"/>
    </row>
    <row r="279" spans="5:11" x14ac:dyDescent="0.2">
      <c r="E279"/>
      <c r="H279"/>
      <c r="I279"/>
      <c r="J279"/>
      <c r="K279"/>
    </row>
    <row r="280" spans="5:11" x14ac:dyDescent="0.2">
      <c r="E280"/>
      <c r="H280"/>
      <c r="I280"/>
      <c r="J280"/>
      <c r="K280"/>
    </row>
    <row r="281" spans="5:11" x14ac:dyDescent="0.2">
      <c r="E281"/>
      <c r="H281"/>
      <c r="I281"/>
      <c r="J281"/>
      <c r="K281"/>
    </row>
    <row r="282" spans="5:11" x14ac:dyDescent="0.2">
      <c r="E282"/>
      <c r="H282"/>
      <c r="I282"/>
      <c r="J282"/>
      <c r="K282"/>
    </row>
    <row r="283" spans="5:11" x14ac:dyDescent="0.2">
      <c r="E283"/>
      <c r="H283"/>
      <c r="I283"/>
      <c r="J283"/>
      <c r="K283"/>
    </row>
    <row r="284" spans="5:11" x14ac:dyDescent="0.2">
      <c r="E284"/>
      <c r="H284"/>
      <c r="I284"/>
      <c r="J284"/>
      <c r="K284"/>
    </row>
    <row r="285" spans="5:11" x14ac:dyDescent="0.2">
      <c r="E285"/>
      <c r="H285"/>
      <c r="I285"/>
      <c r="J285"/>
      <c r="K285"/>
    </row>
    <row r="286" spans="5:11" x14ac:dyDescent="0.2">
      <c r="E286"/>
      <c r="H286"/>
      <c r="I286"/>
      <c r="J286"/>
      <c r="K286"/>
    </row>
    <row r="287" spans="5:11" x14ac:dyDescent="0.2">
      <c r="E287"/>
      <c r="H287"/>
      <c r="I287"/>
      <c r="J287"/>
      <c r="K287"/>
    </row>
    <row r="288" spans="5:11" x14ac:dyDescent="0.2">
      <c r="E288"/>
      <c r="H288"/>
      <c r="I288"/>
      <c r="J288"/>
      <c r="K288"/>
    </row>
    <row r="289" spans="5:11" x14ac:dyDescent="0.2">
      <c r="E289"/>
      <c r="H289"/>
      <c r="I289"/>
      <c r="J289"/>
      <c r="K289"/>
    </row>
    <row r="290" spans="5:11" x14ac:dyDescent="0.2">
      <c r="E290"/>
      <c r="H290"/>
      <c r="I290"/>
      <c r="J290"/>
      <c r="K290"/>
    </row>
    <row r="291" spans="5:11" x14ac:dyDescent="0.2">
      <c r="E291"/>
      <c r="H291"/>
      <c r="I291"/>
      <c r="J291"/>
      <c r="K291"/>
    </row>
    <row r="292" spans="5:11" x14ac:dyDescent="0.2">
      <c r="E292"/>
      <c r="H292"/>
      <c r="I292"/>
      <c r="J292"/>
      <c r="K292"/>
    </row>
    <row r="293" spans="5:11" x14ac:dyDescent="0.2">
      <c r="E293"/>
      <c r="H293"/>
      <c r="I293"/>
      <c r="J293"/>
      <c r="K293"/>
    </row>
    <row r="294" spans="5:11" x14ac:dyDescent="0.2">
      <c r="E294"/>
      <c r="H294"/>
      <c r="I294"/>
      <c r="J294"/>
      <c r="K294"/>
    </row>
    <row r="295" spans="5:11" x14ac:dyDescent="0.2">
      <c r="E295"/>
      <c r="H295"/>
      <c r="I295"/>
      <c r="J295"/>
      <c r="K295"/>
    </row>
    <row r="296" spans="5:11" x14ac:dyDescent="0.2">
      <c r="E296"/>
      <c r="H296"/>
      <c r="I296"/>
      <c r="J296"/>
      <c r="K296"/>
    </row>
    <row r="297" spans="5:11" x14ac:dyDescent="0.2">
      <c r="E297"/>
      <c r="H297"/>
      <c r="I297"/>
      <c r="J297"/>
      <c r="K297"/>
    </row>
    <row r="298" spans="5:11" x14ac:dyDescent="0.2">
      <c r="E298"/>
      <c r="H298"/>
      <c r="I298"/>
      <c r="J298"/>
      <c r="K298"/>
    </row>
    <row r="299" spans="5:11" x14ac:dyDescent="0.2">
      <c r="E299"/>
      <c r="H299"/>
      <c r="I299"/>
      <c r="J299"/>
      <c r="K299"/>
    </row>
    <row r="300" spans="5:11" x14ac:dyDescent="0.2">
      <c r="E300"/>
      <c r="H300"/>
      <c r="I300"/>
      <c r="J300"/>
      <c r="K300"/>
    </row>
    <row r="301" spans="5:11" x14ac:dyDescent="0.2">
      <c r="E301"/>
      <c r="H301"/>
      <c r="I301"/>
      <c r="J301"/>
      <c r="K301"/>
    </row>
    <row r="302" spans="5:11" x14ac:dyDescent="0.2">
      <c r="E302"/>
      <c r="H302"/>
      <c r="I302"/>
      <c r="J302"/>
      <c r="K302"/>
    </row>
    <row r="303" spans="5:11" x14ac:dyDescent="0.2">
      <c r="E303"/>
      <c r="H303"/>
      <c r="I303"/>
      <c r="J303"/>
      <c r="K303"/>
    </row>
    <row r="304" spans="5:11" x14ac:dyDescent="0.2">
      <c r="E304"/>
      <c r="H304"/>
      <c r="I304"/>
      <c r="J304"/>
      <c r="K304"/>
    </row>
    <row r="305" spans="5:11" x14ac:dyDescent="0.2">
      <c r="E305"/>
      <c r="H305"/>
      <c r="I305"/>
      <c r="J305"/>
      <c r="K305"/>
    </row>
    <row r="306" spans="5:11" x14ac:dyDescent="0.2">
      <c r="E306"/>
      <c r="H306"/>
      <c r="I306"/>
      <c r="J306"/>
      <c r="K306"/>
    </row>
    <row r="307" spans="5:11" x14ac:dyDescent="0.2">
      <c r="E307"/>
      <c r="H307"/>
      <c r="I307"/>
      <c r="J307"/>
      <c r="K307"/>
    </row>
    <row r="308" spans="5:11" x14ac:dyDescent="0.2">
      <c r="E308"/>
      <c r="H308"/>
      <c r="I308"/>
      <c r="J308"/>
      <c r="K308"/>
    </row>
    <row r="309" spans="5:11" x14ac:dyDescent="0.2">
      <c r="E309"/>
      <c r="H309"/>
      <c r="I309"/>
      <c r="J309"/>
      <c r="K309"/>
    </row>
    <row r="310" spans="5:11" x14ac:dyDescent="0.2">
      <c r="E310"/>
      <c r="H310"/>
      <c r="I310"/>
      <c r="J310"/>
      <c r="K310"/>
    </row>
    <row r="311" spans="5:11" x14ac:dyDescent="0.2">
      <c r="E311"/>
      <c r="H311"/>
      <c r="I311"/>
      <c r="J311"/>
      <c r="K311"/>
    </row>
    <row r="312" spans="5:11" x14ac:dyDescent="0.2">
      <c r="E312"/>
      <c r="H312"/>
      <c r="I312"/>
      <c r="J312"/>
      <c r="K312"/>
    </row>
    <row r="313" spans="5:11" x14ac:dyDescent="0.2">
      <c r="E313"/>
      <c r="H313"/>
      <c r="I313"/>
      <c r="J313"/>
      <c r="K313"/>
    </row>
    <row r="314" spans="5:11" x14ac:dyDescent="0.2">
      <c r="E314"/>
      <c r="H314"/>
      <c r="I314"/>
      <c r="J314"/>
      <c r="K314"/>
    </row>
    <row r="315" spans="5:11" x14ac:dyDescent="0.2">
      <c r="E315"/>
      <c r="H315"/>
      <c r="I315"/>
      <c r="J315"/>
      <c r="K315"/>
    </row>
    <row r="316" spans="5:11" x14ac:dyDescent="0.2">
      <c r="E316"/>
      <c r="H316"/>
      <c r="I316"/>
      <c r="J316"/>
      <c r="K316"/>
    </row>
    <row r="317" spans="5:11" x14ac:dyDescent="0.2">
      <c r="E317"/>
      <c r="H317"/>
      <c r="I317"/>
      <c r="J317"/>
      <c r="K317"/>
    </row>
    <row r="318" spans="5:11" x14ac:dyDescent="0.2">
      <c r="E318"/>
      <c r="H318"/>
      <c r="I318"/>
      <c r="J318"/>
      <c r="K318"/>
    </row>
    <row r="319" spans="5:11" x14ac:dyDescent="0.2">
      <c r="E319"/>
      <c r="H319"/>
      <c r="I319"/>
      <c r="J319"/>
      <c r="K319"/>
    </row>
    <row r="320" spans="5:11" x14ac:dyDescent="0.2">
      <c r="E320"/>
      <c r="H320"/>
      <c r="I320"/>
      <c r="J320"/>
      <c r="K320"/>
    </row>
    <row r="321" spans="5:11" x14ac:dyDescent="0.2">
      <c r="E321"/>
      <c r="H321"/>
      <c r="I321"/>
      <c r="J321"/>
      <c r="K321"/>
    </row>
    <row r="322" spans="5:11" x14ac:dyDescent="0.2">
      <c r="E322"/>
      <c r="H322"/>
      <c r="I322"/>
      <c r="J322"/>
      <c r="K322"/>
    </row>
    <row r="323" spans="5:11" x14ac:dyDescent="0.2">
      <c r="E323"/>
      <c r="H323"/>
      <c r="I323"/>
      <c r="J323"/>
      <c r="K323"/>
    </row>
    <row r="324" spans="5:11" x14ac:dyDescent="0.2">
      <c r="E324"/>
      <c r="H324"/>
      <c r="I324"/>
      <c r="J324"/>
      <c r="K324"/>
    </row>
    <row r="325" spans="5:11" x14ac:dyDescent="0.2">
      <c r="E325"/>
      <c r="H325"/>
      <c r="I325"/>
      <c r="J325"/>
      <c r="K325"/>
    </row>
    <row r="326" spans="5:11" x14ac:dyDescent="0.2">
      <c r="E326"/>
      <c r="H326"/>
      <c r="I326"/>
      <c r="J326"/>
      <c r="K326"/>
    </row>
    <row r="327" spans="5:11" x14ac:dyDescent="0.2">
      <c r="E327"/>
      <c r="H327"/>
      <c r="I327"/>
      <c r="J327"/>
      <c r="K327"/>
    </row>
    <row r="328" spans="5:11" x14ac:dyDescent="0.2">
      <c r="E328"/>
      <c r="H328"/>
      <c r="I328"/>
      <c r="J328"/>
      <c r="K328"/>
    </row>
    <row r="329" spans="5:11" x14ac:dyDescent="0.2">
      <c r="E329"/>
      <c r="H329"/>
      <c r="I329"/>
      <c r="J329"/>
      <c r="K329"/>
    </row>
    <row r="330" spans="5:11" x14ac:dyDescent="0.2">
      <c r="E330"/>
      <c r="H330"/>
      <c r="I330"/>
      <c r="J330"/>
      <c r="K330"/>
    </row>
    <row r="331" spans="5:11" x14ac:dyDescent="0.2">
      <c r="E331"/>
      <c r="H331"/>
      <c r="I331"/>
      <c r="J331"/>
      <c r="K331"/>
    </row>
    <row r="332" spans="5:11" x14ac:dyDescent="0.2">
      <c r="E332"/>
      <c r="H332"/>
      <c r="I332"/>
      <c r="J332"/>
      <c r="K332"/>
    </row>
    <row r="333" spans="5:11" x14ac:dyDescent="0.2">
      <c r="E333"/>
      <c r="H333"/>
      <c r="I333"/>
      <c r="J333"/>
      <c r="K333"/>
    </row>
    <row r="334" spans="5:11" x14ac:dyDescent="0.2">
      <c r="E334"/>
      <c r="H334"/>
      <c r="I334"/>
      <c r="J334"/>
      <c r="K334"/>
    </row>
    <row r="335" spans="5:11" x14ac:dyDescent="0.2">
      <c r="E335"/>
      <c r="H335"/>
      <c r="I335"/>
      <c r="J335"/>
      <c r="K335"/>
    </row>
    <row r="336" spans="5:11" x14ac:dyDescent="0.2">
      <c r="E336"/>
      <c r="H336"/>
      <c r="I336"/>
      <c r="J336"/>
      <c r="K336"/>
    </row>
    <row r="337" spans="5:11" x14ac:dyDescent="0.2">
      <c r="E337"/>
      <c r="H337"/>
      <c r="I337"/>
      <c r="J337"/>
      <c r="K337"/>
    </row>
    <row r="338" spans="5:11" x14ac:dyDescent="0.2">
      <c r="E338"/>
      <c r="H338"/>
      <c r="I338"/>
      <c r="J338"/>
      <c r="K338"/>
    </row>
    <row r="339" spans="5:11" x14ac:dyDescent="0.2">
      <c r="E339"/>
      <c r="H339"/>
      <c r="I339"/>
      <c r="J339"/>
      <c r="K339"/>
    </row>
    <row r="340" spans="5:11" x14ac:dyDescent="0.2">
      <c r="E340"/>
      <c r="H340"/>
      <c r="I340"/>
      <c r="J340"/>
      <c r="K340"/>
    </row>
    <row r="341" spans="5:11" x14ac:dyDescent="0.2">
      <c r="E341"/>
      <c r="H341"/>
      <c r="I341"/>
      <c r="J341"/>
      <c r="K341"/>
    </row>
    <row r="342" spans="5:11" x14ac:dyDescent="0.2">
      <c r="E342"/>
      <c r="H342"/>
      <c r="I342"/>
      <c r="J342"/>
      <c r="K342"/>
    </row>
    <row r="343" spans="5:11" x14ac:dyDescent="0.2">
      <c r="E343"/>
      <c r="H343"/>
      <c r="I343"/>
      <c r="J343"/>
      <c r="K343"/>
    </row>
    <row r="344" spans="5:11" x14ac:dyDescent="0.2">
      <c r="E344"/>
      <c r="H344"/>
      <c r="I344"/>
      <c r="J344"/>
      <c r="K344"/>
    </row>
    <row r="345" spans="5:11" x14ac:dyDescent="0.2">
      <c r="E345"/>
      <c r="H345"/>
      <c r="I345"/>
      <c r="J345"/>
      <c r="K345"/>
    </row>
    <row r="346" spans="5:11" x14ac:dyDescent="0.2">
      <c r="E346"/>
      <c r="H346"/>
      <c r="I346"/>
      <c r="J346"/>
      <c r="K346"/>
    </row>
    <row r="347" spans="5:11" x14ac:dyDescent="0.2">
      <c r="E347"/>
      <c r="H347"/>
      <c r="I347"/>
      <c r="J347"/>
      <c r="K347"/>
    </row>
    <row r="348" spans="5:11" x14ac:dyDescent="0.2">
      <c r="E348"/>
      <c r="H348"/>
      <c r="I348"/>
      <c r="J348"/>
      <c r="K348"/>
    </row>
    <row r="349" spans="5:11" x14ac:dyDescent="0.2">
      <c r="E349"/>
      <c r="H349"/>
      <c r="I349"/>
      <c r="J349"/>
      <c r="K349"/>
    </row>
    <row r="350" spans="5:11" x14ac:dyDescent="0.2">
      <c r="E350"/>
      <c r="H350"/>
      <c r="I350"/>
      <c r="J350"/>
      <c r="K350"/>
    </row>
    <row r="351" spans="5:11" x14ac:dyDescent="0.2">
      <c r="E351"/>
      <c r="H351"/>
      <c r="I351"/>
      <c r="J351"/>
      <c r="K351"/>
    </row>
    <row r="352" spans="5:11" x14ac:dyDescent="0.2">
      <c r="E352"/>
      <c r="H352"/>
      <c r="I352"/>
      <c r="J352"/>
      <c r="K352"/>
    </row>
    <row r="353" spans="5:11" x14ac:dyDescent="0.2">
      <c r="E353"/>
      <c r="H353"/>
      <c r="I353"/>
      <c r="J353"/>
      <c r="K353"/>
    </row>
    <row r="354" spans="5:11" x14ac:dyDescent="0.2">
      <c r="E354"/>
      <c r="H354"/>
      <c r="I354"/>
      <c r="J354"/>
      <c r="K354"/>
    </row>
    <row r="355" spans="5:11" x14ac:dyDescent="0.2">
      <c r="E355"/>
      <c r="H355"/>
      <c r="I355"/>
      <c r="J355"/>
      <c r="K355"/>
    </row>
    <row r="356" spans="5:11" x14ac:dyDescent="0.2">
      <c r="E356"/>
      <c r="H356"/>
      <c r="I356"/>
      <c r="J356"/>
      <c r="K356"/>
    </row>
    <row r="357" spans="5:11" x14ac:dyDescent="0.2">
      <c r="E357"/>
      <c r="H357"/>
      <c r="I357"/>
      <c r="J357"/>
      <c r="K357"/>
    </row>
    <row r="358" spans="5:11" x14ac:dyDescent="0.2">
      <c r="E358"/>
      <c r="H358"/>
      <c r="I358"/>
      <c r="J358"/>
      <c r="K358"/>
    </row>
    <row r="359" spans="5:11" x14ac:dyDescent="0.2">
      <c r="E359"/>
      <c r="H359"/>
      <c r="I359"/>
      <c r="J359"/>
      <c r="K359"/>
    </row>
    <row r="360" spans="5:11" x14ac:dyDescent="0.2">
      <c r="E360"/>
      <c r="H360"/>
      <c r="I360"/>
      <c r="J360"/>
      <c r="K360"/>
    </row>
    <row r="361" spans="5:11" x14ac:dyDescent="0.2">
      <c r="E361"/>
      <c r="H361"/>
      <c r="I361"/>
      <c r="J361"/>
      <c r="K361"/>
    </row>
    <row r="362" spans="5:11" x14ac:dyDescent="0.2">
      <c r="E362"/>
      <c r="H362"/>
      <c r="I362"/>
      <c r="J362"/>
      <c r="K362"/>
    </row>
    <row r="363" spans="5:11" x14ac:dyDescent="0.2">
      <c r="E363"/>
      <c r="H363"/>
      <c r="I363"/>
      <c r="J363"/>
      <c r="K363"/>
    </row>
    <row r="364" spans="5:11" x14ac:dyDescent="0.2">
      <c r="E364"/>
      <c r="H364"/>
      <c r="I364"/>
      <c r="J364"/>
      <c r="K364"/>
    </row>
    <row r="365" spans="5:11" x14ac:dyDescent="0.2">
      <c r="E365"/>
      <c r="H365"/>
      <c r="I365"/>
      <c r="J365"/>
      <c r="K365"/>
    </row>
    <row r="366" spans="5:11" x14ac:dyDescent="0.2">
      <c r="E366"/>
      <c r="H366"/>
      <c r="I366"/>
      <c r="J366"/>
      <c r="K366"/>
    </row>
    <row r="367" spans="5:11" x14ac:dyDescent="0.2">
      <c r="E367"/>
      <c r="H367"/>
      <c r="I367"/>
      <c r="J367"/>
      <c r="K367"/>
    </row>
    <row r="368" spans="5:11" x14ac:dyDescent="0.2">
      <c r="E368"/>
      <c r="H368"/>
      <c r="I368"/>
      <c r="J368"/>
      <c r="K368"/>
    </row>
    <row r="369" spans="5:11" x14ac:dyDescent="0.2">
      <c r="E369"/>
      <c r="H369"/>
      <c r="I369"/>
      <c r="J369"/>
      <c r="K369"/>
    </row>
    <row r="370" spans="5:11" x14ac:dyDescent="0.2">
      <c r="E370"/>
      <c r="H370"/>
      <c r="I370"/>
      <c r="J370"/>
      <c r="K370"/>
    </row>
    <row r="371" spans="5:11" x14ac:dyDescent="0.2">
      <c r="E371"/>
      <c r="H371"/>
      <c r="I371"/>
      <c r="J371"/>
      <c r="K371"/>
    </row>
    <row r="372" spans="5:11" x14ac:dyDescent="0.2">
      <c r="E372"/>
      <c r="H372"/>
      <c r="I372"/>
      <c r="J372"/>
      <c r="K372"/>
    </row>
    <row r="373" spans="5:11" x14ac:dyDescent="0.2">
      <c r="E373"/>
      <c r="H373"/>
      <c r="I373"/>
      <c r="J373"/>
      <c r="K373"/>
    </row>
    <row r="374" spans="5:11" x14ac:dyDescent="0.2">
      <c r="E374"/>
      <c r="H374"/>
      <c r="I374"/>
      <c r="J374"/>
      <c r="K374"/>
    </row>
    <row r="375" spans="5:11" x14ac:dyDescent="0.2">
      <c r="E375"/>
      <c r="H375"/>
      <c r="I375"/>
      <c r="J375"/>
      <c r="K375"/>
    </row>
    <row r="376" spans="5:11" x14ac:dyDescent="0.2">
      <c r="E376"/>
      <c r="H376"/>
      <c r="I376"/>
      <c r="J376"/>
      <c r="K376"/>
    </row>
    <row r="377" spans="5:11" x14ac:dyDescent="0.2">
      <c r="E377"/>
      <c r="H377"/>
      <c r="I377"/>
      <c r="J377"/>
      <c r="K377"/>
    </row>
    <row r="378" spans="5:11" x14ac:dyDescent="0.2">
      <c r="E378"/>
      <c r="H378"/>
      <c r="I378"/>
      <c r="J378"/>
      <c r="K378"/>
    </row>
    <row r="379" spans="5:11" x14ac:dyDescent="0.2">
      <c r="E379"/>
      <c r="H379"/>
      <c r="I379"/>
      <c r="J379"/>
      <c r="K379"/>
    </row>
    <row r="380" spans="5:11" x14ac:dyDescent="0.2">
      <c r="E380"/>
      <c r="H380"/>
      <c r="I380"/>
      <c r="J380"/>
      <c r="K380"/>
    </row>
    <row r="381" spans="5:11" x14ac:dyDescent="0.2">
      <c r="E381"/>
      <c r="H381"/>
      <c r="I381"/>
      <c r="J381"/>
      <c r="K381"/>
    </row>
    <row r="382" spans="5:11" x14ac:dyDescent="0.2">
      <c r="E382"/>
      <c r="H382"/>
      <c r="I382"/>
      <c r="J382"/>
      <c r="K382"/>
    </row>
    <row r="383" spans="5:11" x14ac:dyDescent="0.2">
      <c r="E383"/>
      <c r="H383"/>
      <c r="I383"/>
      <c r="J383"/>
      <c r="K383"/>
    </row>
    <row r="384" spans="5:11" x14ac:dyDescent="0.2">
      <c r="E384"/>
      <c r="H384"/>
      <c r="I384"/>
      <c r="J384"/>
      <c r="K384"/>
    </row>
    <row r="385" spans="5:11" x14ac:dyDescent="0.2">
      <c r="E385"/>
      <c r="H385"/>
      <c r="I385"/>
      <c r="J385"/>
      <c r="K385"/>
    </row>
    <row r="386" spans="5:11" x14ac:dyDescent="0.2">
      <c r="E386"/>
      <c r="H386"/>
      <c r="I386"/>
      <c r="J386"/>
      <c r="K386"/>
    </row>
    <row r="387" spans="5:11" x14ac:dyDescent="0.2">
      <c r="E387"/>
      <c r="H387"/>
      <c r="I387"/>
      <c r="J387"/>
      <c r="K387"/>
    </row>
    <row r="388" spans="5:11" x14ac:dyDescent="0.2">
      <c r="E388"/>
      <c r="H388"/>
      <c r="I388"/>
      <c r="J388"/>
      <c r="K388"/>
    </row>
    <row r="389" spans="5:11" x14ac:dyDescent="0.2">
      <c r="E389"/>
      <c r="H389"/>
      <c r="I389"/>
      <c r="J389"/>
      <c r="K389"/>
    </row>
    <row r="390" spans="5:11" x14ac:dyDescent="0.2">
      <c r="E390"/>
      <c r="H390"/>
      <c r="I390"/>
      <c r="J390"/>
      <c r="K390"/>
    </row>
    <row r="391" spans="5:11" x14ac:dyDescent="0.2">
      <c r="E391"/>
      <c r="H391"/>
      <c r="I391"/>
      <c r="J391"/>
      <c r="K391"/>
    </row>
    <row r="392" spans="5:11" x14ac:dyDescent="0.2">
      <c r="E392"/>
      <c r="H392"/>
      <c r="I392"/>
      <c r="J392"/>
      <c r="K392"/>
    </row>
    <row r="393" spans="5:11" x14ac:dyDescent="0.2">
      <c r="E393"/>
      <c r="H393"/>
      <c r="I393"/>
      <c r="J393"/>
      <c r="K393"/>
    </row>
    <row r="394" spans="5:11" x14ac:dyDescent="0.2">
      <c r="E394"/>
      <c r="H394"/>
      <c r="I394"/>
      <c r="J394"/>
      <c r="K394"/>
    </row>
    <row r="395" spans="5:11" x14ac:dyDescent="0.2">
      <c r="E395"/>
      <c r="H395"/>
      <c r="I395"/>
      <c r="J395"/>
      <c r="K395"/>
    </row>
    <row r="396" spans="5:11" x14ac:dyDescent="0.2">
      <c r="E396"/>
      <c r="H396"/>
      <c r="I396"/>
      <c r="J396"/>
      <c r="K396"/>
    </row>
    <row r="397" spans="5:11" x14ac:dyDescent="0.2">
      <c r="E397"/>
      <c r="H397"/>
      <c r="I397"/>
      <c r="J397"/>
      <c r="K397"/>
    </row>
    <row r="398" spans="5:11" x14ac:dyDescent="0.2">
      <c r="E398"/>
      <c r="H398"/>
      <c r="I398"/>
      <c r="J398"/>
      <c r="K398"/>
    </row>
    <row r="399" spans="5:11" x14ac:dyDescent="0.2">
      <c r="E399"/>
      <c r="H399"/>
      <c r="I399"/>
      <c r="J399"/>
      <c r="K399"/>
    </row>
    <row r="400" spans="5:11" x14ac:dyDescent="0.2">
      <c r="E400"/>
      <c r="H400"/>
      <c r="I400"/>
      <c r="J400"/>
      <c r="K400"/>
    </row>
    <row r="401" spans="5:11" x14ac:dyDescent="0.2">
      <c r="E401"/>
      <c r="H401"/>
      <c r="I401"/>
      <c r="J401"/>
      <c r="K401"/>
    </row>
    <row r="402" spans="5:11" x14ac:dyDescent="0.2">
      <c r="E402"/>
      <c r="H402"/>
      <c r="I402"/>
      <c r="J402"/>
      <c r="K402"/>
    </row>
    <row r="403" spans="5:11" x14ac:dyDescent="0.2">
      <c r="E403"/>
      <c r="H403"/>
      <c r="I403"/>
      <c r="J403"/>
      <c r="K403"/>
    </row>
    <row r="404" spans="5:11" x14ac:dyDescent="0.2">
      <c r="E404"/>
      <c r="H404"/>
      <c r="I404"/>
      <c r="J404"/>
      <c r="K404"/>
    </row>
    <row r="405" spans="5:11" x14ac:dyDescent="0.2">
      <c r="E405"/>
      <c r="H405"/>
      <c r="I405"/>
      <c r="J405"/>
      <c r="K405"/>
    </row>
    <row r="406" spans="5:11" x14ac:dyDescent="0.2">
      <c r="E406"/>
      <c r="H406"/>
      <c r="I406"/>
      <c r="J406"/>
      <c r="K406"/>
    </row>
    <row r="407" spans="5:11" x14ac:dyDescent="0.2">
      <c r="E407"/>
      <c r="H407"/>
      <c r="I407"/>
      <c r="J407"/>
      <c r="K407"/>
    </row>
    <row r="408" spans="5:11" x14ac:dyDescent="0.2">
      <c r="E408"/>
      <c r="H408"/>
      <c r="I408"/>
      <c r="J408"/>
      <c r="K408"/>
    </row>
    <row r="409" spans="5:11" x14ac:dyDescent="0.2">
      <c r="E409"/>
      <c r="H409"/>
      <c r="I409"/>
      <c r="J409"/>
      <c r="K409"/>
    </row>
    <row r="410" spans="5:11" x14ac:dyDescent="0.2">
      <c r="E410"/>
      <c r="H410"/>
      <c r="I410"/>
      <c r="J410"/>
      <c r="K410"/>
    </row>
    <row r="411" spans="5:11" x14ac:dyDescent="0.2">
      <c r="E411"/>
      <c r="H411"/>
      <c r="I411"/>
      <c r="J411"/>
      <c r="K411"/>
    </row>
    <row r="412" spans="5:11" x14ac:dyDescent="0.2">
      <c r="E412"/>
      <c r="H412"/>
      <c r="I412"/>
      <c r="J412"/>
      <c r="K412"/>
    </row>
    <row r="413" spans="5:11" x14ac:dyDescent="0.2">
      <c r="E413"/>
      <c r="H413"/>
      <c r="I413"/>
      <c r="J413"/>
      <c r="K413"/>
    </row>
    <row r="414" spans="5:11" x14ac:dyDescent="0.2">
      <c r="E414"/>
      <c r="H414"/>
      <c r="I414"/>
      <c r="J414"/>
      <c r="K414"/>
    </row>
    <row r="415" spans="5:11" x14ac:dyDescent="0.2">
      <c r="E415"/>
      <c r="H415"/>
      <c r="I415"/>
      <c r="J415"/>
      <c r="K415"/>
    </row>
    <row r="416" spans="5:11" x14ac:dyDescent="0.2">
      <c r="E416"/>
      <c r="H416"/>
      <c r="I416"/>
      <c r="J416"/>
      <c r="K416"/>
    </row>
    <row r="417" spans="5:11" x14ac:dyDescent="0.2">
      <c r="E417"/>
      <c r="H417"/>
      <c r="I417"/>
      <c r="J417"/>
      <c r="K417"/>
    </row>
    <row r="418" spans="5:11" x14ac:dyDescent="0.2">
      <c r="E418"/>
      <c r="H418"/>
      <c r="I418"/>
      <c r="J418"/>
      <c r="K418"/>
    </row>
    <row r="419" spans="5:11" x14ac:dyDescent="0.2">
      <c r="E419"/>
      <c r="H419"/>
      <c r="I419"/>
      <c r="J419"/>
      <c r="K419"/>
    </row>
    <row r="420" spans="5:11" x14ac:dyDescent="0.2">
      <c r="E420"/>
      <c r="H420"/>
      <c r="I420"/>
      <c r="J420"/>
      <c r="K420"/>
    </row>
    <row r="421" spans="5:11" x14ac:dyDescent="0.2">
      <c r="E421"/>
      <c r="H421"/>
      <c r="I421"/>
      <c r="J421"/>
      <c r="K421"/>
    </row>
    <row r="422" spans="5:11" x14ac:dyDescent="0.2">
      <c r="E422"/>
      <c r="H422"/>
      <c r="I422"/>
      <c r="J422"/>
      <c r="K422"/>
    </row>
    <row r="423" spans="5:11" x14ac:dyDescent="0.2">
      <c r="E423"/>
      <c r="H423"/>
      <c r="I423"/>
      <c r="J423"/>
      <c r="K423"/>
    </row>
    <row r="424" spans="5:11" x14ac:dyDescent="0.2">
      <c r="E424"/>
      <c r="H424"/>
      <c r="I424"/>
      <c r="J424"/>
      <c r="K424"/>
    </row>
    <row r="425" spans="5:11" x14ac:dyDescent="0.2">
      <c r="E425"/>
      <c r="H425"/>
      <c r="I425"/>
      <c r="J425"/>
      <c r="K425"/>
    </row>
    <row r="426" spans="5:11" x14ac:dyDescent="0.2">
      <c r="E426"/>
      <c r="H426"/>
      <c r="I426"/>
      <c r="J426"/>
      <c r="K426"/>
    </row>
    <row r="427" spans="5:11" x14ac:dyDescent="0.2">
      <c r="E427"/>
      <c r="H427"/>
      <c r="I427"/>
      <c r="J427"/>
      <c r="K427"/>
    </row>
    <row r="428" spans="5:11" x14ac:dyDescent="0.2">
      <c r="E428"/>
      <c r="H428"/>
      <c r="I428"/>
      <c r="J428"/>
      <c r="K428"/>
    </row>
    <row r="429" spans="5:11" x14ac:dyDescent="0.2">
      <c r="E429"/>
      <c r="H429"/>
      <c r="I429"/>
      <c r="J429"/>
      <c r="K429"/>
    </row>
    <row r="430" spans="5:11" x14ac:dyDescent="0.2">
      <c r="E430"/>
      <c r="H430"/>
      <c r="I430"/>
      <c r="J430"/>
      <c r="K430"/>
    </row>
    <row r="431" spans="5:11" x14ac:dyDescent="0.2">
      <c r="E431"/>
      <c r="H431"/>
      <c r="I431"/>
      <c r="J431"/>
      <c r="K431"/>
    </row>
    <row r="432" spans="5:11" x14ac:dyDescent="0.2">
      <c r="E432"/>
      <c r="H432"/>
      <c r="I432"/>
      <c r="J432"/>
      <c r="K432"/>
    </row>
    <row r="433" spans="5:11" x14ac:dyDescent="0.2">
      <c r="E433"/>
      <c r="H433"/>
      <c r="I433"/>
      <c r="J433"/>
      <c r="K433"/>
    </row>
    <row r="434" spans="5:11" x14ac:dyDescent="0.2">
      <c r="E434"/>
      <c r="H434"/>
      <c r="I434"/>
      <c r="J434"/>
      <c r="K434"/>
    </row>
    <row r="435" spans="5:11" x14ac:dyDescent="0.2">
      <c r="E435"/>
      <c r="H435"/>
      <c r="I435"/>
      <c r="J435"/>
      <c r="K435"/>
    </row>
    <row r="436" spans="5:11" x14ac:dyDescent="0.2">
      <c r="E436"/>
      <c r="H436"/>
      <c r="I436"/>
      <c r="J436"/>
      <c r="K436"/>
    </row>
    <row r="437" spans="5:11" x14ac:dyDescent="0.2">
      <c r="E437"/>
      <c r="H437"/>
      <c r="I437"/>
      <c r="J437"/>
      <c r="K437"/>
    </row>
    <row r="438" spans="5:11" x14ac:dyDescent="0.2">
      <c r="E438"/>
      <c r="H438"/>
      <c r="I438"/>
      <c r="J438"/>
      <c r="K438"/>
    </row>
    <row r="439" spans="5:11" x14ac:dyDescent="0.2">
      <c r="E439"/>
      <c r="H439"/>
      <c r="I439"/>
      <c r="J439"/>
      <c r="K439"/>
    </row>
    <row r="440" spans="5:11" x14ac:dyDescent="0.2">
      <c r="E440"/>
      <c r="H440"/>
      <c r="I440"/>
      <c r="J440"/>
      <c r="K440"/>
    </row>
    <row r="441" spans="5:11" x14ac:dyDescent="0.2">
      <c r="E441"/>
      <c r="H441"/>
      <c r="I441"/>
      <c r="J441"/>
      <c r="K441"/>
    </row>
    <row r="442" spans="5:11" x14ac:dyDescent="0.2">
      <c r="E442"/>
      <c r="H442"/>
      <c r="I442"/>
      <c r="J442"/>
      <c r="K442"/>
    </row>
    <row r="443" spans="5:11" x14ac:dyDescent="0.2">
      <c r="E443"/>
      <c r="H443"/>
      <c r="I443"/>
      <c r="J443"/>
      <c r="K443"/>
    </row>
    <row r="444" spans="5:11" x14ac:dyDescent="0.2">
      <c r="E444"/>
      <c r="H444"/>
      <c r="I444"/>
      <c r="J444"/>
      <c r="K444"/>
    </row>
    <row r="445" spans="5:11" x14ac:dyDescent="0.2">
      <c r="E445"/>
      <c r="H445"/>
      <c r="I445"/>
      <c r="J445"/>
      <c r="K445"/>
    </row>
    <row r="446" spans="5:11" x14ac:dyDescent="0.2">
      <c r="E446"/>
      <c r="H446"/>
      <c r="I446"/>
      <c r="J446"/>
      <c r="K446"/>
    </row>
    <row r="447" spans="5:11" x14ac:dyDescent="0.2">
      <c r="E447"/>
      <c r="H447"/>
      <c r="I447"/>
      <c r="J447"/>
      <c r="K447"/>
    </row>
    <row r="448" spans="5:11" x14ac:dyDescent="0.2">
      <c r="E448"/>
      <c r="H448"/>
      <c r="I448"/>
      <c r="J448"/>
      <c r="K448"/>
    </row>
    <row r="449" spans="5:11" x14ac:dyDescent="0.2">
      <c r="E449"/>
      <c r="H449"/>
      <c r="I449"/>
      <c r="J449"/>
      <c r="K449"/>
    </row>
    <row r="450" spans="5:11" x14ac:dyDescent="0.2">
      <c r="E450"/>
      <c r="H450"/>
      <c r="I450"/>
      <c r="J450"/>
      <c r="K450"/>
    </row>
    <row r="451" spans="5:11" x14ac:dyDescent="0.2">
      <c r="E451"/>
      <c r="H451"/>
      <c r="I451"/>
      <c r="J451"/>
      <c r="K451"/>
    </row>
    <row r="452" spans="5:11" x14ac:dyDescent="0.2">
      <c r="E452"/>
      <c r="H452"/>
      <c r="I452"/>
      <c r="J452"/>
      <c r="K452"/>
    </row>
    <row r="453" spans="5:11" x14ac:dyDescent="0.2">
      <c r="E453"/>
      <c r="H453"/>
      <c r="I453"/>
      <c r="J453"/>
      <c r="K453"/>
    </row>
    <row r="454" spans="5:11" x14ac:dyDescent="0.2">
      <c r="E454"/>
      <c r="H454"/>
      <c r="I454"/>
      <c r="J454"/>
      <c r="K454"/>
    </row>
    <row r="455" spans="5:11" x14ac:dyDescent="0.2">
      <c r="E455"/>
      <c r="H455"/>
      <c r="I455"/>
      <c r="J455"/>
      <c r="K455"/>
    </row>
    <row r="456" spans="5:11" x14ac:dyDescent="0.2">
      <c r="E456"/>
      <c r="H456"/>
      <c r="I456"/>
      <c r="J456"/>
      <c r="K456"/>
    </row>
    <row r="457" spans="5:11" x14ac:dyDescent="0.2">
      <c r="E457"/>
      <c r="H457"/>
      <c r="I457"/>
      <c r="J457"/>
      <c r="K457"/>
    </row>
    <row r="458" spans="5:11" x14ac:dyDescent="0.2">
      <c r="E458"/>
      <c r="H458"/>
      <c r="I458"/>
      <c r="J458"/>
      <c r="K458"/>
    </row>
    <row r="459" spans="5:11" x14ac:dyDescent="0.2">
      <c r="E459"/>
      <c r="H459"/>
      <c r="I459"/>
      <c r="J459"/>
      <c r="K459"/>
    </row>
    <row r="460" spans="5:11" x14ac:dyDescent="0.2">
      <c r="E460"/>
      <c r="H460"/>
      <c r="I460"/>
      <c r="J460"/>
      <c r="K460"/>
    </row>
    <row r="461" spans="5:11" x14ac:dyDescent="0.2">
      <c r="E461"/>
      <c r="H461"/>
      <c r="I461"/>
      <c r="J461"/>
      <c r="K461"/>
    </row>
    <row r="462" spans="5:11" x14ac:dyDescent="0.2">
      <c r="E462"/>
      <c r="H462"/>
      <c r="I462"/>
      <c r="J462"/>
      <c r="K462"/>
    </row>
    <row r="463" spans="5:11" x14ac:dyDescent="0.2">
      <c r="E463"/>
      <c r="H463"/>
      <c r="I463"/>
      <c r="J463"/>
      <c r="K463"/>
    </row>
    <row r="464" spans="5:11" x14ac:dyDescent="0.2">
      <c r="E464"/>
      <c r="H464"/>
      <c r="I464"/>
      <c r="J464"/>
      <c r="K464"/>
    </row>
    <row r="465" spans="5:11" x14ac:dyDescent="0.2">
      <c r="E465"/>
      <c r="H465"/>
      <c r="I465"/>
      <c r="J465"/>
      <c r="K465"/>
    </row>
    <row r="466" spans="5:11" x14ac:dyDescent="0.2">
      <c r="E466"/>
      <c r="H466"/>
      <c r="I466"/>
      <c r="J466"/>
      <c r="K466"/>
    </row>
    <row r="467" spans="5:11" x14ac:dyDescent="0.2">
      <c r="E467"/>
      <c r="H467"/>
      <c r="I467"/>
      <c r="J467"/>
      <c r="K467"/>
    </row>
    <row r="468" spans="5:11" x14ac:dyDescent="0.2">
      <c r="E468"/>
      <c r="H468"/>
      <c r="I468"/>
      <c r="J468"/>
      <c r="K468"/>
    </row>
    <row r="469" spans="5:11" x14ac:dyDescent="0.2">
      <c r="E469"/>
      <c r="H469"/>
      <c r="I469"/>
      <c r="J469"/>
      <c r="K469"/>
    </row>
    <row r="470" spans="5:11" x14ac:dyDescent="0.2">
      <c r="E470"/>
      <c r="H470"/>
      <c r="I470"/>
      <c r="J470"/>
      <c r="K470"/>
    </row>
    <row r="471" spans="5:11" x14ac:dyDescent="0.2">
      <c r="E471"/>
      <c r="H471"/>
      <c r="I471"/>
      <c r="J471"/>
      <c r="K471"/>
    </row>
    <row r="472" spans="5:11" x14ac:dyDescent="0.2">
      <c r="E472"/>
      <c r="H472"/>
      <c r="I472"/>
      <c r="J472"/>
      <c r="K472"/>
    </row>
    <row r="473" spans="5:11" x14ac:dyDescent="0.2">
      <c r="E473"/>
      <c r="H473"/>
      <c r="I473"/>
      <c r="J473"/>
      <c r="K473"/>
    </row>
    <row r="474" spans="5:11" x14ac:dyDescent="0.2">
      <c r="E474"/>
      <c r="H474"/>
      <c r="I474"/>
      <c r="J474"/>
      <c r="K474"/>
    </row>
    <row r="475" spans="5:11" x14ac:dyDescent="0.2">
      <c r="E475"/>
      <c r="H475"/>
      <c r="I475"/>
      <c r="J475"/>
      <c r="K475"/>
    </row>
    <row r="476" spans="5:11" x14ac:dyDescent="0.2">
      <c r="E476"/>
      <c r="H476"/>
      <c r="I476"/>
      <c r="J476"/>
      <c r="K476"/>
    </row>
    <row r="477" spans="5:11" x14ac:dyDescent="0.2">
      <c r="E477"/>
      <c r="H477"/>
      <c r="I477"/>
      <c r="J477"/>
      <c r="K477"/>
    </row>
    <row r="478" spans="5:11" x14ac:dyDescent="0.2">
      <c r="E478"/>
      <c r="H478"/>
      <c r="I478"/>
      <c r="J478"/>
      <c r="K478"/>
    </row>
    <row r="479" spans="5:11" x14ac:dyDescent="0.2">
      <c r="E479"/>
      <c r="H479"/>
      <c r="I479"/>
      <c r="J479"/>
      <c r="K479"/>
    </row>
    <row r="480" spans="5:11" x14ac:dyDescent="0.2">
      <c r="E480"/>
      <c r="H480"/>
      <c r="I480"/>
      <c r="J480"/>
      <c r="K480"/>
    </row>
    <row r="481" spans="5:11" x14ac:dyDescent="0.2">
      <c r="E481"/>
      <c r="H481"/>
      <c r="I481"/>
      <c r="J481"/>
      <c r="K481"/>
    </row>
    <row r="482" spans="5:11" x14ac:dyDescent="0.2">
      <c r="E482"/>
      <c r="H482"/>
      <c r="I482"/>
      <c r="J482"/>
      <c r="K482"/>
    </row>
    <row r="483" spans="5:11" x14ac:dyDescent="0.2">
      <c r="E483"/>
      <c r="H483"/>
      <c r="I483"/>
      <c r="J483"/>
      <c r="K483"/>
    </row>
    <row r="484" spans="5:11" x14ac:dyDescent="0.2">
      <c r="E484"/>
      <c r="H484"/>
      <c r="I484"/>
      <c r="J484"/>
      <c r="K484"/>
    </row>
    <row r="485" spans="5:11" x14ac:dyDescent="0.2">
      <c r="E485"/>
      <c r="H485"/>
      <c r="I485"/>
      <c r="J485"/>
      <c r="K485"/>
    </row>
    <row r="486" spans="5:11" x14ac:dyDescent="0.2">
      <c r="E486"/>
      <c r="H486"/>
      <c r="I486"/>
      <c r="J486"/>
      <c r="K486"/>
    </row>
    <row r="487" spans="5:11" x14ac:dyDescent="0.2">
      <c r="E487"/>
      <c r="H487"/>
      <c r="I487"/>
      <c r="J487"/>
      <c r="K487"/>
    </row>
    <row r="488" spans="5:11" x14ac:dyDescent="0.2">
      <c r="E488"/>
      <c r="H488"/>
      <c r="I488"/>
      <c r="J488"/>
      <c r="K488"/>
    </row>
    <row r="489" spans="5:11" x14ac:dyDescent="0.2">
      <c r="E489"/>
      <c r="H489"/>
      <c r="I489"/>
      <c r="J489"/>
      <c r="K489"/>
    </row>
    <row r="490" spans="5:11" x14ac:dyDescent="0.2">
      <c r="E490"/>
      <c r="H490"/>
      <c r="I490"/>
      <c r="J490"/>
      <c r="K490"/>
    </row>
    <row r="491" spans="5:11" x14ac:dyDescent="0.2">
      <c r="E491"/>
      <c r="H491"/>
      <c r="I491"/>
      <c r="J491"/>
      <c r="K491"/>
    </row>
    <row r="492" spans="5:11" x14ac:dyDescent="0.2">
      <c r="E492"/>
      <c r="H492"/>
      <c r="I492"/>
      <c r="J492"/>
      <c r="K492"/>
    </row>
    <row r="493" spans="5:11" x14ac:dyDescent="0.2">
      <c r="E493"/>
      <c r="H493"/>
      <c r="I493"/>
      <c r="J493"/>
      <c r="K493"/>
    </row>
    <row r="494" spans="5:11" x14ac:dyDescent="0.2">
      <c r="E494"/>
      <c r="H494"/>
      <c r="I494"/>
      <c r="J494"/>
      <c r="K494"/>
    </row>
    <row r="495" spans="5:11" x14ac:dyDescent="0.2">
      <c r="E495"/>
      <c r="H495"/>
      <c r="I495"/>
      <c r="J495"/>
      <c r="K495"/>
    </row>
    <row r="496" spans="5:11" x14ac:dyDescent="0.2">
      <c r="E496"/>
      <c r="H496"/>
      <c r="I496"/>
      <c r="J496"/>
      <c r="K496"/>
    </row>
    <row r="497" spans="5:11" x14ac:dyDescent="0.2">
      <c r="E497"/>
      <c r="H497"/>
      <c r="I497"/>
      <c r="J497"/>
      <c r="K497"/>
    </row>
    <row r="498" spans="5:11" x14ac:dyDescent="0.2">
      <c r="E498"/>
      <c r="H498"/>
      <c r="I498"/>
      <c r="J498"/>
      <c r="K498"/>
    </row>
    <row r="499" spans="5:11" x14ac:dyDescent="0.2">
      <c r="E499"/>
      <c r="H499"/>
      <c r="I499"/>
      <c r="J499"/>
      <c r="K499"/>
    </row>
    <row r="500" spans="5:11" x14ac:dyDescent="0.2">
      <c r="E500"/>
      <c r="H500"/>
      <c r="I500"/>
      <c r="J500"/>
      <c r="K500"/>
    </row>
    <row r="501" spans="5:11" x14ac:dyDescent="0.2">
      <c r="E501"/>
      <c r="H501"/>
      <c r="I501"/>
      <c r="J501"/>
      <c r="K501"/>
    </row>
    <row r="502" spans="5:11" x14ac:dyDescent="0.2">
      <c r="E502"/>
      <c r="H502"/>
      <c r="I502"/>
      <c r="J502"/>
      <c r="K502"/>
    </row>
    <row r="503" spans="5:11" x14ac:dyDescent="0.2">
      <c r="E503"/>
      <c r="H503"/>
      <c r="I503"/>
      <c r="J503"/>
      <c r="K503"/>
    </row>
    <row r="504" spans="5:11" x14ac:dyDescent="0.2">
      <c r="E504"/>
      <c r="H504"/>
      <c r="I504"/>
      <c r="J504"/>
      <c r="K504"/>
    </row>
    <row r="505" spans="5:11" x14ac:dyDescent="0.2">
      <c r="E505"/>
      <c r="H505"/>
      <c r="I505"/>
      <c r="J505"/>
      <c r="K505"/>
    </row>
    <row r="506" spans="5:11" x14ac:dyDescent="0.2">
      <c r="E506"/>
      <c r="H506"/>
      <c r="I506"/>
      <c r="J506"/>
      <c r="K506"/>
    </row>
    <row r="507" spans="5:11" x14ac:dyDescent="0.2">
      <c r="E507"/>
      <c r="H507"/>
      <c r="I507"/>
      <c r="J507"/>
      <c r="K507"/>
    </row>
    <row r="508" spans="5:11" x14ac:dyDescent="0.2">
      <c r="E508"/>
      <c r="H508"/>
      <c r="I508"/>
      <c r="J508"/>
      <c r="K508"/>
    </row>
    <row r="509" spans="5:11" x14ac:dyDescent="0.2">
      <c r="E509"/>
      <c r="H509"/>
      <c r="I509"/>
      <c r="J509"/>
      <c r="K509"/>
    </row>
    <row r="510" spans="5:11" x14ac:dyDescent="0.2">
      <c r="E510"/>
      <c r="H510"/>
      <c r="I510"/>
      <c r="J510"/>
      <c r="K510"/>
    </row>
    <row r="511" spans="5:11" x14ac:dyDescent="0.2">
      <c r="E511"/>
      <c r="H511"/>
      <c r="I511"/>
      <c r="J511"/>
      <c r="K511"/>
    </row>
    <row r="512" spans="5:11" x14ac:dyDescent="0.2">
      <c r="E512"/>
      <c r="H512"/>
      <c r="I512"/>
      <c r="J512"/>
      <c r="K512"/>
    </row>
    <row r="513" spans="5:11" x14ac:dyDescent="0.2">
      <c r="E513"/>
      <c r="H513"/>
      <c r="I513"/>
      <c r="J513"/>
      <c r="K513"/>
    </row>
    <row r="514" spans="5:11" x14ac:dyDescent="0.2">
      <c r="E514"/>
      <c r="H514"/>
      <c r="I514"/>
      <c r="J514"/>
      <c r="K514"/>
    </row>
    <row r="515" spans="5:11" x14ac:dyDescent="0.2">
      <c r="E515"/>
      <c r="H515"/>
      <c r="I515"/>
      <c r="J515"/>
      <c r="K515"/>
    </row>
    <row r="516" spans="5:11" x14ac:dyDescent="0.2">
      <c r="E516"/>
      <c r="H516"/>
      <c r="I516"/>
      <c r="J516"/>
      <c r="K516"/>
    </row>
    <row r="517" spans="5:11" x14ac:dyDescent="0.2">
      <c r="E517"/>
      <c r="H517"/>
      <c r="I517"/>
      <c r="J517"/>
      <c r="K517"/>
    </row>
    <row r="518" spans="5:11" x14ac:dyDescent="0.2">
      <c r="E518"/>
      <c r="H518"/>
      <c r="I518"/>
      <c r="J518"/>
      <c r="K518"/>
    </row>
    <row r="519" spans="5:11" x14ac:dyDescent="0.2">
      <c r="E519"/>
      <c r="H519"/>
      <c r="I519"/>
      <c r="J519"/>
      <c r="K519"/>
    </row>
    <row r="520" spans="5:11" x14ac:dyDescent="0.2">
      <c r="E520"/>
      <c r="H520"/>
      <c r="I520"/>
      <c r="J520"/>
      <c r="K520"/>
    </row>
    <row r="521" spans="5:11" x14ac:dyDescent="0.2">
      <c r="E521"/>
      <c r="H521"/>
      <c r="I521"/>
      <c r="J521"/>
      <c r="K521"/>
    </row>
    <row r="522" spans="5:11" x14ac:dyDescent="0.2">
      <c r="E522"/>
      <c r="H522"/>
      <c r="I522"/>
      <c r="J522"/>
      <c r="K522"/>
    </row>
    <row r="523" spans="5:11" x14ac:dyDescent="0.2">
      <c r="E523"/>
      <c r="H523"/>
      <c r="I523"/>
      <c r="J523"/>
      <c r="K523"/>
    </row>
    <row r="524" spans="5:11" x14ac:dyDescent="0.2">
      <c r="E524"/>
      <c r="H524"/>
      <c r="I524"/>
      <c r="J524"/>
      <c r="K524"/>
    </row>
    <row r="525" spans="5:11" x14ac:dyDescent="0.2">
      <c r="E525"/>
      <c r="H525"/>
      <c r="I525"/>
      <c r="J525"/>
      <c r="K525"/>
    </row>
    <row r="526" spans="5:11" x14ac:dyDescent="0.2">
      <c r="E526"/>
      <c r="H526"/>
      <c r="I526"/>
      <c r="J526"/>
      <c r="K526"/>
    </row>
    <row r="527" spans="5:11" x14ac:dyDescent="0.2">
      <c r="E527"/>
      <c r="H527"/>
      <c r="I527"/>
      <c r="J527"/>
      <c r="K527"/>
    </row>
    <row r="528" spans="5:11" x14ac:dyDescent="0.2">
      <c r="E528"/>
      <c r="H528"/>
      <c r="I528"/>
      <c r="J528"/>
      <c r="K528"/>
    </row>
    <row r="529" spans="5:11" x14ac:dyDescent="0.2">
      <c r="E529"/>
      <c r="H529"/>
      <c r="I529"/>
      <c r="J529"/>
      <c r="K529"/>
    </row>
    <row r="530" spans="5:11" x14ac:dyDescent="0.2">
      <c r="E530"/>
      <c r="H530"/>
      <c r="I530"/>
      <c r="J530"/>
      <c r="K530"/>
    </row>
    <row r="531" spans="5:11" x14ac:dyDescent="0.2">
      <c r="E531"/>
      <c r="H531"/>
      <c r="I531"/>
      <c r="J531"/>
      <c r="K531"/>
    </row>
    <row r="532" spans="5:11" x14ac:dyDescent="0.2">
      <c r="E532"/>
      <c r="H532"/>
      <c r="I532"/>
      <c r="J532"/>
      <c r="K532"/>
    </row>
    <row r="533" spans="5:11" x14ac:dyDescent="0.2">
      <c r="E533"/>
      <c r="H533"/>
      <c r="I533"/>
      <c r="J533"/>
      <c r="K533"/>
    </row>
    <row r="534" spans="5:11" x14ac:dyDescent="0.2">
      <c r="E534"/>
      <c r="H534"/>
      <c r="I534"/>
      <c r="J534"/>
      <c r="K534"/>
    </row>
    <row r="535" spans="5:11" x14ac:dyDescent="0.2">
      <c r="E535"/>
      <c r="H535"/>
      <c r="I535"/>
      <c r="J535"/>
      <c r="K535"/>
    </row>
    <row r="536" spans="5:11" x14ac:dyDescent="0.2">
      <c r="E536"/>
      <c r="H536"/>
      <c r="I536"/>
      <c r="J536"/>
      <c r="K536"/>
    </row>
    <row r="537" spans="5:11" x14ac:dyDescent="0.2">
      <c r="E537"/>
      <c r="H537"/>
      <c r="I537"/>
      <c r="J537"/>
      <c r="K537"/>
    </row>
    <row r="538" spans="5:11" x14ac:dyDescent="0.2">
      <c r="E538"/>
      <c r="H538"/>
      <c r="I538"/>
      <c r="J538"/>
      <c r="K538"/>
    </row>
    <row r="539" spans="5:11" x14ac:dyDescent="0.2">
      <c r="E539"/>
      <c r="H539"/>
      <c r="I539"/>
      <c r="J539"/>
      <c r="K539"/>
    </row>
    <row r="540" spans="5:11" x14ac:dyDescent="0.2">
      <c r="E540"/>
      <c r="H540"/>
      <c r="I540"/>
      <c r="J540"/>
      <c r="K540"/>
    </row>
    <row r="541" spans="5:11" x14ac:dyDescent="0.2">
      <c r="E541"/>
      <c r="H541"/>
      <c r="I541"/>
      <c r="J541"/>
      <c r="K541"/>
    </row>
    <row r="542" spans="5:11" x14ac:dyDescent="0.2">
      <c r="E542"/>
      <c r="H542"/>
      <c r="I542"/>
      <c r="J542"/>
      <c r="K542"/>
    </row>
    <row r="543" spans="5:11" x14ac:dyDescent="0.2">
      <c r="E543"/>
      <c r="H543"/>
      <c r="I543"/>
      <c r="J543"/>
      <c r="K543"/>
    </row>
    <row r="544" spans="5:11" x14ac:dyDescent="0.2">
      <c r="E544"/>
      <c r="H544"/>
      <c r="I544"/>
      <c r="J544"/>
      <c r="K544"/>
    </row>
    <row r="545" spans="5:11" x14ac:dyDescent="0.2">
      <c r="E545"/>
      <c r="H545"/>
      <c r="I545"/>
      <c r="J545"/>
      <c r="K545"/>
    </row>
    <row r="546" spans="5:11" x14ac:dyDescent="0.2">
      <c r="E546"/>
      <c r="H546"/>
      <c r="I546"/>
      <c r="J546"/>
      <c r="K546"/>
    </row>
    <row r="547" spans="5:11" x14ac:dyDescent="0.2">
      <c r="E547"/>
      <c r="H547"/>
      <c r="I547"/>
      <c r="J547"/>
      <c r="K547"/>
    </row>
    <row r="548" spans="5:11" x14ac:dyDescent="0.2">
      <c r="E548"/>
      <c r="H548"/>
      <c r="I548"/>
      <c r="J548"/>
      <c r="K548"/>
    </row>
    <row r="549" spans="5:11" x14ac:dyDescent="0.2">
      <c r="E549"/>
      <c r="H549"/>
      <c r="I549"/>
      <c r="J549"/>
      <c r="K549"/>
    </row>
    <row r="550" spans="5:11" x14ac:dyDescent="0.2">
      <c r="E550"/>
      <c r="H550"/>
      <c r="I550"/>
      <c r="J550"/>
      <c r="K550"/>
    </row>
    <row r="551" spans="5:11" x14ac:dyDescent="0.2">
      <c r="E551"/>
      <c r="H551"/>
      <c r="I551"/>
      <c r="J551"/>
      <c r="K551"/>
    </row>
    <row r="552" spans="5:11" x14ac:dyDescent="0.2">
      <c r="E552"/>
      <c r="H552"/>
      <c r="I552"/>
      <c r="J552"/>
      <c r="K552"/>
    </row>
    <row r="553" spans="5:11" x14ac:dyDescent="0.2">
      <c r="E553"/>
      <c r="H553"/>
      <c r="I553"/>
      <c r="J553"/>
      <c r="K553"/>
    </row>
    <row r="554" spans="5:11" x14ac:dyDescent="0.2">
      <c r="E554"/>
      <c r="H554"/>
      <c r="I554"/>
      <c r="J554"/>
      <c r="K554"/>
    </row>
    <row r="555" spans="5:11" x14ac:dyDescent="0.2">
      <c r="E555"/>
      <c r="H555"/>
      <c r="I555"/>
      <c r="J555"/>
      <c r="K555"/>
    </row>
    <row r="556" spans="5:11" x14ac:dyDescent="0.2">
      <c r="E556"/>
      <c r="H556"/>
      <c r="I556"/>
      <c r="J556"/>
      <c r="K556"/>
    </row>
    <row r="557" spans="5:11" x14ac:dyDescent="0.2">
      <c r="E557"/>
      <c r="H557"/>
      <c r="I557"/>
      <c r="J557"/>
      <c r="K557"/>
    </row>
    <row r="558" spans="5:11" x14ac:dyDescent="0.2">
      <c r="E558"/>
      <c r="H558"/>
      <c r="I558"/>
      <c r="J558"/>
      <c r="K558"/>
    </row>
    <row r="559" spans="5:11" x14ac:dyDescent="0.2">
      <c r="E559"/>
      <c r="H559"/>
      <c r="I559"/>
      <c r="J559"/>
      <c r="K559"/>
    </row>
    <row r="560" spans="5:11" x14ac:dyDescent="0.2">
      <c r="E560"/>
      <c r="H560"/>
      <c r="I560"/>
      <c r="J560"/>
      <c r="K560"/>
    </row>
    <row r="561" spans="5:11" x14ac:dyDescent="0.2">
      <c r="E561"/>
      <c r="H561"/>
      <c r="I561"/>
      <c r="J561"/>
      <c r="K561"/>
    </row>
    <row r="562" spans="5:11" x14ac:dyDescent="0.2">
      <c r="E562"/>
      <c r="H562"/>
      <c r="I562"/>
      <c r="J562"/>
      <c r="K562"/>
    </row>
    <row r="563" spans="5:11" x14ac:dyDescent="0.2">
      <c r="E563"/>
      <c r="H563"/>
      <c r="I563"/>
      <c r="J563"/>
      <c r="K563"/>
    </row>
    <row r="564" spans="5:11" x14ac:dyDescent="0.2">
      <c r="E564"/>
      <c r="H564"/>
      <c r="I564"/>
      <c r="J564"/>
      <c r="K564"/>
    </row>
    <row r="565" spans="5:11" x14ac:dyDescent="0.2">
      <c r="E565"/>
      <c r="H565"/>
      <c r="I565"/>
      <c r="J565"/>
      <c r="K565"/>
    </row>
    <row r="566" spans="5:11" x14ac:dyDescent="0.2">
      <c r="E566"/>
      <c r="H566"/>
      <c r="I566"/>
      <c r="J566"/>
      <c r="K566"/>
    </row>
    <row r="567" spans="5:11" x14ac:dyDescent="0.2">
      <c r="E567"/>
      <c r="H567"/>
      <c r="I567"/>
      <c r="J567"/>
      <c r="K567"/>
    </row>
    <row r="568" spans="5:11" x14ac:dyDescent="0.2">
      <c r="E568"/>
      <c r="H568"/>
      <c r="I568"/>
      <c r="J568"/>
      <c r="K568"/>
    </row>
    <row r="569" spans="5:11" x14ac:dyDescent="0.2">
      <c r="E569"/>
      <c r="H569"/>
      <c r="I569"/>
      <c r="J569"/>
      <c r="K569"/>
    </row>
    <row r="570" spans="5:11" x14ac:dyDescent="0.2">
      <c r="E570"/>
      <c r="H570"/>
      <c r="I570"/>
      <c r="J570"/>
      <c r="K570"/>
    </row>
    <row r="571" spans="5:11" x14ac:dyDescent="0.2">
      <c r="E571"/>
      <c r="H571"/>
      <c r="I571"/>
      <c r="J571"/>
      <c r="K571"/>
    </row>
    <row r="572" spans="5:11" x14ac:dyDescent="0.2">
      <c r="E572"/>
      <c r="H572"/>
      <c r="I572"/>
      <c r="J572"/>
      <c r="K572"/>
    </row>
    <row r="573" spans="5:11" x14ac:dyDescent="0.2">
      <c r="E573"/>
      <c r="H573"/>
      <c r="I573"/>
      <c r="J573"/>
      <c r="K573"/>
    </row>
    <row r="574" spans="5:11" x14ac:dyDescent="0.2">
      <c r="E574"/>
      <c r="H574"/>
      <c r="I574"/>
      <c r="J574"/>
      <c r="K574"/>
    </row>
    <row r="575" spans="5:11" x14ac:dyDescent="0.2">
      <c r="E575"/>
      <c r="H575"/>
      <c r="I575"/>
      <c r="J575"/>
      <c r="K575"/>
    </row>
    <row r="576" spans="5:11" x14ac:dyDescent="0.2">
      <c r="E576"/>
      <c r="H576"/>
      <c r="I576"/>
      <c r="J576"/>
      <c r="K576"/>
    </row>
    <row r="577" spans="5:11" x14ac:dyDescent="0.2">
      <c r="E577"/>
      <c r="H577"/>
      <c r="I577"/>
      <c r="J577"/>
      <c r="K577"/>
    </row>
    <row r="578" spans="5:11" x14ac:dyDescent="0.2">
      <c r="E578"/>
      <c r="H578"/>
      <c r="I578"/>
      <c r="J578"/>
      <c r="K578"/>
    </row>
    <row r="579" spans="5:11" x14ac:dyDescent="0.2">
      <c r="E579"/>
      <c r="H579"/>
      <c r="I579"/>
      <c r="J579"/>
      <c r="K579"/>
    </row>
    <row r="580" spans="5:11" x14ac:dyDescent="0.2">
      <c r="E580"/>
      <c r="H580"/>
      <c r="I580"/>
      <c r="J580"/>
      <c r="K580"/>
    </row>
    <row r="581" spans="5:11" x14ac:dyDescent="0.2">
      <c r="E581"/>
      <c r="H581"/>
      <c r="I581"/>
      <c r="J581"/>
      <c r="K581"/>
    </row>
    <row r="582" spans="5:11" x14ac:dyDescent="0.2">
      <c r="E582"/>
      <c r="H582"/>
      <c r="I582"/>
      <c r="J582"/>
      <c r="K582"/>
    </row>
    <row r="583" spans="5:11" x14ac:dyDescent="0.2">
      <c r="E583"/>
      <c r="H583"/>
      <c r="I583"/>
      <c r="J583"/>
      <c r="K583"/>
    </row>
    <row r="584" spans="5:11" x14ac:dyDescent="0.2">
      <c r="E584"/>
      <c r="H584"/>
      <c r="I584"/>
      <c r="J584"/>
      <c r="K584"/>
    </row>
    <row r="585" spans="5:11" x14ac:dyDescent="0.2">
      <c r="E585"/>
      <c r="H585"/>
      <c r="I585"/>
      <c r="J585"/>
      <c r="K585"/>
    </row>
    <row r="586" spans="5:11" x14ac:dyDescent="0.2">
      <c r="E586"/>
      <c r="H586"/>
      <c r="I586"/>
      <c r="J586"/>
      <c r="K586"/>
    </row>
    <row r="587" spans="5:11" x14ac:dyDescent="0.2">
      <c r="E587"/>
      <c r="H587"/>
      <c r="I587"/>
      <c r="J587"/>
      <c r="K587"/>
    </row>
    <row r="588" spans="5:11" x14ac:dyDescent="0.2">
      <c r="E588"/>
      <c r="H588"/>
      <c r="I588"/>
      <c r="J588"/>
      <c r="K588"/>
    </row>
    <row r="589" spans="5:11" x14ac:dyDescent="0.2">
      <c r="E589"/>
      <c r="H589"/>
      <c r="I589"/>
      <c r="J589"/>
      <c r="K589"/>
    </row>
    <row r="590" spans="5:11" x14ac:dyDescent="0.2">
      <c r="E590"/>
      <c r="H590"/>
      <c r="I590"/>
      <c r="J590"/>
      <c r="K590"/>
    </row>
    <row r="591" spans="5:11" x14ac:dyDescent="0.2">
      <c r="E591"/>
      <c r="H591"/>
      <c r="I591"/>
      <c r="J591"/>
      <c r="K591"/>
    </row>
    <row r="592" spans="5:11" x14ac:dyDescent="0.2">
      <c r="E592"/>
      <c r="H592"/>
      <c r="I592"/>
      <c r="J592"/>
      <c r="K592"/>
    </row>
    <row r="593" spans="5:11" x14ac:dyDescent="0.2">
      <c r="E593"/>
      <c r="H593"/>
      <c r="I593"/>
      <c r="J593"/>
      <c r="K593"/>
    </row>
    <row r="594" spans="5:11" x14ac:dyDescent="0.2">
      <c r="E594"/>
      <c r="H594"/>
      <c r="I594"/>
      <c r="J594"/>
      <c r="K594"/>
    </row>
    <row r="595" spans="5:11" x14ac:dyDescent="0.2">
      <c r="E595"/>
      <c r="H595"/>
      <c r="I595"/>
      <c r="J595"/>
      <c r="K595"/>
    </row>
    <row r="596" spans="5:11" x14ac:dyDescent="0.2">
      <c r="E596"/>
      <c r="H596"/>
      <c r="I596"/>
      <c r="J596"/>
      <c r="K596"/>
    </row>
    <row r="597" spans="5:11" x14ac:dyDescent="0.2">
      <c r="E597"/>
      <c r="H597"/>
      <c r="I597"/>
      <c r="J597"/>
      <c r="K597"/>
    </row>
    <row r="598" spans="5:11" x14ac:dyDescent="0.2">
      <c r="E598"/>
      <c r="H598"/>
      <c r="I598"/>
      <c r="J598"/>
      <c r="K598"/>
    </row>
    <row r="599" spans="5:11" x14ac:dyDescent="0.2">
      <c r="E599"/>
      <c r="H599"/>
      <c r="I599"/>
      <c r="J599"/>
      <c r="K599"/>
    </row>
    <row r="600" spans="5:11" x14ac:dyDescent="0.2">
      <c r="E600"/>
      <c r="H600"/>
      <c r="I600"/>
      <c r="J600"/>
      <c r="K600"/>
    </row>
    <row r="601" spans="5:11" x14ac:dyDescent="0.2">
      <c r="E601"/>
      <c r="H601"/>
      <c r="I601"/>
      <c r="J601"/>
      <c r="K601"/>
    </row>
    <row r="602" spans="5:11" x14ac:dyDescent="0.2">
      <c r="E602"/>
      <c r="H602"/>
      <c r="I602"/>
      <c r="J602"/>
      <c r="K602"/>
    </row>
    <row r="603" spans="5:11" x14ac:dyDescent="0.2">
      <c r="E603"/>
      <c r="H603"/>
      <c r="I603"/>
      <c r="J603"/>
      <c r="K603"/>
    </row>
    <row r="604" spans="5:11" x14ac:dyDescent="0.2">
      <c r="E604"/>
      <c r="H604"/>
      <c r="I604"/>
      <c r="J604"/>
      <c r="K604"/>
    </row>
    <row r="605" spans="5:11" x14ac:dyDescent="0.2">
      <c r="E605"/>
      <c r="H605"/>
      <c r="I605"/>
      <c r="J605"/>
      <c r="K605"/>
    </row>
    <row r="606" spans="5:11" x14ac:dyDescent="0.2">
      <c r="E606"/>
      <c r="H606"/>
      <c r="I606"/>
      <c r="J606"/>
      <c r="K606"/>
    </row>
    <row r="607" spans="5:11" x14ac:dyDescent="0.2">
      <c r="E607"/>
      <c r="H607"/>
      <c r="I607"/>
      <c r="J607"/>
      <c r="K607"/>
    </row>
    <row r="608" spans="5:11" x14ac:dyDescent="0.2">
      <c r="E608"/>
      <c r="H608"/>
      <c r="I608"/>
      <c r="J608"/>
      <c r="K608"/>
    </row>
    <row r="609" spans="5:11" x14ac:dyDescent="0.2">
      <c r="E609"/>
      <c r="H609"/>
      <c r="I609"/>
      <c r="J609"/>
      <c r="K609"/>
    </row>
    <row r="610" spans="5:11" x14ac:dyDescent="0.2">
      <c r="E610"/>
      <c r="H610"/>
      <c r="I610"/>
      <c r="J610"/>
      <c r="K610"/>
    </row>
    <row r="611" spans="5:11" x14ac:dyDescent="0.2">
      <c r="E611"/>
      <c r="H611"/>
      <c r="I611"/>
      <c r="J611"/>
      <c r="K611"/>
    </row>
    <row r="612" spans="5:11" x14ac:dyDescent="0.2">
      <c r="E612"/>
      <c r="H612"/>
      <c r="I612"/>
      <c r="J612"/>
      <c r="K612"/>
    </row>
    <row r="613" spans="5:11" x14ac:dyDescent="0.2">
      <c r="E613"/>
      <c r="H613"/>
      <c r="I613"/>
      <c r="J613"/>
      <c r="K613"/>
    </row>
    <row r="614" spans="5:11" x14ac:dyDescent="0.2">
      <c r="E614"/>
      <c r="H614"/>
      <c r="I614"/>
      <c r="J614"/>
      <c r="K614"/>
    </row>
    <row r="615" spans="5:11" x14ac:dyDescent="0.2">
      <c r="E615"/>
      <c r="H615"/>
      <c r="I615"/>
      <c r="J615"/>
      <c r="K615"/>
    </row>
    <row r="616" spans="5:11" x14ac:dyDescent="0.2">
      <c r="E616"/>
      <c r="H616"/>
      <c r="I616"/>
      <c r="J616"/>
      <c r="K616"/>
    </row>
    <row r="617" spans="5:11" x14ac:dyDescent="0.2">
      <c r="E617"/>
      <c r="H617"/>
      <c r="I617"/>
      <c r="J617"/>
      <c r="K617"/>
    </row>
    <row r="618" spans="5:11" x14ac:dyDescent="0.2">
      <c r="E618"/>
      <c r="H618"/>
      <c r="I618"/>
      <c r="J618"/>
      <c r="K618"/>
    </row>
    <row r="619" spans="5:11" x14ac:dyDescent="0.2">
      <c r="E619"/>
      <c r="H619"/>
      <c r="I619"/>
      <c r="J619"/>
      <c r="K619"/>
    </row>
    <row r="620" spans="5:11" x14ac:dyDescent="0.2">
      <c r="E620"/>
      <c r="H620"/>
      <c r="I620"/>
      <c r="J620"/>
      <c r="K620"/>
    </row>
    <row r="621" spans="5:11" x14ac:dyDescent="0.2">
      <c r="E621"/>
      <c r="H621"/>
      <c r="I621"/>
      <c r="J621"/>
      <c r="K621"/>
    </row>
    <row r="622" spans="5:11" x14ac:dyDescent="0.2">
      <c r="E622"/>
      <c r="H622"/>
      <c r="I622"/>
      <c r="J622"/>
      <c r="K622"/>
    </row>
    <row r="623" spans="5:11" x14ac:dyDescent="0.2">
      <c r="E623"/>
      <c r="H623"/>
      <c r="I623"/>
      <c r="J623"/>
      <c r="K623"/>
    </row>
    <row r="624" spans="5:11" x14ac:dyDescent="0.2">
      <c r="E624"/>
      <c r="H624"/>
      <c r="I624"/>
      <c r="J624"/>
      <c r="K624"/>
    </row>
    <row r="625" spans="5:11" x14ac:dyDescent="0.2">
      <c r="E625"/>
      <c r="H625"/>
      <c r="I625"/>
      <c r="J625"/>
      <c r="K625"/>
    </row>
    <row r="626" spans="5:11" x14ac:dyDescent="0.2">
      <c r="E626"/>
      <c r="H626"/>
      <c r="I626"/>
      <c r="J626"/>
      <c r="K626"/>
    </row>
    <row r="627" spans="5:11" x14ac:dyDescent="0.2">
      <c r="E627"/>
      <c r="H627"/>
      <c r="I627"/>
      <c r="J627"/>
      <c r="K627"/>
    </row>
    <row r="628" spans="5:11" x14ac:dyDescent="0.2">
      <c r="E628"/>
      <c r="H628"/>
      <c r="I628"/>
      <c r="J628"/>
      <c r="K628"/>
    </row>
    <row r="629" spans="5:11" x14ac:dyDescent="0.2">
      <c r="E629"/>
      <c r="H629"/>
      <c r="I629"/>
      <c r="J629"/>
      <c r="K629"/>
    </row>
    <row r="630" spans="5:11" x14ac:dyDescent="0.2">
      <c r="E630"/>
      <c r="H630"/>
      <c r="I630"/>
      <c r="J630"/>
      <c r="K630"/>
    </row>
    <row r="631" spans="5:11" x14ac:dyDescent="0.2">
      <c r="E631"/>
      <c r="H631"/>
      <c r="I631"/>
      <c r="J631"/>
      <c r="K631"/>
    </row>
    <row r="632" spans="5:11" x14ac:dyDescent="0.2">
      <c r="E632"/>
      <c r="H632"/>
      <c r="I632"/>
      <c r="J632"/>
      <c r="K632"/>
    </row>
    <row r="633" spans="5:11" x14ac:dyDescent="0.2">
      <c r="E633"/>
      <c r="H633"/>
      <c r="I633"/>
      <c r="J633"/>
      <c r="K633"/>
    </row>
    <row r="634" spans="5:11" x14ac:dyDescent="0.2">
      <c r="E634"/>
      <c r="H634"/>
      <c r="I634"/>
      <c r="J634"/>
      <c r="K634"/>
    </row>
    <row r="635" spans="5:11" x14ac:dyDescent="0.2">
      <c r="E635"/>
      <c r="H635"/>
      <c r="I635"/>
      <c r="J635"/>
      <c r="K635"/>
    </row>
    <row r="636" spans="5:11" x14ac:dyDescent="0.2">
      <c r="E636"/>
      <c r="H636"/>
      <c r="I636"/>
      <c r="J636"/>
      <c r="K636"/>
    </row>
    <row r="637" spans="5:11" x14ac:dyDescent="0.2">
      <c r="E637"/>
      <c r="H637"/>
      <c r="I637"/>
      <c r="J637"/>
      <c r="K637"/>
    </row>
    <row r="638" spans="5:11" x14ac:dyDescent="0.2">
      <c r="E638"/>
      <c r="H638"/>
      <c r="I638"/>
      <c r="J638"/>
      <c r="K638"/>
    </row>
    <row r="639" spans="5:11" x14ac:dyDescent="0.2">
      <c r="E639"/>
      <c r="H639"/>
      <c r="I639"/>
      <c r="J639"/>
      <c r="K639"/>
    </row>
    <row r="640" spans="5:11" x14ac:dyDescent="0.2">
      <c r="E640"/>
      <c r="H640"/>
      <c r="I640"/>
      <c r="J640"/>
      <c r="K640"/>
    </row>
    <row r="641" spans="5:11" x14ac:dyDescent="0.2">
      <c r="E641"/>
      <c r="H641"/>
      <c r="I641"/>
      <c r="J641"/>
      <c r="K641"/>
    </row>
    <row r="642" spans="5:11" x14ac:dyDescent="0.2">
      <c r="E642"/>
      <c r="H642"/>
      <c r="I642"/>
      <c r="J642"/>
      <c r="K642"/>
    </row>
    <row r="643" spans="5:11" x14ac:dyDescent="0.2">
      <c r="E643"/>
      <c r="H643"/>
      <c r="I643"/>
      <c r="J643"/>
      <c r="K643"/>
    </row>
    <row r="644" spans="5:11" x14ac:dyDescent="0.2">
      <c r="E644"/>
      <c r="H644"/>
      <c r="I644"/>
      <c r="J644"/>
      <c r="K644"/>
    </row>
    <row r="645" spans="5:11" x14ac:dyDescent="0.2">
      <c r="E645"/>
      <c r="H645"/>
      <c r="I645"/>
      <c r="J645"/>
      <c r="K645"/>
    </row>
    <row r="646" spans="5:11" x14ac:dyDescent="0.2">
      <c r="E646"/>
      <c r="H646"/>
      <c r="I646"/>
      <c r="J646"/>
      <c r="K646"/>
    </row>
    <row r="647" spans="5:11" x14ac:dyDescent="0.2">
      <c r="E647"/>
      <c r="H647"/>
      <c r="I647"/>
      <c r="J647"/>
      <c r="K647"/>
    </row>
    <row r="648" spans="5:11" x14ac:dyDescent="0.2">
      <c r="E648"/>
      <c r="H648"/>
      <c r="I648"/>
      <c r="J648"/>
      <c r="K648"/>
    </row>
    <row r="649" spans="5:11" x14ac:dyDescent="0.2">
      <c r="E649"/>
      <c r="H649"/>
      <c r="I649"/>
      <c r="J649"/>
      <c r="K649"/>
    </row>
    <row r="650" spans="5:11" x14ac:dyDescent="0.2">
      <c r="E650"/>
      <c r="H650"/>
      <c r="I650"/>
      <c r="J650"/>
      <c r="K650"/>
    </row>
    <row r="651" spans="5:11" x14ac:dyDescent="0.2">
      <c r="E651"/>
      <c r="H651"/>
      <c r="I651"/>
      <c r="J651"/>
      <c r="K651"/>
    </row>
    <row r="652" spans="5:11" x14ac:dyDescent="0.2">
      <c r="E652"/>
      <c r="H652"/>
      <c r="I652"/>
      <c r="J652"/>
      <c r="K652"/>
    </row>
    <row r="653" spans="5:11" x14ac:dyDescent="0.2">
      <c r="E653"/>
      <c r="H653"/>
      <c r="I653"/>
      <c r="J653"/>
      <c r="K653"/>
    </row>
    <row r="654" spans="5:11" x14ac:dyDescent="0.2">
      <c r="E654"/>
      <c r="H654"/>
      <c r="I654"/>
      <c r="J654"/>
      <c r="K654"/>
    </row>
    <row r="655" spans="5:11" x14ac:dyDescent="0.2">
      <c r="E655"/>
      <c r="H655"/>
      <c r="I655"/>
      <c r="J655"/>
      <c r="K655"/>
    </row>
    <row r="656" spans="5:11" x14ac:dyDescent="0.2">
      <c r="E656"/>
      <c r="H656"/>
      <c r="I656"/>
      <c r="J656"/>
      <c r="K656"/>
    </row>
    <row r="657" spans="5:11" x14ac:dyDescent="0.2">
      <c r="E657"/>
      <c r="H657"/>
      <c r="I657"/>
      <c r="J657"/>
      <c r="K657"/>
    </row>
    <row r="658" spans="5:11" x14ac:dyDescent="0.2">
      <c r="E658"/>
      <c r="H658"/>
      <c r="I658"/>
      <c r="J658"/>
      <c r="K658"/>
    </row>
    <row r="659" spans="5:11" x14ac:dyDescent="0.2">
      <c r="E659"/>
      <c r="H659"/>
      <c r="I659"/>
      <c r="J659"/>
      <c r="K659"/>
    </row>
    <row r="660" spans="5:11" x14ac:dyDescent="0.2">
      <c r="E660"/>
      <c r="H660"/>
      <c r="I660"/>
      <c r="J660"/>
      <c r="K660"/>
    </row>
    <row r="661" spans="5:11" x14ac:dyDescent="0.2">
      <c r="E661"/>
      <c r="H661"/>
      <c r="I661"/>
      <c r="J661"/>
      <c r="K661"/>
    </row>
    <row r="662" spans="5:11" x14ac:dyDescent="0.2">
      <c r="E662"/>
      <c r="H662"/>
      <c r="I662"/>
      <c r="J662"/>
      <c r="K662"/>
    </row>
    <row r="663" spans="5:11" x14ac:dyDescent="0.2">
      <c r="E663"/>
      <c r="H663"/>
      <c r="I663"/>
      <c r="J663"/>
      <c r="K663"/>
    </row>
    <row r="664" spans="5:11" x14ac:dyDescent="0.2">
      <c r="E664"/>
      <c r="H664"/>
      <c r="I664"/>
      <c r="J664"/>
      <c r="K664"/>
    </row>
    <row r="665" spans="5:11" x14ac:dyDescent="0.2">
      <c r="E665"/>
      <c r="H665"/>
      <c r="I665"/>
      <c r="J665"/>
      <c r="K665"/>
    </row>
    <row r="666" spans="5:11" x14ac:dyDescent="0.2">
      <c r="E666"/>
      <c r="H666"/>
      <c r="I666"/>
      <c r="J666"/>
      <c r="K666"/>
    </row>
    <row r="667" spans="5:11" x14ac:dyDescent="0.2">
      <c r="E667"/>
      <c r="H667"/>
      <c r="I667"/>
      <c r="J667"/>
      <c r="K667"/>
    </row>
    <row r="668" spans="5:11" x14ac:dyDescent="0.2">
      <c r="E668"/>
      <c r="H668"/>
      <c r="I668"/>
      <c r="J668"/>
      <c r="K668"/>
    </row>
    <row r="669" spans="5:11" x14ac:dyDescent="0.2">
      <c r="E669"/>
      <c r="H669"/>
      <c r="I669"/>
      <c r="J669"/>
      <c r="K669"/>
    </row>
    <row r="670" spans="5:11" x14ac:dyDescent="0.2">
      <c r="E670"/>
      <c r="H670"/>
      <c r="I670"/>
      <c r="J670"/>
      <c r="K670"/>
    </row>
    <row r="671" spans="5:11" x14ac:dyDescent="0.2">
      <c r="E671"/>
      <c r="H671"/>
      <c r="I671"/>
      <c r="J671"/>
      <c r="K671"/>
    </row>
    <row r="672" spans="5:11" x14ac:dyDescent="0.2">
      <c r="E672"/>
      <c r="H672"/>
      <c r="I672"/>
      <c r="J672"/>
      <c r="K672"/>
    </row>
    <row r="673" spans="5:11" x14ac:dyDescent="0.2">
      <c r="E673"/>
      <c r="H673"/>
      <c r="I673"/>
      <c r="J673"/>
      <c r="K673"/>
    </row>
    <row r="674" spans="5:11" x14ac:dyDescent="0.2">
      <c r="E674"/>
      <c r="H674"/>
      <c r="I674"/>
      <c r="J674"/>
      <c r="K674"/>
    </row>
    <row r="675" spans="5:11" x14ac:dyDescent="0.2">
      <c r="E675"/>
      <c r="H675"/>
      <c r="I675"/>
      <c r="J675"/>
      <c r="K675"/>
    </row>
    <row r="676" spans="5:11" x14ac:dyDescent="0.2">
      <c r="E676"/>
      <c r="H676"/>
      <c r="I676"/>
      <c r="J676"/>
      <c r="K676"/>
    </row>
    <row r="677" spans="5:11" x14ac:dyDescent="0.2">
      <c r="E677"/>
      <c r="H677"/>
      <c r="I677"/>
      <c r="J677"/>
      <c r="K677"/>
    </row>
    <row r="678" spans="5:11" x14ac:dyDescent="0.2">
      <c r="E678"/>
      <c r="H678"/>
      <c r="I678"/>
      <c r="J678"/>
      <c r="K678"/>
    </row>
    <row r="679" spans="5:11" x14ac:dyDescent="0.2">
      <c r="E679"/>
      <c r="H679"/>
      <c r="I679"/>
      <c r="J679"/>
      <c r="K679"/>
    </row>
    <row r="680" spans="5:11" x14ac:dyDescent="0.2">
      <c r="E680"/>
      <c r="H680"/>
      <c r="I680"/>
      <c r="J680"/>
      <c r="K680"/>
    </row>
    <row r="681" spans="5:11" x14ac:dyDescent="0.2">
      <c r="E681"/>
      <c r="H681"/>
      <c r="I681"/>
      <c r="J681"/>
      <c r="K681"/>
    </row>
    <row r="682" spans="5:11" x14ac:dyDescent="0.2">
      <c r="E682"/>
      <c r="H682"/>
      <c r="I682"/>
      <c r="J682"/>
      <c r="K682"/>
    </row>
    <row r="683" spans="5:11" x14ac:dyDescent="0.2">
      <c r="E683"/>
      <c r="H683"/>
      <c r="I683"/>
      <c r="J683"/>
      <c r="K683"/>
    </row>
    <row r="684" spans="5:11" x14ac:dyDescent="0.2">
      <c r="E684"/>
      <c r="H684"/>
      <c r="I684"/>
      <c r="J684"/>
      <c r="K684"/>
    </row>
    <row r="685" spans="5:11" x14ac:dyDescent="0.2">
      <c r="E685"/>
      <c r="H685"/>
      <c r="I685"/>
      <c r="J685"/>
      <c r="K685"/>
    </row>
    <row r="686" spans="5:11" x14ac:dyDescent="0.2">
      <c r="E686"/>
      <c r="H686"/>
      <c r="I686"/>
      <c r="J686"/>
      <c r="K686"/>
    </row>
    <row r="687" spans="5:11" x14ac:dyDescent="0.2">
      <c r="E687"/>
      <c r="H687"/>
      <c r="I687"/>
      <c r="J687"/>
      <c r="K687"/>
    </row>
    <row r="688" spans="5:11" x14ac:dyDescent="0.2">
      <c r="E688"/>
      <c r="H688"/>
      <c r="I688"/>
      <c r="J688"/>
      <c r="K688"/>
    </row>
    <row r="689" spans="5:11" x14ac:dyDescent="0.2">
      <c r="E689"/>
      <c r="H689"/>
      <c r="I689"/>
      <c r="J689"/>
      <c r="K689"/>
    </row>
    <row r="690" spans="5:11" x14ac:dyDescent="0.2">
      <c r="E690"/>
      <c r="H690"/>
      <c r="I690"/>
      <c r="J690"/>
      <c r="K690"/>
    </row>
    <row r="691" spans="5:11" x14ac:dyDescent="0.2">
      <c r="E691"/>
      <c r="H691"/>
      <c r="I691"/>
      <c r="J691"/>
      <c r="K691"/>
    </row>
    <row r="692" spans="5:11" x14ac:dyDescent="0.2">
      <c r="E692"/>
      <c r="H692"/>
      <c r="I692"/>
      <c r="J692"/>
      <c r="K692"/>
    </row>
    <row r="693" spans="5:11" x14ac:dyDescent="0.2">
      <c r="E693"/>
      <c r="H693"/>
      <c r="I693"/>
      <c r="J693"/>
      <c r="K693"/>
    </row>
    <row r="694" spans="5:11" x14ac:dyDescent="0.2">
      <c r="E694"/>
      <c r="H694"/>
      <c r="I694"/>
      <c r="J694"/>
      <c r="K694"/>
    </row>
    <row r="695" spans="5:11" x14ac:dyDescent="0.2">
      <c r="E695"/>
      <c r="H695"/>
      <c r="I695"/>
      <c r="J695"/>
      <c r="K695"/>
    </row>
    <row r="696" spans="5:11" x14ac:dyDescent="0.2">
      <c r="E696"/>
      <c r="H696"/>
      <c r="I696"/>
      <c r="J696"/>
      <c r="K696"/>
    </row>
    <row r="697" spans="5:11" x14ac:dyDescent="0.2">
      <c r="E697"/>
      <c r="H697"/>
      <c r="I697"/>
      <c r="J697"/>
      <c r="K697"/>
    </row>
    <row r="698" spans="5:11" x14ac:dyDescent="0.2">
      <c r="E698"/>
      <c r="H698"/>
      <c r="I698"/>
      <c r="J698"/>
      <c r="K698"/>
    </row>
    <row r="699" spans="5:11" x14ac:dyDescent="0.2">
      <c r="E699"/>
      <c r="H699"/>
      <c r="I699"/>
      <c r="J699"/>
      <c r="K699"/>
    </row>
    <row r="700" spans="5:11" x14ac:dyDescent="0.2">
      <c r="E700"/>
      <c r="H700"/>
      <c r="I700"/>
      <c r="J700"/>
      <c r="K700"/>
    </row>
    <row r="701" spans="5:11" x14ac:dyDescent="0.2">
      <c r="E701"/>
      <c r="H701"/>
      <c r="I701"/>
      <c r="J701"/>
      <c r="K701"/>
    </row>
    <row r="702" spans="5:11" x14ac:dyDescent="0.2">
      <c r="E702"/>
      <c r="H702"/>
      <c r="I702"/>
      <c r="J702"/>
      <c r="K702"/>
    </row>
    <row r="703" spans="5:11" x14ac:dyDescent="0.2">
      <c r="E703"/>
      <c r="H703"/>
      <c r="I703"/>
      <c r="J703"/>
      <c r="K703"/>
    </row>
    <row r="704" spans="5:11" x14ac:dyDescent="0.2">
      <c r="E704"/>
      <c r="H704"/>
      <c r="I704"/>
      <c r="J704"/>
      <c r="K704"/>
    </row>
    <row r="705" spans="5:11" x14ac:dyDescent="0.2">
      <c r="E705"/>
      <c r="H705"/>
      <c r="I705"/>
      <c r="J705"/>
      <c r="K705"/>
    </row>
    <row r="706" spans="5:11" x14ac:dyDescent="0.2">
      <c r="E706"/>
      <c r="H706"/>
      <c r="I706"/>
      <c r="J706"/>
      <c r="K706"/>
    </row>
    <row r="707" spans="5:11" x14ac:dyDescent="0.2">
      <c r="E707"/>
      <c r="H707"/>
      <c r="I707"/>
      <c r="J707"/>
      <c r="K707"/>
    </row>
    <row r="708" spans="5:11" x14ac:dyDescent="0.2">
      <c r="E708"/>
      <c r="H708"/>
      <c r="I708"/>
      <c r="J708"/>
      <c r="K708"/>
    </row>
    <row r="709" spans="5:11" x14ac:dyDescent="0.2">
      <c r="E709"/>
      <c r="H709"/>
      <c r="I709"/>
      <c r="J709"/>
      <c r="K709"/>
    </row>
    <row r="710" spans="5:11" x14ac:dyDescent="0.2">
      <c r="E710"/>
      <c r="H710"/>
      <c r="I710"/>
      <c r="J710"/>
      <c r="K710"/>
    </row>
    <row r="711" spans="5:11" x14ac:dyDescent="0.2">
      <c r="E711"/>
      <c r="H711"/>
      <c r="I711"/>
      <c r="J711"/>
      <c r="K711"/>
    </row>
    <row r="712" spans="5:11" x14ac:dyDescent="0.2">
      <c r="E712"/>
      <c r="H712"/>
      <c r="I712"/>
      <c r="J712"/>
      <c r="K712"/>
    </row>
    <row r="713" spans="5:11" x14ac:dyDescent="0.2">
      <c r="E713"/>
      <c r="H713"/>
      <c r="I713"/>
      <c r="J713"/>
      <c r="K713"/>
    </row>
    <row r="714" spans="5:11" x14ac:dyDescent="0.2">
      <c r="E714"/>
      <c r="H714"/>
      <c r="I714"/>
      <c r="J714"/>
      <c r="K714"/>
    </row>
    <row r="715" spans="5:11" x14ac:dyDescent="0.2">
      <c r="E715"/>
      <c r="H715"/>
      <c r="I715"/>
      <c r="J715"/>
      <c r="K715"/>
    </row>
    <row r="716" spans="5:11" x14ac:dyDescent="0.2">
      <c r="E716"/>
      <c r="H716"/>
      <c r="I716"/>
      <c r="J716"/>
      <c r="K716"/>
    </row>
    <row r="717" spans="5:11" x14ac:dyDescent="0.2">
      <c r="E717"/>
      <c r="H717"/>
      <c r="I717"/>
      <c r="J717"/>
      <c r="K717"/>
    </row>
    <row r="718" spans="5:11" x14ac:dyDescent="0.2">
      <c r="E718"/>
      <c r="H718"/>
      <c r="I718"/>
      <c r="J718"/>
      <c r="K718"/>
    </row>
    <row r="719" spans="5:11" x14ac:dyDescent="0.2">
      <c r="E719"/>
      <c r="H719"/>
      <c r="I719"/>
      <c r="J719"/>
      <c r="K719"/>
    </row>
    <row r="720" spans="5:11" x14ac:dyDescent="0.2">
      <c r="E720"/>
      <c r="H720"/>
      <c r="I720"/>
      <c r="J720"/>
      <c r="K720"/>
    </row>
    <row r="721" spans="5:11" x14ac:dyDescent="0.2">
      <c r="E721"/>
      <c r="H721"/>
      <c r="I721"/>
      <c r="J721"/>
      <c r="K721"/>
    </row>
    <row r="722" spans="5:11" x14ac:dyDescent="0.2">
      <c r="E722"/>
      <c r="H722"/>
      <c r="I722"/>
      <c r="J722"/>
      <c r="K722"/>
    </row>
    <row r="723" spans="5:11" x14ac:dyDescent="0.2">
      <c r="E723"/>
      <c r="H723"/>
      <c r="I723"/>
      <c r="J723"/>
      <c r="K723"/>
    </row>
    <row r="724" spans="5:11" x14ac:dyDescent="0.2">
      <c r="E724"/>
      <c r="H724"/>
      <c r="I724"/>
      <c r="J724"/>
      <c r="K724"/>
    </row>
    <row r="725" spans="5:11" x14ac:dyDescent="0.2">
      <c r="E725"/>
      <c r="H725"/>
      <c r="I725"/>
      <c r="J725"/>
      <c r="K725"/>
    </row>
    <row r="726" spans="5:11" x14ac:dyDescent="0.2">
      <c r="E726"/>
      <c r="H726"/>
      <c r="I726"/>
      <c r="J726"/>
      <c r="K726"/>
    </row>
    <row r="727" spans="5:11" x14ac:dyDescent="0.2">
      <c r="E727"/>
      <c r="H727"/>
      <c r="I727"/>
      <c r="J727"/>
      <c r="K727"/>
    </row>
    <row r="728" spans="5:11" x14ac:dyDescent="0.2">
      <c r="E728"/>
      <c r="H728"/>
      <c r="I728"/>
      <c r="J728"/>
      <c r="K728"/>
    </row>
    <row r="729" spans="5:11" x14ac:dyDescent="0.2">
      <c r="E729"/>
      <c r="H729"/>
      <c r="I729"/>
      <c r="J729"/>
      <c r="K729"/>
    </row>
    <row r="730" spans="5:11" x14ac:dyDescent="0.2">
      <c r="E730"/>
      <c r="H730"/>
      <c r="I730"/>
      <c r="J730"/>
      <c r="K730"/>
    </row>
    <row r="731" spans="5:11" x14ac:dyDescent="0.2">
      <c r="E731"/>
      <c r="H731"/>
      <c r="I731"/>
      <c r="J731"/>
      <c r="K731"/>
    </row>
    <row r="732" spans="5:11" x14ac:dyDescent="0.2">
      <c r="E732"/>
      <c r="H732"/>
      <c r="I732"/>
      <c r="J732"/>
      <c r="K732"/>
    </row>
    <row r="733" spans="5:11" x14ac:dyDescent="0.2">
      <c r="E733"/>
      <c r="H733"/>
      <c r="I733"/>
      <c r="J733"/>
      <c r="K733"/>
    </row>
    <row r="734" spans="5:11" x14ac:dyDescent="0.2">
      <c r="E734"/>
      <c r="H734"/>
      <c r="I734"/>
      <c r="J734"/>
      <c r="K734"/>
    </row>
    <row r="735" spans="5:11" x14ac:dyDescent="0.2">
      <c r="E735"/>
      <c r="H735"/>
      <c r="I735"/>
      <c r="J735"/>
      <c r="K735"/>
    </row>
    <row r="736" spans="5:11" x14ac:dyDescent="0.2">
      <c r="E736"/>
      <c r="H736"/>
      <c r="I736"/>
      <c r="J736"/>
      <c r="K736"/>
    </row>
    <row r="737" spans="5:11" x14ac:dyDescent="0.2">
      <c r="E737"/>
      <c r="H737"/>
      <c r="I737"/>
      <c r="J737"/>
      <c r="K737"/>
    </row>
    <row r="738" spans="5:11" x14ac:dyDescent="0.2">
      <c r="E738"/>
      <c r="H738"/>
      <c r="I738"/>
      <c r="J738"/>
      <c r="K738"/>
    </row>
    <row r="739" spans="5:11" x14ac:dyDescent="0.2">
      <c r="E739"/>
      <c r="H739"/>
      <c r="I739"/>
      <c r="J739"/>
      <c r="K739"/>
    </row>
    <row r="740" spans="5:11" x14ac:dyDescent="0.2">
      <c r="E740"/>
      <c r="H740"/>
      <c r="I740"/>
      <c r="J740"/>
      <c r="K740"/>
    </row>
    <row r="741" spans="5:11" x14ac:dyDescent="0.2">
      <c r="E741"/>
      <c r="H741"/>
      <c r="I741"/>
      <c r="J741"/>
      <c r="K741"/>
    </row>
    <row r="742" spans="5:11" x14ac:dyDescent="0.2">
      <c r="E742"/>
      <c r="H742"/>
      <c r="I742"/>
      <c r="J742"/>
      <c r="K742"/>
    </row>
    <row r="743" spans="5:11" x14ac:dyDescent="0.2">
      <c r="E743"/>
      <c r="H743"/>
      <c r="I743"/>
      <c r="J743"/>
      <c r="K743"/>
    </row>
    <row r="744" spans="5:11" x14ac:dyDescent="0.2">
      <c r="E744"/>
      <c r="H744"/>
      <c r="I744"/>
      <c r="J744"/>
      <c r="K744"/>
    </row>
    <row r="745" spans="5:11" x14ac:dyDescent="0.2">
      <c r="E745"/>
      <c r="H745"/>
      <c r="I745"/>
      <c r="J745"/>
      <c r="K745"/>
    </row>
    <row r="746" spans="5:11" x14ac:dyDescent="0.2">
      <c r="E746"/>
      <c r="H746"/>
      <c r="I746"/>
      <c r="J746"/>
      <c r="K746"/>
    </row>
    <row r="747" spans="5:11" x14ac:dyDescent="0.2">
      <c r="E747"/>
      <c r="H747"/>
      <c r="I747"/>
      <c r="J747"/>
      <c r="K747"/>
    </row>
    <row r="748" spans="5:11" x14ac:dyDescent="0.2">
      <c r="E748"/>
      <c r="H748"/>
      <c r="I748"/>
      <c r="J748"/>
      <c r="K748"/>
    </row>
    <row r="749" spans="5:11" x14ac:dyDescent="0.2">
      <c r="E749"/>
      <c r="H749"/>
      <c r="I749"/>
      <c r="J749"/>
      <c r="K749"/>
    </row>
    <row r="750" spans="5:11" x14ac:dyDescent="0.2">
      <c r="E750"/>
      <c r="H750"/>
      <c r="I750"/>
      <c r="J750"/>
      <c r="K750"/>
    </row>
    <row r="751" spans="5:11" x14ac:dyDescent="0.2">
      <c r="E751"/>
      <c r="H751"/>
      <c r="I751"/>
      <c r="J751"/>
      <c r="K751"/>
    </row>
    <row r="752" spans="5:11" x14ac:dyDescent="0.2">
      <c r="E752"/>
      <c r="H752"/>
      <c r="I752"/>
      <c r="J752"/>
      <c r="K752"/>
    </row>
    <row r="753" spans="5:11" x14ac:dyDescent="0.2">
      <c r="E753"/>
      <c r="H753"/>
      <c r="I753"/>
      <c r="J753"/>
      <c r="K753"/>
    </row>
    <row r="754" spans="5:11" x14ac:dyDescent="0.2">
      <c r="E754"/>
      <c r="H754"/>
      <c r="I754"/>
      <c r="J754"/>
      <c r="K754"/>
    </row>
    <row r="755" spans="5:11" x14ac:dyDescent="0.2">
      <c r="E755"/>
      <c r="H755"/>
      <c r="I755"/>
      <c r="J755"/>
      <c r="K755"/>
    </row>
    <row r="756" spans="5:11" x14ac:dyDescent="0.2">
      <c r="E756"/>
      <c r="H756"/>
      <c r="I756"/>
      <c r="J756"/>
      <c r="K756"/>
    </row>
    <row r="757" spans="5:11" x14ac:dyDescent="0.2">
      <c r="E757"/>
      <c r="H757"/>
      <c r="I757"/>
      <c r="J757"/>
      <c r="K757"/>
    </row>
    <row r="758" spans="5:11" x14ac:dyDescent="0.2">
      <c r="E758"/>
      <c r="H758"/>
      <c r="I758"/>
      <c r="J758"/>
      <c r="K758"/>
    </row>
    <row r="759" spans="5:11" x14ac:dyDescent="0.2">
      <c r="E759"/>
      <c r="H759"/>
      <c r="I759"/>
      <c r="J759"/>
      <c r="K759"/>
    </row>
    <row r="760" spans="5:11" x14ac:dyDescent="0.2">
      <c r="E760"/>
      <c r="H760"/>
      <c r="I760"/>
      <c r="J760"/>
      <c r="K760"/>
    </row>
    <row r="761" spans="5:11" x14ac:dyDescent="0.2">
      <c r="E761"/>
      <c r="H761"/>
      <c r="I761"/>
      <c r="J761"/>
      <c r="K761"/>
    </row>
    <row r="762" spans="5:11" x14ac:dyDescent="0.2">
      <c r="E762"/>
      <c r="H762"/>
      <c r="I762"/>
      <c r="J762"/>
      <c r="K762"/>
    </row>
    <row r="763" spans="5:11" x14ac:dyDescent="0.2">
      <c r="E763"/>
      <c r="H763"/>
      <c r="I763"/>
      <c r="J763"/>
      <c r="K763"/>
    </row>
    <row r="764" spans="5:11" x14ac:dyDescent="0.2">
      <c r="E764"/>
      <c r="H764"/>
      <c r="I764"/>
      <c r="J764"/>
      <c r="K764"/>
    </row>
    <row r="765" spans="5:11" x14ac:dyDescent="0.2">
      <c r="E765"/>
      <c r="H765"/>
      <c r="I765"/>
      <c r="J765"/>
      <c r="K765"/>
    </row>
    <row r="766" spans="5:11" x14ac:dyDescent="0.2">
      <c r="E766"/>
      <c r="H766"/>
      <c r="I766"/>
      <c r="J766"/>
      <c r="K766"/>
    </row>
    <row r="767" spans="5:11" x14ac:dyDescent="0.2">
      <c r="E767"/>
      <c r="H767"/>
      <c r="I767"/>
      <c r="J767"/>
      <c r="K767"/>
    </row>
    <row r="768" spans="5:11" x14ac:dyDescent="0.2">
      <c r="E768"/>
      <c r="H768"/>
      <c r="I768"/>
      <c r="J768"/>
      <c r="K768"/>
    </row>
    <row r="769" spans="5:11" x14ac:dyDescent="0.2">
      <c r="E769"/>
      <c r="H769"/>
      <c r="I769"/>
      <c r="J769"/>
      <c r="K769"/>
    </row>
    <row r="770" spans="5:11" x14ac:dyDescent="0.2">
      <c r="E770"/>
      <c r="H770"/>
      <c r="I770"/>
      <c r="J770"/>
      <c r="K770"/>
    </row>
    <row r="771" spans="5:11" x14ac:dyDescent="0.2">
      <c r="E771"/>
      <c r="H771"/>
      <c r="I771"/>
      <c r="J771"/>
      <c r="K771"/>
    </row>
    <row r="772" spans="5:11" x14ac:dyDescent="0.2">
      <c r="E772"/>
      <c r="H772"/>
      <c r="I772"/>
      <c r="J772"/>
      <c r="K772"/>
    </row>
    <row r="773" spans="5:11" x14ac:dyDescent="0.2">
      <c r="E773"/>
      <c r="H773"/>
      <c r="I773"/>
      <c r="J773"/>
      <c r="K773"/>
    </row>
    <row r="774" spans="5:11" x14ac:dyDescent="0.2">
      <c r="E774"/>
      <c r="H774"/>
      <c r="I774"/>
      <c r="J774"/>
      <c r="K774"/>
    </row>
    <row r="775" spans="5:11" x14ac:dyDescent="0.2">
      <c r="E775"/>
      <c r="H775"/>
      <c r="I775"/>
      <c r="J775"/>
      <c r="K775"/>
    </row>
    <row r="776" spans="5:11" x14ac:dyDescent="0.2">
      <c r="E776"/>
      <c r="H776"/>
      <c r="I776"/>
      <c r="J776"/>
      <c r="K776"/>
    </row>
    <row r="777" spans="5:11" x14ac:dyDescent="0.2">
      <c r="E777"/>
      <c r="H777"/>
      <c r="I777"/>
      <c r="J777"/>
      <c r="K777"/>
    </row>
    <row r="778" spans="5:11" x14ac:dyDescent="0.2">
      <c r="E778"/>
      <c r="H778"/>
      <c r="I778"/>
      <c r="J778"/>
      <c r="K778"/>
    </row>
    <row r="779" spans="5:11" x14ac:dyDescent="0.2">
      <c r="E779"/>
      <c r="H779"/>
      <c r="I779"/>
      <c r="J779"/>
      <c r="K779"/>
    </row>
    <row r="780" spans="5:11" x14ac:dyDescent="0.2">
      <c r="E780"/>
      <c r="H780"/>
      <c r="I780"/>
      <c r="J780"/>
      <c r="K780"/>
    </row>
    <row r="781" spans="5:11" x14ac:dyDescent="0.2">
      <c r="E781"/>
      <c r="H781"/>
      <c r="I781"/>
      <c r="J781"/>
      <c r="K781"/>
    </row>
    <row r="782" spans="5:11" x14ac:dyDescent="0.2">
      <c r="E782"/>
      <c r="H782"/>
      <c r="I782"/>
      <c r="J782"/>
      <c r="K782"/>
    </row>
    <row r="783" spans="5:11" x14ac:dyDescent="0.2">
      <c r="E783"/>
      <c r="H783"/>
      <c r="I783"/>
      <c r="J783"/>
      <c r="K783"/>
    </row>
    <row r="784" spans="5:11" x14ac:dyDescent="0.2">
      <c r="E784"/>
      <c r="H784"/>
      <c r="I784"/>
      <c r="J784"/>
      <c r="K784"/>
    </row>
    <row r="785" spans="5:11" x14ac:dyDescent="0.2">
      <c r="E785"/>
      <c r="H785"/>
      <c r="I785"/>
      <c r="J785"/>
      <c r="K785"/>
    </row>
    <row r="786" spans="5:11" x14ac:dyDescent="0.2">
      <c r="E786"/>
      <c r="H786"/>
      <c r="I786"/>
      <c r="J786"/>
      <c r="K786"/>
    </row>
    <row r="787" spans="5:11" x14ac:dyDescent="0.2">
      <c r="E787"/>
      <c r="H787"/>
      <c r="I787"/>
      <c r="J787"/>
      <c r="K787"/>
    </row>
    <row r="788" spans="5:11" x14ac:dyDescent="0.2">
      <c r="E788"/>
      <c r="H788"/>
      <c r="I788"/>
      <c r="J788"/>
      <c r="K788"/>
    </row>
    <row r="789" spans="5:11" x14ac:dyDescent="0.2">
      <c r="E789"/>
      <c r="H789"/>
      <c r="I789"/>
      <c r="J789"/>
      <c r="K789"/>
    </row>
    <row r="790" spans="5:11" x14ac:dyDescent="0.2">
      <c r="E790"/>
      <c r="H790"/>
      <c r="I790"/>
      <c r="J790"/>
      <c r="K790"/>
    </row>
    <row r="791" spans="5:11" x14ac:dyDescent="0.2">
      <c r="E791"/>
      <c r="H791"/>
      <c r="I791"/>
      <c r="J791"/>
      <c r="K791"/>
    </row>
    <row r="792" spans="5:11" x14ac:dyDescent="0.2">
      <c r="E792"/>
      <c r="H792"/>
      <c r="I792"/>
      <c r="J792"/>
      <c r="K792"/>
    </row>
    <row r="793" spans="5:11" x14ac:dyDescent="0.2">
      <c r="E793"/>
      <c r="H793"/>
      <c r="I793"/>
      <c r="J793"/>
      <c r="K793"/>
    </row>
    <row r="794" spans="5:11" x14ac:dyDescent="0.2">
      <c r="E794"/>
      <c r="H794"/>
      <c r="I794"/>
      <c r="J794"/>
      <c r="K794"/>
    </row>
    <row r="795" spans="5:11" x14ac:dyDescent="0.2">
      <c r="E795"/>
      <c r="H795"/>
      <c r="I795"/>
      <c r="J795"/>
      <c r="K795"/>
    </row>
    <row r="796" spans="5:11" x14ac:dyDescent="0.2">
      <c r="E796"/>
      <c r="H796"/>
      <c r="I796"/>
      <c r="J796"/>
      <c r="K796"/>
    </row>
    <row r="797" spans="5:11" x14ac:dyDescent="0.2">
      <c r="E797"/>
      <c r="H797"/>
      <c r="I797"/>
      <c r="J797"/>
      <c r="K797"/>
    </row>
    <row r="798" spans="5:11" x14ac:dyDescent="0.2">
      <c r="E798"/>
      <c r="H798"/>
      <c r="I798"/>
      <c r="J798"/>
      <c r="K798"/>
    </row>
    <row r="799" spans="5:11" x14ac:dyDescent="0.2">
      <c r="E799"/>
      <c r="H799"/>
      <c r="I799"/>
      <c r="J799"/>
      <c r="K799"/>
    </row>
    <row r="800" spans="5:11" x14ac:dyDescent="0.2">
      <c r="E800"/>
      <c r="H800"/>
      <c r="I800"/>
      <c r="J800"/>
      <c r="K800"/>
    </row>
    <row r="801" spans="5:11" x14ac:dyDescent="0.2">
      <c r="E801"/>
      <c r="H801"/>
      <c r="I801"/>
      <c r="J801"/>
      <c r="K801"/>
    </row>
    <row r="802" spans="5:11" x14ac:dyDescent="0.2">
      <c r="E802"/>
      <c r="H802"/>
      <c r="I802"/>
      <c r="J802"/>
      <c r="K802"/>
    </row>
    <row r="803" spans="5:11" x14ac:dyDescent="0.2">
      <c r="E803"/>
      <c r="H803"/>
      <c r="I803"/>
      <c r="J803"/>
      <c r="K803"/>
    </row>
    <row r="804" spans="5:11" x14ac:dyDescent="0.2">
      <c r="E804"/>
      <c r="H804"/>
      <c r="I804"/>
      <c r="J804"/>
      <c r="K804"/>
    </row>
    <row r="805" spans="5:11" x14ac:dyDescent="0.2">
      <c r="E805"/>
      <c r="H805"/>
      <c r="I805"/>
      <c r="J805"/>
      <c r="K805"/>
    </row>
    <row r="806" spans="5:11" x14ac:dyDescent="0.2">
      <c r="E806"/>
      <c r="H806"/>
      <c r="I806"/>
      <c r="J806"/>
      <c r="K806"/>
    </row>
    <row r="807" spans="5:11" x14ac:dyDescent="0.2">
      <c r="E807"/>
      <c r="H807"/>
      <c r="I807"/>
      <c r="J807"/>
      <c r="K807"/>
    </row>
    <row r="808" spans="5:11" x14ac:dyDescent="0.2">
      <c r="E808"/>
      <c r="H808"/>
      <c r="I808"/>
      <c r="J808"/>
      <c r="K808"/>
    </row>
    <row r="809" spans="5:11" x14ac:dyDescent="0.2">
      <c r="E809"/>
      <c r="H809"/>
      <c r="I809"/>
      <c r="J809"/>
      <c r="K809"/>
    </row>
    <row r="810" spans="5:11" x14ac:dyDescent="0.2">
      <c r="E810"/>
      <c r="H810"/>
      <c r="I810"/>
      <c r="J810"/>
      <c r="K810"/>
    </row>
    <row r="811" spans="5:11" x14ac:dyDescent="0.2">
      <c r="E811"/>
      <c r="H811"/>
      <c r="I811"/>
      <c r="J811"/>
      <c r="K811"/>
    </row>
    <row r="812" spans="5:11" x14ac:dyDescent="0.2">
      <c r="E812"/>
      <c r="H812"/>
      <c r="I812"/>
      <c r="J812"/>
      <c r="K812"/>
    </row>
    <row r="813" spans="5:11" x14ac:dyDescent="0.2">
      <c r="E813"/>
      <c r="H813"/>
      <c r="I813"/>
      <c r="J813"/>
      <c r="K813"/>
    </row>
    <row r="814" spans="5:11" x14ac:dyDescent="0.2">
      <c r="E814"/>
      <c r="H814"/>
      <c r="I814"/>
      <c r="J814"/>
      <c r="K814"/>
    </row>
    <row r="815" spans="5:11" x14ac:dyDescent="0.2">
      <c r="E815"/>
      <c r="H815"/>
      <c r="I815"/>
      <c r="J815"/>
      <c r="K815"/>
    </row>
    <row r="816" spans="5:11" x14ac:dyDescent="0.2">
      <c r="E816"/>
      <c r="H816"/>
      <c r="I816"/>
      <c r="J816"/>
      <c r="K816"/>
    </row>
    <row r="817" spans="5:11" x14ac:dyDescent="0.2">
      <c r="E817"/>
      <c r="H817"/>
      <c r="I817"/>
      <c r="J817"/>
      <c r="K817"/>
    </row>
    <row r="818" spans="5:11" x14ac:dyDescent="0.2">
      <c r="E818"/>
      <c r="H818"/>
      <c r="I818"/>
      <c r="J818"/>
      <c r="K818"/>
    </row>
    <row r="819" spans="5:11" x14ac:dyDescent="0.2">
      <c r="E819"/>
      <c r="H819"/>
      <c r="I819"/>
      <c r="J819"/>
      <c r="K819"/>
    </row>
    <row r="820" spans="5:11" x14ac:dyDescent="0.2">
      <c r="E820"/>
      <c r="H820"/>
      <c r="I820"/>
      <c r="J820"/>
      <c r="K820"/>
    </row>
    <row r="821" spans="5:11" x14ac:dyDescent="0.2">
      <c r="E821"/>
      <c r="H821"/>
      <c r="I821"/>
      <c r="J821"/>
      <c r="K821"/>
    </row>
    <row r="822" spans="5:11" x14ac:dyDescent="0.2">
      <c r="E822"/>
      <c r="H822"/>
      <c r="I822"/>
      <c r="J822"/>
      <c r="K822"/>
    </row>
    <row r="823" spans="5:11" x14ac:dyDescent="0.2">
      <c r="E823"/>
      <c r="H823"/>
      <c r="I823"/>
      <c r="J823"/>
      <c r="K823"/>
    </row>
    <row r="824" spans="5:11" x14ac:dyDescent="0.2">
      <c r="E824"/>
      <c r="H824"/>
      <c r="I824"/>
      <c r="J824"/>
      <c r="K824"/>
    </row>
    <row r="825" spans="5:11" x14ac:dyDescent="0.2">
      <c r="E825"/>
      <c r="H825"/>
      <c r="I825"/>
      <c r="J825"/>
      <c r="K825"/>
    </row>
    <row r="826" spans="5:11" x14ac:dyDescent="0.2">
      <c r="E826"/>
      <c r="H826"/>
      <c r="I826"/>
      <c r="J826"/>
      <c r="K826"/>
    </row>
    <row r="827" spans="5:11" x14ac:dyDescent="0.2">
      <c r="E827"/>
      <c r="H827"/>
      <c r="I827"/>
      <c r="J827"/>
      <c r="K827"/>
    </row>
    <row r="828" spans="5:11" x14ac:dyDescent="0.2">
      <c r="E828"/>
      <c r="H828"/>
      <c r="I828"/>
      <c r="J828"/>
      <c r="K828"/>
    </row>
    <row r="829" spans="5:11" x14ac:dyDescent="0.2">
      <c r="E829"/>
      <c r="H829"/>
      <c r="I829"/>
      <c r="J829"/>
      <c r="K829"/>
    </row>
    <row r="830" spans="5:11" x14ac:dyDescent="0.2">
      <c r="E830"/>
      <c r="H830"/>
      <c r="I830"/>
      <c r="J830"/>
      <c r="K830"/>
    </row>
    <row r="831" spans="5:11" x14ac:dyDescent="0.2">
      <c r="E831"/>
      <c r="H831"/>
      <c r="I831"/>
      <c r="J831"/>
      <c r="K831"/>
    </row>
    <row r="832" spans="5:11" x14ac:dyDescent="0.2">
      <c r="E832"/>
      <c r="H832"/>
      <c r="I832"/>
      <c r="J832"/>
      <c r="K832"/>
    </row>
    <row r="833" spans="5:11" x14ac:dyDescent="0.2">
      <c r="E833"/>
      <c r="H833"/>
      <c r="I833"/>
      <c r="J833"/>
      <c r="K833"/>
    </row>
    <row r="834" spans="5:11" x14ac:dyDescent="0.2">
      <c r="E834"/>
      <c r="H834"/>
      <c r="I834"/>
      <c r="J834"/>
      <c r="K834"/>
    </row>
    <row r="835" spans="5:11" x14ac:dyDescent="0.2">
      <c r="E835"/>
      <c r="H835"/>
      <c r="I835"/>
      <c r="J835"/>
      <c r="K835"/>
    </row>
    <row r="836" spans="5:11" x14ac:dyDescent="0.2">
      <c r="E836"/>
      <c r="H836"/>
      <c r="I836"/>
      <c r="J836"/>
      <c r="K836"/>
    </row>
    <row r="837" spans="5:11" x14ac:dyDescent="0.2">
      <c r="E837"/>
      <c r="H837"/>
      <c r="I837"/>
      <c r="J837"/>
      <c r="K837"/>
    </row>
    <row r="838" spans="5:11" x14ac:dyDescent="0.2">
      <c r="E838"/>
      <c r="H838"/>
      <c r="I838"/>
      <c r="J838"/>
      <c r="K838"/>
    </row>
    <row r="839" spans="5:11" x14ac:dyDescent="0.2">
      <c r="E839"/>
      <c r="H839"/>
      <c r="I839"/>
      <c r="J839"/>
      <c r="K839"/>
    </row>
    <row r="840" spans="5:11" x14ac:dyDescent="0.2">
      <c r="E840"/>
      <c r="H840"/>
      <c r="I840"/>
      <c r="J840"/>
      <c r="K840"/>
    </row>
    <row r="841" spans="5:11" x14ac:dyDescent="0.2">
      <c r="E841"/>
      <c r="H841"/>
      <c r="I841"/>
      <c r="J841"/>
      <c r="K841"/>
    </row>
    <row r="842" spans="5:11" x14ac:dyDescent="0.2">
      <c r="E842"/>
      <c r="H842"/>
      <c r="I842"/>
      <c r="J842"/>
      <c r="K842"/>
    </row>
    <row r="843" spans="5:11" x14ac:dyDescent="0.2">
      <c r="E843"/>
      <c r="H843"/>
      <c r="I843"/>
      <c r="J843"/>
      <c r="K843"/>
    </row>
    <row r="844" spans="5:11" x14ac:dyDescent="0.2">
      <c r="E844"/>
      <c r="H844"/>
      <c r="I844"/>
      <c r="J844"/>
      <c r="K844"/>
    </row>
    <row r="845" spans="5:11" x14ac:dyDescent="0.2">
      <c r="E845"/>
      <c r="H845"/>
      <c r="I845"/>
      <c r="J845"/>
      <c r="K845"/>
    </row>
    <row r="846" spans="5:11" x14ac:dyDescent="0.2">
      <c r="E846"/>
      <c r="H846"/>
      <c r="I846"/>
      <c r="J846"/>
      <c r="K846"/>
    </row>
    <row r="847" spans="5:11" x14ac:dyDescent="0.2">
      <c r="E847"/>
      <c r="H847"/>
      <c r="I847"/>
      <c r="J847"/>
      <c r="K847"/>
    </row>
    <row r="848" spans="5:11" x14ac:dyDescent="0.2">
      <c r="E848"/>
      <c r="H848"/>
      <c r="I848"/>
      <c r="J848"/>
      <c r="K848"/>
    </row>
    <row r="849" spans="5:11" x14ac:dyDescent="0.2">
      <c r="E849"/>
      <c r="H849"/>
      <c r="I849"/>
      <c r="J849"/>
      <c r="K849"/>
    </row>
    <row r="850" spans="5:11" x14ac:dyDescent="0.2">
      <c r="E850"/>
      <c r="H850"/>
      <c r="I850"/>
      <c r="J850"/>
      <c r="K850"/>
    </row>
    <row r="851" spans="5:11" x14ac:dyDescent="0.2">
      <c r="E851"/>
      <c r="H851"/>
      <c r="I851"/>
      <c r="J851"/>
      <c r="K851"/>
    </row>
    <row r="852" spans="5:11" x14ac:dyDescent="0.2">
      <c r="E852"/>
      <c r="H852"/>
      <c r="I852"/>
      <c r="J852"/>
      <c r="K852"/>
    </row>
    <row r="853" spans="5:11" x14ac:dyDescent="0.2">
      <c r="E853"/>
      <c r="H853"/>
      <c r="I853"/>
      <c r="J853"/>
      <c r="K853"/>
    </row>
    <row r="854" spans="5:11" x14ac:dyDescent="0.2">
      <c r="E854"/>
      <c r="H854"/>
      <c r="I854"/>
      <c r="J854"/>
      <c r="K854"/>
    </row>
    <row r="855" spans="5:11" x14ac:dyDescent="0.2">
      <c r="E855"/>
      <c r="H855"/>
      <c r="I855"/>
      <c r="J855"/>
      <c r="K855"/>
    </row>
    <row r="856" spans="5:11" x14ac:dyDescent="0.2">
      <c r="E856"/>
      <c r="H856"/>
      <c r="I856"/>
      <c r="J856"/>
      <c r="K856"/>
    </row>
    <row r="857" spans="5:11" x14ac:dyDescent="0.2">
      <c r="E857"/>
      <c r="H857"/>
      <c r="I857"/>
      <c r="J857"/>
      <c r="K857"/>
    </row>
    <row r="858" spans="5:11" x14ac:dyDescent="0.2">
      <c r="E858"/>
      <c r="H858"/>
      <c r="I858"/>
      <c r="J858"/>
      <c r="K858"/>
    </row>
    <row r="859" spans="5:11" x14ac:dyDescent="0.2">
      <c r="E859"/>
      <c r="H859"/>
      <c r="I859"/>
      <c r="J859"/>
      <c r="K859"/>
    </row>
    <row r="860" spans="5:11" x14ac:dyDescent="0.2">
      <c r="E860"/>
      <c r="H860"/>
      <c r="I860"/>
      <c r="J860"/>
      <c r="K860"/>
    </row>
    <row r="861" spans="5:11" x14ac:dyDescent="0.2">
      <c r="E861"/>
      <c r="H861"/>
      <c r="I861"/>
      <c r="J861"/>
      <c r="K861"/>
    </row>
    <row r="862" spans="5:11" x14ac:dyDescent="0.2">
      <c r="E862"/>
      <c r="H862"/>
      <c r="I862"/>
      <c r="J862"/>
      <c r="K862"/>
    </row>
    <row r="863" spans="5:11" x14ac:dyDescent="0.2">
      <c r="E863"/>
      <c r="H863"/>
      <c r="I863"/>
      <c r="J863"/>
      <c r="K863"/>
    </row>
    <row r="864" spans="5:11" x14ac:dyDescent="0.2">
      <c r="E864"/>
      <c r="H864"/>
      <c r="I864"/>
      <c r="J864"/>
      <c r="K864"/>
    </row>
    <row r="865" spans="5:11" x14ac:dyDescent="0.2">
      <c r="E865"/>
      <c r="H865"/>
      <c r="I865"/>
      <c r="J865"/>
      <c r="K865"/>
    </row>
    <row r="866" spans="5:11" x14ac:dyDescent="0.2">
      <c r="E866"/>
      <c r="H866"/>
      <c r="I866"/>
      <c r="J866"/>
      <c r="K866"/>
    </row>
    <row r="867" spans="5:11" x14ac:dyDescent="0.2">
      <c r="E867"/>
      <c r="H867"/>
      <c r="I867"/>
      <c r="J867"/>
      <c r="K867"/>
    </row>
    <row r="868" spans="5:11" x14ac:dyDescent="0.2">
      <c r="E868"/>
      <c r="H868"/>
      <c r="I868"/>
      <c r="J868"/>
      <c r="K868"/>
    </row>
    <row r="869" spans="5:11" x14ac:dyDescent="0.2">
      <c r="E869"/>
      <c r="H869"/>
      <c r="I869"/>
      <c r="J869"/>
      <c r="K869"/>
    </row>
    <row r="870" spans="5:11" x14ac:dyDescent="0.2">
      <c r="E870"/>
      <c r="H870"/>
      <c r="I870"/>
      <c r="J870"/>
      <c r="K870"/>
    </row>
    <row r="871" spans="5:11" x14ac:dyDescent="0.2">
      <c r="E871"/>
      <c r="H871"/>
      <c r="I871"/>
      <c r="J871"/>
      <c r="K871"/>
    </row>
    <row r="872" spans="5:11" x14ac:dyDescent="0.2">
      <c r="E872"/>
      <c r="H872"/>
      <c r="I872"/>
      <c r="J872"/>
      <c r="K872"/>
    </row>
    <row r="873" spans="5:11" x14ac:dyDescent="0.2">
      <c r="E873"/>
      <c r="H873"/>
      <c r="I873"/>
      <c r="J873"/>
      <c r="K873"/>
    </row>
    <row r="874" spans="5:11" x14ac:dyDescent="0.2">
      <c r="E874"/>
      <c r="H874"/>
      <c r="I874"/>
      <c r="J874"/>
      <c r="K874"/>
    </row>
    <row r="875" spans="5:11" x14ac:dyDescent="0.2">
      <c r="E875"/>
      <c r="H875"/>
      <c r="I875"/>
      <c r="J875"/>
      <c r="K875"/>
    </row>
    <row r="876" spans="5:11" x14ac:dyDescent="0.2">
      <c r="E876"/>
      <c r="H876"/>
      <c r="I876"/>
      <c r="J876"/>
      <c r="K876"/>
    </row>
    <row r="877" spans="5:11" x14ac:dyDescent="0.2">
      <c r="E877"/>
      <c r="H877"/>
      <c r="I877"/>
      <c r="J877"/>
      <c r="K877"/>
    </row>
    <row r="878" spans="5:11" x14ac:dyDescent="0.2">
      <c r="E878"/>
      <c r="H878"/>
      <c r="I878"/>
      <c r="J878"/>
      <c r="K878"/>
    </row>
    <row r="879" spans="5:11" x14ac:dyDescent="0.2">
      <c r="E879"/>
      <c r="H879"/>
      <c r="I879"/>
      <c r="J879"/>
      <c r="K879"/>
    </row>
    <row r="880" spans="5:11" x14ac:dyDescent="0.2">
      <c r="E880"/>
      <c r="H880"/>
      <c r="I880"/>
      <c r="J880"/>
      <c r="K880"/>
    </row>
    <row r="881" spans="5:11" x14ac:dyDescent="0.2">
      <c r="E881"/>
      <c r="H881"/>
      <c r="I881"/>
      <c r="J881"/>
      <c r="K881"/>
    </row>
    <row r="882" spans="5:11" x14ac:dyDescent="0.2">
      <c r="E882"/>
      <c r="H882"/>
      <c r="I882"/>
      <c r="J882"/>
      <c r="K882"/>
    </row>
    <row r="883" spans="5:11" x14ac:dyDescent="0.2">
      <c r="E883"/>
      <c r="H883"/>
      <c r="I883"/>
      <c r="J883"/>
      <c r="K883"/>
    </row>
    <row r="884" spans="5:11" x14ac:dyDescent="0.2">
      <c r="E884"/>
      <c r="H884"/>
      <c r="I884"/>
      <c r="J884"/>
      <c r="K884"/>
    </row>
    <row r="885" spans="5:11" x14ac:dyDescent="0.2">
      <c r="E885"/>
      <c r="H885"/>
      <c r="I885"/>
      <c r="J885"/>
      <c r="K885"/>
    </row>
    <row r="886" spans="5:11" x14ac:dyDescent="0.2">
      <c r="E886"/>
      <c r="H886"/>
      <c r="I886"/>
      <c r="J886"/>
      <c r="K886"/>
    </row>
    <row r="887" spans="5:11" x14ac:dyDescent="0.2">
      <c r="E887"/>
      <c r="H887"/>
      <c r="I887"/>
      <c r="J887"/>
      <c r="K887"/>
    </row>
    <row r="888" spans="5:11" x14ac:dyDescent="0.2">
      <c r="E888"/>
      <c r="H888"/>
      <c r="I888"/>
      <c r="J888"/>
      <c r="K888"/>
    </row>
    <row r="889" spans="5:11" x14ac:dyDescent="0.2">
      <c r="E889"/>
      <c r="H889"/>
      <c r="I889"/>
      <c r="J889"/>
      <c r="K889"/>
    </row>
    <row r="890" spans="5:11" x14ac:dyDescent="0.2">
      <c r="E890"/>
      <c r="H890"/>
      <c r="I890"/>
      <c r="J890"/>
      <c r="K890"/>
    </row>
    <row r="891" spans="5:11" x14ac:dyDescent="0.2">
      <c r="E891"/>
      <c r="H891"/>
      <c r="I891"/>
      <c r="J891"/>
      <c r="K891"/>
    </row>
    <row r="892" spans="5:11" x14ac:dyDescent="0.2">
      <c r="E892"/>
      <c r="H892"/>
      <c r="I892"/>
      <c r="J892"/>
      <c r="K892"/>
    </row>
    <row r="893" spans="5:11" x14ac:dyDescent="0.2">
      <c r="E893"/>
      <c r="H893"/>
      <c r="I893"/>
      <c r="J893"/>
      <c r="K893"/>
    </row>
    <row r="894" spans="5:11" x14ac:dyDescent="0.2">
      <c r="E894"/>
      <c r="H894"/>
      <c r="I894"/>
      <c r="J894"/>
      <c r="K894"/>
    </row>
    <row r="895" spans="5:11" x14ac:dyDescent="0.2">
      <c r="E895"/>
      <c r="H895"/>
      <c r="I895"/>
      <c r="J895"/>
      <c r="K895"/>
    </row>
    <row r="896" spans="5:11" x14ac:dyDescent="0.2">
      <c r="E896"/>
      <c r="H896"/>
      <c r="I896"/>
      <c r="J896"/>
      <c r="K896"/>
    </row>
    <row r="897" spans="5:11" x14ac:dyDescent="0.2">
      <c r="E897"/>
      <c r="H897"/>
      <c r="I897"/>
      <c r="J897"/>
      <c r="K897"/>
    </row>
    <row r="898" spans="5:11" x14ac:dyDescent="0.2">
      <c r="E898"/>
      <c r="H898"/>
      <c r="I898"/>
      <c r="J898"/>
      <c r="K898"/>
    </row>
    <row r="899" spans="5:11" x14ac:dyDescent="0.2">
      <c r="E899"/>
      <c r="H899"/>
      <c r="I899"/>
      <c r="J899"/>
      <c r="K899"/>
    </row>
    <row r="900" spans="5:11" x14ac:dyDescent="0.2">
      <c r="E900"/>
      <c r="H900"/>
      <c r="I900"/>
      <c r="J900"/>
      <c r="K900"/>
    </row>
    <row r="901" spans="5:11" x14ac:dyDescent="0.2">
      <c r="E901"/>
      <c r="H901"/>
      <c r="I901"/>
      <c r="J901"/>
      <c r="K901"/>
    </row>
    <row r="902" spans="5:11" x14ac:dyDescent="0.2">
      <c r="E902"/>
      <c r="H902"/>
      <c r="I902"/>
      <c r="J902"/>
      <c r="K902"/>
    </row>
    <row r="903" spans="5:11" x14ac:dyDescent="0.2">
      <c r="E903"/>
      <c r="H903"/>
      <c r="I903"/>
      <c r="J903"/>
      <c r="K903"/>
    </row>
    <row r="904" spans="5:11" x14ac:dyDescent="0.2">
      <c r="E904"/>
      <c r="H904"/>
      <c r="I904"/>
      <c r="J904"/>
      <c r="K904"/>
    </row>
    <row r="905" spans="5:11" x14ac:dyDescent="0.2">
      <c r="E905"/>
      <c r="H905"/>
      <c r="I905"/>
      <c r="J905"/>
      <c r="K905"/>
    </row>
    <row r="906" spans="5:11" x14ac:dyDescent="0.2">
      <c r="E906"/>
      <c r="H906"/>
      <c r="I906"/>
      <c r="J906"/>
      <c r="K906"/>
    </row>
    <row r="907" spans="5:11" x14ac:dyDescent="0.2">
      <c r="E907"/>
      <c r="H907"/>
      <c r="I907"/>
      <c r="J907"/>
      <c r="K907"/>
    </row>
    <row r="908" spans="5:11" x14ac:dyDescent="0.2">
      <c r="E908"/>
      <c r="H908"/>
      <c r="I908"/>
      <c r="J908"/>
      <c r="K908"/>
    </row>
    <row r="909" spans="5:11" x14ac:dyDescent="0.2">
      <c r="E909"/>
      <c r="H909"/>
      <c r="I909"/>
      <c r="J909"/>
      <c r="K909"/>
    </row>
    <row r="910" spans="5:11" x14ac:dyDescent="0.2">
      <c r="E910"/>
      <c r="H910"/>
      <c r="I910"/>
      <c r="J910"/>
      <c r="K910"/>
    </row>
    <row r="911" spans="5:11" x14ac:dyDescent="0.2">
      <c r="E911"/>
      <c r="H911"/>
      <c r="I911"/>
      <c r="J911"/>
      <c r="K9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171A-F44E-1B40-BF0A-B34F2552D9FC}">
  <dimension ref="A1:T482"/>
  <sheetViews>
    <sheetView tabSelected="1" zoomScaleNormal="13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2" sqref="A32:XFD76"/>
    </sheetView>
  </sheetViews>
  <sheetFormatPr baseColWidth="10" defaultRowHeight="15" x14ac:dyDescent="0.2"/>
  <cols>
    <col min="1" max="1" width="2.33203125" customWidth="1"/>
    <col min="2" max="2" width="49.33203125" bestFit="1" customWidth="1"/>
    <col min="3" max="3" width="18.1640625" bestFit="1" customWidth="1"/>
    <col min="4" max="4" width="12.1640625" bestFit="1" customWidth="1"/>
    <col min="5" max="5" width="11.83203125" bestFit="1" customWidth="1"/>
    <col min="6" max="6" width="12.83203125" bestFit="1" customWidth="1"/>
    <col min="7" max="7" width="11" bestFit="1" customWidth="1"/>
    <col min="8" max="8" width="10.1640625" style="8" bestFit="1" customWidth="1"/>
    <col min="9" max="9" width="11.1640625" style="9" bestFit="1" customWidth="1"/>
    <col min="10" max="10" width="9.83203125" style="9" bestFit="1" customWidth="1"/>
    <col min="11" max="11" width="8" style="9" bestFit="1" customWidth="1"/>
    <col min="12" max="12" width="10.83203125" style="29"/>
  </cols>
  <sheetData>
    <row r="1" spans="2:12" x14ac:dyDescent="0.2">
      <c r="B1" s="6" t="s">
        <v>981</v>
      </c>
      <c r="C1" t="s">
        <v>995</v>
      </c>
      <c r="D1" s="32"/>
    </row>
    <row r="2" spans="2:12" x14ac:dyDescent="0.2">
      <c r="B2" s="6" t="s">
        <v>982</v>
      </c>
      <c r="C2" t="s">
        <v>983</v>
      </c>
      <c r="D2" s="32"/>
    </row>
    <row r="3" spans="2:12" x14ac:dyDescent="0.2">
      <c r="B3" s="6" t="s">
        <v>3</v>
      </c>
      <c r="C3" t="s">
        <v>49</v>
      </c>
      <c r="D3" s="32"/>
    </row>
    <row r="5" spans="2:12" s="22" customFormat="1" ht="32" x14ac:dyDescent="0.2">
      <c r="B5" s="23" t="s">
        <v>984</v>
      </c>
      <c r="C5" s="22" t="s">
        <v>986</v>
      </c>
      <c r="D5" s="22" t="s">
        <v>987</v>
      </c>
      <c r="E5" s="22" t="s">
        <v>988</v>
      </c>
      <c r="F5" s="22" t="s">
        <v>990</v>
      </c>
      <c r="G5" s="22" t="s">
        <v>989</v>
      </c>
      <c r="H5" s="24" t="s">
        <v>991</v>
      </c>
      <c r="I5" s="25" t="s">
        <v>992</v>
      </c>
      <c r="J5" s="25" t="s">
        <v>993</v>
      </c>
      <c r="K5" s="25" t="s">
        <v>994</v>
      </c>
      <c r="L5" s="30"/>
    </row>
    <row r="6" spans="2:12" x14ac:dyDescent="0.2">
      <c r="B6" s="7" t="s">
        <v>101</v>
      </c>
      <c r="C6">
        <v>305</v>
      </c>
      <c r="D6">
        <v>6</v>
      </c>
      <c r="E6">
        <v>4.7</v>
      </c>
      <c r="F6">
        <v>1</v>
      </c>
      <c r="G6">
        <v>17.09</v>
      </c>
      <c r="H6" s="8">
        <v>0.78333333333333333</v>
      </c>
      <c r="I6" s="9">
        <v>0.27501462843768287</v>
      </c>
      <c r="J6" s="9">
        <v>1.9672131147540985E-2</v>
      </c>
      <c r="K6" s="9">
        <v>0.16666666666666666</v>
      </c>
    </row>
    <row r="7" spans="2:12" x14ac:dyDescent="0.2">
      <c r="B7" s="7" t="s">
        <v>99</v>
      </c>
      <c r="C7">
        <v>180</v>
      </c>
      <c r="D7">
        <v>5</v>
      </c>
      <c r="E7">
        <v>4.0999999999999996</v>
      </c>
      <c r="F7">
        <v>0</v>
      </c>
      <c r="G7">
        <v>0</v>
      </c>
      <c r="H7" s="8">
        <v>0.82</v>
      </c>
      <c r="I7" s="9" t="e">
        <v>#DIV/0!</v>
      </c>
      <c r="J7" s="9">
        <v>2.7777777777777776E-2</v>
      </c>
      <c r="K7" s="9">
        <v>0</v>
      </c>
    </row>
    <row r="8" spans="2:12" x14ac:dyDescent="0.2">
      <c r="B8" s="7" t="s">
        <v>44</v>
      </c>
      <c r="C8">
        <v>115</v>
      </c>
      <c r="D8">
        <v>4</v>
      </c>
      <c r="E8">
        <v>3.15</v>
      </c>
      <c r="F8">
        <v>1</v>
      </c>
      <c r="G8">
        <v>36.08</v>
      </c>
      <c r="H8" s="8">
        <v>0.78749999999999998</v>
      </c>
      <c r="I8" s="9">
        <v>8.7305986696230603E-2</v>
      </c>
      <c r="J8" s="9">
        <v>3.4782608695652174E-2</v>
      </c>
      <c r="K8" s="9">
        <v>0.25</v>
      </c>
    </row>
    <row r="9" spans="2:12" x14ac:dyDescent="0.2">
      <c r="B9" s="7" t="s">
        <v>272</v>
      </c>
      <c r="C9">
        <v>107</v>
      </c>
      <c r="D9">
        <v>4</v>
      </c>
      <c r="E9">
        <v>3.25</v>
      </c>
      <c r="F9">
        <v>1</v>
      </c>
      <c r="G9">
        <v>18.04</v>
      </c>
      <c r="H9" s="8">
        <v>0.8125</v>
      </c>
      <c r="I9" s="9">
        <v>0.18015521064301554</v>
      </c>
      <c r="J9" s="9">
        <v>3.7383177570093455E-2</v>
      </c>
      <c r="K9" s="9">
        <v>0.25</v>
      </c>
    </row>
    <row r="10" spans="2:12" x14ac:dyDescent="0.2">
      <c r="B10" s="7" t="s">
        <v>306</v>
      </c>
      <c r="C10">
        <v>103</v>
      </c>
      <c r="D10">
        <v>4</v>
      </c>
      <c r="E10">
        <v>3</v>
      </c>
      <c r="F10">
        <v>0</v>
      </c>
      <c r="G10">
        <v>0</v>
      </c>
      <c r="H10" s="8">
        <v>0.75</v>
      </c>
      <c r="I10" s="9" t="e">
        <v>#DIV/0!</v>
      </c>
      <c r="J10" s="9">
        <v>3.8834951456310676E-2</v>
      </c>
      <c r="K10" s="9">
        <v>0</v>
      </c>
    </row>
    <row r="11" spans="2:12" x14ac:dyDescent="0.2">
      <c r="B11" s="7" t="s">
        <v>31</v>
      </c>
      <c r="C11">
        <v>99</v>
      </c>
      <c r="D11">
        <v>5</v>
      </c>
      <c r="E11">
        <v>3.66</v>
      </c>
      <c r="F11">
        <v>0</v>
      </c>
      <c r="G11">
        <v>0</v>
      </c>
      <c r="H11" s="8">
        <v>0.73199999999999998</v>
      </c>
      <c r="I11" s="9" t="e">
        <v>#DIV/0!</v>
      </c>
      <c r="J11" s="9">
        <v>5.0505050505050504E-2</v>
      </c>
      <c r="K11" s="9">
        <v>0</v>
      </c>
    </row>
    <row r="12" spans="2:12" x14ac:dyDescent="0.2">
      <c r="B12" s="20" t="s">
        <v>305</v>
      </c>
      <c r="C12">
        <v>88</v>
      </c>
      <c r="D12">
        <v>4</v>
      </c>
      <c r="E12">
        <v>3.11</v>
      </c>
      <c r="F12">
        <v>0</v>
      </c>
      <c r="G12">
        <v>0</v>
      </c>
      <c r="H12" s="8">
        <v>0.77749999999999997</v>
      </c>
      <c r="I12" s="9" t="e">
        <v>#DIV/0!</v>
      </c>
      <c r="J12" s="9">
        <v>4.5454545454545456E-2</v>
      </c>
      <c r="K12" s="9">
        <v>0</v>
      </c>
    </row>
    <row r="13" spans="2:12" x14ac:dyDescent="0.2">
      <c r="B13" s="7" t="s">
        <v>328</v>
      </c>
      <c r="C13">
        <v>63</v>
      </c>
      <c r="D13">
        <v>1</v>
      </c>
      <c r="E13">
        <v>0.71</v>
      </c>
      <c r="F13">
        <v>0</v>
      </c>
      <c r="G13">
        <v>0</v>
      </c>
      <c r="H13" s="8">
        <v>0.71</v>
      </c>
      <c r="I13" s="9" t="e">
        <v>#DIV/0!</v>
      </c>
      <c r="J13" s="9">
        <v>1.5873015873015872E-2</v>
      </c>
      <c r="K13" s="9">
        <v>0</v>
      </c>
    </row>
    <row r="14" spans="2:12" x14ac:dyDescent="0.2">
      <c r="B14" s="7" t="s">
        <v>71</v>
      </c>
      <c r="C14">
        <v>39</v>
      </c>
      <c r="D14">
        <v>2</v>
      </c>
      <c r="E14">
        <v>1.77</v>
      </c>
      <c r="F14">
        <v>0</v>
      </c>
      <c r="G14">
        <v>0</v>
      </c>
      <c r="H14" s="8">
        <v>0.88500000000000001</v>
      </c>
      <c r="I14" s="9" t="e">
        <v>#DIV/0!</v>
      </c>
      <c r="J14" s="9">
        <v>5.128205128205128E-2</v>
      </c>
      <c r="K14" s="9">
        <v>0</v>
      </c>
    </row>
    <row r="15" spans="2:12" x14ac:dyDescent="0.2">
      <c r="B15" s="20" t="s">
        <v>1132</v>
      </c>
      <c r="C15" s="32">
        <v>26</v>
      </c>
      <c r="D15" s="32">
        <v>3</v>
      </c>
      <c r="E15" s="32">
        <v>2.38</v>
      </c>
      <c r="F15" s="32">
        <v>0</v>
      </c>
      <c r="G15" s="32">
        <v>0</v>
      </c>
      <c r="H15" s="33">
        <v>0.79333333333333333</v>
      </c>
      <c r="I15" s="34" t="e">
        <v>#DIV/0!</v>
      </c>
      <c r="J15" s="34">
        <v>0.11538461538461539</v>
      </c>
      <c r="K15" s="34">
        <v>0</v>
      </c>
    </row>
    <row r="16" spans="2:12" x14ac:dyDescent="0.2">
      <c r="B16" s="20" t="s">
        <v>696</v>
      </c>
      <c r="C16" s="32">
        <v>10</v>
      </c>
      <c r="D16" s="32">
        <v>1</v>
      </c>
      <c r="E16" s="32">
        <v>0.52</v>
      </c>
      <c r="F16" s="32">
        <v>0</v>
      </c>
      <c r="G16" s="32">
        <v>0</v>
      </c>
      <c r="H16" s="33">
        <v>0.52</v>
      </c>
      <c r="I16" s="34" t="e">
        <v>#DIV/0!</v>
      </c>
      <c r="J16" s="34">
        <v>0.1</v>
      </c>
      <c r="K16" s="34">
        <v>0</v>
      </c>
    </row>
    <row r="17" spans="1:20" x14ac:dyDescent="0.2">
      <c r="B17" s="20" t="s">
        <v>1147</v>
      </c>
      <c r="C17" s="32">
        <v>4</v>
      </c>
      <c r="D17" s="32">
        <v>2</v>
      </c>
      <c r="E17" s="32">
        <v>1.29</v>
      </c>
      <c r="F17" s="32">
        <v>0</v>
      </c>
      <c r="G17" s="32">
        <v>0</v>
      </c>
      <c r="H17" s="33">
        <v>0.64500000000000002</v>
      </c>
      <c r="I17" s="34" t="e">
        <v>#DIV/0!</v>
      </c>
      <c r="J17" s="34">
        <v>0.5</v>
      </c>
      <c r="K17" s="34">
        <v>0</v>
      </c>
    </row>
    <row r="18" spans="1:20" x14ac:dyDescent="0.2">
      <c r="B18" s="20" t="s">
        <v>1146</v>
      </c>
      <c r="C18" s="32">
        <v>4</v>
      </c>
      <c r="D18" s="32">
        <v>1</v>
      </c>
      <c r="E18" s="32">
        <v>0.7</v>
      </c>
      <c r="F18" s="32">
        <v>0</v>
      </c>
      <c r="G18" s="32">
        <v>0</v>
      </c>
      <c r="H18" s="33">
        <v>0.7</v>
      </c>
      <c r="I18" s="34" t="e">
        <v>#DIV/0!</v>
      </c>
      <c r="J18" s="34">
        <v>0.25</v>
      </c>
      <c r="K18" s="34">
        <v>0</v>
      </c>
    </row>
    <row r="19" spans="1:20" x14ac:dyDescent="0.2">
      <c r="B19" s="20" t="s">
        <v>1144</v>
      </c>
      <c r="C19" s="32">
        <v>4</v>
      </c>
      <c r="D19" s="32">
        <v>1</v>
      </c>
      <c r="E19" s="32">
        <v>0.69</v>
      </c>
      <c r="F19" s="32">
        <v>0</v>
      </c>
      <c r="G19" s="32">
        <v>0</v>
      </c>
      <c r="H19" s="33">
        <v>0.69</v>
      </c>
      <c r="I19" s="34" t="e">
        <v>#DIV/0!</v>
      </c>
      <c r="J19" s="34">
        <v>0.25</v>
      </c>
      <c r="K19" s="34">
        <v>0</v>
      </c>
    </row>
    <row r="20" spans="1:20" x14ac:dyDescent="0.2">
      <c r="B20" s="20" t="s">
        <v>1199</v>
      </c>
      <c r="C20" s="32">
        <v>4</v>
      </c>
      <c r="D20" s="32">
        <v>1</v>
      </c>
      <c r="E20" s="32">
        <v>0.72</v>
      </c>
      <c r="F20" s="32">
        <v>0</v>
      </c>
      <c r="G20" s="32">
        <v>0</v>
      </c>
      <c r="H20" s="33">
        <v>0.72</v>
      </c>
      <c r="I20" s="34" t="e">
        <v>#DIV/0!</v>
      </c>
      <c r="J20" s="34">
        <v>0.25</v>
      </c>
      <c r="K20" s="34">
        <v>0</v>
      </c>
    </row>
    <row r="21" spans="1:20" s="21" customFormat="1" x14ac:dyDescent="0.2">
      <c r="A21"/>
      <c r="B21" s="20" t="s">
        <v>293</v>
      </c>
      <c r="C21" s="32">
        <v>3</v>
      </c>
      <c r="D21" s="32">
        <v>2</v>
      </c>
      <c r="E21" s="32">
        <v>2.2200000000000002</v>
      </c>
      <c r="F21" s="32">
        <v>0</v>
      </c>
      <c r="G21" s="32">
        <v>0</v>
      </c>
      <c r="H21" s="33">
        <v>1.1100000000000001</v>
      </c>
      <c r="I21" s="34" t="e">
        <v>#DIV/0!</v>
      </c>
      <c r="J21" s="34">
        <v>0.66666666666666663</v>
      </c>
      <c r="K21" s="34">
        <v>0</v>
      </c>
      <c r="L21" s="31"/>
      <c r="M21"/>
      <c r="N21"/>
      <c r="O21"/>
      <c r="P21"/>
      <c r="Q21"/>
      <c r="R21"/>
      <c r="S21"/>
      <c r="T21"/>
    </row>
    <row r="22" spans="1:20" x14ac:dyDescent="0.2">
      <c r="B22" s="20" t="s">
        <v>494</v>
      </c>
      <c r="C22" s="32">
        <v>3</v>
      </c>
      <c r="D22" s="32">
        <v>1</v>
      </c>
      <c r="E22" s="32">
        <v>0.53</v>
      </c>
      <c r="F22" s="32">
        <v>0</v>
      </c>
      <c r="G22" s="32">
        <v>0</v>
      </c>
      <c r="H22" s="33">
        <v>0.53</v>
      </c>
      <c r="I22" s="34" t="e">
        <v>#DIV/0!</v>
      </c>
      <c r="J22" s="34">
        <v>0.33333333333333331</v>
      </c>
      <c r="K22" s="34">
        <v>0</v>
      </c>
    </row>
    <row r="23" spans="1:20" x14ac:dyDescent="0.2">
      <c r="B23" s="20" t="s">
        <v>702</v>
      </c>
      <c r="C23" s="32">
        <v>3</v>
      </c>
      <c r="D23" s="32">
        <v>1</v>
      </c>
      <c r="E23" s="32">
        <v>0.63</v>
      </c>
      <c r="F23" s="32">
        <v>0</v>
      </c>
      <c r="G23" s="32">
        <v>0</v>
      </c>
      <c r="H23" s="33">
        <v>0.63</v>
      </c>
      <c r="I23" s="34" t="e">
        <v>#DIV/0!</v>
      </c>
      <c r="J23" s="34">
        <v>0.33333333333333331</v>
      </c>
      <c r="K23" s="34">
        <v>0</v>
      </c>
    </row>
    <row r="24" spans="1:20" x14ac:dyDescent="0.2">
      <c r="B24" s="20" t="s">
        <v>577</v>
      </c>
      <c r="C24" s="32">
        <v>3</v>
      </c>
      <c r="D24" s="32">
        <v>1</v>
      </c>
      <c r="E24" s="32">
        <v>0.49</v>
      </c>
      <c r="F24" s="32">
        <v>0</v>
      </c>
      <c r="G24" s="32">
        <v>0</v>
      </c>
      <c r="H24" s="33">
        <v>0.49</v>
      </c>
      <c r="I24" s="34" t="e">
        <v>#DIV/0!</v>
      </c>
      <c r="J24" s="34">
        <v>0.33333333333333331</v>
      </c>
      <c r="K24" s="34">
        <v>0</v>
      </c>
    </row>
    <row r="25" spans="1:20" x14ac:dyDescent="0.2">
      <c r="B25" s="20" t="s">
        <v>1270</v>
      </c>
      <c r="C25" s="32">
        <v>2</v>
      </c>
      <c r="D25" s="32">
        <v>1</v>
      </c>
      <c r="E25" s="32">
        <v>0.52</v>
      </c>
      <c r="F25" s="32">
        <v>0</v>
      </c>
      <c r="G25" s="32">
        <v>0</v>
      </c>
      <c r="H25" s="33">
        <v>0.52</v>
      </c>
      <c r="I25" s="34" t="e">
        <v>#DIV/0!</v>
      </c>
      <c r="J25" s="34">
        <v>0.5</v>
      </c>
      <c r="K25" s="34">
        <v>0</v>
      </c>
    </row>
    <row r="26" spans="1:20" s="21" customFormat="1" x14ac:dyDescent="0.2">
      <c r="A26"/>
      <c r="B26" s="20" t="s">
        <v>1186</v>
      </c>
      <c r="C26" s="32">
        <v>2</v>
      </c>
      <c r="D26" s="32">
        <v>1</v>
      </c>
      <c r="E26" s="32">
        <v>0.56999999999999995</v>
      </c>
      <c r="F26" s="32">
        <v>0</v>
      </c>
      <c r="G26" s="32">
        <v>0</v>
      </c>
      <c r="H26" s="33">
        <v>0.56999999999999995</v>
      </c>
      <c r="I26" s="34" t="e">
        <v>#DIV/0!</v>
      </c>
      <c r="J26" s="34">
        <v>0.5</v>
      </c>
      <c r="K26" s="34">
        <v>0</v>
      </c>
      <c r="L26" s="31"/>
      <c r="M26"/>
      <c r="N26"/>
      <c r="O26"/>
      <c r="P26"/>
      <c r="Q26"/>
      <c r="R26"/>
      <c r="S26"/>
      <c r="T26"/>
    </row>
    <row r="27" spans="1:20" x14ac:dyDescent="0.2">
      <c r="B27" s="20" t="s">
        <v>1149</v>
      </c>
      <c r="C27" s="32">
        <v>2</v>
      </c>
      <c r="D27" s="32">
        <v>1</v>
      </c>
      <c r="E27" s="32">
        <v>0.66</v>
      </c>
      <c r="F27" s="32">
        <v>1</v>
      </c>
      <c r="G27" s="32">
        <v>18.04</v>
      </c>
      <c r="H27" s="33">
        <v>0.66</v>
      </c>
      <c r="I27" s="34">
        <v>3.6585365853658541E-2</v>
      </c>
      <c r="J27" s="34">
        <v>0.5</v>
      </c>
      <c r="K27" s="34">
        <v>1</v>
      </c>
    </row>
    <row r="28" spans="1:20" x14ac:dyDescent="0.2">
      <c r="B28" s="20" t="s">
        <v>68</v>
      </c>
      <c r="C28" s="32">
        <v>2</v>
      </c>
      <c r="D28" s="32">
        <v>1</v>
      </c>
      <c r="E28" s="32">
        <v>0.91</v>
      </c>
      <c r="F28" s="32">
        <v>0</v>
      </c>
      <c r="G28" s="32">
        <v>0</v>
      </c>
      <c r="H28" s="33">
        <v>0.91</v>
      </c>
      <c r="I28" s="34" t="e">
        <v>#DIV/0!</v>
      </c>
      <c r="J28" s="34">
        <v>0.5</v>
      </c>
      <c r="K28" s="34">
        <v>0</v>
      </c>
    </row>
    <row r="29" spans="1:20" x14ac:dyDescent="0.2">
      <c r="B29" s="20" t="s">
        <v>1259</v>
      </c>
      <c r="C29" s="32">
        <v>2</v>
      </c>
      <c r="D29" s="32">
        <v>1</v>
      </c>
      <c r="E29" s="32">
        <v>0.78</v>
      </c>
      <c r="F29" s="32">
        <v>1</v>
      </c>
      <c r="G29" s="32">
        <v>37.979999999999997</v>
      </c>
      <c r="H29" s="33">
        <v>0.78</v>
      </c>
      <c r="I29" s="34">
        <v>2.0537124802527649E-2</v>
      </c>
      <c r="J29" s="34">
        <v>0.5</v>
      </c>
      <c r="K29" s="34">
        <v>1</v>
      </c>
    </row>
    <row r="30" spans="1:20" x14ac:dyDescent="0.2">
      <c r="B30" s="20" t="s">
        <v>1128</v>
      </c>
      <c r="C30" s="32">
        <v>2</v>
      </c>
      <c r="D30" s="32">
        <v>1</v>
      </c>
      <c r="E30" s="32">
        <v>0.1</v>
      </c>
      <c r="F30" s="32">
        <v>0</v>
      </c>
      <c r="G30" s="32">
        <v>0</v>
      </c>
      <c r="H30" s="33">
        <v>0.1</v>
      </c>
      <c r="I30" s="34" t="e">
        <v>#DIV/0!</v>
      </c>
      <c r="J30" s="34">
        <v>0.5</v>
      </c>
      <c r="K30" s="34">
        <v>0</v>
      </c>
    </row>
    <row r="31" spans="1:20" x14ac:dyDescent="0.2">
      <c r="B31" s="20" t="s">
        <v>323</v>
      </c>
      <c r="C31" s="32">
        <v>2</v>
      </c>
      <c r="D31" s="32">
        <v>1</v>
      </c>
      <c r="E31" s="32">
        <v>0.55000000000000004</v>
      </c>
      <c r="F31" s="32">
        <v>0</v>
      </c>
      <c r="G31" s="32">
        <v>0</v>
      </c>
      <c r="H31" s="33">
        <v>0.55000000000000004</v>
      </c>
      <c r="I31" s="34" t="e">
        <v>#DIV/0!</v>
      </c>
      <c r="J31" s="34">
        <v>0.5</v>
      </c>
      <c r="K31" s="34">
        <v>0</v>
      </c>
    </row>
    <row r="32" spans="1:20" x14ac:dyDescent="0.2">
      <c r="B32" s="20" t="s">
        <v>50</v>
      </c>
      <c r="C32" s="32">
        <v>2</v>
      </c>
      <c r="D32" s="32">
        <v>1</v>
      </c>
      <c r="E32" s="32">
        <v>1.1399999999999999</v>
      </c>
      <c r="F32" s="32">
        <v>0</v>
      </c>
      <c r="G32" s="32">
        <v>0</v>
      </c>
      <c r="H32" s="33">
        <v>1.1399999999999999</v>
      </c>
      <c r="I32" s="34" t="e">
        <v>#DIV/0!</v>
      </c>
      <c r="J32" s="34">
        <v>0.5</v>
      </c>
      <c r="K32" s="34">
        <v>0</v>
      </c>
    </row>
    <row r="33" spans="2:11" x14ac:dyDescent="0.2">
      <c r="B33" s="20" t="s">
        <v>1152</v>
      </c>
      <c r="C33" s="32">
        <v>2</v>
      </c>
      <c r="D33" s="32">
        <v>1</v>
      </c>
      <c r="E33" s="32">
        <v>1</v>
      </c>
      <c r="F33" s="32">
        <v>0</v>
      </c>
      <c r="G33" s="32">
        <v>0</v>
      </c>
      <c r="H33" s="33">
        <v>1</v>
      </c>
      <c r="I33" s="34" t="e">
        <v>#DIV/0!</v>
      </c>
      <c r="J33" s="34">
        <v>0.5</v>
      </c>
      <c r="K33" s="34">
        <v>0</v>
      </c>
    </row>
    <row r="34" spans="2:11" x14ac:dyDescent="0.2">
      <c r="B34" s="20" t="s">
        <v>1135</v>
      </c>
      <c r="C34" s="32">
        <v>2</v>
      </c>
      <c r="D34" s="32">
        <v>1</v>
      </c>
      <c r="E34" s="32">
        <v>0.56999999999999995</v>
      </c>
      <c r="F34" s="32">
        <v>0</v>
      </c>
      <c r="G34" s="32">
        <v>0</v>
      </c>
      <c r="H34" s="33">
        <v>0.56999999999999995</v>
      </c>
      <c r="I34" s="34" t="e">
        <v>#DIV/0!</v>
      </c>
      <c r="J34" s="34">
        <v>0.5</v>
      </c>
      <c r="K34" s="34">
        <v>0</v>
      </c>
    </row>
    <row r="35" spans="2:11" x14ac:dyDescent="0.2">
      <c r="B35" s="20" t="s">
        <v>1321</v>
      </c>
      <c r="C35" s="32">
        <v>2</v>
      </c>
      <c r="D35" s="32">
        <v>1</v>
      </c>
      <c r="E35" s="32">
        <v>0.53</v>
      </c>
      <c r="F35" s="32">
        <v>0</v>
      </c>
      <c r="G35" s="32">
        <v>0</v>
      </c>
      <c r="H35" s="33">
        <v>0.53</v>
      </c>
      <c r="I35" s="34" t="e">
        <v>#DIV/0!</v>
      </c>
      <c r="J35" s="34">
        <v>0.5</v>
      </c>
      <c r="K35" s="34">
        <v>0</v>
      </c>
    </row>
    <row r="36" spans="2:11" x14ac:dyDescent="0.2">
      <c r="B36" s="20" t="s">
        <v>1137</v>
      </c>
      <c r="C36" s="32">
        <v>2</v>
      </c>
      <c r="D36" s="32">
        <v>1</v>
      </c>
      <c r="E36" s="32">
        <v>0.67</v>
      </c>
      <c r="F36" s="32">
        <v>0</v>
      </c>
      <c r="G36" s="32">
        <v>0</v>
      </c>
      <c r="H36" s="33">
        <v>0.67</v>
      </c>
      <c r="I36" s="34" t="e">
        <v>#DIV/0!</v>
      </c>
      <c r="J36" s="34">
        <v>0.5</v>
      </c>
      <c r="K36" s="34">
        <v>0</v>
      </c>
    </row>
    <row r="37" spans="2:11" x14ac:dyDescent="0.2">
      <c r="B37" s="20" t="s">
        <v>1263</v>
      </c>
      <c r="C37" s="32">
        <v>2</v>
      </c>
      <c r="D37" s="32">
        <v>1</v>
      </c>
      <c r="E37" s="32">
        <v>0.52</v>
      </c>
      <c r="F37" s="32">
        <v>0</v>
      </c>
      <c r="G37" s="32">
        <v>0</v>
      </c>
      <c r="H37" s="33">
        <v>0.52</v>
      </c>
      <c r="I37" s="34" t="e">
        <v>#DIV/0!</v>
      </c>
      <c r="J37" s="34">
        <v>0.5</v>
      </c>
      <c r="K37" s="34">
        <v>0</v>
      </c>
    </row>
    <row r="38" spans="2:11" x14ac:dyDescent="0.2">
      <c r="B38" s="20" t="s">
        <v>959</v>
      </c>
      <c r="C38" s="32">
        <v>2</v>
      </c>
      <c r="D38" s="32">
        <v>1</v>
      </c>
      <c r="E38" s="32">
        <v>0.78</v>
      </c>
      <c r="F38" s="32">
        <v>0</v>
      </c>
      <c r="G38" s="32">
        <v>0</v>
      </c>
      <c r="H38" s="33">
        <v>0.78</v>
      </c>
      <c r="I38" s="34" t="e">
        <v>#DIV/0!</v>
      </c>
      <c r="J38" s="34">
        <v>0.5</v>
      </c>
      <c r="K38" s="34">
        <v>0</v>
      </c>
    </row>
    <row r="39" spans="2:11" x14ac:dyDescent="0.2">
      <c r="B39" s="20" t="s">
        <v>1288</v>
      </c>
      <c r="C39" s="32">
        <v>2</v>
      </c>
      <c r="D39" s="32">
        <v>1</v>
      </c>
      <c r="E39" s="32">
        <v>0.54</v>
      </c>
      <c r="F39" s="32">
        <v>0</v>
      </c>
      <c r="G39" s="32">
        <v>0</v>
      </c>
      <c r="H39" s="33">
        <v>0.54</v>
      </c>
      <c r="I39" s="34" t="e">
        <v>#DIV/0!</v>
      </c>
      <c r="J39" s="34">
        <v>0.5</v>
      </c>
      <c r="K39" s="34">
        <v>0</v>
      </c>
    </row>
    <row r="40" spans="2:11" x14ac:dyDescent="0.2">
      <c r="B40" s="20" t="s">
        <v>324</v>
      </c>
      <c r="C40" s="32">
        <v>2</v>
      </c>
      <c r="D40" s="32">
        <v>1</v>
      </c>
      <c r="E40" s="32">
        <v>0.6</v>
      </c>
      <c r="F40" s="32">
        <v>0</v>
      </c>
      <c r="G40" s="32">
        <v>0</v>
      </c>
      <c r="H40" s="33">
        <v>0.6</v>
      </c>
      <c r="I40" s="34" t="e">
        <v>#DIV/0!</v>
      </c>
      <c r="J40" s="34">
        <v>0.5</v>
      </c>
      <c r="K40" s="34">
        <v>0</v>
      </c>
    </row>
    <row r="41" spans="2:11" x14ac:dyDescent="0.2">
      <c r="B41" s="20" t="s">
        <v>1306</v>
      </c>
      <c r="C41" s="32">
        <v>2</v>
      </c>
      <c r="D41" s="32">
        <v>1</v>
      </c>
      <c r="E41" s="32">
        <v>0.61</v>
      </c>
      <c r="F41" s="32">
        <v>0</v>
      </c>
      <c r="G41" s="32">
        <v>0</v>
      </c>
      <c r="H41" s="33">
        <v>0.61</v>
      </c>
      <c r="I41" s="34" t="e">
        <v>#DIV/0!</v>
      </c>
      <c r="J41" s="34">
        <v>0.5</v>
      </c>
      <c r="K41" s="34">
        <v>0</v>
      </c>
    </row>
    <row r="42" spans="2:11" x14ac:dyDescent="0.2">
      <c r="B42" s="20" t="s">
        <v>1334</v>
      </c>
      <c r="C42" s="32">
        <v>2</v>
      </c>
      <c r="D42" s="32">
        <v>1</v>
      </c>
      <c r="E42" s="32">
        <v>0.53</v>
      </c>
      <c r="F42" s="32">
        <v>0</v>
      </c>
      <c r="G42" s="32">
        <v>0</v>
      </c>
      <c r="H42" s="33">
        <v>0.53</v>
      </c>
      <c r="I42" s="34" t="e">
        <v>#DIV/0!</v>
      </c>
      <c r="J42" s="34">
        <v>0.5</v>
      </c>
      <c r="K42" s="34">
        <v>0</v>
      </c>
    </row>
    <row r="43" spans="2:11" x14ac:dyDescent="0.2">
      <c r="B43" s="20" t="s">
        <v>37</v>
      </c>
      <c r="C43" s="32">
        <v>2</v>
      </c>
      <c r="D43" s="32">
        <v>1</v>
      </c>
      <c r="E43" s="32">
        <v>0.78</v>
      </c>
      <c r="F43" s="32">
        <v>1</v>
      </c>
      <c r="G43" s="32">
        <v>18.989999999999998</v>
      </c>
      <c r="H43" s="33">
        <v>0.78</v>
      </c>
      <c r="I43" s="34">
        <v>4.1074249605055298E-2</v>
      </c>
      <c r="J43" s="34">
        <v>0.5</v>
      </c>
      <c r="K43" s="34">
        <v>1</v>
      </c>
    </row>
    <row r="44" spans="2:11" x14ac:dyDescent="0.2">
      <c r="B44" s="20" t="s">
        <v>402</v>
      </c>
      <c r="C44" s="32">
        <v>2</v>
      </c>
      <c r="D44" s="32">
        <v>1</v>
      </c>
      <c r="E44" s="32">
        <v>0.08</v>
      </c>
      <c r="F44" s="32">
        <v>0</v>
      </c>
      <c r="G44" s="32">
        <v>0</v>
      </c>
      <c r="H44" s="33">
        <v>0.08</v>
      </c>
      <c r="I44" s="34" t="e">
        <v>#DIV/0!</v>
      </c>
      <c r="J44" s="34">
        <v>0.5</v>
      </c>
      <c r="K44" s="34">
        <v>0</v>
      </c>
    </row>
    <row r="45" spans="2:11" x14ac:dyDescent="0.2">
      <c r="B45" s="20" t="s">
        <v>1357</v>
      </c>
      <c r="C45" s="32">
        <v>1</v>
      </c>
      <c r="D45" s="32">
        <v>1</v>
      </c>
      <c r="E45" s="32">
        <v>0.63</v>
      </c>
      <c r="F45" s="32">
        <v>0</v>
      </c>
      <c r="G45" s="32">
        <v>0</v>
      </c>
      <c r="H45" s="33">
        <v>0.63</v>
      </c>
      <c r="I45" s="34" t="e">
        <v>#DIV/0!</v>
      </c>
      <c r="J45" s="34">
        <v>1</v>
      </c>
      <c r="K45" s="34">
        <v>0</v>
      </c>
    </row>
    <row r="46" spans="2:11" x14ac:dyDescent="0.2">
      <c r="B46" s="20" t="s">
        <v>911</v>
      </c>
      <c r="C46" s="32">
        <v>1</v>
      </c>
      <c r="D46" s="32">
        <v>1</v>
      </c>
      <c r="E46" s="32">
        <v>0.51</v>
      </c>
      <c r="F46" s="32">
        <v>0</v>
      </c>
      <c r="G46" s="32">
        <v>0</v>
      </c>
      <c r="H46" s="33">
        <v>0.51</v>
      </c>
      <c r="I46" s="34" t="e">
        <v>#DIV/0!</v>
      </c>
      <c r="J46" s="34">
        <v>1</v>
      </c>
      <c r="K46" s="34">
        <v>0</v>
      </c>
    </row>
    <row r="47" spans="2:11" x14ac:dyDescent="0.2">
      <c r="B47" s="20" t="s">
        <v>1133</v>
      </c>
      <c r="C47" s="32">
        <v>1</v>
      </c>
      <c r="D47" s="32">
        <v>1</v>
      </c>
      <c r="E47" s="32">
        <v>1</v>
      </c>
      <c r="F47" s="32">
        <v>0</v>
      </c>
      <c r="G47" s="32">
        <v>0</v>
      </c>
      <c r="H47" s="33">
        <v>1</v>
      </c>
      <c r="I47" s="34" t="e">
        <v>#DIV/0!</v>
      </c>
      <c r="J47" s="34">
        <v>1</v>
      </c>
      <c r="K47" s="34">
        <v>0</v>
      </c>
    </row>
    <row r="48" spans="2:11" x14ac:dyDescent="0.2">
      <c r="B48" s="20" t="s">
        <v>395</v>
      </c>
      <c r="C48" s="32">
        <v>1</v>
      </c>
      <c r="D48" s="32">
        <v>1</v>
      </c>
      <c r="E48" s="32">
        <v>0.92</v>
      </c>
      <c r="F48" s="32">
        <v>0</v>
      </c>
      <c r="G48" s="32">
        <v>0</v>
      </c>
      <c r="H48" s="33">
        <v>0.92</v>
      </c>
      <c r="I48" s="34" t="e">
        <v>#DIV/0!</v>
      </c>
      <c r="J48" s="34">
        <v>1</v>
      </c>
      <c r="K48" s="34">
        <v>0</v>
      </c>
    </row>
    <row r="49" spans="2:11" x14ac:dyDescent="0.2">
      <c r="B49" s="20" t="s">
        <v>64</v>
      </c>
      <c r="C49" s="32">
        <v>1</v>
      </c>
      <c r="D49" s="32">
        <v>1</v>
      </c>
      <c r="E49" s="32">
        <v>0.53</v>
      </c>
      <c r="F49" s="32">
        <v>0</v>
      </c>
      <c r="G49" s="32">
        <v>0</v>
      </c>
      <c r="H49" s="33">
        <v>0.53</v>
      </c>
      <c r="I49" s="34" t="e">
        <v>#DIV/0!</v>
      </c>
      <c r="J49" s="34">
        <v>1</v>
      </c>
      <c r="K49" s="34">
        <v>0</v>
      </c>
    </row>
    <row r="50" spans="2:11" x14ac:dyDescent="0.2">
      <c r="B50" s="20" t="s">
        <v>1124</v>
      </c>
      <c r="C50" s="32">
        <v>1</v>
      </c>
      <c r="D50" s="32">
        <v>1</v>
      </c>
      <c r="E50" s="32">
        <v>0.5</v>
      </c>
      <c r="F50" s="32">
        <v>1</v>
      </c>
      <c r="G50" s="32">
        <v>18.989999999999998</v>
      </c>
      <c r="H50" s="33">
        <v>0.5</v>
      </c>
      <c r="I50" s="34">
        <v>2.6329647182727754E-2</v>
      </c>
      <c r="J50" s="34">
        <v>1</v>
      </c>
      <c r="K50" s="34">
        <v>1</v>
      </c>
    </row>
    <row r="51" spans="2:11" x14ac:dyDescent="0.2">
      <c r="B51" s="20" t="s">
        <v>1242</v>
      </c>
      <c r="C51" s="32">
        <v>1</v>
      </c>
      <c r="D51" s="32">
        <v>1</v>
      </c>
      <c r="E51" s="32">
        <v>0.5</v>
      </c>
      <c r="F51" s="32">
        <v>0</v>
      </c>
      <c r="G51" s="32">
        <v>0</v>
      </c>
      <c r="H51" s="33">
        <v>0.5</v>
      </c>
      <c r="I51" s="34" t="e">
        <v>#DIV/0!</v>
      </c>
      <c r="J51" s="34">
        <v>1</v>
      </c>
      <c r="K51" s="34">
        <v>0</v>
      </c>
    </row>
    <row r="52" spans="2:11" x14ac:dyDescent="0.2">
      <c r="B52" s="20" t="s">
        <v>1148</v>
      </c>
      <c r="C52" s="32">
        <v>1</v>
      </c>
      <c r="D52" s="32">
        <v>1</v>
      </c>
      <c r="E52" s="32">
        <v>0.1</v>
      </c>
      <c r="F52" s="32">
        <v>0</v>
      </c>
      <c r="G52" s="32">
        <v>0</v>
      </c>
      <c r="H52" s="33">
        <v>0.1</v>
      </c>
      <c r="I52" s="34" t="e">
        <v>#DIV/0!</v>
      </c>
      <c r="J52" s="34">
        <v>1</v>
      </c>
      <c r="K52" s="34">
        <v>0</v>
      </c>
    </row>
    <row r="53" spans="2:11" x14ac:dyDescent="0.2">
      <c r="B53" s="20" t="s">
        <v>1282</v>
      </c>
      <c r="C53" s="32">
        <v>1</v>
      </c>
      <c r="D53" s="32">
        <v>1</v>
      </c>
      <c r="E53" s="32">
        <v>0.61</v>
      </c>
      <c r="F53" s="32">
        <v>1</v>
      </c>
      <c r="G53" s="32">
        <v>17.09</v>
      </c>
      <c r="H53" s="33">
        <v>0.61</v>
      </c>
      <c r="I53" s="34">
        <v>3.5693387946167346E-2</v>
      </c>
      <c r="J53" s="34">
        <v>1</v>
      </c>
      <c r="K53" s="34">
        <v>1</v>
      </c>
    </row>
    <row r="54" spans="2:11" x14ac:dyDescent="0.2">
      <c r="B54" s="20" t="s">
        <v>1126</v>
      </c>
      <c r="C54" s="32">
        <v>1</v>
      </c>
      <c r="D54" s="32">
        <v>1</v>
      </c>
      <c r="E54" s="32">
        <v>0.78</v>
      </c>
      <c r="F54" s="32">
        <v>0</v>
      </c>
      <c r="G54" s="32">
        <v>0</v>
      </c>
      <c r="H54" s="33">
        <v>0.78</v>
      </c>
      <c r="I54" s="34" t="e">
        <v>#DIV/0!</v>
      </c>
      <c r="J54" s="34">
        <v>1</v>
      </c>
      <c r="K54" s="34">
        <v>0</v>
      </c>
    </row>
    <row r="55" spans="2:11" x14ac:dyDescent="0.2">
      <c r="B55" s="20" t="s">
        <v>1316</v>
      </c>
      <c r="C55" s="32">
        <v>1</v>
      </c>
      <c r="D55" s="32">
        <v>1</v>
      </c>
      <c r="E55" s="32">
        <v>0.52</v>
      </c>
      <c r="F55" s="32">
        <v>0</v>
      </c>
      <c r="G55" s="32">
        <v>0</v>
      </c>
      <c r="H55" s="33">
        <v>0.52</v>
      </c>
      <c r="I55" s="34" t="e">
        <v>#DIV/0!</v>
      </c>
      <c r="J55" s="34">
        <v>1</v>
      </c>
      <c r="K55" s="34">
        <v>0</v>
      </c>
    </row>
    <row r="56" spans="2:11" x14ac:dyDescent="0.2">
      <c r="B56" s="20" t="s">
        <v>1150</v>
      </c>
      <c r="C56" s="32">
        <v>1</v>
      </c>
      <c r="D56" s="32">
        <v>1</v>
      </c>
      <c r="E56" s="32">
        <v>0.7</v>
      </c>
      <c r="F56" s="32">
        <v>0</v>
      </c>
      <c r="G56" s="32">
        <v>0</v>
      </c>
      <c r="H56" s="33">
        <v>0.7</v>
      </c>
      <c r="I56" s="34" t="e">
        <v>#DIV/0!</v>
      </c>
      <c r="J56" s="34">
        <v>1</v>
      </c>
      <c r="K56" s="34">
        <v>0</v>
      </c>
    </row>
    <row r="57" spans="2:11" x14ac:dyDescent="0.2">
      <c r="B57" s="20" t="s">
        <v>1342</v>
      </c>
      <c r="C57" s="32">
        <v>1</v>
      </c>
      <c r="D57" s="32">
        <v>1</v>
      </c>
      <c r="E57" s="32">
        <v>0.6</v>
      </c>
      <c r="F57" s="32">
        <v>0</v>
      </c>
      <c r="G57" s="32">
        <v>0</v>
      </c>
      <c r="H57" s="33">
        <v>0.6</v>
      </c>
      <c r="I57" s="34" t="e">
        <v>#DIV/0!</v>
      </c>
      <c r="J57" s="34">
        <v>1</v>
      </c>
      <c r="K57" s="34">
        <v>0</v>
      </c>
    </row>
    <row r="58" spans="2:11" x14ac:dyDescent="0.2">
      <c r="B58" s="20" t="s">
        <v>1151</v>
      </c>
      <c r="C58" s="32">
        <v>1</v>
      </c>
      <c r="D58" s="32">
        <v>1</v>
      </c>
      <c r="E58" s="32">
        <v>0.92</v>
      </c>
      <c r="F58" s="32">
        <v>0</v>
      </c>
      <c r="G58" s="32">
        <v>0</v>
      </c>
      <c r="H58" s="33">
        <v>0.92</v>
      </c>
      <c r="I58" s="34" t="e">
        <v>#DIV/0!</v>
      </c>
      <c r="J58" s="34">
        <v>1</v>
      </c>
      <c r="K58" s="34">
        <v>0</v>
      </c>
    </row>
    <row r="59" spans="2:11" x14ac:dyDescent="0.2">
      <c r="B59" s="20" t="s">
        <v>1129</v>
      </c>
      <c r="C59" s="32">
        <v>1</v>
      </c>
      <c r="D59" s="32">
        <v>1</v>
      </c>
      <c r="E59" s="32">
        <v>0.7</v>
      </c>
      <c r="F59" s="32">
        <v>0</v>
      </c>
      <c r="G59" s="32">
        <v>0</v>
      </c>
      <c r="H59" s="33">
        <v>0.7</v>
      </c>
      <c r="I59" s="34" t="e">
        <v>#DIV/0!</v>
      </c>
      <c r="J59" s="34">
        <v>1</v>
      </c>
      <c r="K59" s="34">
        <v>0</v>
      </c>
    </row>
    <row r="60" spans="2:11" x14ac:dyDescent="0.2">
      <c r="B60" s="20" t="s">
        <v>1127</v>
      </c>
      <c r="C60" s="32">
        <v>1</v>
      </c>
      <c r="D60" s="32">
        <v>1</v>
      </c>
      <c r="E60" s="32">
        <v>0.7</v>
      </c>
      <c r="F60" s="32">
        <v>0</v>
      </c>
      <c r="G60" s="32">
        <v>0</v>
      </c>
      <c r="H60" s="33">
        <v>0.7</v>
      </c>
      <c r="I60" s="34" t="e">
        <v>#DIV/0!</v>
      </c>
      <c r="J60" s="34">
        <v>1</v>
      </c>
      <c r="K60" s="34">
        <v>0</v>
      </c>
    </row>
    <row r="61" spans="2:11" x14ac:dyDescent="0.2">
      <c r="B61" s="20" t="s">
        <v>301</v>
      </c>
      <c r="C61" s="32">
        <v>1</v>
      </c>
      <c r="D61" s="32">
        <v>1</v>
      </c>
      <c r="E61" s="32">
        <v>0.54</v>
      </c>
      <c r="F61" s="32">
        <v>0</v>
      </c>
      <c r="G61" s="32">
        <v>0</v>
      </c>
      <c r="H61" s="33">
        <v>0.54</v>
      </c>
      <c r="I61" s="34" t="e">
        <v>#DIV/0!</v>
      </c>
      <c r="J61" s="34">
        <v>1</v>
      </c>
      <c r="K61" s="34">
        <v>0</v>
      </c>
    </row>
    <row r="62" spans="2:11" x14ac:dyDescent="0.2">
      <c r="B62" s="20" t="s">
        <v>1160</v>
      </c>
      <c r="C62" s="32">
        <v>1</v>
      </c>
      <c r="D62" s="32">
        <v>1</v>
      </c>
      <c r="E62" s="32">
        <v>0.6</v>
      </c>
      <c r="F62" s="32">
        <v>0</v>
      </c>
      <c r="G62" s="32">
        <v>0</v>
      </c>
      <c r="H62" s="33">
        <v>0.6</v>
      </c>
      <c r="I62" s="34" t="e">
        <v>#DIV/0!</v>
      </c>
      <c r="J62" s="34">
        <v>1</v>
      </c>
      <c r="K62" s="34">
        <v>0</v>
      </c>
    </row>
    <row r="63" spans="2:11" x14ac:dyDescent="0.2">
      <c r="B63" s="20" t="s">
        <v>156</v>
      </c>
      <c r="C63" s="32">
        <v>1</v>
      </c>
      <c r="D63" s="32">
        <v>1</v>
      </c>
      <c r="E63" s="32">
        <v>0.77</v>
      </c>
      <c r="F63" s="32">
        <v>0</v>
      </c>
      <c r="G63" s="32">
        <v>0</v>
      </c>
      <c r="H63" s="33">
        <v>0.77</v>
      </c>
      <c r="I63" s="34" t="e">
        <v>#DIV/0!</v>
      </c>
      <c r="J63" s="34">
        <v>1</v>
      </c>
      <c r="K63" s="34">
        <v>0</v>
      </c>
    </row>
    <row r="64" spans="2:11" x14ac:dyDescent="0.2">
      <c r="B64" s="20" t="s">
        <v>1161</v>
      </c>
      <c r="C64" s="32">
        <v>1</v>
      </c>
      <c r="D64" s="32">
        <v>1</v>
      </c>
      <c r="E64" s="32">
        <v>0.57999999999999996</v>
      </c>
      <c r="F64" s="32">
        <v>0</v>
      </c>
      <c r="G64" s="32">
        <v>0</v>
      </c>
      <c r="H64" s="33">
        <v>0.57999999999999996</v>
      </c>
      <c r="I64" s="34" t="e">
        <v>#DIV/0!</v>
      </c>
      <c r="J64" s="34">
        <v>1</v>
      </c>
      <c r="K64" s="34">
        <v>0</v>
      </c>
    </row>
    <row r="65" spans="1:20" x14ac:dyDescent="0.2">
      <c r="B65" s="20" t="s">
        <v>1373</v>
      </c>
      <c r="C65" s="32">
        <v>1</v>
      </c>
      <c r="D65" s="32">
        <v>1</v>
      </c>
      <c r="E65" s="32">
        <v>0.55000000000000004</v>
      </c>
      <c r="F65" s="32">
        <v>0</v>
      </c>
      <c r="G65" s="32">
        <v>0</v>
      </c>
      <c r="H65" s="33">
        <v>0.55000000000000004</v>
      </c>
      <c r="I65" s="34" t="e">
        <v>#DIV/0!</v>
      </c>
      <c r="J65" s="34">
        <v>1</v>
      </c>
      <c r="K65" s="34">
        <v>0</v>
      </c>
    </row>
    <row r="66" spans="1:20" x14ac:dyDescent="0.2">
      <c r="B66" s="20" t="s">
        <v>1170</v>
      </c>
      <c r="C66" s="32">
        <v>1</v>
      </c>
      <c r="D66" s="32">
        <v>1</v>
      </c>
      <c r="E66" s="32">
        <v>0.54</v>
      </c>
      <c r="F66" s="32">
        <v>0</v>
      </c>
      <c r="G66" s="32">
        <v>0</v>
      </c>
      <c r="H66" s="33">
        <v>0.54</v>
      </c>
      <c r="I66" s="34" t="e">
        <v>#DIV/0!</v>
      </c>
      <c r="J66" s="34">
        <v>1</v>
      </c>
      <c r="K66" s="34">
        <v>0</v>
      </c>
    </row>
    <row r="67" spans="1:20" x14ac:dyDescent="0.2">
      <c r="B67" s="20" t="s">
        <v>1313</v>
      </c>
      <c r="C67" s="32">
        <v>1</v>
      </c>
      <c r="D67" s="32">
        <v>1</v>
      </c>
      <c r="E67" s="32">
        <v>0.53</v>
      </c>
      <c r="F67" s="32">
        <v>0</v>
      </c>
      <c r="G67" s="32">
        <v>0</v>
      </c>
      <c r="H67" s="33">
        <v>0.53</v>
      </c>
      <c r="I67" s="34" t="e">
        <v>#DIV/0!</v>
      </c>
      <c r="J67" s="34">
        <v>1</v>
      </c>
      <c r="K67" s="34">
        <v>0</v>
      </c>
    </row>
    <row r="68" spans="1:20" x14ac:dyDescent="0.2">
      <c r="B68" s="20" t="s">
        <v>1174</v>
      </c>
      <c r="C68" s="32">
        <v>1</v>
      </c>
      <c r="D68" s="32">
        <v>1</v>
      </c>
      <c r="E68" s="32">
        <v>0.63</v>
      </c>
      <c r="F68" s="32">
        <v>0</v>
      </c>
      <c r="G68" s="32">
        <v>0</v>
      </c>
      <c r="H68" s="33">
        <v>0.63</v>
      </c>
      <c r="I68" s="34" t="e">
        <v>#DIV/0!</v>
      </c>
      <c r="J68" s="34">
        <v>1</v>
      </c>
      <c r="K68" s="34">
        <v>0</v>
      </c>
    </row>
    <row r="69" spans="1:20" x14ac:dyDescent="0.2">
      <c r="B69" s="20" t="s">
        <v>1140</v>
      </c>
      <c r="C69" s="32">
        <v>1</v>
      </c>
      <c r="D69" s="32">
        <v>1</v>
      </c>
      <c r="E69" s="32">
        <v>0.56000000000000005</v>
      </c>
      <c r="F69" s="32">
        <v>0</v>
      </c>
      <c r="G69" s="32">
        <v>0</v>
      </c>
      <c r="H69" s="33">
        <v>0.56000000000000005</v>
      </c>
      <c r="I69" s="34" t="e">
        <v>#DIV/0!</v>
      </c>
      <c r="J69" s="34">
        <v>1</v>
      </c>
      <c r="K69" s="34">
        <v>0</v>
      </c>
    </row>
    <row r="70" spans="1:20" x14ac:dyDescent="0.2">
      <c r="B70" s="20" t="s">
        <v>149</v>
      </c>
      <c r="C70" s="32">
        <v>1</v>
      </c>
      <c r="D70" s="32">
        <v>1</v>
      </c>
      <c r="E70" s="32">
        <v>0.54</v>
      </c>
      <c r="F70" s="32">
        <v>0</v>
      </c>
      <c r="G70" s="32">
        <v>0</v>
      </c>
      <c r="H70" s="33">
        <v>0.54</v>
      </c>
      <c r="I70" s="34" t="e">
        <v>#DIV/0!</v>
      </c>
      <c r="J70" s="34">
        <v>1</v>
      </c>
      <c r="K70" s="34">
        <v>0</v>
      </c>
    </row>
    <row r="71" spans="1:20" x14ac:dyDescent="0.2">
      <c r="B71" s="20" t="s">
        <v>1339</v>
      </c>
      <c r="C71" s="32">
        <v>1</v>
      </c>
      <c r="D71" s="32">
        <v>1</v>
      </c>
      <c r="E71" s="32">
        <v>0.75</v>
      </c>
      <c r="F71" s="32">
        <v>1</v>
      </c>
      <c r="G71" s="32">
        <v>18.989999999999998</v>
      </c>
      <c r="H71" s="33">
        <v>0.75</v>
      </c>
      <c r="I71" s="34">
        <v>3.9494470774091628E-2</v>
      </c>
      <c r="J71" s="34">
        <v>1</v>
      </c>
      <c r="K71" s="34">
        <v>1</v>
      </c>
    </row>
    <row r="72" spans="1:20" x14ac:dyDescent="0.2">
      <c r="B72" s="20" t="s">
        <v>1187</v>
      </c>
      <c r="C72" s="32">
        <v>1</v>
      </c>
      <c r="D72" s="32">
        <v>1</v>
      </c>
      <c r="E72" s="32">
        <v>0.72</v>
      </c>
      <c r="F72" s="32">
        <v>0</v>
      </c>
      <c r="G72" s="32">
        <v>0</v>
      </c>
      <c r="H72" s="33">
        <v>0.72</v>
      </c>
      <c r="I72" s="34" t="e">
        <v>#DIV/0!</v>
      </c>
      <c r="J72" s="34">
        <v>1</v>
      </c>
      <c r="K72" s="34">
        <v>0</v>
      </c>
    </row>
    <row r="73" spans="1:20" x14ac:dyDescent="0.2">
      <c r="B73" s="20" t="s">
        <v>1355</v>
      </c>
      <c r="C73" s="32">
        <v>1</v>
      </c>
      <c r="D73" s="32">
        <v>1</v>
      </c>
      <c r="E73" s="32">
        <v>0.49</v>
      </c>
      <c r="F73" s="32">
        <v>0</v>
      </c>
      <c r="G73" s="32">
        <v>0</v>
      </c>
      <c r="H73" s="33">
        <v>0.49</v>
      </c>
      <c r="I73" s="34" t="e">
        <v>#DIV/0!</v>
      </c>
      <c r="J73" s="34">
        <v>1</v>
      </c>
      <c r="K73" s="34">
        <v>0</v>
      </c>
    </row>
    <row r="74" spans="1:20" x14ac:dyDescent="0.2">
      <c r="B74" s="20" t="s">
        <v>1193</v>
      </c>
      <c r="C74" s="32">
        <v>1</v>
      </c>
      <c r="D74" s="32">
        <v>1</v>
      </c>
      <c r="E74" s="32">
        <v>0.54</v>
      </c>
      <c r="F74" s="32">
        <v>0</v>
      </c>
      <c r="G74" s="32">
        <v>0</v>
      </c>
      <c r="H74" s="33">
        <v>0.54</v>
      </c>
      <c r="I74" s="34" t="e">
        <v>#DIV/0!</v>
      </c>
      <c r="J74" s="34">
        <v>1</v>
      </c>
      <c r="K74" s="34">
        <v>0</v>
      </c>
    </row>
    <row r="75" spans="1:20" x14ac:dyDescent="0.2">
      <c r="B75" s="20" t="s">
        <v>1145</v>
      </c>
      <c r="C75" s="32">
        <v>1</v>
      </c>
      <c r="D75" s="32">
        <v>1</v>
      </c>
      <c r="E75" s="32">
        <v>0.1</v>
      </c>
      <c r="F75" s="32">
        <v>0</v>
      </c>
      <c r="G75" s="32">
        <v>0</v>
      </c>
      <c r="H75" s="33">
        <v>0.1</v>
      </c>
      <c r="I75" s="34" t="e">
        <v>#DIV/0!</v>
      </c>
      <c r="J75" s="34">
        <v>1</v>
      </c>
      <c r="K75" s="34">
        <v>0</v>
      </c>
    </row>
    <row r="76" spans="1:20" x14ac:dyDescent="0.2">
      <c r="B76" s="20" t="s">
        <v>1198</v>
      </c>
      <c r="C76" s="32">
        <v>1</v>
      </c>
      <c r="D76" s="32">
        <v>1</v>
      </c>
      <c r="E76" s="32">
        <v>1</v>
      </c>
      <c r="F76" s="32">
        <v>0</v>
      </c>
      <c r="G76" s="32">
        <v>0</v>
      </c>
      <c r="H76" s="33">
        <v>1</v>
      </c>
      <c r="I76" s="34" t="e">
        <v>#DIV/0!</v>
      </c>
      <c r="J76" s="34">
        <v>1</v>
      </c>
      <c r="K76" s="34">
        <v>0</v>
      </c>
    </row>
    <row r="77" spans="1:20" x14ac:dyDescent="0.2">
      <c r="B77" s="7" t="s">
        <v>1136</v>
      </c>
      <c r="C77">
        <v>1</v>
      </c>
      <c r="D77">
        <v>1</v>
      </c>
      <c r="E77">
        <v>0.6</v>
      </c>
      <c r="F77">
        <v>0</v>
      </c>
      <c r="G77">
        <v>0</v>
      </c>
      <c r="H77" s="8">
        <v>0.6</v>
      </c>
      <c r="I77" s="9" t="e">
        <v>#DIV/0!</v>
      </c>
      <c r="J77" s="9">
        <v>1</v>
      </c>
      <c r="K77" s="9">
        <v>0</v>
      </c>
    </row>
    <row r="78" spans="1:20" x14ac:dyDescent="0.2">
      <c r="B78" s="7" t="s">
        <v>985</v>
      </c>
      <c r="C78">
        <v>1236</v>
      </c>
      <c r="D78">
        <v>102</v>
      </c>
      <c r="E78">
        <v>70.320000000000022</v>
      </c>
      <c r="F78">
        <v>9</v>
      </c>
      <c r="G78">
        <v>201.29</v>
      </c>
      <c r="H78" s="8">
        <v>0.68941176470588261</v>
      </c>
      <c r="I78" s="9">
        <v>0.34934671369665671</v>
      </c>
      <c r="J78" s="9">
        <v>8.2524271844660199E-2</v>
      </c>
      <c r="K78" s="9">
        <v>8.8235294117647065E-2</v>
      </c>
    </row>
    <row r="79" spans="1:20" x14ac:dyDescent="0.2">
      <c r="H79"/>
      <c r="I79"/>
      <c r="J79"/>
      <c r="K79"/>
    </row>
    <row r="80" spans="1:20" s="21" customFormat="1" x14ac:dyDescent="0.2">
      <c r="A80"/>
      <c r="B80"/>
      <c r="C80"/>
      <c r="D80"/>
      <c r="E80"/>
      <c r="F80"/>
      <c r="G80"/>
      <c r="H80"/>
      <c r="I80"/>
      <c r="J80"/>
      <c r="K80"/>
      <c r="L80" s="29"/>
      <c r="M80"/>
      <c r="N80"/>
      <c r="O80"/>
      <c r="P80"/>
      <c r="Q80"/>
      <c r="R80"/>
      <c r="S80"/>
      <c r="T80"/>
    </row>
    <row r="81" spans="1:20" x14ac:dyDescent="0.2">
      <c r="H81"/>
      <c r="I81"/>
      <c r="J81"/>
      <c r="K81"/>
    </row>
    <row r="82" spans="1:20" s="21" customFormat="1" x14ac:dyDescent="0.2">
      <c r="A82"/>
      <c r="B82"/>
      <c r="C82"/>
      <c r="D82"/>
      <c r="E82"/>
      <c r="F82"/>
      <c r="G82"/>
      <c r="H82"/>
      <c r="I82"/>
      <c r="J82"/>
      <c r="K82"/>
      <c r="L82" s="29"/>
      <c r="M82"/>
      <c r="N82"/>
      <c r="O82"/>
      <c r="P82"/>
      <c r="Q82"/>
      <c r="R82"/>
      <c r="S82"/>
      <c r="T82"/>
    </row>
    <row r="83" spans="1:20" x14ac:dyDescent="0.2">
      <c r="H83"/>
      <c r="I83"/>
      <c r="J83"/>
      <c r="K83"/>
    </row>
    <row r="84" spans="1:20" x14ac:dyDescent="0.2">
      <c r="H84"/>
      <c r="I84"/>
      <c r="J84"/>
      <c r="K84"/>
    </row>
    <row r="85" spans="1:20" x14ac:dyDescent="0.2">
      <c r="H85"/>
      <c r="I85"/>
      <c r="J85"/>
      <c r="K85"/>
    </row>
    <row r="86" spans="1:20" s="21" customFormat="1" x14ac:dyDescent="0.2">
      <c r="A86"/>
      <c r="B86"/>
      <c r="C86"/>
      <c r="D86"/>
      <c r="E86"/>
      <c r="F86"/>
      <c r="G86"/>
      <c r="H86"/>
      <c r="I86"/>
      <c r="J86"/>
      <c r="K86"/>
      <c r="L86" s="29"/>
      <c r="M86"/>
      <c r="N86"/>
      <c r="O86"/>
      <c r="P86"/>
      <c r="Q86"/>
      <c r="R86"/>
      <c r="S86"/>
      <c r="T86"/>
    </row>
    <row r="87" spans="1:20" x14ac:dyDescent="0.2">
      <c r="H87"/>
      <c r="I87"/>
      <c r="J87"/>
      <c r="K87"/>
    </row>
    <row r="88" spans="1:20" x14ac:dyDescent="0.2">
      <c r="H88"/>
      <c r="I88"/>
      <c r="J88"/>
      <c r="K88"/>
    </row>
    <row r="89" spans="1:20" x14ac:dyDescent="0.2">
      <c r="H89"/>
      <c r="I89"/>
      <c r="J89"/>
      <c r="K89"/>
    </row>
    <row r="90" spans="1:20" s="21" customFormat="1" x14ac:dyDescent="0.2">
      <c r="A90"/>
      <c r="B90"/>
      <c r="C90"/>
      <c r="D90"/>
      <c r="E90"/>
      <c r="F90"/>
      <c r="G90"/>
      <c r="H90"/>
      <c r="I90"/>
      <c r="J90"/>
      <c r="K90"/>
      <c r="L90" s="29"/>
      <c r="M90"/>
      <c r="N90"/>
      <c r="O90"/>
      <c r="P90"/>
      <c r="Q90"/>
      <c r="R90"/>
      <c r="S90"/>
      <c r="T90"/>
    </row>
    <row r="91" spans="1:20" x14ac:dyDescent="0.2">
      <c r="H91"/>
      <c r="I91"/>
      <c r="J91"/>
      <c r="K91"/>
    </row>
    <row r="92" spans="1:20" x14ac:dyDescent="0.2">
      <c r="H92"/>
      <c r="I92"/>
      <c r="J92"/>
      <c r="K92"/>
    </row>
    <row r="93" spans="1:20" x14ac:dyDescent="0.2">
      <c r="H93"/>
      <c r="I93"/>
      <c r="J93"/>
      <c r="K93"/>
    </row>
    <row r="94" spans="1:20" x14ac:dyDescent="0.2">
      <c r="H94"/>
      <c r="I94"/>
      <c r="J94"/>
      <c r="K94"/>
    </row>
    <row r="95" spans="1:20" x14ac:dyDescent="0.2">
      <c r="H95"/>
      <c r="I95"/>
      <c r="J95"/>
      <c r="K95"/>
    </row>
    <row r="96" spans="1:20" x14ac:dyDescent="0.2">
      <c r="H96"/>
      <c r="I96"/>
      <c r="J96"/>
      <c r="K96"/>
    </row>
    <row r="97" spans="1:20" x14ac:dyDescent="0.2">
      <c r="H97"/>
      <c r="I97"/>
      <c r="J97"/>
      <c r="K97"/>
    </row>
    <row r="98" spans="1:20" x14ac:dyDescent="0.2">
      <c r="H98"/>
      <c r="I98"/>
      <c r="J98"/>
      <c r="K98"/>
    </row>
    <row r="99" spans="1:20" x14ac:dyDescent="0.2">
      <c r="H99"/>
      <c r="I99"/>
      <c r="J99"/>
      <c r="K99"/>
    </row>
    <row r="100" spans="1:20" x14ac:dyDescent="0.2">
      <c r="H100"/>
      <c r="I100"/>
      <c r="J100"/>
      <c r="K100"/>
    </row>
    <row r="101" spans="1:20" x14ac:dyDescent="0.2">
      <c r="H101"/>
      <c r="I101"/>
      <c r="J101"/>
      <c r="K101"/>
    </row>
    <row r="102" spans="1:20" x14ac:dyDescent="0.2">
      <c r="H102"/>
      <c r="I102"/>
      <c r="J102"/>
      <c r="K102"/>
    </row>
    <row r="103" spans="1:20" x14ac:dyDescent="0.2">
      <c r="H103"/>
      <c r="I103"/>
      <c r="J103"/>
      <c r="K103"/>
    </row>
    <row r="104" spans="1:20" x14ac:dyDescent="0.2">
      <c r="H104"/>
      <c r="I104"/>
      <c r="J104"/>
      <c r="K104"/>
    </row>
    <row r="105" spans="1:20" x14ac:dyDescent="0.2">
      <c r="H105"/>
      <c r="I105"/>
      <c r="J105"/>
      <c r="K105"/>
    </row>
    <row r="106" spans="1:20" x14ac:dyDescent="0.2">
      <c r="H106"/>
      <c r="I106"/>
      <c r="J106"/>
      <c r="K106"/>
    </row>
    <row r="107" spans="1:20" x14ac:dyDescent="0.2">
      <c r="H107"/>
      <c r="I107"/>
      <c r="J107"/>
      <c r="K107"/>
    </row>
    <row r="108" spans="1:20" x14ac:dyDescent="0.2">
      <c r="H108"/>
      <c r="I108"/>
      <c r="J108"/>
      <c r="K108"/>
    </row>
    <row r="109" spans="1:20" x14ac:dyDescent="0.2">
      <c r="H109"/>
      <c r="I109"/>
      <c r="J109"/>
      <c r="K109"/>
    </row>
    <row r="110" spans="1:20" x14ac:dyDescent="0.2">
      <c r="H110"/>
      <c r="I110"/>
      <c r="J110"/>
      <c r="K110"/>
    </row>
    <row r="111" spans="1:20" s="21" customFormat="1" x14ac:dyDescent="0.2">
      <c r="A111"/>
      <c r="B111"/>
      <c r="C111"/>
      <c r="D111"/>
      <c r="E111"/>
      <c r="F111"/>
      <c r="G111"/>
      <c r="H111"/>
      <c r="I111"/>
      <c r="J111"/>
      <c r="K111"/>
      <c r="L111" s="29"/>
      <c r="M111"/>
      <c r="N111"/>
      <c r="O111"/>
      <c r="P111"/>
      <c r="Q111"/>
      <c r="R111"/>
      <c r="S111"/>
      <c r="T111"/>
    </row>
    <row r="112" spans="1:20" x14ac:dyDescent="0.2">
      <c r="H112"/>
      <c r="I112"/>
      <c r="J112"/>
      <c r="K112"/>
    </row>
    <row r="113" spans="8:12" x14ac:dyDescent="0.2">
      <c r="H113"/>
      <c r="I113"/>
      <c r="J113"/>
      <c r="K113"/>
    </row>
    <row r="114" spans="8:12" x14ac:dyDescent="0.2">
      <c r="H114"/>
      <c r="I114"/>
      <c r="J114"/>
      <c r="K114"/>
    </row>
    <row r="115" spans="8:12" x14ac:dyDescent="0.2">
      <c r="H115"/>
      <c r="I115"/>
      <c r="J115"/>
      <c r="K115"/>
    </row>
    <row r="116" spans="8:12" x14ac:dyDescent="0.2">
      <c r="H116"/>
      <c r="I116"/>
      <c r="J116"/>
      <c r="K116"/>
    </row>
    <row r="117" spans="8:12" x14ac:dyDescent="0.2">
      <c r="H117"/>
      <c r="I117"/>
      <c r="J117"/>
      <c r="K117"/>
    </row>
    <row r="118" spans="8:12" x14ac:dyDescent="0.2">
      <c r="H118"/>
      <c r="I118"/>
      <c r="J118"/>
      <c r="K118"/>
    </row>
    <row r="119" spans="8:12" x14ac:dyDescent="0.2">
      <c r="H119"/>
      <c r="I119"/>
      <c r="J119"/>
      <c r="K119"/>
    </row>
    <row r="120" spans="8:12" x14ac:dyDescent="0.2">
      <c r="H120"/>
      <c r="I120"/>
      <c r="J120"/>
      <c r="K120"/>
    </row>
    <row r="121" spans="8:12" x14ac:dyDescent="0.2">
      <c r="H121"/>
      <c r="I121"/>
      <c r="J121"/>
      <c r="K121"/>
    </row>
    <row r="122" spans="8:12" x14ac:dyDescent="0.2">
      <c r="H122"/>
      <c r="I122"/>
      <c r="J122"/>
      <c r="K122"/>
    </row>
    <row r="123" spans="8:12" x14ac:dyDescent="0.2">
      <c r="H123"/>
      <c r="I123"/>
      <c r="J123"/>
      <c r="K123"/>
      <c r="L123" s="31"/>
    </row>
    <row r="124" spans="8:12" x14ac:dyDescent="0.2">
      <c r="H124"/>
      <c r="I124"/>
      <c r="J124"/>
      <c r="K124"/>
    </row>
    <row r="125" spans="8:12" x14ac:dyDescent="0.2">
      <c r="H125"/>
      <c r="I125"/>
      <c r="J125"/>
      <c r="K125"/>
    </row>
    <row r="126" spans="8:12" x14ac:dyDescent="0.2">
      <c r="H126"/>
      <c r="I126"/>
      <c r="J126"/>
      <c r="K126"/>
    </row>
    <row r="127" spans="8:12" x14ac:dyDescent="0.2">
      <c r="H127"/>
      <c r="I127"/>
      <c r="J127"/>
      <c r="K127"/>
    </row>
    <row r="128" spans="8:12" x14ac:dyDescent="0.2">
      <c r="H128"/>
      <c r="I128"/>
      <c r="J128"/>
      <c r="K128"/>
    </row>
    <row r="129" spans="8:11" x14ac:dyDescent="0.2">
      <c r="H129"/>
      <c r="I129"/>
      <c r="J129"/>
      <c r="K129"/>
    </row>
    <row r="130" spans="8:11" x14ac:dyDescent="0.2">
      <c r="H130"/>
      <c r="I130"/>
      <c r="J130"/>
      <c r="K130"/>
    </row>
    <row r="131" spans="8:11" x14ac:dyDescent="0.2">
      <c r="H131"/>
      <c r="I131"/>
      <c r="J131"/>
      <c r="K131"/>
    </row>
    <row r="132" spans="8:11" x14ac:dyDescent="0.2">
      <c r="H132"/>
      <c r="I132"/>
      <c r="J132"/>
      <c r="K132"/>
    </row>
    <row r="133" spans="8:11" x14ac:dyDescent="0.2">
      <c r="H133"/>
      <c r="I133"/>
      <c r="J133"/>
      <c r="K133"/>
    </row>
    <row r="134" spans="8:11" x14ac:dyDescent="0.2">
      <c r="H134"/>
      <c r="I134"/>
      <c r="J134"/>
      <c r="K134"/>
    </row>
    <row r="135" spans="8:11" x14ac:dyDescent="0.2">
      <c r="H135"/>
      <c r="I135"/>
      <c r="J135"/>
      <c r="K135"/>
    </row>
    <row r="136" spans="8:11" x14ac:dyDescent="0.2">
      <c r="H136"/>
      <c r="I136"/>
      <c r="J136"/>
      <c r="K136"/>
    </row>
    <row r="137" spans="8:11" x14ac:dyDescent="0.2">
      <c r="H137"/>
      <c r="I137"/>
      <c r="J137"/>
      <c r="K137"/>
    </row>
    <row r="138" spans="8:11" x14ac:dyDescent="0.2">
      <c r="H138"/>
      <c r="I138"/>
      <c r="J138"/>
      <c r="K138"/>
    </row>
    <row r="139" spans="8:11" x14ac:dyDescent="0.2">
      <c r="H139"/>
      <c r="I139"/>
      <c r="J139"/>
      <c r="K139"/>
    </row>
    <row r="140" spans="8:11" x14ac:dyDescent="0.2">
      <c r="H140"/>
      <c r="I140"/>
      <c r="J140"/>
      <c r="K140"/>
    </row>
    <row r="141" spans="8:11" x14ac:dyDescent="0.2">
      <c r="H141"/>
      <c r="I141"/>
      <c r="J141"/>
      <c r="K141"/>
    </row>
    <row r="142" spans="8:11" x14ac:dyDescent="0.2">
      <c r="H142"/>
      <c r="I142"/>
      <c r="J142"/>
      <c r="K142"/>
    </row>
    <row r="143" spans="8:11" x14ac:dyDescent="0.2">
      <c r="H143"/>
      <c r="I143"/>
      <c r="J143"/>
      <c r="K143"/>
    </row>
    <row r="144" spans="8:11" x14ac:dyDescent="0.2">
      <c r="H144"/>
      <c r="I144"/>
      <c r="J144"/>
      <c r="K144"/>
    </row>
    <row r="145" spans="1:20" x14ac:dyDescent="0.2">
      <c r="H145"/>
      <c r="I145"/>
      <c r="J145"/>
      <c r="K145"/>
    </row>
    <row r="146" spans="1:20" x14ac:dyDescent="0.2">
      <c r="H146"/>
      <c r="I146"/>
      <c r="J146"/>
      <c r="K146"/>
    </row>
    <row r="147" spans="1:20" x14ac:dyDescent="0.2">
      <c r="H147"/>
      <c r="I147"/>
      <c r="J147"/>
      <c r="K147"/>
    </row>
    <row r="148" spans="1:20" x14ac:dyDescent="0.2">
      <c r="H148"/>
      <c r="I148"/>
      <c r="J148"/>
      <c r="K148"/>
    </row>
    <row r="149" spans="1:20" s="21" customFormat="1" x14ac:dyDescent="0.2">
      <c r="A149"/>
      <c r="B149"/>
      <c r="C149"/>
      <c r="D149"/>
      <c r="E149"/>
      <c r="F149"/>
      <c r="G149"/>
      <c r="H149"/>
      <c r="I149"/>
      <c r="J149"/>
      <c r="K149"/>
      <c r="L149" s="31"/>
      <c r="M149"/>
      <c r="N149"/>
      <c r="O149"/>
      <c r="P149"/>
      <c r="Q149"/>
      <c r="R149"/>
      <c r="S149"/>
      <c r="T149"/>
    </row>
    <row r="150" spans="1:20" x14ac:dyDescent="0.2">
      <c r="H150"/>
      <c r="I150"/>
      <c r="J150"/>
      <c r="K150"/>
    </row>
    <row r="151" spans="1:20" x14ac:dyDescent="0.2">
      <c r="H151"/>
      <c r="I151"/>
      <c r="J151"/>
      <c r="K151"/>
    </row>
    <row r="152" spans="1:20" x14ac:dyDescent="0.2">
      <c r="H152"/>
      <c r="I152"/>
      <c r="J152"/>
      <c r="K152"/>
    </row>
    <row r="153" spans="1:20" x14ac:dyDescent="0.2">
      <c r="H153"/>
      <c r="I153"/>
      <c r="J153"/>
      <c r="K153"/>
    </row>
    <row r="154" spans="1:20" x14ac:dyDescent="0.2">
      <c r="H154"/>
      <c r="I154"/>
      <c r="J154"/>
      <c r="K154"/>
    </row>
    <row r="155" spans="1:20" x14ac:dyDescent="0.2">
      <c r="H155"/>
      <c r="I155"/>
      <c r="J155"/>
      <c r="K155"/>
    </row>
    <row r="156" spans="1:20" x14ac:dyDescent="0.2">
      <c r="H156"/>
      <c r="I156"/>
      <c r="J156"/>
      <c r="K156"/>
    </row>
    <row r="157" spans="1:20" x14ac:dyDescent="0.2">
      <c r="H157"/>
      <c r="I157"/>
      <c r="J157"/>
      <c r="K157"/>
    </row>
    <row r="158" spans="1:20" x14ac:dyDescent="0.2">
      <c r="H158"/>
      <c r="I158"/>
      <c r="J158"/>
      <c r="K158"/>
    </row>
    <row r="159" spans="1:20" x14ac:dyDescent="0.2">
      <c r="H159"/>
      <c r="I159"/>
      <c r="J159"/>
      <c r="K159"/>
    </row>
    <row r="160" spans="1:20" x14ac:dyDescent="0.2">
      <c r="H160"/>
      <c r="I160"/>
      <c r="J160"/>
      <c r="K160"/>
    </row>
    <row r="161" spans="1:20" x14ac:dyDescent="0.2">
      <c r="H161"/>
      <c r="I161"/>
      <c r="J161"/>
      <c r="K161"/>
    </row>
    <row r="162" spans="1:20" x14ac:dyDescent="0.2">
      <c r="H162"/>
      <c r="I162"/>
      <c r="J162"/>
      <c r="K162"/>
    </row>
    <row r="163" spans="1:20" x14ac:dyDescent="0.2">
      <c r="H163"/>
      <c r="I163"/>
      <c r="J163"/>
      <c r="K163"/>
    </row>
    <row r="164" spans="1:20" x14ac:dyDescent="0.2">
      <c r="H164"/>
      <c r="I164"/>
      <c r="J164"/>
      <c r="K164"/>
    </row>
    <row r="165" spans="1:20" x14ac:dyDescent="0.2">
      <c r="H165"/>
      <c r="I165"/>
      <c r="J165"/>
      <c r="K165"/>
    </row>
    <row r="166" spans="1:20" x14ac:dyDescent="0.2">
      <c r="H166"/>
      <c r="I166"/>
      <c r="J166"/>
      <c r="K166"/>
    </row>
    <row r="167" spans="1:20" x14ac:dyDescent="0.2">
      <c r="H167"/>
      <c r="I167"/>
      <c r="J167"/>
      <c r="K167"/>
    </row>
    <row r="168" spans="1:20" x14ac:dyDescent="0.2">
      <c r="H168"/>
      <c r="I168"/>
      <c r="J168"/>
      <c r="K168"/>
    </row>
    <row r="169" spans="1:20" x14ac:dyDescent="0.2">
      <c r="H169"/>
      <c r="I169"/>
      <c r="J169"/>
      <c r="K169"/>
    </row>
    <row r="170" spans="1:20" s="21" customFormat="1" x14ac:dyDescent="0.2">
      <c r="A170"/>
      <c r="B170"/>
      <c r="C170"/>
      <c r="D170"/>
      <c r="E170"/>
      <c r="F170"/>
      <c r="G170"/>
      <c r="H170"/>
      <c r="I170"/>
      <c r="J170"/>
      <c r="K170"/>
      <c r="L170" s="29"/>
      <c r="M170"/>
      <c r="N170"/>
      <c r="O170"/>
      <c r="P170"/>
      <c r="Q170"/>
      <c r="R170"/>
      <c r="S170"/>
      <c r="T170"/>
    </row>
    <row r="171" spans="1:20" x14ac:dyDescent="0.2">
      <c r="H171"/>
      <c r="I171"/>
      <c r="J171"/>
      <c r="K171"/>
    </row>
    <row r="172" spans="1:20" x14ac:dyDescent="0.2">
      <c r="H172"/>
      <c r="I172"/>
      <c r="J172"/>
      <c r="K172"/>
    </row>
    <row r="173" spans="1:20" x14ac:dyDescent="0.2">
      <c r="H173"/>
      <c r="I173"/>
      <c r="J173"/>
      <c r="K173"/>
    </row>
    <row r="174" spans="1:20" x14ac:dyDescent="0.2">
      <c r="H174"/>
      <c r="I174"/>
      <c r="J174"/>
      <c r="K174"/>
    </row>
    <row r="175" spans="1:20" x14ac:dyDescent="0.2">
      <c r="H175"/>
      <c r="I175"/>
      <c r="J175"/>
      <c r="K175"/>
    </row>
    <row r="176" spans="1:20" x14ac:dyDescent="0.2">
      <c r="H176"/>
      <c r="I176"/>
      <c r="J176"/>
      <c r="K176"/>
    </row>
    <row r="177" spans="1:20" x14ac:dyDescent="0.2">
      <c r="H177"/>
      <c r="I177"/>
      <c r="J177"/>
      <c r="K177"/>
    </row>
    <row r="178" spans="1:20" x14ac:dyDescent="0.2">
      <c r="H178"/>
      <c r="I178"/>
      <c r="J178"/>
      <c r="K178"/>
    </row>
    <row r="179" spans="1:20" x14ac:dyDescent="0.2">
      <c r="H179"/>
      <c r="I179"/>
      <c r="J179"/>
      <c r="K179"/>
    </row>
    <row r="180" spans="1:20" x14ac:dyDescent="0.2">
      <c r="H180"/>
      <c r="I180"/>
      <c r="J180"/>
      <c r="K180"/>
    </row>
    <row r="181" spans="1:20" x14ac:dyDescent="0.2">
      <c r="H181"/>
      <c r="I181"/>
      <c r="J181"/>
      <c r="K181"/>
    </row>
    <row r="182" spans="1:20" x14ac:dyDescent="0.2">
      <c r="H182"/>
      <c r="I182"/>
      <c r="J182"/>
      <c r="K182"/>
    </row>
    <row r="183" spans="1:20" x14ac:dyDescent="0.2">
      <c r="H183"/>
      <c r="I183"/>
      <c r="J183"/>
      <c r="K183"/>
    </row>
    <row r="184" spans="1:20" x14ac:dyDescent="0.2">
      <c r="H184"/>
      <c r="I184"/>
      <c r="J184"/>
      <c r="K184"/>
    </row>
    <row r="185" spans="1:20" s="21" customFormat="1" x14ac:dyDescent="0.2">
      <c r="A185"/>
      <c r="B185"/>
      <c r="C185"/>
      <c r="D185"/>
      <c r="E185"/>
      <c r="F185"/>
      <c r="G185"/>
      <c r="H185"/>
      <c r="I185"/>
      <c r="J185"/>
      <c r="K185"/>
      <c r="L185" s="29"/>
      <c r="M185"/>
      <c r="N185"/>
      <c r="O185"/>
      <c r="P185"/>
      <c r="Q185"/>
      <c r="R185"/>
      <c r="S185"/>
      <c r="T185"/>
    </row>
    <row r="186" spans="1:20" s="21" customFormat="1" x14ac:dyDescent="0.2">
      <c r="A186"/>
      <c r="B186"/>
      <c r="C186"/>
      <c r="D186"/>
      <c r="E186"/>
      <c r="F186"/>
      <c r="G186"/>
      <c r="H186"/>
      <c r="I186"/>
      <c r="J186"/>
      <c r="K186"/>
      <c r="L186" s="31"/>
      <c r="M186"/>
      <c r="N186"/>
      <c r="O186"/>
      <c r="P186"/>
      <c r="Q186"/>
      <c r="R186"/>
      <c r="S186"/>
      <c r="T186"/>
    </row>
    <row r="187" spans="1:20" x14ac:dyDescent="0.2">
      <c r="H187"/>
      <c r="I187"/>
      <c r="J187"/>
      <c r="K187"/>
    </row>
    <row r="188" spans="1:20" s="21" customFormat="1" x14ac:dyDescent="0.2">
      <c r="A188"/>
      <c r="B188"/>
      <c r="C188"/>
      <c r="D188"/>
      <c r="E188"/>
      <c r="F188"/>
      <c r="G188"/>
      <c r="H188"/>
      <c r="I188"/>
      <c r="J188"/>
      <c r="K188"/>
      <c r="L188" s="29"/>
      <c r="M188"/>
      <c r="N188"/>
      <c r="O188"/>
      <c r="P188"/>
      <c r="Q188"/>
      <c r="R188"/>
      <c r="S188"/>
      <c r="T188"/>
    </row>
    <row r="189" spans="1:20" s="21" customFormat="1" x14ac:dyDescent="0.2">
      <c r="A189"/>
      <c r="B189"/>
      <c r="C189"/>
      <c r="D189"/>
      <c r="E189"/>
      <c r="F189"/>
      <c r="G189"/>
      <c r="H189"/>
      <c r="I189"/>
      <c r="J189"/>
      <c r="K189"/>
      <c r="L189" s="29"/>
      <c r="M189"/>
      <c r="N189"/>
      <c r="O189"/>
      <c r="P189"/>
      <c r="Q189"/>
      <c r="R189"/>
      <c r="S189"/>
      <c r="T189"/>
    </row>
    <row r="190" spans="1:20" x14ac:dyDescent="0.2">
      <c r="H190"/>
      <c r="I190"/>
      <c r="J190"/>
      <c r="K190"/>
    </row>
    <row r="191" spans="1:20" x14ac:dyDescent="0.2">
      <c r="H191"/>
      <c r="I191"/>
      <c r="J191"/>
      <c r="K191"/>
    </row>
    <row r="192" spans="1:20" x14ac:dyDescent="0.2">
      <c r="H192"/>
      <c r="I192"/>
      <c r="J192"/>
      <c r="K192"/>
    </row>
    <row r="193" spans="1:20" x14ac:dyDescent="0.2">
      <c r="H193"/>
      <c r="I193"/>
      <c r="J193"/>
      <c r="K193"/>
    </row>
    <row r="194" spans="1:20" x14ac:dyDescent="0.2">
      <c r="H194"/>
      <c r="I194"/>
      <c r="J194"/>
      <c r="K194"/>
    </row>
    <row r="195" spans="1:20" x14ac:dyDescent="0.2">
      <c r="H195"/>
      <c r="I195"/>
      <c r="J195"/>
      <c r="K195"/>
    </row>
    <row r="196" spans="1:20" x14ac:dyDescent="0.2">
      <c r="H196"/>
      <c r="I196"/>
      <c r="J196"/>
      <c r="K196"/>
    </row>
    <row r="197" spans="1:20" x14ac:dyDescent="0.2">
      <c r="H197"/>
      <c r="I197"/>
      <c r="J197"/>
      <c r="K197"/>
    </row>
    <row r="198" spans="1:20" s="21" customFormat="1" x14ac:dyDescent="0.2">
      <c r="A198"/>
      <c r="B198"/>
      <c r="C198"/>
      <c r="D198"/>
      <c r="E198"/>
      <c r="F198"/>
      <c r="G198"/>
      <c r="H198"/>
      <c r="I198"/>
      <c r="J198"/>
      <c r="K198"/>
      <c r="L198" s="29"/>
      <c r="M198"/>
      <c r="N198"/>
      <c r="O198"/>
      <c r="P198"/>
      <c r="Q198"/>
      <c r="R198"/>
      <c r="S198"/>
      <c r="T198"/>
    </row>
    <row r="199" spans="1:20" x14ac:dyDescent="0.2">
      <c r="H199"/>
      <c r="I199"/>
      <c r="J199"/>
      <c r="K199"/>
    </row>
    <row r="200" spans="1:20" x14ac:dyDescent="0.2">
      <c r="H200"/>
      <c r="I200"/>
      <c r="J200"/>
      <c r="K200"/>
    </row>
    <row r="201" spans="1:20" x14ac:dyDescent="0.2">
      <c r="H201"/>
      <c r="I201"/>
      <c r="J201"/>
      <c r="K201"/>
    </row>
    <row r="202" spans="1:20" x14ac:dyDescent="0.2">
      <c r="H202"/>
      <c r="I202"/>
      <c r="J202"/>
      <c r="K202"/>
    </row>
    <row r="203" spans="1:20" x14ac:dyDescent="0.2">
      <c r="H203"/>
      <c r="I203"/>
      <c r="J203"/>
      <c r="K203"/>
    </row>
    <row r="204" spans="1:20" x14ac:dyDescent="0.2">
      <c r="H204"/>
      <c r="I204"/>
      <c r="J204"/>
      <c r="K204"/>
    </row>
    <row r="205" spans="1:20" x14ac:dyDescent="0.2">
      <c r="H205"/>
      <c r="I205"/>
      <c r="J205"/>
      <c r="K205"/>
    </row>
    <row r="206" spans="1:20" x14ac:dyDescent="0.2">
      <c r="H206"/>
      <c r="I206"/>
      <c r="J206"/>
      <c r="K206"/>
    </row>
    <row r="207" spans="1:20" x14ac:dyDescent="0.2">
      <c r="H207"/>
      <c r="I207"/>
      <c r="J207"/>
      <c r="K207"/>
    </row>
    <row r="208" spans="1:20" x14ac:dyDescent="0.2">
      <c r="H208"/>
      <c r="I208"/>
      <c r="J208"/>
      <c r="K208"/>
    </row>
    <row r="209" spans="1:20" x14ac:dyDescent="0.2">
      <c r="H209"/>
      <c r="I209"/>
      <c r="J209"/>
      <c r="K209"/>
    </row>
    <row r="210" spans="1:20" x14ac:dyDescent="0.2">
      <c r="H210"/>
      <c r="I210"/>
      <c r="J210"/>
      <c r="K210"/>
    </row>
    <row r="211" spans="1:20" x14ac:dyDescent="0.2">
      <c r="H211"/>
      <c r="I211"/>
      <c r="J211"/>
      <c r="K211"/>
    </row>
    <row r="212" spans="1:20" x14ac:dyDescent="0.2">
      <c r="H212"/>
      <c r="I212"/>
      <c r="J212"/>
      <c r="K212"/>
    </row>
    <row r="213" spans="1:20" x14ac:dyDescent="0.2">
      <c r="H213"/>
      <c r="I213"/>
      <c r="J213"/>
      <c r="K213"/>
    </row>
    <row r="214" spans="1:20" x14ac:dyDescent="0.2">
      <c r="H214"/>
      <c r="I214"/>
      <c r="J214"/>
      <c r="K214"/>
    </row>
    <row r="215" spans="1:20" s="21" customFormat="1" x14ac:dyDescent="0.2">
      <c r="A215"/>
      <c r="B215"/>
      <c r="C215"/>
      <c r="D215"/>
      <c r="E215"/>
      <c r="F215"/>
      <c r="G215"/>
      <c r="H215"/>
      <c r="I215"/>
      <c r="J215"/>
      <c r="K215"/>
      <c r="L215" s="29"/>
      <c r="M215"/>
      <c r="N215"/>
      <c r="O215"/>
      <c r="P215"/>
      <c r="Q215"/>
      <c r="R215"/>
      <c r="S215"/>
      <c r="T215"/>
    </row>
    <row r="216" spans="1:20" s="21" customFormat="1" x14ac:dyDescent="0.2">
      <c r="A216"/>
      <c r="B216"/>
      <c r="C216"/>
      <c r="D216"/>
      <c r="E216"/>
      <c r="F216"/>
      <c r="G216"/>
      <c r="H216"/>
      <c r="I216"/>
      <c r="J216"/>
      <c r="K216"/>
      <c r="L216" s="29"/>
      <c r="M216"/>
      <c r="N216"/>
      <c r="O216"/>
      <c r="P216"/>
      <c r="Q216"/>
      <c r="R216"/>
      <c r="S216"/>
      <c r="T216"/>
    </row>
    <row r="217" spans="1:20" x14ac:dyDescent="0.2">
      <c r="H217"/>
      <c r="I217"/>
      <c r="J217"/>
      <c r="K217"/>
    </row>
    <row r="218" spans="1:20" x14ac:dyDescent="0.2">
      <c r="H218"/>
      <c r="I218"/>
      <c r="J218"/>
      <c r="K218"/>
    </row>
    <row r="219" spans="1:20" x14ac:dyDescent="0.2">
      <c r="H219"/>
      <c r="I219"/>
      <c r="J219"/>
      <c r="K219"/>
    </row>
    <row r="220" spans="1:20" x14ac:dyDescent="0.2">
      <c r="H220"/>
      <c r="I220"/>
      <c r="J220"/>
      <c r="K220"/>
    </row>
    <row r="221" spans="1:20" x14ac:dyDescent="0.2">
      <c r="H221"/>
      <c r="I221"/>
      <c r="J221"/>
      <c r="K221"/>
    </row>
    <row r="222" spans="1:20" s="21" customFormat="1" x14ac:dyDescent="0.2">
      <c r="A222"/>
      <c r="B222"/>
      <c r="C222"/>
      <c r="D222"/>
      <c r="E222"/>
      <c r="F222"/>
      <c r="G222"/>
      <c r="H222"/>
      <c r="I222"/>
      <c r="J222"/>
      <c r="K222"/>
      <c r="L222" s="29"/>
      <c r="M222"/>
      <c r="N222"/>
      <c r="O222"/>
      <c r="P222"/>
      <c r="Q222"/>
      <c r="R222"/>
      <c r="S222"/>
      <c r="T222"/>
    </row>
    <row r="223" spans="1:20" x14ac:dyDescent="0.2">
      <c r="H223"/>
      <c r="I223"/>
      <c r="J223"/>
      <c r="K223"/>
    </row>
    <row r="224" spans="1:20" x14ac:dyDescent="0.2">
      <c r="H224"/>
      <c r="I224"/>
      <c r="J224"/>
      <c r="K224"/>
    </row>
    <row r="225" spans="1:20" x14ac:dyDescent="0.2">
      <c r="H225"/>
      <c r="I225"/>
      <c r="J225"/>
      <c r="K225"/>
    </row>
    <row r="226" spans="1:20" x14ac:dyDescent="0.2">
      <c r="H226"/>
      <c r="I226"/>
      <c r="J226"/>
      <c r="K226"/>
    </row>
    <row r="227" spans="1:20" x14ac:dyDescent="0.2">
      <c r="H227"/>
      <c r="I227"/>
      <c r="J227"/>
      <c r="K227"/>
    </row>
    <row r="228" spans="1:20" x14ac:dyDescent="0.2">
      <c r="H228"/>
      <c r="I228"/>
      <c r="J228"/>
      <c r="K228"/>
    </row>
    <row r="229" spans="1:20" s="21" customFormat="1" x14ac:dyDescent="0.2">
      <c r="A229"/>
      <c r="B229"/>
      <c r="C229"/>
      <c r="D229"/>
      <c r="E229"/>
      <c r="F229"/>
      <c r="G229"/>
      <c r="H229"/>
      <c r="I229"/>
      <c r="J229"/>
      <c r="K229"/>
      <c r="L229" s="29"/>
      <c r="M229"/>
      <c r="N229"/>
      <c r="O229"/>
      <c r="P229"/>
      <c r="Q229"/>
      <c r="R229"/>
      <c r="S229"/>
      <c r="T229"/>
    </row>
    <row r="230" spans="1:20" x14ac:dyDescent="0.2">
      <c r="H230"/>
      <c r="I230"/>
      <c r="J230"/>
      <c r="K230"/>
    </row>
    <row r="231" spans="1:20" x14ac:dyDescent="0.2">
      <c r="H231"/>
      <c r="I231"/>
      <c r="J231"/>
      <c r="K231"/>
    </row>
    <row r="232" spans="1:20" x14ac:dyDescent="0.2">
      <c r="H232"/>
      <c r="I232"/>
      <c r="J232"/>
      <c r="K232"/>
    </row>
    <row r="233" spans="1:20" x14ac:dyDescent="0.2">
      <c r="H233"/>
      <c r="I233"/>
      <c r="J233"/>
      <c r="K233"/>
    </row>
    <row r="234" spans="1:20" x14ac:dyDescent="0.2">
      <c r="H234"/>
      <c r="I234"/>
      <c r="J234"/>
      <c r="K234"/>
    </row>
    <row r="235" spans="1:20" x14ac:dyDescent="0.2">
      <c r="H235"/>
      <c r="I235"/>
      <c r="J235"/>
      <c r="K235"/>
    </row>
    <row r="236" spans="1:20" x14ac:dyDescent="0.2">
      <c r="H236"/>
      <c r="I236"/>
      <c r="J236"/>
      <c r="K236"/>
    </row>
    <row r="237" spans="1:20" x14ac:dyDescent="0.2">
      <c r="H237"/>
      <c r="I237"/>
      <c r="J237"/>
      <c r="K237"/>
    </row>
    <row r="238" spans="1:20" x14ac:dyDescent="0.2">
      <c r="H238"/>
      <c r="I238"/>
      <c r="J238"/>
      <c r="K238"/>
    </row>
    <row r="239" spans="1:20" x14ac:dyDescent="0.2">
      <c r="A239" t="s">
        <v>1117</v>
      </c>
      <c r="H239"/>
      <c r="I239"/>
      <c r="J239"/>
      <c r="K239"/>
    </row>
    <row r="240" spans="1:20" x14ac:dyDescent="0.2">
      <c r="H240"/>
      <c r="I240"/>
      <c r="J240"/>
      <c r="K240"/>
    </row>
    <row r="241" spans="8:11" x14ac:dyDescent="0.2">
      <c r="H241"/>
      <c r="I241"/>
      <c r="J241"/>
      <c r="K241"/>
    </row>
    <row r="242" spans="8:11" x14ac:dyDescent="0.2">
      <c r="H242"/>
      <c r="I242"/>
      <c r="J242"/>
      <c r="K242"/>
    </row>
    <row r="243" spans="8:11" x14ac:dyDescent="0.2">
      <c r="H243"/>
      <c r="I243"/>
      <c r="J243"/>
      <c r="K243"/>
    </row>
    <row r="244" spans="8:11" x14ac:dyDescent="0.2">
      <c r="H244"/>
      <c r="I244"/>
      <c r="J244"/>
      <c r="K244"/>
    </row>
    <row r="245" spans="8:11" x14ac:dyDescent="0.2">
      <c r="H245"/>
      <c r="I245"/>
      <c r="J245"/>
      <c r="K245"/>
    </row>
    <row r="246" spans="8:11" x14ac:dyDescent="0.2">
      <c r="H246"/>
      <c r="I246"/>
      <c r="J246"/>
      <c r="K246"/>
    </row>
    <row r="247" spans="8:11" x14ac:dyDescent="0.2">
      <c r="H247"/>
      <c r="I247"/>
      <c r="J247"/>
      <c r="K247"/>
    </row>
    <row r="248" spans="8:11" x14ac:dyDescent="0.2">
      <c r="H248"/>
      <c r="I248"/>
      <c r="J248"/>
      <c r="K248"/>
    </row>
    <row r="249" spans="8:11" x14ac:dyDescent="0.2">
      <c r="H249"/>
      <c r="I249"/>
      <c r="J249"/>
      <c r="K249"/>
    </row>
    <row r="250" spans="8:11" x14ac:dyDescent="0.2">
      <c r="H250"/>
      <c r="I250"/>
      <c r="J250"/>
      <c r="K250"/>
    </row>
    <row r="251" spans="8:11" x14ac:dyDescent="0.2">
      <c r="H251"/>
      <c r="I251"/>
      <c r="J251"/>
      <c r="K251"/>
    </row>
    <row r="252" spans="8:11" x14ac:dyDescent="0.2">
      <c r="H252"/>
      <c r="I252"/>
      <c r="J252"/>
      <c r="K252"/>
    </row>
    <row r="253" spans="8:11" x14ac:dyDescent="0.2">
      <c r="H253"/>
      <c r="I253"/>
      <c r="J253"/>
      <c r="K253"/>
    </row>
    <row r="254" spans="8:11" x14ac:dyDescent="0.2">
      <c r="H254"/>
      <c r="I254"/>
      <c r="J254"/>
      <c r="K254"/>
    </row>
    <row r="255" spans="8:11" x14ac:dyDescent="0.2">
      <c r="H255"/>
      <c r="I255"/>
      <c r="J255"/>
      <c r="K255"/>
    </row>
    <row r="256" spans="8:11" x14ac:dyDescent="0.2">
      <c r="H256"/>
      <c r="I256"/>
      <c r="J256"/>
      <c r="K256"/>
    </row>
    <row r="257" spans="8:11" x14ac:dyDescent="0.2">
      <c r="H257"/>
      <c r="I257"/>
      <c r="J257"/>
      <c r="K257"/>
    </row>
    <row r="258" spans="8:11" x14ac:dyDescent="0.2">
      <c r="H258"/>
      <c r="I258"/>
      <c r="J258"/>
      <c r="K258"/>
    </row>
    <row r="259" spans="8:11" x14ac:dyDescent="0.2">
      <c r="H259"/>
      <c r="I259"/>
      <c r="J259"/>
      <c r="K259"/>
    </row>
    <row r="260" spans="8:11" x14ac:dyDescent="0.2">
      <c r="H260"/>
      <c r="I260"/>
      <c r="J260"/>
      <c r="K260"/>
    </row>
    <row r="261" spans="8:11" x14ac:dyDescent="0.2">
      <c r="H261"/>
      <c r="I261"/>
      <c r="J261"/>
      <c r="K261"/>
    </row>
    <row r="262" spans="8:11" x14ac:dyDescent="0.2">
      <c r="H262"/>
      <c r="I262"/>
      <c r="J262"/>
      <c r="K262"/>
    </row>
    <row r="263" spans="8:11" x14ac:dyDescent="0.2">
      <c r="H263"/>
      <c r="I263"/>
      <c r="J263"/>
      <c r="K263"/>
    </row>
    <row r="264" spans="8:11" x14ac:dyDescent="0.2">
      <c r="H264"/>
      <c r="I264"/>
      <c r="J264"/>
      <c r="K264"/>
    </row>
    <row r="265" spans="8:11" x14ac:dyDescent="0.2">
      <c r="H265"/>
      <c r="I265"/>
      <c r="J265"/>
      <c r="K265"/>
    </row>
    <row r="266" spans="8:11" x14ac:dyDescent="0.2">
      <c r="H266"/>
      <c r="I266"/>
      <c r="J266"/>
      <c r="K266"/>
    </row>
    <row r="267" spans="8:11" x14ac:dyDescent="0.2">
      <c r="H267"/>
      <c r="I267"/>
      <c r="J267"/>
      <c r="K267"/>
    </row>
    <row r="268" spans="8:11" x14ac:dyDescent="0.2">
      <c r="H268"/>
      <c r="I268"/>
      <c r="J268"/>
      <c r="K268"/>
    </row>
    <row r="269" spans="8:11" x14ac:dyDescent="0.2">
      <c r="H269"/>
      <c r="I269"/>
      <c r="J269"/>
      <c r="K269"/>
    </row>
    <row r="270" spans="8:11" x14ac:dyDescent="0.2">
      <c r="H270"/>
      <c r="I270"/>
      <c r="J270"/>
      <c r="K270"/>
    </row>
    <row r="271" spans="8:11" x14ac:dyDescent="0.2">
      <c r="H271"/>
      <c r="I271"/>
      <c r="J271"/>
      <c r="K271"/>
    </row>
    <row r="272" spans="8:11" x14ac:dyDescent="0.2">
      <c r="H272"/>
      <c r="I272"/>
      <c r="J272"/>
      <c r="K272"/>
    </row>
    <row r="273" spans="8:11" x14ac:dyDescent="0.2">
      <c r="H273"/>
      <c r="I273"/>
      <c r="J273"/>
      <c r="K273"/>
    </row>
    <row r="274" spans="8:11" x14ac:dyDescent="0.2">
      <c r="H274"/>
      <c r="I274"/>
      <c r="J274"/>
      <c r="K274"/>
    </row>
    <row r="275" spans="8:11" x14ac:dyDescent="0.2">
      <c r="H275"/>
      <c r="I275"/>
      <c r="J275"/>
      <c r="K275"/>
    </row>
    <row r="276" spans="8:11" x14ac:dyDescent="0.2">
      <c r="H276"/>
      <c r="I276"/>
      <c r="J276"/>
      <c r="K276"/>
    </row>
    <row r="277" spans="8:11" x14ac:dyDescent="0.2">
      <c r="H277"/>
      <c r="I277"/>
      <c r="J277"/>
      <c r="K277"/>
    </row>
    <row r="278" spans="8:11" x14ac:dyDescent="0.2">
      <c r="H278"/>
      <c r="I278"/>
      <c r="J278"/>
      <c r="K278"/>
    </row>
    <row r="279" spans="8:11" x14ac:dyDescent="0.2">
      <c r="H279"/>
      <c r="I279"/>
      <c r="J279"/>
      <c r="K279"/>
    </row>
    <row r="280" spans="8:11" x14ac:dyDescent="0.2">
      <c r="H280"/>
      <c r="I280"/>
      <c r="J280"/>
      <c r="K280"/>
    </row>
    <row r="281" spans="8:11" x14ac:dyDescent="0.2">
      <c r="H281"/>
      <c r="I281"/>
      <c r="J281"/>
      <c r="K281"/>
    </row>
    <row r="282" spans="8:11" x14ac:dyDescent="0.2">
      <c r="H282"/>
      <c r="I282"/>
      <c r="J282"/>
      <c r="K282"/>
    </row>
    <row r="283" spans="8:11" x14ac:dyDescent="0.2">
      <c r="H283"/>
      <c r="I283"/>
      <c r="J283"/>
      <c r="K283"/>
    </row>
    <row r="284" spans="8:11" x14ac:dyDescent="0.2">
      <c r="H284"/>
      <c r="I284"/>
      <c r="J284"/>
      <c r="K284"/>
    </row>
    <row r="285" spans="8:11" x14ac:dyDescent="0.2">
      <c r="H285"/>
      <c r="I285"/>
      <c r="J285"/>
      <c r="K285"/>
    </row>
    <row r="286" spans="8:11" x14ac:dyDescent="0.2">
      <c r="H286"/>
      <c r="I286"/>
      <c r="J286"/>
      <c r="K286"/>
    </row>
    <row r="287" spans="8:11" x14ac:dyDescent="0.2">
      <c r="H287"/>
      <c r="I287"/>
      <c r="J287"/>
      <c r="K287"/>
    </row>
    <row r="288" spans="8:11" x14ac:dyDescent="0.2">
      <c r="H288"/>
      <c r="I288"/>
      <c r="J288"/>
      <c r="K288"/>
    </row>
    <row r="289" spans="8:11" x14ac:dyDescent="0.2">
      <c r="H289"/>
      <c r="I289"/>
      <c r="J289"/>
      <c r="K289"/>
    </row>
    <row r="290" spans="8:11" x14ac:dyDescent="0.2">
      <c r="H290"/>
      <c r="I290"/>
      <c r="J290"/>
      <c r="K290"/>
    </row>
    <row r="291" spans="8:11" x14ac:dyDescent="0.2">
      <c r="H291"/>
      <c r="I291"/>
      <c r="J291"/>
      <c r="K291"/>
    </row>
    <row r="292" spans="8:11" x14ac:dyDescent="0.2">
      <c r="H292"/>
      <c r="I292"/>
      <c r="J292"/>
      <c r="K292"/>
    </row>
    <row r="293" spans="8:11" x14ac:dyDescent="0.2">
      <c r="H293"/>
      <c r="I293"/>
      <c r="J293"/>
      <c r="K293"/>
    </row>
    <row r="294" spans="8:11" x14ac:dyDescent="0.2">
      <c r="H294"/>
      <c r="I294"/>
      <c r="J294"/>
      <c r="K294"/>
    </row>
    <row r="295" spans="8:11" x14ac:dyDescent="0.2">
      <c r="H295"/>
      <c r="I295"/>
      <c r="J295"/>
      <c r="K295"/>
    </row>
    <row r="296" spans="8:11" x14ac:dyDescent="0.2">
      <c r="H296"/>
      <c r="I296"/>
      <c r="J296"/>
      <c r="K296"/>
    </row>
    <row r="297" spans="8:11" x14ac:dyDescent="0.2">
      <c r="H297"/>
      <c r="I297"/>
      <c r="J297"/>
      <c r="K297"/>
    </row>
    <row r="298" spans="8:11" x14ac:dyDescent="0.2">
      <c r="H298"/>
      <c r="I298"/>
      <c r="J298"/>
      <c r="K298"/>
    </row>
    <row r="299" spans="8:11" x14ac:dyDescent="0.2">
      <c r="H299"/>
      <c r="I299"/>
      <c r="J299"/>
      <c r="K299"/>
    </row>
    <row r="300" spans="8:11" x14ac:dyDescent="0.2">
      <c r="H300"/>
      <c r="I300"/>
      <c r="J300"/>
      <c r="K300"/>
    </row>
    <row r="301" spans="8:11" x14ac:dyDescent="0.2">
      <c r="H301"/>
      <c r="I301"/>
      <c r="J301"/>
      <c r="K301"/>
    </row>
    <row r="302" spans="8:11" x14ac:dyDescent="0.2">
      <c r="H302"/>
      <c r="I302"/>
      <c r="J302"/>
      <c r="K302"/>
    </row>
    <row r="303" spans="8:11" x14ac:dyDescent="0.2">
      <c r="H303"/>
      <c r="I303"/>
      <c r="J303"/>
      <c r="K303"/>
    </row>
    <row r="304" spans="8:11" x14ac:dyDescent="0.2">
      <c r="H304"/>
      <c r="I304"/>
      <c r="J304"/>
      <c r="K304"/>
    </row>
    <row r="305" spans="8:11" x14ac:dyDescent="0.2">
      <c r="H305"/>
      <c r="I305"/>
      <c r="J305"/>
      <c r="K305"/>
    </row>
    <row r="306" spans="8:11" x14ac:dyDescent="0.2">
      <c r="H306"/>
      <c r="I306"/>
      <c r="J306"/>
      <c r="K306"/>
    </row>
    <row r="307" spans="8:11" x14ac:dyDescent="0.2">
      <c r="H307"/>
      <c r="I307"/>
      <c r="J307"/>
      <c r="K307"/>
    </row>
    <row r="308" spans="8:11" x14ac:dyDescent="0.2">
      <c r="H308"/>
      <c r="I308"/>
      <c r="J308"/>
      <c r="K308"/>
    </row>
    <row r="309" spans="8:11" x14ac:dyDescent="0.2">
      <c r="H309"/>
      <c r="I309"/>
      <c r="J309"/>
      <c r="K309"/>
    </row>
    <row r="310" spans="8:11" x14ac:dyDescent="0.2">
      <c r="H310"/>
      <c r="I310"/>
      <c r="J310"/>
      <c r="K310"/>
    </row>
    <row r="311" spans="8:11" x14ac:dyDescent="0.2">
      <c r="H311"/>
      <c r="I311"/>
      <c r="J311"/>
      <c r="K311"/>
    </row>
    <row r="312" spans="8:11" x14ac:dyDescent="0.2">
      <c r="H312"/>
      <c r="I312"/>
      <c r="J312"/>
      <c r="K312"/>
    </row>
    <row r="313" spans="8:11" x14ac:dyDescent="0.2">
      <c r="H313"/>
      <c r="I313"/>
      <c r="J313"/>
      <c r="K313"/>
    </row>
    <row r="314" spans="8:11" x14ac:dyDescent="0.2">
      <c r="H314"/>
      <c r="I314"/>
      <c r="J314"/>
      <c r="K314"/>
    </row>
    <row r="315" spans="8:11" x14ac:dyDescent="0.2">
      <c r="H315"/>
      <c r="I315"/>
      <c r="J315"/>
      <c r="K315"/>
    </row>
    <row r="316" spans="8:11" x14ac:dyDescent="0.2">
      <c r="H316"/>
      <c r="I316"/>
      <c r="J316"/>
      <c r="K316"/>
    </row>
    <row r="317" spans="8:11" x14ac:dyDescent="0.2">
      <c r="H317"/>
      <c r="I317"/>
      <c r="J317"/>
      <c r="K317"/>
    </row>
    <row r="318" spans="8:11" x14ac:dyDescent="0.2">
      <c r="H318"/>
      <c r="I318"/>
      <c r="J318"/>
      <c r="K318"/>
    </row>
    <row r="319" spans="8:11" x14ac:dyDescent="0.2">
      <c r="H319"/>
      <c r="I319"/>
      <c r="J319"/>
      <c r="K319"/>
    </row>
    <row r="320" spans="8:11" x14ac:dyDescent="0.2">
      <c r="H320"/>
      <c r="I320"/>
      <c r="J320"/>
      <c r="K320"/>
    </row>
    <row r="321" spans="8:11" x14ac:dyDescent="0.2">
      <c r="H321"/>
      <c r="I321"/>
      <c r="J321"/>
      <c r="K321"/>
    </row>
    <row r="322" spans="8:11" x14ac:dyDescent="0.2">
      <c r="H322"/>
      <c r="I322"/>
      <c r="J322"/>
      <c r="K322"/>
    </row>
    <row r="323" spans="8:11" x14ac:dyDescent="0.2">
      <c r="H323"/>
      <c r="I323"/>
      <c r="J323"/>
      <c r="K323"/>
    </row>
    <row r="324" spans="8:11" x14ac:dyDescent="0.2">
      <c r="H324"/>
      <c r="I324"/>
      <c r="J324"/>
      <c r="K324"/>
    </row>
    <row r="325" spans="8:11" x14ac:dyDescent="0.2">
      <c r="H325"/>
      <c r="I325"/>
      <c r="J325"/>
      <c r="K325"/>
    </row>
    <row r="326" spans="8:11" x14ac:dyDescent="0.2">
      <c r="H326"/>
      <c r="I326"/>
      <c r="J326"/>
      <c r="K326"/>
    </row>
    <row r="327" spans="8:11" x14ac:dyDescent="0.2">
      <c r="H327"/>
      <c r="I327"/>
      <c r="J327"/>
      <c r="K327"/>
    </row>
    <row r="328" spans="8:11" x14ac:dyDescent="0.2">
      <c r="H328"/>
      <c r="I328"/>
      <c r="J328"/>
      <c r="K328"/>
    </row>
    <row r="329" spans="8:11" x14ac:dyDescent="0.2">
      <c r="H329"/>
      <c r="I329"/>
      <c r="J329"/>
      <c r="K329"/>
    </row>
    <row r="330" spans="8:11" x14ac:dyDescent="0.2">
      <c r="H330"/>
      <c r="I330"/>
      <c r="J330"/>
      <c r="K330"/>
    </row>
    <row r="331" spans="8:11" x14ac:dyDescent="0.2">
      <c r="H331"/>
      <c r="I331"/>
      <c r="J331"/>
      <c r="K331"/>
    </row>
    <row r="332" spans="8:11" x14ac:dyDescent="0.2">
      <c r="H332"/>
      <c r="I332"/>
      <c r="J332"/>
      <c r="K332"/>
    </row>
    <row r="333" spans="8:11" x14ac:dyDescent="0.2">
      <c r="H333"/>
      <c r="I333"/>
      <c r="J333"/>
      <c r="K333"/>
    </row>
    <row r="334" spans="8:11" x14ac:dyDescent="0.2">
      <c r="H334"/>
      <c r="I334"/>
      <c r="J334"/>
      <c r="K334"/>
    </row>
    <row r="335" spans="8:11" x14ac:dyDescent="0.2">
      <c r="H335"/>
      <c r="I335"/>
      <c r="J335"/>
      <c r="K335"/>
    </row>
    <row r="336" spans="8:11" x14ac:dyDescent="0.2">
      <c r="H336"/>
      <c r="I336"/>
      <c r="J336"/>
      <c r="K336"/>
    </row>
    <row r="337" spans="8:11" x14ac:dyDescent="0.2">
      <c r="H337"/>
      <c r="I337"/>
      <c r="J337"/>
      <c r="K337"/>
    </row>
    <row r="338" spans="8:11" x14ac:dyDescent="0.2">
      <c r="H338"/>
      <c r="I338"/>
      <c r="J338"/>
      <c r="K338"/>
    </row>
    <row r="339" spans="8:11" x14ac:dyDescent="0.2">
      <c r="H339"/>
      <c r="I339"/>
      <c r="J339"/>
      <c r="K339"/>
    </row>
    <row r="340" spans="8:11" x14ac:dyDescent="0.2">
      <c r="H340"/>
      <c r="I340"/>
      <c r="J340"/>
      <c r="K340"/>
    </row>
    <row r="341" spans="8:11" x14ac:dyDescent="0.2">
      <c r="H341"/>
      <c r="I341"/>
      <c r="J341"/>
      <c r="K341"/>
    </row>
    <row r="342" spans="8:11" x14ac:dyDescent="0.2">
      <c r="H342"/>
      <c r="I342"/>
      <c r="J342"/>
      <c r="K342"/>
    </row>
    <row r="343" spans="8:11" x14ac:dyDescent="0.2">
      <c r="H343"/>
      <c r="I343"/>
      <c r="J343"/>
      <c r="K343"/>
    </row>
    <row r="344" spans="8:11" x14ac:dyDescent="0.2">
      <c r="H344"/>
      <c r="I344"/>
      <c r="J344"/>
      <c r="K344"/>
    </row>
    <row r="345" spans="8:11" x14ac:dyDescent="0.2">
      <c r="H345"/>
      <c r="I345"/>
      <c r="J345"/>
      <c r="K345"/>
    </row>
    <row r="346" spans="8:11" x14ac:dyDescent="0.2">
      <c r="H346"/>
      <c r="I346"/>
      <c r="J346"/>
      <c r="K346"/>
    </row>
    <row r="347" spans="8:11" x14ac:dyDescent="0.2">
      <c r="H347"/>
      <c r="I347"/>
      <c r="J347"/>
      <c r="K347"/>
    </row>
    <row r="348" spans="8:11" x14ac:dyDescent="0.2">
      <c r="H348"/>
      <c r="I348"/>
      <c r="J348"/>
      <c r="K348"/>
    </row>
    <row r="349" spans="8:11" x14ac:dyDescent="0.2">
      <c r="H349"/>
      <c r="I349"/>
      <c r="J349"/>
      <c r="K349"/>
    </row>
    <row r="350" spans="8:11" x14ac:dyDescent="0.2">
      <c r="H350"/>
      <c r="I350"/>
      <c r="J350"/>
      <c r="K350"/>
    </row>
    <row r="351" spans="8:11" x14ac:dyDescent="0.2">
      <c r="H351"/>
      <c r="I351"/>
      <c r="J351"/>
      <c r="K351"/>
    </row>
    <row r="352" spans="8:11" x14ac:dyDescent="0.2">
      <c r="H352"/>
      <c r="I352"/>
      <c r="J352"/>
      <c r="K352"/>
    </row>
    <row r="353" spans="8:11" x14ac:dyDescent="0.2">
      <c r="H353"/>
      <c r="I353"/>
      <c r="J353"/>
      <c r="K353"/>
    </row>
    <row r="354" spans="8:11" x14ac:dyDescent="0.2">
      <c r="H354"/>
      <c r="I354"/>
      <c r="J354"/>
      <c r="K354"/>
    </row>
    <row r="355" spans="8:11" x14ac:dyDescent="0.2">
      <c r="H355"/>
      <c r="I355"/>
      <c r="J355"/>
      <c r="K355"/>
    </row>
    <row r="356" spans="8:11" x14ac:dyDescent="0.2">
      <c r="H356"/>
      <c r="I356"/>
      <c r="J356"/>
      <c r="K356"/>
    </row>
    <row r="357" spans="8:11" x14ac:dyDescent="0.2">
      <c r="H357"/>
      <c r="I357"/>
      <c r="J357"/>
      <c r="K357"/>
    </row>
    <row r="358" spans="8:11" x14ac:dyDescent="0.2">
      <c r="H358"/>
      <c r="I358"/>
      <c r="J358"/>
      <c r="K358"/>
    </row>
    <row r="359" spans="8:11" x14ac:dyDescent="0.2">
      <c r="H359"/>
      <c r="I359"/>
      <c r="J359"/>
      <c r="K359"/>
    </row>
    <row r="360" spans="8:11" x14ac:dyDescent="0.2">
      <c r="H360"/>
      <c r="I360"/>
      <c r="J360"/>
      <c r="K360"/>
    </row>
    <row r="361" spans="8:11" x14ac:dyDescent="0.2">
      <c r="H361"/>
      <c r="I361"/>
      <c r="J361"/>
      <c r="K361"/>
    </row>
    <row r="362" spans="8:11" x14ac:dyDescent="0.2">
      <c r="H362"/>
      <c r="I362"/>
      <c r="J362"/>
      <c r="K362"/>
    </row>
    <row r="363" spans="8:11" x14ac:dyDescent="0.2">
      <c r="H363"/>
      <c r="I363"/>
      <c r="J363"/>
      <c r="K363"/>
    </row>
    <row r="364" spans="8:11" x14ac:dyDescent="0.2">
      <c r="H364"/>
      <c r="I364"/>
      <c r="J364"/>
      <c r="K364"/>
    </row>
    <row r="365" spans="8:11" x14ac:dyDescent="0.2">
      <c r="H365"/>
      <c r="I365"/>
      <c r="J365"/>
      <c r="K365"/>
    </row>
    <row r="366" spans="8:11" x14ac:dyDescent="0.2">
      <c r="H366"/>
      <c r="I366"/>
      <c r="J366"/>
      <c r="K366"/>
    </row>
    <row r="367" spans="8:11" x14ac:dyDescent="0.2">
      <c r="H367"/>
      <c r="I367"/>
      <c r="J367"/>
      <c r="K367"/>
    </row>
    <row r="368" spans="8:11" x14ac:dyDescent="0.2">
      <c r="H368"/>
      <c r="I368"/>
      <c r="J368"/>
      <c r="K368"/>
    </row>
    <row r="369" spans="8:11" x14ac:dyDescent="0.2">
      <c r="H369"/>
      <c r="I369"/>
      <c r="J369"/>
      <c r="K369"/>
    </row>
    <row r="370" spans="8:11" x14ac:dyDescent="0.2">
      <c r="H370"/>
      <c r="I370"/>
      <c r="J370"/>
      <c r="K370"/>
    </row>
    <row r="371" spans="8:11" x14ac:dyDescent="0.2">
      <c r="H371"/>
      <c r="I371"/>
      <c r="J371"/>
      <c r="K371"/>
    </row>
    <row r="372" spans="8:11" x14ac:dyDescent="0.2">
      <c r="H372"/>
      <c r="I372"/>
      <c r="J372"/>
      <c r="K372"/>
    </row>
    <row r="373" spans="8:11" x14ac:dyDescent="0.2">
      <c r="H373"/>
      <c r="I373"/>
      <c r="J373"/>
      <c r="K373"/>
    </row>
    <row r="374" spans="8:11" x14ac:dyDescent="0.2">
      <c r="H374"/>
      <c r="I374"/>
      <c r="J374"/>
      <c r="K374"/>
    </row>
    <row r="375" spans="8:11" x14ac:dyDescent="0.2">
      <c r="H375"/>
      <c r="I375"/>
      <c r="J375"/>
      <c r="K375"/>
    </row>
    <row r="376" spans="8:11" x14ac:dyDescent="0.2">
      <c r="H376"/>
      <c r="I376"/>
      <c r="J376"/>
      <c r="K376"/>
    </row>
    <row r="377" spans="8:11" x14ac:dyDescent="0.2">
      <c r="H377"/>
      <c r="I377"/>
      <c r="J377"/>
      <c r="K377"/>
    </row>
    <row r="378" spans="8:11" x14ac:dyDescent="0.2">
      <c r="H378"/>
      <c r="I378"/>
      <c r="J378"/>
      <c r="K378"/>
    </row>
    <row r="379" spans="8:11" x14ac:dyDescent="0.2">
      <c r="H379"/>
      <c r="I379"/>
      <c r="J379"/>
      <c r="K379"/>
    </row>
    <row r="380" spans="8:11" x14ac:dyDescent="0.2">
      <c r="H380"/>
      <c r="I380"/>
      <c r="J380"/>
      <c r="K380"/>
    </row>
    <row r="381" spans="8:11" x14ac:dyDescent="0.2">
      <c r="H381"/>
      <c r="I381"/>
      <c r="J381"/>
      <c r="K381"/>
    </row>
    <row r="382" spans="8:11" x14ac:dyDescent="0.2">
      <c r="H382"/>
      <c r="I382"/>
      <c r="J382"/>
      <c r="K382"/>
    </row>
    <row r="383" spans="8:11" x14ac:dyDescent="0.2">
      <c r="H383"/>
      <c r="I383"/>
      <c r="J383"/>
      <c r="K383"/>
    </row>
    <row r="384" spans="8:11" x14ac:dyDescent="0.2">
      <c r="H384"/>
      <c r="I384"/>
      <c r="J384"/>
      <c r="K384"/>
    </row>
    <row r="385" spans="8:11" x14ac:dyDescent="0.2">
      <c r="H385"/>
      <c r="I385"/>
      <c r="J385"/>
      <c r="K385"/>
    </row>
    <row r="386" spans="8:11" x14ac:dyDescent="0.2">
      <c r="H386"/>
      <c r="I386"/>
      <c r="J386"/>
      <c r="K386"/>
    </row>
    <row r="387" spans="8:11" x14ac:dyDescent="0.2">
      <c r="H387"/>
      <c r="I387"/>
      <c r="J387"/>
      <c r="K387"/>
    </row>
    <row r="388" spans="8:11" x14ac:dyDescent="0.2">
      <c r="H388"/>
      <c r="I388"/>
      <c r="J388"/>
      <c r="K388"/>
    </row>
    <row r="389" spans="8:11" x14ac:dyDescent="0.2">
      <c r="H389"/>
      <c r="I389"/>
      <c r="J389"/>
      <c r="K389"/>
    </row>
    <row r="390" spans="8:11" x14ac:dyDescent="0.2">
      <c r="H390"/>
      <c r="I390"/>
      <c r="J390"/>
      <c r="K390"/>
    </row>
    <row r="391" spans="8:11" x14ac:dyDescent="0.2">
      <c r="H391"/>
      <c r="I391"/>
      <c r="J391"/>
      <c r="K391"/>
    </row>
    <row r="392" spans="8:11" x14ac:dyDescent="0.2">
      <c r="H392"/>
      <c r="I392"/>
      <c r="J392"/>
      <c r="K392"/>
    </row>
    <row r="393" spans="8:11" x14ac:dyDescent="0.2">
      <c r="H393"/>
      <c r="I393"/>
      <c r="J393"/>
      <c r="K393"/>
    </row>
    <row r="394" spans="8:11" x14ac:dyDescent="0.2">
      <c r="H394"/>
      <c r="I394"/>
      <c r="J394"/>
      <c r="K394"/>
    </row>
    <row r="395" spans="8:11" x14ac:dyDescent="0.2">
      <c r="H395"/>
      <c r="I395"/>
      <c r="J395"/>
      <c r="K395"/>
    </row>
    <row r="396" spans="8:11" x14ac:dyDescent="0.2">
      <c r="H396"/>
      <c r="I396"/>
      <c r="J396"/>
      <c r="K396"/>
    </row>
    <row r="397" spans="8:11" x14ac:dyDescent="0.2">
      <c r="H397"/>
      <c r="I397"/>
      <c r="J397"/>
      <c r="K397"/>
    </row>
    <row r="398" spans="8:11" x14ac:dyDescent="0.2">
      <c r="H398"/>
      <c r="I398"/>
      <c r="J398"/>
      <c r="K398"/>
    </row>
    <row r="399" spans="8:11" x14ac:dyDescent="0.2">
      <c r="H399"/>
      <c r="I399"/>
      <c r="J399"/>
      <c r="K399"/>
    </row>
    <row r="400" spans="8:11" x14ac:dyDescent="0.2">
      <c r="H400"/>
      <c r="I400"/>
      <c r="J400"/>
      <c r="K400"/>
    </row>
    <row r="401" spans="8:11" x14ac:dyDescent="0.2">
      <c r="H401"/>
      <c r="I401"/>
      <c r="J401"/>
      <c r="K401"/>
    </row>
    <row r="402" spans="8:11" x14ac:dyDescent="0.2">
      <c r="H402"/>
      <c r="I402"/>
      <c r="J402"/>
      <c r="K402"/>
    </row>
    <row r="403" spans="8:11" x14ac:dyDescent="0.2">
      <c r="H403"/>
      <c r="I403"/>
      <c r="J403"/>
      <c r="K403"/>
    </row>
    <row r="404" spans="8:11" x14ac:dyDescent="0.2">
      <c r="H404"/>
      <c r="I404"/>
      <c r="J404"/>
      <c r="K404"/>
    </row>
    <row r="405" spans="8:11" x14ac:dyDescent="0.2">
      <c r="H405"/>
      <c r="I405"/>
      <c r="J405"/>
      <c r="K405"/>
    </row>
    <row r="406" spans="8:11" x14ac:dyDescent="0.2">
      <c r="H406"/>
      <c r="I406"/>
      <c r="J406"/>
      <c r="K406"/>
    </row>
    <row r="407" spans="8:11" x14ac:dyDescent="0.2">
      <c r="H407"/>
      <c r="I407"/>
      <c r="J407"/>
      <c r="K407"/>
    </row>
    <row r="408" spans="8:11" x14ac:dyDescent="0.2">
      <c r="H408"/>
      <c r="I408"/>
      <c r="J408"/>
      <c r="K408"/>
    </row>
    <row r="409" spans="8:11" x14ac:dyDescent="0.2">
      <c r="H409"/>
      <c r="I409"/>
      <c r="J409"/>
      <c r="K409"/>
    </row>
    <row r="410" spans="8:11" x14ac:dyDescent="0.2">
      <c r="H410"/>
      <c r="I410"/>
      <c r="J410"/>
      <c r="K410"/>
    </row>
    <row r="411" spans="8:11" x14ac:dyDescent="0.2">
      <c r="H411"/>
      <c r="I411"/>
      <c r="J411"/>
      <c r="K411"/>
    </row>
    <row r="412" spans="8:11" x14ac:dyDescent="0.2">
      <c r="H412"/>
      <c r="I412"/>
      <c r="J412"/>
      <c r="K412"/>
    </row>
    <row r="413" spans="8:11" x14ac:dyDescent="0.2">
      <c r="H413"/>
      <c r="I413"/>
      <c r="J413"/>
      <c r="K413"/>
    </row>
    <row r="414" spans="8:11" x14ac:dyDescent="0.2">
      <c r="H414"/>
      <c r="I414"/>
      <c r="J414"/>
      <c r="K414"/>
    </row>
    <row r="415" spans="8:11" x14ac:dyDescent="0.2">
      <c r="H415"/>
      <c r="I415"/>
      <c r="J415"/>
      <c r="K415"/>
    </row>
    <row r="416" spans="8:11" x14ac:dyDescent="0.2">
      <c r="H416"/>
      <c r="I416"/>
      <c r="J416"/>
      <c r="K416"/>
    </row>
    <row r="417" spans="8:11" x14ac:dyDescent="0.2">
      <c r="H417"/>
      <c r="I417"/>
      <c r="J417"/>
      <c r="K417"/>
    </row>
    <row r="418" spans="8:11" x14ac:dyDescent="0.2">
      <c r="H418"/>
      <c r="I418"/>
      <c r="J418"/>
      <c r="K418"/>
    </row>
    <row r="419" spans="8:11" x14ac:dyDescent="0.2">
      <c r="H419"/>
      <c r="I419"/>
      <c r="J419"/>
      <c r="K419"/>
    </row>
    <row r="420" spans="8:11" x14ac:dyDescent="0.2">
      <c r="H420"/>
      <c r="I420"/>
      <c r="J420"/>
      <c r="K420"/>
    </row>
    <row r="421" spans="8:11" x14ac:dyDescent="0.2">
      <c r="H421"/>
      <c r="I421"/>
      <c r="J421"/>
      <c r="K421"/>
    </row>
    <row r="422" spans="8:11" x14ac:dyDescent="0.2">
      <c r="H422"/>
      <c r="I422"/>
      <c r="J422"/>
      <c r="K422"/>
    </row>
    <row r="423" spans="8:11" x14ac:dyDescent="0.2">
      <c r="H423"/>
      <c r="I423"/>
      <c r="J423"/>
      <c r="K423"/>
    </row>
    <row r="424" spans="8:11" x14ac:dyDescent="0.2">
      <c r="H424"/>
      <c r="I424"/>
      <c r="J424"/>
      <c r="K424"/>
    </row>
    <row r="425" spans="8:11" x14ac:dyDescent="0.2">
      <c r="H425"/>
      <c r="I425"/>
      <c r="J425"/>
      <c r="K425"/>
    </row>
    <row r="426" spans="8:11" x14ac:dyDescent="0.2">
      <c r="H426"/>
      <c r="I426"/>
      <c r="J426"/>
      <c r="K426"/>
    </row>
    <row r="427" spans="8:11" x14ac:dyDescent="0.2">
      <c r="H427"/>
      <c r="I427"/>
      <c r="J427"/>
      <c r="K427"/>
    </row>
    <row r="428" spans="8:11" x14ac:dyDescent="0.2">
      <c r="H428"/>
      <c r="I428"/>
      <c r="J428"/>
      <c r="K428"/>
    </row>
    <row r="429" spans="8:11" x14ac:dyDescent="0.2">
      <c r="H429"/>
      <c r="I429"/>
      <c r="J429"/>
      <c r="K429"/>
    </row>
    <row r="430" spans="8:11" x14ac:dyDescent="0.2">
      <c r="H430"/>
      <c r="I430"/>
      <c r="J430"/>
      <c r="K430"/>
    </row>
    <row r="431" spans="8:11" x14ac:dyDescent="0.2">
      <c r="H431"/>
      <c r="I431"/>
      <c r="J431"/>
      <c r="K431"/>
    </row>
    <row r="432" spans="8:11" x14ac:dyDescent="0.2">
      <c r="H432"/>
      <c r="I432"/>
      <c r="J432"/>
      <c r="K432"/>
    </row>
    <row r="433" spans="8:11" x14ac:dyDescent="0.2">
      <c r="H433"/>
      <c r="I433"/>
      <c r="J433"/>
      <c r="K433"/>
    </row>
    <row r="434" spans="8:11" x14ac:dyDescent="0.2">
      <c r="H434"/>
      <c r="I434"/>
      <c r="J434"/>
      <c r="K434"/>
    </row>
    <row r="435" spans="8:11" x14ac:dyDescent="0.2">
      <c r="H435"/>
      <c r="I435"/>
      <c r="J435"/>
      <c r="K435"/>
    </row>
    <row r="436" spans="8:11" x14ac:dyDescent="0.2">
      <c r="H436"/>
      <c r="I436"/>
      <c r="J436"/>
      <c r="K436"/>
    </row>
    <row r="437" spans="8:11" x14ac:dyDescent="0.2">
      <c r="H437"/>
      <c r="I437"/>
      <c r="J437"/>
      <c r="K437"/>
    </row>
    <row r="438" spans="8:11" x14ac:dyDescent="0.2">
      <c r="H438"/>
      <c r="I438"/>
      <c r="J438"/>
      <c r="K438"/>
    </row>
    <row r="439" spans="8:11" x14ac:dyDescent="0.2">
      <c r="H439"/>
      <c r="I439"/>
      <c r="J439"/>
      <c r="K439"/>
    </row>
    <row r="440" spans="8:11" x14ac:dyDescent="0.2">
      <c r="H440"/>
      <c r="I440"/>
      <c r="J440"/>
      <c r="K440"/>
    </row>
    <row r="441" spans="8:11" x14ac:dyDescent="0.2">
      <c r="H441"/>
      <c r="I441"/>
      <c r="J441"/>
      <c r="K441"/>
    </row>
    <row r="442" spans="8:11" x14ac:dyDescent="0.2">
      <c r="H442"/>
      <c r="I442"/>
      <c r="J442"/>
      <c r="K442"/>
    </row>
    <row r="443" spans="8:11" x14ac:dyDescent="0.2">
      <c r="H443"/>
      <c r="I443"/>
      <c r="J443"/>
      <c r="K443"/>
    </row>
    <row r="444" spans="8:11" x14ac:dyDescent="0.2">
      <c r="H444"/>
      <c r="I444"/>
      <c r="J444"/>
      <c r="K444"/>
    </row>
    <row r="445" spans="8:11" x14ac:dyDescent="0.2">
      <c r="H445"/>
      <c r="I445"/>
      <c r="J445"/>
      <c r="K445"/>
    </row>
    <row r="446" spans="8:11" x14ac:dyDescent="0.2">
      <c r="H446"/>
      <c r="I446"/>
      <c r="J446"/>
      <c r="K446"/>
    </row>
    <row r="447" spans="8:11" x14ac:dyDescent="0.2">
      <c r="H447"/>
      <c r="I447"/>
      <c r="J447"/>
      <c r="K447"/>
    </row>
    <row r="448" spans="8:11" x14ac:dyDescent="0.2">
      <c r="H448"/>
      <c r="I448"/>
      <c r="J448"/>
      <c r="K448"/>
    </row>
    <row r="449" spans="8:11" x14ac:dyDescent="0.2">
      <c r="H449"/>
      <c r="I449"/>
      <c r="J449"/>
      <c r="K449"/>
    </row>
    <row r="450" spans="8:11" x14ac:dyDescent="0.2">
      <c r="H450"/>
      <c r="I450"/>
      <c r="J450"/>
      <c r="K450"/>
    </row>
    <row r="451" spans="8:11" x14ac:dyDescent="0.2">
      <c r="H451"/>
      <c r="I451"/>
      <c r="J451"/>
      <c r="K451"/>
    </row>
    <row r="452" spans="8:11" x14ac:dyDescent="0.2">
      <c r="H452"/>
      <c r="I452"/>
      <c r="J452"/>
      <c r="K452"/>
    </row>
    <row r="453" spans="8:11" x14ac:dyDescent="0.2">
      <c r="H453"/>
      <c r="I453"/>
      <c r="J453"/>
      <c r="K453"/>
    </row>
    <row r="454" spans="8:11" x14ac:dyDescent="0.2">
      <c r="H454"/>
      <c r="I454"/>
      <c r="J454"/>
      <c r="K454"/>
    </row>
    <row r="455" spans="8:11" x14ac:dyDescent="0.2">
      <c r="H455"/>
      <c r="I455"/>
      <c r="J455"/>
      <c r="K455"/>
    </row>
    <row r="456" spans="8:11" x14ac:dyDescent="0.2">
      <c r="H456"/>
      <c r="I456"/>
      <c r="J456"/>
      <c r="K456"/>
    </row>
    <row r="457" spans="8:11" x14ac:dyDescent="0.2">
      <c r="H457"/>
      <c r="I457"/>
      <c r="J457"/>
      <c r="K457"/>
    </row>
    <row r="458" spans="8:11" x14ac:dyDescent="0.2">
      <c r="H458"/>
      <c r="I458"/>
      <c r="J458"/>
      <c r="K458"/>
    </row>
    <row r="459" spans="8:11" x14ac:dyDescent="0.2">
      <c r="H459"/>
      <c r="I459"/>
      <c r="J459"/>
      <c r="K459"/>
    </row>
    <row r="460" spans="8:11" x14ac:dyDescent="0.2">
      <c r="H460"/>
      <c r="I460"/>
      <c r="J460"/>
      <c r="K460"/>
    </row>
    <row r="461" spans="8:11" x14ac:dyDescent="0.2">
      <c r="H461"/>
      <c r="I461"/>
      <c r="J461"/>
      <c r="K461"/>
    </row>
    <row r="462" spans="8:11" x14ac:dyDescent="0.2">
      <c r="H462"/>
      <c r="I462"/>
      <c r="J462"/>
      <c r="K462"/>
    </row>
    <row r="463" spans="8:11" x14ac:dyDescent="0.2">
      <c r="H463"/>
      <c r="I463"/>
      <c r="J463"/>
      <c r="K463"/>
    </row>
    <row r="464" spans="8:11" x14ac:dyDescent="0.2">
      <c r="H464"/>
      <c r="I464"/>
      <c r="J464"/>
      <c r="K464"/>
    </row>
    <row r="465" spans="8:11" x14ac:dyDescent="0.2">
      <c r="H465"/>
      <c r="I465"/>
      <c r="J465"/>
      <c r="K465"/>
    </row>
    <row r="466" spans="8:11" x14ac:dyDescent="0.2">
      <c r="H466"/>
      <c r="I466"/>
      <c r="J466"/>
      <c r="K466"/>
    </row>
    <row r="467" spans="8:11" x14ac:dyDescent="0.2">
      <c r="H467"/>
      <c r="I467"/>
      <c r="J467"/>
      <c r="K467"/>
    </row>
    <row r="468" spans="8:11" x14ac:dyDescent="0.2">
      <c r="H468"/>
      <c r="I468"/>
      <c r="J468"/>
      <c r="K468"/>
    </row>
    <row r="469" spans="8:11" x14ac:dyDescent="0.2">
      <c r="H469"/>
      <c r="I469"/>
      <c r="J469"/>
      <c r="K469"/>
    </row>
    <row r="470" spans="8:11" x14ac:dyDescent="0.2">
      <c r="H470"/>
      <c r="I470"/>
      <c r="J470"/>
      <c r="K470"/>
    </row>
    <row r="471" spans="8:11" x14ac:dyDescent="0.2">
      <c r="H471"/>
      <c r="I471"/>
      <c r="J471"/>
      <c r="K471"/>
    </row>
    <row r="472" spans="8:11" x14ac:dyDescent="0.2">
      <c r="H472"/>
      <c r="I472"/>
      <c r="J472"/>
      <c r="K472"/>
    </row>
    <row r="473" spans="8:11" x14ac:dyDescent="0.2">
      <c r="H473"/>
      <c r="I473"/>
      <c r="J473"/>
      <c r="K473"/>
    </row>
    <row r="474" spans="8:11" x14ac:dyDescent="0.2">
      <c r="H474"/>
      <c r="I474"/>
      <c r="J474"/>
      <c r="K474"/>
    </row>
    <row r="475" spans="8:11" x14ac:dyDescent="0.2">
      <c r="H475"/>
      <c r="I475"/>
      <c r="J475"/>
      <c r="K475"/>
    </row>
    <row r="476" spans="8:11" x14ac:dyDescent="0.2">
      <c r="H476"/>
      <c r="I476"/>
      <c r="J476"/>
      <c r="K476"/>
    </row>
    <row r="477" spans="8:11" x14ac:dyDescent="0.2">
      <c r="H477"/>
      <c r="I477"/>
      <c r="J477"/>
      <c r="K477"/>
    </row>
    <row r="478" spans="8:11" x14ac:dyDescent="0.2">
      <c r="H478"/>
      <c r="I478"/>
      <c r="J478"/>
      <c r="K478"/>
    </row>
    <row r="479" spans="8:11" x14ac:dyDescent="0.2">
      <c r="H479"/>
      <c r="I479"/>
      <c r="J479"/>
      <c r="K479"/>
    </row>
    <row r="480" spans="8:11" x14ac:dyDescent="0.2">
      <c r="H480"/>
      <c r="I480"/>
      <c r="J480"/>
      <c r="K480"/>
    </row>
    <row r="481" spans="8:11" x14ac:dyDescent="0.2">
      <c r="H481"/>
      <c r="I481"/>
      <c r="J481"/>
      <c r="K481"/>
    </row>
    <row r="482" spans="8:11" x14ac:dyDescent="0.2">
      <c r="H482"/>
      <c r="I482"/>
      <c r="J482"/>
      <c r="K482"/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18"/>
  <sheetViews>
    <sheetView topLeftCell="A2662" workbookViewId="0">
      <selection activeCell="J2555" sqref="J2555"/>
    </sheetView>
  </sheetViews>
  <sheetFormatPr baseColWidth="10" defaultColWidth="8.83203125" defaultRowHeight="15" x14ac:dyDescent="0.2"/>
  <cols>
    <col min="3" max="3" width="12.6640625" customWidth="1"/>
    <col min="4" max="4" width="14.5" customWidth="1"/>
    <col min="5" max="5" width="22.5" customWidth="1"/>
    <col min="6" max="6" width="36.6640625" customWidth="1"/>
    <col min="7" max="7" width="15.6640625" customWidth="1"/>
    <col min="8" max="8" width="8.5" customWidth="1"/>
    <col min="9" max="9" width="13.5" customWidth="1"/>
    <col min="10" max="10" width="42.1640625" customWidth="1"/>
    <col min="11" max="11" width="11.6640625" customWidth="1"/>
    <col min="12" max="12" width="57.1640625" customWidth="1"/>
    <col min="13" max="13" width="12" customWidth="1"/>
    <col min="14" max="14" width="6.33203125" customWidth="1"/>
    <col min="15" max="15" width="20.83203125" customWidth="1"/>
    <col min="16" max="16" width="19.33203125" customWidth="1"/>
    <col min="17" max="17" width="15" customWidth="1"/>
    <col min="18" max="18" width="17.6640625" customWidth="1"/>
    <col min="19" max="19" width="36.83203125" customWidth="1"/>
    <col min="20" max="20" width="39.83203125" customWidth="1"/>
    <col min="21" max="21" width="22" customWidth="1"/>
    <col min="22" max="22" width="20.33203125" customWidth="1"/>
    <col min="23" max="23" width="22.1640625" customWidth="1"/>
    <col min="24" max="24" width="30" customWidth="1"/>
    <col min="25" max="25" width="25.33203125" customWidth="1"/>
    <col min="26" max="26" width="27.1640625" customWidth="1"/>
    <col min="27" max="27" width="22.5" customWidth="1"/>
  </cols>
  <sheetData>
    <row r="1" spans="1:27" x14ac:dyDescent="0.2">
      <c r="A1" t="s">
        <v>981</v>
      </c>
      <c r="B1" t="s">
        <v>982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 x14ac:dyDescent="0.2">
      <c r="A2">
        <f>MONTH(C2)</f>
        <v>1</v>
      </c>
      <c r="B2">
        <f>WEEKNUM(C2,1)</f>
        <v>4</v>
      </c>
      <c r="C2" s="1">
        <v>46042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s="4">
        <v>1</v>
      </c>
      <c r="N2" s="4">
        <v>1</v>
      </c>
      <c r="O2" s="2">
        <v>1</v>
      </c>
      <c r="P2" s="3">
        <v>0.2</v>
      </c>
      <c r="Q2" s="3">
        <v>0.2</v>
      </c>
      <c r="R2" s="3">
        <v>0</v>
      </c>
      <c r="S2" s="2"/>
      <c r="T2" s="5">
        <v>0</v>
      </c>
      <c r="U2" s="4">
        <v>0</v>
      </c>
      <c r="V2" s="4">
        <v>0</v>
      </c>
      <c r="W2" s="2">
        <v>0</v>
      </c>
      <c r="X2" s="4">
        <v>0</v>
      </c>
      <c r="Y2" s="4">
        <v>0</v>
      </c>
      <c r="Z2" s="3">
        <v>0</v>
      </c>
      <c r="AA2" s="3">
        <v>0</v>
      </c>
    </row>
    <row r="3" spans="1:27" x14ac:dyDescent="0.2">
      <c r="A3">
        <f t="shared" ref="A3:A66" si="0">MONTH(C3)</f>
        <v>1</v>
      </c>
      <c r="B3">
        <f t="shared" ref="B3:B66" si="1">WEEKNUM(C3,1)</f>
        <v>4</v>
      </c>
      <c r="C3" s="1">
        <v>46042</v>
      </c>
      <c r="D3" t="s">
        <v>25</v>
      </c>
      <c r="E3" t="s">
        <v>26</v>
      </c>
      <c r="F3" t="s">
        <v>34</v>
      </c>
      <c r="G3" t="s">
        <v>28</v>
      </c>
      <c r="H3" t="s">
        <v>29</v>
      </c>
      <c r="I3" t="s">
        <v>30</v>
      </c>
      <c r="J3" t="s">
        <v>35</v>
      </c>
      <c r="K3" t="s">
        <v>32</v>
      </c>
      <c r="L3" t="s">
        <v>36</v>
      </c>
      <c r="M3" s="4">
        <v>1</v>
      </c>
      <c r="N3" s="4">
        <v>1</v>
      </c>
      <c r="O3" s="2">
        <v>1</v>
      </c>
      <c r="P3" s="3">
        <v>0.85</v>
      </c>
      <c r="Q3" s="3">
        <v>0.85</v>
      </c>
      <c r="R3" s="3">
        <v>0</v>
      </c>
      <c r="S3" s="2"/>
      <c r="T3" s="5">
        <v>0</v>
      </c>
      <c r="U3" s="4">
        <v>0</v>
      </c>
      <c r="V3" s="4">
        <v>0</v>
      </c>
      <c r="W3" s="2">
        <v>0</v>
      </c>
      <c r="X3" s="4">
        <v>0</v>
      </c>
      <c r="Y3" s="4">
        <v>0</v>
      </c>
      <c r="Z3" s="3">
        <v>0</v>
      </c>
      <c r="AA3" s="3">
        <v>0</v>
      </c>
    </row>
    <row r="4" spans="1:27" x14ac:dyDescent="0.2">
      <c r="A4">
        <f t="shared" si="0"/>
        <v>1</v>
      </c>
      <c r="B4">
        <f t="shared" si="1"/>
        <v>2</v>
      </c>
      <c r="C4" s="1">
        <v>46030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37</v>
      </c>
      <c r="K4" t="s">
        <v>32</v>
      </c>
      <c r="L4" t="s">
        <v>38</v>
      </c>
      <c r="M4" s="4">
        <v>1</v>
      </c>
      <c r="N4" s="4">
        <v>1</v>
      </c>
      <c r="O4" s="2">
        <v>1</v>
      </c>
      <c r="P4" s="3">
        <v>0.21</v>
      </c>
      <c r="Q4" s="3">
        <v>0.21</v>
      </c>
      <c r="R4" s="3">
        <v>0</v>
      </c>
      <c r="S4" s="2"/>
      <c r="T4" s="5">
        <v>0</v>
      </c>
      <c r="U4" s="4">
        <v>0</v>
      </c>
      <c r="V4" s="4">
        <v>0</v>
      </c>
      <c r="W4" s="2">
        <v>0</v>
      </c>
      <c r="X4" s="4">
        <v>0</v>
      </c>
      <c r="Y4" s="4">
        <v>0</v>
      </c>
      <c r="Z4" s="3">
        <v>0</v>
      </c>
      <c r="AA4" s="3">
        <v>0</v>
      </c>
    </row>
    <row r="5" spans="1:27" x14ac:dyDescent="0.2">
      <c r="A5">
        <f t="shared" si="0"/>
        <v>1</v>
      </c>
      <c r="B5">
        <f t="shared" si="1"/>
        <v>3</v>
      </c>
      <c r="C5" s="1">
        <v>46039</v>
      </c>
      <c r="D5" t="s">
        <v>25</v>
      </c>
      <c r="E5" t="s">
        <v>26</v>
      </c>
      <c r="F5" t="s">
        <v>39</v>
      </c>
      <c r="G5" t="s">
        <v>40</v>
      </c>
      <c r="H5" t="s">
        <v>29</v>
      </c>
      <c r="I5" t="s">
        <v>30</v>
      </c>
      <c r="J5" t="s">
        <v>41</v>
      </c>
      <c r="K5" t="s">
        <v>42</v>
      </c>
      <c r="L5" t="s">
        <v>43</v>
      </c>
      <c r="M5" s="4">
        <v>1</v>
      </c>
      <c r="N5" s="4">
        <v>1</v>
      </c>
      <c r="O5" s="2">
        <v>1</v>
      </c>
      <c r="P5" s="3">
        <v>0.5</v>
      </c>
      <c r="Q5" s="3">
        <v>0.5</v>
      </c>
      <c r="R5" s="3">
        <v>17.09</v>
      </c>
      <c r="S5" s="2">
        <v>2.9256875365710939E-2</v>
      </c>
      <c r="T5" s="5">
        <v>34.18</v>
      </c>
      <c r="U5" s="4">
        <v>1</v>
      </c>
      <c r="V5" s="4">
        <v>1</v>
      </c>
      <c r="W5" s="2">
        <v>1</v>
      </c>
      <c r="X5" s="4">
        <v>1</v>
      </c>
      <c r="Y5" s="4">
        <v>0</v>
      </c>
      <c r="Z5" s="3">
        <v>17.09</v>
      </c>
      <c r="AA5" s="3">
        <v>0</v>
      </c>
    </row>
    <row r="6" spans="1:27" x14ac:dyDescent="0.2">
      <c r="A6">
        <f t="shared" si="0"/>
        <v>1</v>
      </c>
      <c r="B6">
        <f t="shared" si="1"/>
        <v>1</v>
      </c>
      <c r="C6" s="1">
        <v>46025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44</v>
      </c>
      <c r="K6" t="s">
        <v>32</v>
      </c>
      <c r="L6" t="s">
        <v>43</v>
      </c>
      <c r="M6" s="4">
        <v>3</v>
      </c>
      <c r="N6" s="4">
        <v>1</v>
      </c>
      <c r="O6" s="2">
        <v>0.33333333333333331</v>
      </c>
      <c r="P6" s="3">
        <v>0.21</v>
      </c>
      <c r="Q6" s="3">
        <v>0.21</v>
      </c>
      <c r="R6" s="3">
        <v>0</v>
      </c>
      <c r="S6" s="2"/>
      <c r="T6" s="5">
        <v>0</v>
      </c>
      <c r="U6" s="4">
        <v>0</v>
      </c>
      <c r="V6" s="4">
        <v>0</v>
      </c>
      <c r="W6" s="2">
        <v>0</v>
      </c>
      <c r="X6" s="4">
        <v>0</v>
      </c>
      <c r="Y6" s="4">
        <v>0</v>
      </c>
      <c r="Z6" s="3">
        <v>0</v>
      </c>
      <c r="AA6" s="3">
        <v>0</v>
      </c>
    </row>
    <row r="7" spans="1:27" x14ac:dyDescent="0.2">
      <c r="A7">
        <f t="shared" si="0"/>
        <v>1</v>
      </c>
      <c r="B7">
        <f t="shared" si="1"/>
        <v>4</v>
      </c>
      <c r="C7" s="1">
        <v>46040</v>
      </c>
      <c r="D7" t="s">
        <v>25</v>
      </c>
      <c r="E7" t="s">
        <v>26</v>
      </c>
      <c r="F7" t="s">
        <v>45</v>
      </c>
      <c r="G7" t="s">
        <v>46</v>
      </c>
      <c r="H7" t="s">
        <v>29</v>
      </c>
      <c r="I7" t="s">
        <v>30</v>
      </c>
      <c r="J7" t="s">
        <v>47</v>
      </c>
      <c r="K7" t="s">
        <v>42</v>
      </c>
      <c r="L7" t="s">
        <v>48</v>
      </c>
      <c r="M7" s="4">
        <v>1</v>
      </c>
      <c r="N7" s="4">
        <v>1</v>
      </c>
      <c r="O7" s="2">
        <v>1</v>
      </c>
      <c r="P7" s="3">
        <v>0.54</v>
      </c>
      <c r="Q7" s="3">
        <v>0.54</v>
      </c>
      <c r="R7" s="3">
        <v>0</v>
      </c>
      <c r="S7" s="2"/>
      <c r="T7" s="5">
        <v>0</v>
      </c>
      <c r="U7" s="4">
        <v>0</v>
      </c>
      <c r="V7" s="4">
        <v>0</v>
      </c>
      <c r="W7" s="2">
        <v>0</v>
      </c>
      <c r="X7" s="4">
        <v>0</v>
      </c>
      <c r="Y7" s="4">
        <v>0</v>
      </c>
      <c r="Z7" s="3">
        <v>0</v>
      </c>
      <c r="AA7" s="3">
        <v>0</v>
      </c>
    </row>
    <row r="8" spans="1:27" x14ac:dyDescent="0.2">
      <c r="A8">
        <f t="shared" si="0"/>
        <v>1</v>
      </c>
      <c r="B8">
        <f t="shared" si="1"/>
        <v>1</v>
      </c>
      <c r="C8" s="1">
        <v>46023</v>
      </c>
      <c r="D8" t="s">
        <v>25</v>
      </c>
      <c r="E8" t="s">
        <v>26</v>
      </c>
      <c r="F8" t="s">
        <v>49</v>
      </c>
      <c r="G8" t="s">
        <v>50</v>
      </c>
      <c r="H8" t="s">
        <v>29</v>
      </c>
      <c r="I8" t="s">
        <v>30</v>
      </c>
      <c r="J8" t="s">
        <v>51</v>
      </c>
      <c r="K8" t="s">
        <v>42</v>
      </c>
      <c r="L8" t="s">
        <v>52</v>
      </c>
      <c r="M8" s="4">
        <v>10</v>
      </c>
      <c r="N8" s="4">
        <v>1</v>
      </c>
      <c r="O8" s="2">
        <v>0.1</v>
      </c>
      <c r="P8" s="3">
        <v>0.56999999999999995</v>
      </c>
      <c r="Q8" s="3">
        <v>0.56999999999999995</v>
      </c>
      <c r="R8" s="3">
        <v>0</v>
      </c>
      <c r="S8" s="2"/>
      <c r="T8" s="5">
        <v>0</v>
      </c>
      <c r="U8" s="4">
        <v>0</v>
      </c>
      <c r="V8" s="4">
        <v>0</v>
      </c>
      <c r="W8" s="2">
        <v>0</v>
      </c>
      <c r="X8" s="4">
        <v>0</v>
      </c>
      <c r="Y8" s="4">
        <v>0</v>
      </c>
      <c r="Z8" s="3">
        <v>0</v>
      </c>
      <c r="AA8" s="3">
        <v>0</v>
      </c>
    </row>
    <row r="9" spans="1:27" x14ac:dyDescent="0.2">
      <c r="A9">
        <f t="shared" si="0"/>
        <v>1</v>
      </c>
      <c r="B9">
        <f t="shared" si="1"/>
        <v>1</v>
      </c>
      <c r="C9" s="1">
        <v>46024</v>
      </c>
      <c r="D9" t="s">
        <v>25</v>
      </c>
      <c r="E9" t="s">
        <v>26</v>
      </c>
      <c r="F9" t="s">
        <v>53</v>
      </c>
      <c r="G9" t="s">
        <v>54</v>
      </c>
      <c r="H9" t="s">
        <v>29</v>
      </c>
      <c r="I9" t="s">
        <v>30</v>
      </c>
      <c r="J9" t="s">
        <v>47</v>
      </c>
      <c r="K9" t="s">
        <v>42</v>
      </c>
      <c r="L9" t="s">
        <v>55</v>
      </c>
      <c r="M9" s="4">
        <v>51</v>
      </c>
      <c r="N9" s="4">
        <v>1</v>
      </c>
      <c r="O9" s="2">
        <v>1.9607843137254902E-2</v>
      </c>
      <c r="P9" s="3">
        <v>1.18</v>
      </c>
      <c r="Q9" s="3">
        <v>1.18</v>
      </c>
      <c r="R9" s="3">
        <v>0</v>
      </c>
      <c r="S9" s="2"/>
      <c r="T9" s="5">
        <v>0</v>
      </c>
      <c r="U9" s="4">
        <v>0</v>
      </c>
      <c r="V9" s="4">
        <v>0</v>
      </c>
      <c r="W9" s="2">
        <v>0</v>
      </c>
      <c r="X9" s="4">
        <v>0</v>
      </c>
      <c r="Y9" s="4">
        <v>0</v>
      </c>
      <c r="Z9" s="3">
        <v>0</v>
      </c>
      <c r="AA9" s="3">
        <v>0</v>
      </c>
    </row>
    <row r="10" spans="1:27" x14ac:dyDescent="0.2">
      <c r="A10">
        <f t="shared" si="0"/>
        <v>1</v>
      </c>
      <c r="B10">
        <f t="shared" si="1"/>
        <v>1</v>
      </c>
      <c r="C10" s="1">
        <v>46023</v>
      </c>
      <c r="D10" t="s">
        <v>25</v>
      </c>
      <c r="E10" t="s">
        <v>26</v>
      </c>
      <c r="F10" t="s">
        <v>49</v>
      </c>
      <c r="G10" t="s">
        <v>50</v>
      </c>
      <c r="H10" t="s">
        <v>29</v>
      </c>
      <c r="I10" t="s">
        <v>30</v>
      </c>
      <c r="J10" t="s">
        <v>51</v>
      </c>
      <c r="K10" t="s">
        <v>42</v>
      </c>
      <c r="L10" t="s">
        <v>56</v>
      </c>
      <c r="M10" s="4">
        <v>2</v>
      </c>
      <c r="N10" s="4">
        <v>1</v>
      </c>
      <c r="O10" s="2">
        <v>0.5</v>
      </c>
      <c r="P10" s="3">
        <v>0.61</v>
      </c>
      <c r="Q10" s="3">
        <v>0.61</v>
      </c>
      <c r="R10" s="3">
        <v>0</v>
      </c>
      <c r="S10" s="2"/>
      <c r="T10" s="5">
        <v>0</v>
      </c>
      <c r="U10" s="4">
        <v>0</v>
      </c>
      <c r="V10" s="4">
        <v>0</v>
      </c>
      <c r="W10" s="2">
        <v>0</v>
      </c>
      <c r="X10" s="4">
        <v>0</v>
      </c>
      <c r="Y10" s="4">
        <v>0</v>
      </c>
      <c r="Z10" s="3">
        <v>0</v>
      </c>
      <c r="AA10" s="3">
        <v>0</v>
      </c>
    </row>
    <row r="11" spans="1:27" x14ac:dyDescent="0.2">
      <c r="A11">
        <f t="shared" si="0"/>
        <v>1</v>
      </c>
      <c r="B11">
        <f t="shared" si="1"/>
        <v>2</v>
      </c>
      <c r="C11" s="1">
        <v>46029</v>
      </c>
      <c r="D11" t="s">
        <v>25</v>
      </c>
      <c r="E11" t="s">
        <v>26</v>
      </c>
      <c r="F11" t="s">
        <v>49</v>
      </c>
      <c r="G11" t="s">
        <v>50</v>
      </c>
      <c r="H11" t="s">
        <v>29</v>
      </c>
      <c r="I11" t="s">
        <v>30</v>
      </c>
      <c r="J11" t="s">
        <v>51</v>
      </c>
      <c r="K11" t="s">
        <v>42</v>
      </c>
      <c r="L11" t="s">
        <v>57</v>
      </c>
      <c r="M11" s="4">
        <v>2</v>
      </c>
      <c r="N11" s="4">
        <v>1</v>
      </c>
      <c r="O11" s="2">
        <v>0.5</v>
      </c>
      <c r="P11" s="3">
        <v>0.56999999999999995</v>
      </c>
      <c r="Q11" s="3">
        <v>0.56999999999999995</v>
      </c>
      <c r="R11" s="3">
        <v>0</v>
      </c>
      <c r="S11" s="2"/>
      <c r="T11" s="5">
        <v>0</v>
      </c>
      <c r="U11" s="4">
        <v>0</v>
      </c>
      <c r="V11" s="4">
        <v>0</v>
      </c>
      <c r="W11" s="2">
        <v>0</v>
      </c>
      <c r="X11" s="4">
        <v>0</v>
      </c>
      <c r="Y11" s="4">
        <v>0</v>
      </c>
      <c r="Z11" s="3">
        <v>0</v>
      </c>
      <c r="AA11" s="3">
        <v>0</v>
      </c>
    </row>
    <row r="12" spans="1:27" x14ac:dyDescent="0.2">
      <c r="A12">
        <f t="shared" si="0"/>
        <v>1</v>
      </c>
      <c r="B12">
        <f t="shared" si="1"/>
        <v>2</v>
      </c>
      <c r="C12" s="1">
        <v>46027</v>
      </c>
      <c r="D12" t="s">
        <v>25</v>
      </c>
      <c r="E12" t="s">
        <v>26</v>
      </c>
      <c r="F12" t="s">
        <v>39</v>
      </c>
      <c r="G12" t="s">
        <v>40</v>
      </c>
      <c r="H12" t="s">
        <v>29</v>
      </c>
      <c r="I12" t="s">
        <v>30</v>
      </c>
      <c r="J12" t="s">
        <v>58</v>
      </c>
      <c r="K12" t="s">
        <v>42</v>
      </c>
      <c r="L12" t="s">
        <v>59</v>
      </c>
      <c r="M12" s="4">
        <v>27</v>
      </c>
      <c r="N12" s="4">
        <v>1</v>
      </c>
      <c r="O12" s="2">
        <v>3.7037037037037035E-2</v>
      </c>
      <c r="P12" s="3">
        <v>0.63</v>
      </c>
      <c r="Q12" s="3">
        <v>0.63</v>
      </c>
      <c r="R12" s="3">
        <v>0</v>
      </c>
      <c r="S12" s="2"/>
      <c r="T12" s="5">
        <v>0</v>
      </c>
      <c r="U12" s="4">
        <v>0</v>
      </c>
      <c r="V12" s="4">
        <v>0</v>
      </c>
      <c r="W12" s="2">
        <v>0</v>
      </c>
      <c r="X12" s="4">
        <v>0</v>
      </c>
      <c r="Y12" s="4">
        <v>0</v>
      </c>
      <c r="Z12" s="3">
        <v>0</v>
      </c>
      <c r="AA12" s="3">
        <v>0</v>
      </c>
    </row>
    <row r="13" spans="1:27" x14ac:dyDescent="0.2">
      <c r="A13">
        <f t="shared" si="0"/>
        <v>1</v>
      </c>
      <c r="B13">
        <f t="shared" si="1"/>
        <v>4</v>
      </c>
      <c r="C13" s="1">
        <v>46041</v>
      </c>
      <c r="D13" t="s">
        <v>25</v>
      </c>
      <c r="E13" t="s">
        <v>26</v>
      </c>
      <c r="F13" t="s">
        <v>39</v>
      </c>
      <c r="G13" t="s">
        <v>40</v>
      </c>
      <c r="H13" t="s">
        <v>29</v>
      </c>
      <c r="I13" t="s">
        <v>30</v>
      </c>
      <c r="J13" t="s">
        <v>58</v>
      </c>
      <c r="K13" t="s">
        <v>42</v>
      </c>
      <c r="L13" t="s">
        <v>59</v>
      </c>
      <c r="M13" s="4">
        <v>45</v>
      </c>
      <c r="N13" s="4">
        <v>1</v>
      </c>
      <c r="O13" s="2">
        <v>2.2222222222222223E-2</v>
      </c>
      <c r="P13" s="3">
        <v>0.64</v>
      </c>
      <c r="Q13" s="3">
        <v>0.64</v>
      </c>
      <c r="R13" s="3">
        <v>0</v>
      </c>
      <c r="S13" s="2"/>
      <c r="T13" s="5">
        <v>0</v>
      </c>
      <c r="U13" s="4">
        <v>0</v>
      </c>
      <c r="V13" s="4">
        <v>0</v>
      </c>
      <c r="W13" s="2">
        <v>0</v>
      </c>
      <c r="X13" s="4">
        <v>0</v>
      </c>
      <c r="Y13" s="4">
        <v>0</v>
      </c>
      <c r="Z13" s="3">
        <v>0</v>
      </c>
      <c r="AA13" s="3">
        <v>0</v>
      </c>
    </row>
    <row r="14" spans="1:27" x14ac:dyDescent="0.2">
      <c r="A14">
        <f t="shared" si="0"/>
        <v>1</v>
      </c>
      <c r="B14">
        <f t="shared" si="1"/>
        <v>4</v>
      </c>
      <c r="C14" s="1">
        <v>46042</v>
      </c>
      <c r="D14" t="s">
        <v>25</v>
      </c>
      <c r="E14" t="s">
        <v>26</v>
      </c>
      <c r="F14" t="s">
        <v>39</v>
      </c>
      <c r="G14" t="s">
        <v>40</v>
      </c>
      <c r="H14" t="s">
        <v>29</v>
      </c>
      <c r="I14" t="s">
        <v>30</v>
      </c>
      <c r="J14" t="s">
        <v>58</v>
      </c>
      <c r="K14" t="s">
        <v>42</v>
      </c>
      <c r="L14" t="s">
        <v>59</v>
      </c>
      <c r="M14" s="4">
        <v>44</v>
      </c>
      <c r="N14" s="4">
        <v>1</v>
      </c>
      <c r="O14" s="2">
        <v>2.2727272727272731E-2</v>
      </c>
      <c r="P14" s="3">
        <v>0.7</v>
      </c>
      <c r="Q14" s="3">
        <v>0.7</v>
      </c>
      <c r="R14" s="3">
        <v>0</v>
      </c>
      <c r="S14" s="2"/>
      <c r="T14" s="5">
        <v>0</v>
      </c>
      <c r="U14" s="4">
        <v>0</v>
      </c>
      <c r="V14" s="4">
        <v>0</v>
      </c>
      <c r="W14" s="2">
        <v>0</v>
      </c>
      <c r="X14" s="4">
        <v>0</v>
      </c>
      <c r="Y14" s="4">
        <v>0</v>
      </c>
      <c r="Z14" s="3">
        <v>0</v>
      </c>
      <c r="AA14" s="3">
        <v>0</v>
      </c>
    </row>
    <row r="15" spans="1:27" x14ac:dyDescent="0.2">
      <c r="A15">
        <f t="shared" si="0"/>
        <v>1</v>
      </c>
      <c r="B15">
        <f t="shared" si="1"/>
        <v>2</v>
      </c>
      <c r="C15" s="1">
        <v>46026</v>
      </c>
      <c r="D15" t="s">
        <v>25</v>
      </c>
      <c r="E15" t="s">
        <v>26</v>
      </c>
      <c r="F15" t="s">
        <v>53</v>
      </c>
      <c r="G15" t="s">
        <v>54</v>
      </c>
      <c r="H15" t="s">
        <v>29</v>
      </c>
      <c r="I15" t="s">
        <v>30</v>
      </c>
      <c r="J15" t="s">
        <v>47</v>
      </c>
      <c r="K15" t="s">
        <v>42</v>
      </c>
      <c r="L15" t="s">
        <v>60</v>
      </c>
      <c r="M15" s="4">
        <v>8</v>
      </c>
      <c r="N15" s="4">
        <v>1</v>
      </c>
      <c r="O15" s="2">
        <v>0.125</v>
      </c>
      <c r="P15" s="3">
        <v>0.99</v>
      </c>
      <c r="Q15" s="3">
        <v>0.99</v>
      </c>
      <c r="R15" s="3">
        <v>0</v>
      </c>
      <c r="S15" s="2"/>
      <c r="T15" s="5">
        <v>0</v>
      </c>
      <c r="U15" s="4">
        <v>0</v>
      </c>
      <c r="V15" s="4">
        <v>0</v>
      </c>
      <c r="W15" s="2">
        <v>0</v>
      </c>
      <c r="X15" s="4">
        <v>0</v>
      </c>
      <c r="Y15" s="4">
        <v>0</v>
      </c>
      <c r="Z15" s="3">
        <v>0</v>
      </c>
      <c r="AA15" s="3">
        <v>0</v>
      </c>
    </row>
    <row r="16" spans="1:27" x14ac:dyDescent="0.2">
      <c r="A16">
        <f t="shared" si="0"/>
        <v>1</v>
      </c>
      <c r="B16">
        <f t="shared" si="1"/>
        <v>2</v>
      </c>
      <c r="C16" s="1">
        <v>46028</v>
      </c>
      <c r="D16" t="s">
        <v>25</v>
      </c>
      <c r="E16" t="s">
        <v>26</v>
      </c>
      <c r="F16" t="s">
        <v>61</v>
      </c>
      <c r="G16" t="s">
        <v>62</v>
      </c>
      <c r="H16" t="s">
        <v>29</v>
      </c>
      <c r="I16" t="s">
        <v>30</v>
      </c>
      <c r="J16" t="s">
        <v>51</v>
      </c>
      <c r="K16" t="s">
        <v>42</v>
      </c>
      <c r="L16" t="s">
        <v>63</v>
      </c>
      <c r="M16" s="4">
        <v>1</v>
      </c>
      <c r="N16" s="4">
        <v>1</v>
      </c>
      <c r="O16" s="2">
        <v>1</v>
      </c>
      <c r="P16" s="3">
        <v>1.19</v>
      </c>
      <c r="Q16" s="3">
        <v>1.19</v>
      </c>
      <c r="R16" s="3">
        <v>0</v>
      </c>
      <c r="S16" s="2"/>
      <c r="T16" s="5">
        <v>0</v>
      </c>
      <c r="U16" s="4">
        <v>0</v>
      </c>
      <c r="V16" s="4">
        <v>0</v>
      </c>
      <c r="W16" s="2">
        <v>0</v>
      </c>
      <c r="X16" s="4">
        <v>0</v>
      </c>
      <c r="Y16" s="4">
        <v>0</v>
      </c>
      <c r="Z16" s="3">
        <v>0</v>
      </c>
      <c r="AA16" s="3">
        <v>0</v>
      </c>
    </row>
    <row r="17" spans="1:27" x14ac:dyDescent="0.2">
      <c r="A17">
        <f t="shared" si="0"/>
        <v>1</v>
      </c>
      <c r="B17">
        <f t="shared" si="1"/>
        <v>3</v>
      </c>
      <c r="C17" s="1">
        <v>46039</v>
      </c>
      <c r="D17" t="s">
        <v>25</v>
      </c>
      <c r="E17" t="s">
        <v>26</v>
      </c>
      <c r="F17" t="s">
        <v>49</v>
      </c>
      <c r="G17" t="s">
        <v>50</v>
      </c>
      <c r="H17" t="s">
        <v>29</v>
      </c>
      <c r="I17" t="s">
        <v>30</v>
      </c>
      <c r="J17" t="s">
        <v>51</v>
      </c>
      <c r="K17" t="s">
        <v>42</v>
      </c>
      <c r="L17" t="s">
        <v>64</v>
      </c>
      <c r="M17" s="4">
        <v>2</v>
      </c>
      <c r="N17" s="4">
        <v>1</v>
      </c>
      <c r="O17" s="2">
        <v>0.5</v>
      </c>
      <c r="P17" s="3">
        <v>0.5</v>
      </c>
      <c r="Q17" s="3">
        <v>0.5</v>
      </c>
      <c r="R17" s="3">
        <v>0</v>
      </c>
      <c r="S17" s="2"/>
      <c r="T17" s="5">
        <v>0</v>
      </c>
      <c r="U17" s="4">
        <v>0</v>
      </c>
      <c r="V17" s="4">
        <v>0</v>
      </c>
      <c r="W17" s="2">
        <v>0</v>
      </c>
      <c r="X17" s="4">
        <v>0</v>
      </c>
      <c r="Y17" s="4">
        <v>0</v>
      </c>
      <c r="Z17" s="3">
        <v>0</v>
      </c>
      <c r="AA17" s="3">
        <v>0</v>
      </c>
    </row>
    <row r="18" spans="1:27" x14ac:dyDescent="0.2">
      <c r="A18">
        <f t="shared" si="0"/>
        <v>1</v>
      </c>
      <c r="B18">
        <f t="shared" si="1"/>
        <v>3</v>
      </c>
      <c r="C18" s="1">
        <v>46037</v>
      </c>
      <c r="D18" t="s">
        <v>25</v>
      </c>
      <c r="E18" t="s">
        <v>26</v>
      </c>
      <c r="F18" t="s">
        <v>49</v>
      </c>
      <c r="G18" t="s">
        <v>50</v>
      </c>
      <c r="H18" t="s">
        <v>29</v>
      </c>
      <c r="I18" t="s">
        <v>30</v>
      </c>
      <c r="J18" t="s">
        <v>51</v>
      </c>
      <c r="K18" t="s">
        <v>42</v>
      </c>
      <c r="L18" t="s">
        <v>65</v>
      </c>
      <c r="M18" s="4">
        <v>13</v>
      </c>
      <c r="N18" s="4">
        <v>2</v>
      </c>
      <c r="O18" s="2">
        <v>0.15384615384615385</v>
      </c>
      <c r="P18" s="3">
        <v>0.5</v>
      </c>
      <c r="Q18" s="3">
        <v>1</v>
      </c>
      <c r="R18" s="3">
        <v>0</v>
      </c>
      <c r="S18" s="2"/>
      <c r="T18" s="5">
        <v>0</v>
      </c>
      <c r="U18" s="4">
        <v>0</v>
      </c>
      <c r="V18" s="4">
        <v>0</v>
      </c>
      <c r="W18" s="2">
        <v>0</v>
      </c>
      <c r="X18" s="4">
        <v>0</v>
      </c>
      <c r="Y18" s="4">
        <v>0</v>
      </c>
      <c r="Z18" s="3">
        <v>0</v>
      </c>
      <c r="AA18" s="3">
        <v>0</v>
      </c>
    </row>
    <row r="19" spans="1:27" x14ac:dyDescent="0.2">
      <c r="A19">
        <f t="shared" si="0"/>
        <v>1</v>
      </c>
      <c r="B19">
        <f t="shared" si="1"/>
        <v>3</v>
      </c>
      <c r="C19" s="1">
        <v>46033</v>
      </c>
      <c r="D19" t="s">
        <v>25</v>
      </c>
      <c r="E19" t="s">
        <v>26</v>
      </c>
      <c r="F19" t="s">
        <v>49</v>
      </c>
      <c r="G19" t="s">
        <v>50</v>
      </c>
      <c r="H19" t="s">
        <v>29</v>
      </c>
      <c r="I19" t="s">
        <v>30</v>
      </c>
      <c r="J19" t="s">
        <v>51</v>
      </c>
      <c r="K19" t="s">
        <v>42</v>
      </c>
      <c r="L19" t="s">
        <v>66</v>
      </c>
      <c r="M19" s="4">
        <v>3</v>
      </c>
      <c r="N19" s="4">
        <v>1</v>
      </c>
      <c r="O19" s="2">
        <v>0.33333333333333331</v>
      </c>
      <c r="P19" s="3">
        <v>0.56999999999999995</v>
      </c>
      <c r="Q19" s="3">
        <v>0.56999999999999995</v>
      </c>
      <c r="R19" s="3">
        <v>0</v>
      </c>
      <c r="S19" s="2"/>
      <c r="T19" s="5">
        <v>0</v>
      </c>
      <c r="U19" s="4">
        <v>0</v>
      </c>
      <c r="V19" s="4">
        <v>0</v>
      </c>
      <c r="W19" s="2">
        <v>0</v>
      </c>
      <c r="X19" s="4">
        <v>0</v>
      </c>
      <c r="Y19" s="4">
        <v>0</v>
      </c>
      <c r="Z19" s="3">
        <v>0</v>
      </c>
      <c r="AA19" s="3">
        <v>0</v>
      </c>
    </row>
    <row r="20" spans="1:27" x14ac:dyDescent="0.2">
      <c r="A20">
        <f t="shared" si="0"/>
        <v>1</v>
      </c>
      <c r="B20">
        <f t="shared" si="1"/>
        <v>3</v>
      </c>
      <c r="C20" s="1">
        <v>46037</v>
      </c>
      <c r="D20" t="s">
        <v>25</v>
      </c>
      <c r="E20" t="s">
        <v>26</v>
      </c>
      <c r="F20" t="s">
        <v>49</v>
      </c>
      <c r="G20" t="s">
        <v>50</v>
      </c>
      <c r="H20" t="s">
        <v>29</v>
      </c>
      <c r="I20" t="s">
        <v>30</v>
      </c>
      <c r="J20" t="s">
        <v>51</v>
      </c>
      <c r="K20" t="s">
        <v>42</v>
      </c>
      <c r="L20" t="s">
        <v>67</v>
      </c>
      <c r="M20" s="4">
        <v>6</v>
      </c>
      <c r="N20" s="4">
        <v>1</v>
      </c>
      <c r="O20" s="2">
        <v>0.16666666666666663</v>
      </c>
      <c r="P20" s="3">
        <v>0.5</v>
      </c>
      <c r="Q20" s="3">
        <v>0.5</v>
      </c>
      <c r="R20" s="3">
        <v>0</v>
      </c>
      <c r="S20" s="2"/>
      <c r="T20" s="5">
        <v>0</v>
      </c>
      <c r="U20" s="4">
        <v>0</v>
      </c>
      <c r="V20" s="4">
        <v>0</v>
      </c>
      <c r="W20" s="2">
        <v>0</v>
      </c>
      <c r="X20" s="4">
        <v>0</v>
      </c>
      <c r="Y20" s="4">
        <v>0</v>
      </c>
      <c r="Z20" s="3">
        <v>0</v>
      </c>
      <c r="AA20" s="3">
        <v>0</v>
      </c>
    </row>
    <row r="21" spans="1:27" x14ac:dyDescent="0.2">
      <c r="A21">
        <f t="shared" si="0"/>
        <v>1</v>
      </c>
      <c r="B21">
        <f t="shared" si="1"/>
        <v>2</v>
      </c>
      <c r="C21" s="1">
        <v>46032</v>
      </c>
      <c r="D21" t="s">
        <v>25</v>
      </c>
      <c r="E21" t="s">
        <v>26</v>
      </c>
      <c r="F21" t="s">
        <v>49</v>
      </c>
      <c r="G21" t="s">
        <v>50</v>
      </c>
      <c r="H21" t="s">
        <v>29</v>
      </c>
      <c r="I21" t="s">
        <v>30</v>
      </c>
      <c r="J21" t="s">
        <v>51</v>
      </c>
      <c r="K21" t="s">
        <v>42</v>
      </c>
      <c r="L21" t="s">
        <v>68</v>
      </c>
      <c r="M21" s="4">
        <v>2</v>
      </c>
      <c r="N21" s="4">
        <v>1</v>
      </c>
      <c r="O21" s="2">
        <v>0.5</v>
      </c>
      <c r="P21" s="3">
        <v>0.56999999999999995</v>
      </c>
      <c r="Q21" s="3">
        <v>0.56999999999999995</v>
      </c>
      <c r="R21" s="3">
        <v>0</v>
      </c>
      <c r="S21" s="2"/>
      <c r="T21" s="5">
        <v>0</v>
      </c>
      <c r="U21" s="4">
        <v>0</v>
      </c>
      <c r="V21" s="4">
        <v>0</v>
      </c>
      <c r="W21" s="2">
        <v>0</v>
      </c>
      <c r="X21" s="4">
        <v>0</v>
      </c>
      <c r="Y21" s="4">
        <v>0</v>
      </c>
      <c r="Z21" s="3">
        <v>0</v>
      </c>
      <c r="AA21" s="3">
        <v>0</v>
      </c>
    </row>
    <row r="22" spans="1:27" x14ac:dyDescent="0.2">
      <c r="A22">
        <f t="shared" si="0"/>
        <v>1</v>
      </c>
      <c r="B22">
        <f t="shared" si="1"/>
        <v>2</v>
      </c>
      <c r="C22" s="1">
        <v>46032</v>
      </c>
      <c r="D22" t="s">
        <v>25</v>
      </c>
      <c r="E22" t="s">
        <v>26</v>
      </c>
      <c r="F22" t="s">
        <v>49</v>
      </c>
      <c r="G22" t="s">
        <v>50</v>
      </c>
      <c r="H22" t="s">
        <v>29</v>
      </c>
      <c r="I22" t="s">
        <v>30</v>
      </c>
      <c r="J22" t="s">
        <v>51</v>
      </c>
      <c r="K22" t="s">
        <v>42</v>
      </c>
      <c r="L22" t="s">
        <v>69</v>
      </c>
      <c r="M22" s="4">
        <v>4</v>
      </c>
      <c r="N22" s="4">
        <v>1</v>
      </c>
      <c r="O22" s="2">
        <v>0.25</v>
      </c>
      <c r="P22" s="3">
        <v>0.56999999999999995</v>
      </c>
      <c r="Q22" s="3">
        <v>0.56999999999999995</v>
      </c>
      <c r="R22" s="3">
        <v>0</v>
      </c>
      <c r="S22" s="2"/>
      <c r="T22" s="5">
        <v>0</v>
      </c>
      <c r="U22" s="4">
        <v>0</v>
      </c>
      <c r="V22" s="4">
        <v>0</v>
      </c>
      <c r="W22" s="2">
        <v>0</v>
      </c>
      <c r="X22" s="4">
        <v>0</v>
      </c>
      <c r="Y22" s="4">
        <v>0</v>
      </c>
      <c r="Z22" s="3">
        <v>0</v>
      </c>
      <c r="AA22" s="3">
        <v>0</v>
      </c>
    </row>
    <row r="23" spans="1:27" x14ac:dyDescent="0.2">
      <c r="A23">
        <f t="shared" si="0"/>
        <v>1</v>
      </c>
      <c r="B23">
        <f t="shared" si="1"/>
        <v>3</v>
      </c>
      <c r="C23" s="1">
        <v>46037</v>
      </c>
      <c r="D23" t="s">
        <v>25</v>
      </c>
      <c r="E23" t="s">
        <v>26</v>
      </c>
      <c r="F23" t="s">
        <v>49</v>
      </c>
      <c r="G23" t="s">
        <v>50</v>
      </c>
      <c r="H23" t="s">
        <v>29</v>
      </c>
      <c r="I23" t="s">
        <v>30</v>
      </c>
      <c r="J23" t="s">
        <v>51</v>
      </c>
      <c r="K23" t="s">
        <v>42</v>
      </c>
      <c r="L23" t="s">
        <v>69</v>
      </c>
      <c r="M23" s="4">
        <v>5</v>
      </c>
      <c r="N23" s="4">
        <v>1</v>
      </c>
      <c r="O23" s="2">
        <v>0.2</v>
      </c>
      <c r="P23" s="3">
        <v>0.5</v>
      </c>
      <c r="Q23" s="3">
        <v>0.5</v>
      </c>
      <c r="R23" s="3">
        <v>0</v>
      </c>
      <c r="S23" s="2"/>
      <c r="T23" s="5">
        <v>0</v>
      </c>
      <c r="U23" s="4">
        <v>0</v>
      </c>
      <c r="V23" s="4">
        <v>0</v>
      </c>
      <c r="W23" s="2">
        <v>0</v>
      </c>
      <c r="X23" s="4">
        <v>0</v>
      </c>
      <c r="Y23" s="4">
        <v>0</v>
      </c>
      <c r="Z23" s="3">
        <v>0</v>
      </c>
      <c r="AA23" s="3">
        <v>0</v>
      </c>
    </row>
    <row r="24" spans="1:27" x14ac:dyDescent="0.2">
      <c r="A24">
        <f t="shared" si="0"/>
        <v>1</v>
      </c>
      <c r="B24">
        <f t="shared" si="1"/>
        <v>1</v>
      </c>
      <c r="C24" s="1">
        <v>46023</v>
      </c>
      <c r="D24" t="s">
        <v>25</v>
      </c>
      <c r="E24" t="s">
        <v>26</v>
      </c>
      <c r="F24" t="s">
        <v>39</v>
      </c>
      <c r="G24" t="s">
        <v>40</v>
      </c>
      <c r="H24" t="s">
        <v>29</v>
      </c>
      <c r="I24" t="s">
        <v>30</v>
      </c>
      <c r="J24" t="s">
        <v>70</v>
      </c>
      <c r="K24" t="s">
        <v>42</v>
      </c>
      <c r="L24" t="s">
        <v>71</v>
      </c>
      <c r="M24" s="4">
        <v>195</v>
      </c>
      <c r="N24" s="4">
        <v>1</v>
      </c>
      <c r="O24" s="2">
        <v>5.1282051282051282E-3</v>
      </c>
      <c r="P24" s="3">
        <v>0.49</v>
      </c>
      <c r="Q24" s="3">
        <v>0.49</v>
      </c>
      <c r="R24" s="3">
        <v>0</v>
      </c>
      <c r="S24" s="2"/>
      <c r="T24" s="5">
        <v>0</v>
      </c>
      <c r="U24" s="4">
        <v>0</v>
      </c>
      <c r="V24" s="4">
        <v>0</v>
      </c>
      <c r="W24" s="2">
        <v>0</v>
      </c>
      <c r="X24" s="4">
        <v>0</v>
      </c>
      <c r="Y24" s="4">
        <v>0</v>
      </c>
      <c r="Z24" s="3">
        <v>0</v>
      </c>
      <c r="AA24" s="3">
        <v>0</v>
      </c>
    </row>
    <row r="25" spans="1:27" x14ac:dyDescent="0.2">
      <c r="A25">
        <f t="shared" si="0"/>
        <v>1</v>
      </c>
      <c r="B25">
        <f t="shared" si="1"/>
        <v>1</v>
      </c>
      <c r="C25" s="1">
        <v>46024</v>
      </c>
      <c r="D25" t="s">
        <v>25</v>
      </c>
      <c r="E25" t="s">
        <v>26</v>
      </c>
      <c r="F25" t="s">
        <v>39</v>
      </c>
      <c r="G25" t="s">
        <v>40</v>
      </c>
      <c r="H25" t="s">
        <v>29</v>
      </c>
      <c r="I25" t="s">
        <v>30</v>
      </c>
      <c r="J25" t="s">
        <v>70</v>
      </c>
      <c r="K25" t="s">
        <v>42</v>
      </c>
      <c r="L25" t="s">
        <v>71</v>
      </c>
      <c r="M25" s="4">
        <v>22</v>
      </c>
      <c r="N25" s="4">
        <v>1</v>
      </c>
      <c r="O25" s="2">
        <v>4.5454545454545463E-2</v>
      </c>
      <c r="P25" s="3">
        <v>0.48</v>
      </c>
      <c r="Q25" s="3">
        <v>0.48</v>
      </c>
      <c r="R25" s="3">
        <v>0</v>
      </c>
      <c r="S25" s="2"/>
      <c r="T25" s="5">
        <v>0</v>
      </c>
      <c r="U25" s="4">
        <v>0</v>
      </c>
      <c r="V25" s="4">
        <v>0</v>
      </c>
      <c r="W25" s="2">
        <v>0</v>
      </c>
      <c r="X25" s="4">
        <v>0</v>
      </c>
      <c r="Y25" s="4">
        <v>0</v>
      </c>
      <c r="Z25" s="3">
        <v>0</v>
      </c>
      <c r="AA25" s="3">
        <v>0</v>
      </c>
    </row>
    <row r="26" spans="1:27" x14ac:dyDescent="0.2">
      <c r="A26">
        <f t="shared" si="0"/>
        <v>1</v>
      </c>
      <c r="B26">
        <f t="shared" si="1"/>
        <v>2</v>
      </c>
      <c r="C26" s="1">
        <v>46029</v>
      </c>
      <c r="D26" t="s">
        <v>25</v>
      </c>
      <c r="E26" t="s">
        <v>26</v>
      </c>
      <c r="F26" t="s">
        <v>39</v>
      </c>
      <c r="G26" t="s">
        <v>40</v>
      </c>
      <c r="H26" t="s">
        <v>29</v>
      </c>
      <c r="I26" t="s">
        <v>30</v>
      </c>
      <c r="J26" t="s">
        <v>70</v>
      </c>
      <c r="K26" t="s">
        <v>42</v>
      </c>
      <c r="L26" t="s">
        <v>71</v>
      </c>
      <c r="M26" s="4">
        <v>143</v>
      </c>
      <c r="N26" s="4">
        <v>1</v>
      </c>
      <c r="O26" s="2">
        <v>6.993006993006993E-3</v>
      </c>
      <c r="P26" s="3">
        <v>0</v>
      </c>
      <c r="Q26" s="3">
        <v>0</v>
      </c>
      <c r="R26" s="3">
        <v>0</v>
      </c>
      <c r="S26" s="2"/>
      <c r="T26" s="5"/>
      <c r="U26" s="4">
        <v>0</v>
      </c>
      <c r="V26" s="4">
        <v>0</v>
      </c>
      <c r="W26" s="2">
        <v>0</v>
      </c>
      <c r="X26" s="4">
        <v>0</v>
      </c>
      <c r="Y26" s="4">
        <v>0</v>
      </c>
      <c r="Z26" s="3">
        <v>0</v>
      </c>
      <c r="AA26" s="3">
        <v>0</v>
      </c>
    </row>
    <row r="27" spans="1:27" x14ac:dyDescent="0.2">
      <c r="A27">
        <f t="shared" si="0"/>
        <v>1</v>
      </c>
      <c r="B27">
        <f t="shared" si="1"/>
        <v>2</v>
      </c>
      <c r="C27" s="1">
        <v>46031</v>
      </c>
      <c r="D27" t="s">
        <v>25</v>
      </c>
      <c r="E27" t="s">
        <v>26</v>
      </c>
      <c r="F27" t="s">
        <v>39</v>
      </c>
      <c r="G27" t="s">
        <v>40</v>
      </c>
      <c r="H27" t="s">
        <v>29</v>
      </c>
      <c r="I27" t="s">
        <v>30</v>
      </c>
      <c r="J27" t="s">
        <v>70</v>
      </c>
      <c r="K27" t="s">
        <v>42</v>
      </c>
      <c r="L27" t="s">
        <v>71</v>
      </c>
      <c r="M27" s="4">
        <v>17</v>
      </c>
      <c r="N27" s="4">
        <v>1</v>
      </c>
      <c r="O27" s="2">
        <v>5.8823529411764698E-2</v>
      </c>
      <c r="P27" s="3">
        <v>0.7</v>
      </c>
      <c r="Q27" s="3">
        <v>0.7</v>
      </c>
      <c r="R27" s="3">
        <v>0</v>
      </c>
      <c r="S27" s="2"/>
      <c r="T27" s="5">
        <v>0</v>
      </c>
      <c r="U27" s="4">
        <v>0</v>
      </c>
      <c r="V27" s="4">
        <v>0</v>
      </c>
      <c r="W27" s="2">
        <v>0</v>
      </c>
      <c r="X27" s="4">
        <v>0</v>
      </c>
      <c r="Y27" s="4">
        <v>0</v>
      </c>
      <c r="Z27" s="3">
        <v>0</v>
      </c>
      <c r="AA27" s="3">
        <v>0</v>
      </c>
    </row>
    <row r="28" spans="1:27" x14ac:dyDescent="0.2">
      <c r="A28">
        <f t="shared" si="0"/>
        <v>1</v>
      </c>
      <c r="B28">
        <f t="shared" si="1"/>
        <v>3</v>
      </c>
      <c r="C28" s="1">
        <v>46036</v>
      </c>
      <c r="D28" t="s">
        <v>25</v>
      </c>
      <c r="E28" t="s">
        <v>26</v>
      </c>
      <c r="F28" t="s">
        <v>39</v>
      </c>
      <c r="G28" t="s">
        <v>40</v>
      </c>
      <c r="H28" t="s">
        <v>29</v>
      </c>
      <c r="I28" t="s">
        <v>30</v>
      </c>
      <c r="J28" t="s">
        <v>70</v>
      </c>
      <c r="K28" t="s">
        <v>42</v>
      </c>
      <c r="L28" t="s">
        <v>71</v>
      </c>
      <c r="M28" s="4">
        <v>435</v>
      </c>
      <c r="N28" s="4">
        <v>3</v>
      </c>
      <c r="O28" s="2">
        <v>6.8965517241379309E-3</v>
      </c>
      <c r="P28" s="3">
        <v>0.5</v>
      </c>
      <c r="Q28" s="3">
        <v>1.5</v>
      </c>
      <c r="R28" s="3">
        <v>17.09</v>
      </c>
      <c r="S28" s="2">
        <v>8.777062609713282E-2</v>
      </c>
      <c r="T28" s="5">
        <v>11.393333333333333</v>
      </c>
      <c r="U28" s="4">
        <v>1</v>
      </c>
      <c r="V28" s="4">
        <v>1</v>
      </c>
      <c r="W28" s="2">
        <v>0.33333333333333331</v>
      </c>
      <c r="X28" s="4">
        <v>1</v>
      </c>
      <c r="Y28" s="4">
        <v>0</v>
      </c>
      <c r="Z28" s="3">
        <v>17.09</v>
      </c>
      <c r="AA28" s="3">
        <v>0</v>
      </c>
    </row>
    <row r="29" spans="1:27" x14ac:dyDescent="0.2">
      <c r="A29">
        <f t="shared" si="0"/>
        <v>1</v>
      </c>
      <c r="B29">
        <f t="shared" si="1"/>
        <v>4</v>
      </c>
      <c r="C29" s="1">
        <v>46040</v>
      </c>
      <c r="D29" t="s">
        <v>25</v>
      </c>
      <c r="E29" t="s">
        <v>26</v>
      </c>
      <c r="F29" t="s">
        <v>39</v>
      </c>
      <c r="G29" t="s">
        <v>40</v>
      </c>
      <c r="H29" t="s">
        <v>29</v>
      </c>
      <c r="I29" t="s">
        <v>30</v>
      </c>
      <c r="J29" t="s">
        <v>70</v>
      </c>
      <c r="K29" t="s">
        <v>42</v>
      </c>
      <c r="L29" t="s">
        <v>71</v>
      </c>
      <c r="M29" s="4">
        <v>281</v>
      </c>
      <c r="N29" s="4">
        <v>1</v>
      </c>
      <c r="O29" s="2">
        <v>3.5587188612099638E-3</v>
      </c>
      <c r="P29" s="3">
        <v>0.5</v>
      </c>
      <c r="Q29" s="3">
        <v>0.5</v>
      </c>
      <c r="R29" s="3">
        <v>0</v>
      </c>
      <c r="S29" s="2"/>
      <c r="T29" s="5">
        <v>0</v>
      </c>
      <c r="U29" s="4">
        <v>0</v>
      </c>
      <c r="V29" s="4">
        <v>0</v>
      </c>
      <c r="W29" s="2">
        <v>0</v>
      </c>
      <c r="X29" s="4">
        <v>0</v>
      </c>
      <c r="Y29" s="4">
        <v>0</v>
      </c>
      <c r="Z29" s="3">
        <v>0</v>
      </c>
      <c r="AA29" s="3">
        <v>0</v>
      </c>
    </row>
    <row r="30" spans="1:27" x14ac:dyDescent="0.2">
      <c r="A30">
        <f t="shared" si="0"/>
        <v>1</v>
      </c>
      <c r="B30">
        <f t="shared" si="1"/>
        <v>4</v>
      </c>
      <c r="C30" s="1">
        <v>46043</v>
      </c>
      <c r="D30" t="s">
        <v>25</v>
      </c>
      <c r="E30" t="s">
        <v>26</v>
      </c>
      <c r="F30" t="s">
        <v>61</v>
      </c>
      <c r="G30" t="s">
        <v>62</v>
      </c>
      <c r="H30" t="s">
        <v>29</v>
      </c>
      <c r="I30" t="s">
        <v>30</v>
      </c>
      <c r="J30" t="s">
        <v>51</v>
      </c>
      <c r="K30" t="s">
        <v>42</v>
      </c>
      <c r="L30" t="s">
        <v>72</v>
      </c>
      <c r="M30" s="4">
        <v>1</v>
      </c>
      <c r="N30" s="4">
        <v>1</v>
      </c>
      <c r="O30" s="2">
        <v>1</v>
      </c>
      <c r="P30" s="3">
        <v>1.17</v>
      </c>
      <c r="Q30" s="3">
        <v>1.17</v>
      </c>
      <c r="R30" s="3">
        <v>0</v>
      </c>
      <c r="S30" s="2"/>
      <c r="T30" s="5">
        <v>0</v>
      </c>
      <c r="U30" s="4">
        <v>0</v>
      </c>
      <c r="V30" s="4">
        <v>0</v>
      </c>
      <c r="W30" s="2">
        <v>0</v>
      </c>
      <c r="X30" s="4">
        <v>0</v>
      </c>
      <c r="Y30" s="4">
        <v>0</v>
      </c>
      <c r="Z30" s="3">
        <v>0</v>
      </c>
      <c r="AA30" s="3">
        <v>0</v>
      </c>
    </row>
    <row r="31" spans="1:27" x14ac:dyDescent="0.2">
      <c r="A31">
        <f t="shared" si="0"/>
        <v>1</v>
      </c>
      <c r="B31">
        <f t="shared" si="1"/>
        <v>1</v>
      </c>
      <c r="C31" s="1">
        <v>46023</v>
      </c>
      <c r="D31" t="s">
        <v>25</v>
      </c>
      <c r="E31" t="s">
        <v>26</v>
      </c>
      <c r="F31" t="s">
        <v>39</v>
      </c>
      <c r="G31" t="s">
        <v>40</v>
      </c>
      <c r="H31" t="s">
        <v>29</v>
      </c>
      <c r="I31" t="s">
        <v>30</v>
      </c>
      <c r="J31" t="s">
        <v>73</v>
      </c>
      <c r="K31" t="s">
        <v>42</v>
      </c>
      <c r="L31" t="s">
        <v>74</v>
      </c>
      <c r="M31" s="4">
        <v>1</v>
      </c>
      <c r="N31" s="4">
        <v>1</v>
      </c>
      <c r="O31" s="2">
        <v>1</v>
      </c>
      <c r="P31" s="3">
        <v>0.78</v>
      </c>
      <c r="Q31" s="3">
        <v>0.78</v>
      </c>
      <c r="R31" s="3">
        <v>0</v>
      </c>
      <c r="S31" s="2"/>
      <c r="T31" s="5">
        <v>0</v>
      </c>
      <c r="U31" s="4">
        <v>0</v>
      </c>
      <c r="V31" s="4">
        <v>0</v>
      </c>
      <c r="W31" s="2">
        <v>0</v>
      </c>
      <c r="X31" s="4">
        <v>0</v>
      </c>
      <c r="Y31" s="4">
        <v>0</v>
      </c>
      <c r="Z31" s="3">
        <v>0</v>
      </c>
      <c r="AA31" s="3">
        <v>0</v>
      </c>
    </row>
    <row r="32" spans="1:27" x14ac:dyDescent="0.2">
      <c r="A32">
        <f t="shared" si="0"/>
        <v>1</v>
      </c>
      <c r="B32">
        <f t="shared" si="1"/>
        <v>4</v>
      </c>
      <c r="C32" s="1">
        <v>46040</v>
      </c>
      <c r="D32" t="s">
        <v>25</v>
      </c>
      <c r="E32" t="s">
        <v>26</v>
      </c>
      <c r="F32" t="s">
        <v>39</v>
      </c>
      <c r="G32" t="s">
        <v>40</v>
      </c>
      <c r="H32" t="s">
        <v>29</v>
      </c>
      <c r="I32" t="s">
        <v>30</v>
      </c>
      <c r="J32" t="s">
        <v>41</v>
      </c>
      <c r="K32" t="s">
        <v>42</v>
      </c>
      <c r="L32" t="s">
        <v>75</v>
      </c>
      <c r="M32" s="4">
        <v>9</v>
      </c>
      <c r="N32" s="4">
        <v>1</v>
      </c>
      <c r="O32" s="2">
        <v>0.1111111111111111</v>
      </c>
      <c r="P32" s="3">
        <v>0.33</v>
      </c>
      <c r="Q32" s="3">
        <v>0.33</v>
      </c>
      <c r="R32" s="3">
        <v>0</v>
      </c>
      <c r="S32" s="2"/>
      <c r="T32" s="5">
        <v>0</v>
      </c>
      <c r="U32" s="4">
        <v>0</v>
      </c>
      <c r="V32" s="4">
        <v>0</v>
      </c>
      <c r="W32" s="2">
        <v>0</v>
      </c>
      <c r="X32" s="4">
        <v>0</v>
      </c>
      <c r="Y32" s="4">
        <v>0</v>
      </c>
      <c r="Z32" s="3">
        <v>0</v>
      </c>
      <c r="AA32" s="3">
        <v>0</v>
      </c>
    </row>
    <row r="33" spans="1:27" x14ac:dyDescent="0.2">
      <c r="A33">
        <f t="shared" si="0"/>
        <v>1</v>
      </c>
      <c r="B33">
        <f t="shared" si="1"/>
        <v>4</v>
      </c>
      <c r="C33" s="1">
        <v>46043</v>
      </c>
      <c r="D33" t="s">
        <v>25</v>
      </c>
      <c r="E33" t="s">
        <v>26</v>
      </c>
      <c r="F33" t="s">
        <v>39</v>
      </c>
      <c r="G33" t="s">
        <v>40</v>
      </c>
      <c r="H33" t="s">
        <v>29</v>
      </c>
      <c r="I33" t="s">
        <v>30</v>
      </c>
      <c r="J33" t="s">
        <v>41</v>
      </c>
      <c r="K33" t="s">
        <v>42</v>
      </c>
      <c r="L33" t="s">
        <v>75</v>
      </c>
      <c r="M33" s="4">
        <v>514</v>
      </c>
      <c r="N33" s="4">
        <v>4</v>
      </c>
      <c r="O33" s="2">
        <v>7.7821011673151752E-3</v>
      </c>
      <c r="P33" s="3">
        <v>0.66</v>
      </c>
      <c r="Q33" s="3">
        <v>2.64</v>
      </c>
      <c r="R33" s="3">
        <v>17.09</v>
      </c>
      <c r="S33" s="2">
        <v>0.15447630193095377</v>
      </c>
      <c r="T33" s="5">
        <v>6.4734848484848477</v>
      </c>
      <c r="U33" s="4">
        <v>1</v>
      </c>
      <c r="V33" s="4">
        <v>1</v>
      </c>
      <c r="W33" s="2">
        <v>0.25</v>
      </c>
      <c r="X33" s="4">
        <v>1</v>
      </c>
      <c r="Y33" s="4">
        <v>0</v>
      </c>
      <c r="Z33" s="3">
        <v>17.09</v>
      </c>
      <c r="AA33" s="3">
        <v>0</v>
      </c>
    </row>
    <row r="34" spans="1:27" x14ac:dyDescent="0.2">
      <c r="A34">
        <f t="shared" si="0"/>
        <v>1</v>
      </c>
      <c r="B34">
        <f t="shared" si="1"/>
        <v>3</v>
      </c>
      <c r="C34" s="1">
        <v>46039</v>
      </c>
      <c r="D34" t="s">
        <v>25</v>
      </c>
      <c r="E34" t="s">
        <v>26</v>
      </c>
      <c r="F34" t="s">
        <v>49</v>
      </c>
      <c r="G34" t="s">
        <v>50</v>
      </c>
      <c r="H34" t="s">
        <v>29</v>
      </c>
      <c r="I34" t="s">
        <v>30</v>
      </c>
      <c r="J34" t="s">
        <v>51</v>
      </c>
      <c r="K34" t="s">
        <v>42</v>
      </c>
      <c r="L34" t="s">
        <v>76</v>
      </c>
      <c r="M34" s="4">
        <v>8</v>
      </c>
      <c r="N34" s="4">
        <v>1</v>
      </c>
      <c r="O34" s="2">
        <v>0.125</v>
      </c>
      <c r="P34" s="3">
        <v>0.5</v>
      </c>
      <c r="Q34" s="3">
        <v>0.5</v>
      </c>
      <c r="R34" s="3">
        <v>0</v>
      </c>
      <c r="S34" s="2"/>
      <c r="T34" s="5">
        <v>0</v>
      </c>
      <c r="U34" s="4">
        <v>0</v>
      </c>
      <c r="V34" s="4">
        <v>0</v>
      </c>
      <c r="W34" s="2">
        <v>0</v>
      </c>
      <c r="X34" s="4">
        <v>0</v>
      </c>
      <c r="Y34" s="4">
        <v>0</v>
      </c>
      <c r="Z34" s="3">
        <v>0</v>
      </c>
      <c r="AA34" s="3">
        <v>0</v>
      </c>
    </row>
    <row r="35" spans="1:27" x14ac:dyDescent="0.2">
      <c r="A35">
        <f t="shared" si="0"/>
        <v>1</v>
      </c>
      <c r="B35">
        <f t="shared" si="1"/>
        <v>2</v>
      </c>
      <c r="C35" s="1">
        <v>46031</v>
      </c>
      <c r="D35" t="s">
        <v>25</v>
      </c>
      <c r="E35" t="s">
        <v>26</v>
      </c>
      <c r="F35" t="s">
        <v>61</v>
      </c>
      <c r="G35" t="s">
        <v>62</v>
      </c>
      <c r="H35" t="s">
        <v>29</v>
      </c>
      <c r="I35" t="s">
        <v>30</v>
      </c>
      <c r="J35" t="s">
        <v>51</v>
      </c>
      <c r="K35" t="s">
        <v>42</v>
      </c>
      <c r="L35" t="s">
        <v>77</v>
      </c>
      <c r="M35" s="4">
        <v>1</v>
      </c>
      <c r="N35" s="4">
        <v>1</v>
      </c>
      <c r="O35" s="2">
        <v>1</v>
      </c>
      <c r="P35" s="3">
        <v>1.2</v>
      </c>
      <c r="Q35" s="3">
        <v>1.2</v>
      </c>
      <c r="R35" s="3">
        <v>0</v>
      </c>
      <c r="S35" s="2"/>
      <c r="T35" s="5">
        <v>0</v>
      </c>
      <c r="U35" s="4">
        <v>0</v>
      </c>
      <c r="V35" s="4">
        <v>0</v>
      </c>
      <c r="W35" s="2">
        <v>0</v>
      </c>
      <c r="X35" s="4">
        <v>0</v>
      </c>
      <c r="Y35" s="4">
        <v>0</v>
      </c>
      <c r="Z35" s="3">
        <v>0</v>
      </c>
      <c r="AA35" s="3">
        <v>0</v>
      </c>
    </row>
    <row r="36" spans="1:27" x14ac:dyDescent="0.2">
      <c r="A36">
        <f t="shared" si="0"/>
        <v>1</v>
      </c>
      <c r="B36">
        <f t="shared" si="1"/>
        <v>1</v>
      </c>
      <c r="C36" s="1">
        <v>46023</v>
      </c>
      <c r="D36" t="s">
        <v>25</v>
      </c>
      <c r="E36" t="s">
        <v>26</v>
      </c>
      <c r="F36" t="s">
        <v>39</v>
      </c>
      <c r="G36" t="s">
        <v>40</v>
      </c>
      <c r="H36" t="s">
        <v>29</v>
      </c>
      <c r="I36" t="s">
        <v>30</v>
      </c>
      <c r="J36" t="s">
        <v>78</v>
      </c>
      <c r="K36" t="s">
        <v>42</v>
      </c>
      <c r="L36" t="s">
        <v>79</v>
      </c>
      <c r="M36" s="4">
        <v>155</v>
      </c>
      <c r="N36" s="4">
        <v>2</v>
      </c>
      <c r="O36" s="2">
        <v>1.2903225806451613E-2</v>
      </c>
      <c r="P36" s="3">
        <v>0.49</v>
      </c>
      <c r="Q36" s="3">
        <v>0.98</v>
      </c>
      <c r="R36" s="3">
        <v>0</v>
      </c>
      <c r="S36" s="2"/>
      <c r="T36" s="5">
        <v>0</v>
      </c>
      <c r="U36" s="4">
        <v>0</v>
      </c>
      <c r="V36" s="4">
        <v>0</v>
      </c>
      <c r="W36" s="2">
        <v>0</v>
      </c>
      <c r="X36" s="4">
        <v>0</v>
      </c>
      <c r="Y36" s="4">
        <v>0</v>
      </c>
      <c r="Z36" s="3">
        <v>0</v>
      </c>
      <c r="AA36" s="3">
        <v>0</v>
      </c>
    </row>
    <row r="37" spans="1:27" x14ac:dyDescent="0.2">
      <c r="A37">
        <f t="shared" si="0"/>
        <v>1</v>
      </c>
      <c r="B37">
        <f t="shared" si="1"/>
        <v>1</v>
      </c>
      <c r="C37" s="1">
        <v>46024</v>
      </c>
      <c r="D37" t="s">
        <v>25</v>
      </c>
      <c r="E37" t="s">
        <v>26</v>
      </c>
      <c r="F37" t="s">
        <v>39</v>
      </c>
      <c r="G37" t="s">
        <v>40</v>
      </c>
      <c r="H37" t="s">
        <v>29</v>
      </c>
      <c r="I37" t="s">
        <v>30</v>
      </c>
      <c r="J37" t="s">
        <v>78</v>
      </c>
      <c r="K37" t="s">
        <v>42</v>
      </c>
      <c r="L37" t="s">
        <v>79</v>
      </c>
      <c r="M37" s="4">
        <v>69</v>
      </c>
      <c r="N37" s="4">
        <v>3</v>
      </c>
      <c r="O37" s="2">
        <v>4.3478260869565216E-2</v>
      </c>
      <c r="P37" s="3">
        <v>0.6</v>
      </c>
      <c r="Q37" s="3">
        <v>1.8</v>
      </c>
      <c r="R37" s="3">
        <v>0</v>
      </c>
      <c r="S37" s="2"/>
      <c r="T37" s="5">
        <v>0</v>
      </c>
      <c r="U37" s="4">
        <v>0</v>
      </c>
      <c r="V37" s="4">
        <v>0</v>
      </c>
      <c r="W37" s="2">
        <v>0</v>
      </c>
      <c r="X37" s="4">
        <v>0</v>
      </c>
      <c r="Y37" s="4">
        <v>0</v>
      </c>
      <c r="Z37" s="3">
        <v>0</v>
      </c>
      <c r="AA37" s="3">
        <v>0</v>
      </c>
    </row>
    <row r="38" spans="1:27" x14ac:dyDescent="0.2">
      <c r="A38">
        <f t="shared" si="0"/>
        <v>1</v>
      </c>
      <c r="B38">
        <f t="shared" si="1"/>
        <v>1</v>
      </c>
      <c r="C38" s="1">
        <v>46025</v>
      </c>
      <c r="D38" t="s">
        <v>25</v>
      </c>
      <c r="E38" t="s">
        <v>26</v>
      </c>
      <c r="F38" t="s">
        <v>39</v>
      </c>
      <c r="G38" t="s">
        <v>40</v>
      </c>
      <c r="H38" t="s">
        <v>29</v>
      </c>
      <c r="I38" t="s">
        <v>30</v>
      </c>
      <c r="J38" t="s">
        <v>78</v>
      </c>
      <c r="K38" t="s">
        <v>42</v>
      </c>
      <c r="L38" t="s">
        <v>79</v>
      </c>
      <c r="M38" s="4">
        <v>167</v>
      </c>
      <c r="N38" s="4">
        <v>4</v>
      </c>
      <c r="O38" s="2">
        <v>2.3952095808383235E-2</v>
      </c>
      <c r="P38" s="3">
        <v>0.5</v>
      </c>
      <c r="Q38" s="3">
        <v>2</v>
      </c>
      <c r="R38" s="3">
        <v>0</v>
      </c>
      <c r="S38" s="2"/>
      <c r="T38" s="5">
        <v>0</v>
      </c>
      <c r="U38" s="4">
        <v>0</v>
      </c>
      <c r="V38" s="4">
        <v>0</v>
      </c>
      <c r="W38" s="2">
        <v>0</v>
      </c>
      <c r="X38" s="4">
        <v>0</v>
      </c>
      <c r="Y38" s="4">
        <v>0</v>
      </c>
      <c r="Z38" s="3">
        <v>0</v>
      </c>
      <c r="AA38" s="3">
        <v>0</v>
      </c>
    </row>
    <row r="39" spans="1:27" x14ac:dyDescent="0.2">
      <c r="A39">
        <f t="shared" si="0"/>
        <v>1</v>
      </c>
      <c r="B39">
        <f t="shared" si="1"/>
        <v>2</v>
      </c>
      <c r="C39" s="1">
        <v>46026</v>
      </c>
      <c r="D39" t="s">
        <v>25</v>
      </c>
      <c r="E39" t="s">
        <v>26</v>
      </c>
      <c r="F39" t="s">
        <v>39</v>
      </c>
      <c r="G39" t="s">
        <v>40</v>
      </c>
      <c r="H39" t="s">
        <v>29</v>
      </c>
      <c r="I39" t="s">
        <v>30</v>
      </c>
      <c r="J39" t="s">
        <v>78</v>
      </c>
      <c r="K39" t="s">
        <v>42</v>
      </c>
      <c r="L39" t="s">
        <v>79</v>
      </c>
      <c r="M39" s="4">
        <v>113</v>
      </c>
      <c r="N39" s="4">
        <v>4</v>
      </c>
      <c r="O39" s="2">
        <v>3.5398230088495575E-2</v>
      </c>
      <c r="P39" s="3">
        <v>0.53</v>
      </c>
      <c r="Q39" s="3">
        <v>2.12</v>
      </c>
      <c r="R39" s="3">
        <v>0</v>
      </c>
      <c r="S39" s="2"/>
      <c r="T39" s="5">
        <v>0</v>
      </c>
      <c r="U39" s="4">
        <v>0</v>
      </c>
      <c r="V39" s="4">
        <v>0</v>
      </c>
      <c r="W39" s="2">
        <v>0</v>
      </c>
      <c r="X39" s="4">
        <v>0</v>
      </c>
      <c r="Y39" s="4">
        <v>0</v>
      </c>
      <c r="Z39" s="3">
        <v>0</v>
      </c>
      <c r="AA39" s="3">
        <v>0</v>
      </c>
    </row>
    <row r="40" spans="1:27" x14ac:dyDescent="0.2">
      <c r="A40">
        <f t="shared" si="0"/>
        <v>1</v>
      </c>
      <c r="B40">
        <f t="shared" si="1"/>
        <v>2</v>
      </c>
      <c r="C40" s="1">
        <v>46027</v>
      </c>
      <c r="D40" t="s">
        <v>25</v>
      </c>
      <c r="E40" t="s">
        <v>26</v>
      </c>
      <c r="F40" t="s">
        <v>39</v>
      </c>
      <c r="G40" t="s">
        <v>40</v>
      </c>
      <c r="H40" t="s">
        <v>29</v>
      </c>
      <c r="I40" t="s">
        <v>30</v>
      </c>
      <c r="J40" t="s">
        <v>78</v>
      </c>
      <c r="K40" t="s">
        <v>42</v>
      </c>
      <c r="L40" t="s">
        <v>79</v>
      </c>
      <c r="M40" s="4">
        <v>90</v>
      </c>
      <c r="N40" s="4">
        <v>2</v>
      </c>
      <c r="O40" s="2">
        <v>2.2222222222222223E-2</v>
      </c>
      <c r="P40" s="3">
        <v>0.65</v>
      </c>
      <c r="Q40" s="3">
        <v>1.3</v>
      </c>
      <c r="R40" s="3">
        <v>0</v>
      </c>
      <c r="S40" s="2"/>
      <c r="T40" s="5">
        <v>0</v>
      </c>
      <c r="U40" s="4">
        <v>0</v>
      </c>
      <c r="V40" s="4">
        <v>0</v>
      </c>
      <c r="W40" s="2">
        <v>0</v>
      </c>
      <c r="X40" s="4">
        <v>0</v>
      </c>
      <c r="Y40" s="4">
        <v>0</v>
      </c>
      <c r="Z40" s="3">
        <v>0</v>
      </c>
      <c r="AA40" s="3">
        <v>0</v>
      </c>
    </row>
    <row r="41" spans="1:27" x14ac:dyDescent="0.2">
      <c r="A41">
        <f t="shared" si="0"/>
        <v>1</v>
      </c>
      <c r="B41">
        <f t="shared" si="1"/>
        <v>2</v>
      </c>
      <c r="C41" s="1">
        <v>46029</v>
      </c>
      <c r="D41" t="s">
        <v>25</v>
      </c>
      <c r="E41" t="s">
        <v>26</v>
      </c>
      <c r="F41" t="s">
        <v>39</v>
      </c>
      <c r="G41" t="s">
        <v>40</v>
      </c>
      <c r="H41" t="s">
        <v>29</v>
      </c>
      <c r="I41" t="s">
        <v>30</v>
      </c>
      <c r="J41" t="s">
        <v>78</v>
      </c>
      <c r="K41" t="s">
        <v>42</v>
      </c>
      <c r="L41" t="s">
        <v>79</v>
      </c>
      <c r="M41" s="4">
        <v>164</v>
      </c>
      <c r="N41" s="4">
        <v>4</v>
      </c>
      <c r="O41" s="2">
        <v>2.4390243902439025E-2</v>
      </c>
      <c r="P41" s="3">
        <v>0.62</v>
      </c>
      <c r="Q41" s="3">
        <v>2.48</v>
      </c>
      <c r="R41" s="3">
        <v>34.18</v>
      </c>
      <c r="S41" s="2">
        <v>7.2557050906963141E-2</v>
      </c>
      <c r="T41" s="5">
        <v>13.78225806451613</v>
      </c>
      <c r="U41" s="4">
        <v>1</v>
      </c>
      <c r="V41" s="4">
        <v>2</v>
      </c>
      <c r="W41" s="2">
        <v>0.25</v>
      </c>
      <c r="X41" s="4">
        <v>2</v>
      </c>
      <c r="Y41" s="4">
        <v>0</v>
      </c>
      <c r="Z41" s="3">
        <v>34.18</v>
      </c>
      <c r="AA41" s="3">
        <v>0</v>
      </c>
    </row>
    <row r="42" spans="1:27" x14ac:dyDescent="0.2">
      <c r="A42">
        <f t="shared" si="0"/>
        <v>1</v>
      </c>
      <c r="B42">
        <f t="shared" si="1"/>
        <v>2</v>
      </c>
      <c r="C42" s="1">
        <v>46030</v>
      </c>
      <c r="D42" t="s">
        <v>25</v>
      </c>
      <c r="E42" t="s">
        <v>26</v>
      </c>
      <c r="F42" t="s">
        <v>39</v>
      </c>
      <c r="G42" t="s">
        <v>40</v>
      </c>
      <c r="H42" t="s">
        <v>29</v>
      </c>
      <c r="I42" t="s">
        <v>30</v>
      </c>
      <c r="J42" t="s">
        <v>78</v>
      </c>
      <c r="K42" t="s">
        <v>42</v>
      </c>
      <c r="L42" t="s">
        <v>79</v>
      </c>
      <c r="M42" s="4">
        <v>64</v>
      </c>
      <c r="N42" s="4">
        <v>1</v>
      </c>
      <c r="O42" s="2">
        <v>1.5625E-2</v>
      </c>
      <c r="P42" s="3">
        <v>0.68</v>
      </c>
      <c r="Q42" s="3">
        <v>0.68</v>
      </c>
      <c r="R42" s="3">
        <v>0</v>
      </c>
      <c r="S42" s="2"/>
      <c r="T42" s="5">
        <v>0</v>
      </c>
      <c r="U42" s="4">
        <v>0</v>
      </c>
      <c r="V42" s="4">
        <v>0</v>
      </c>
      <c r="W42" s="2">
        <v>0</v>
      </c>
      <c r="X42" s="4">
        <v>0</v>
      </c>
      <c r="Y42" s="4">
        <v>0</v>
      </c>
      <c r="Z42" s="3">
        <v>0</v>
      </c>
      <c r="AA42" s="3">
        <v>0</v>
      </c>
    </row>
    <row r="43" spans="1:27" x14ac:dyDescent="0.2">
      <c r="A43">
        <f t="shared" si="0"/>
        <v>1</v>
      </c>
      <c r="B43">
        <f t="shared" si="1"/>
        <v>3</v>
      </c>
      <c r="C43" s="1">
        <v>46036</v>
      </c>
      <c r="D43" t="s">
        <v>25</v>
      </c>
      <c r="E43" t="s">
        <v>26</v>
      </c>
      <c r="F43" t="s">
        <v>39</v>
      </c>
      <c r="G43" t="s">
        <v>40</v>
      </c>
      <c r="H43" t="s">
        <v>29</v>
      </c>
      <c r="I43" t="s">
        <v>30</v>
      </c>
      <c r="J43" t="s">
        <v>78</v>
      </c>
      <c r="K43" t="s">
        <v>42</v>
      </c>
      <c r="L43" t="s">
        <v>79</v>
      </c>
      <c r="M43" s="4">
        <v>139</v>
      </c>
      <c r="N43" s="4">
        <v>2</v>
      </c>
      <c r="O43" s="2">
        <v>1.4388489208633094E-2</v>
      </c>
      <c r="P43" s="3">
        <v>0.47</v>
      </c>
      <c r="Q43" s="3">
        <v>0.94</v>
      </c>
      <c r="R43" s="3">
        <v>0</v>
      </c>
      <c r="S43" s="2"/>
      <c r="T43" s="5">
        <v>0</v>
      </c>
      <c r="U43" s="4">
        <v>0</v>
      </c>
      <c r="V43" s="4">
        <v>0</v>
      </c>
      <c r="W43" s="2">
        <v>0</v>
      </c>
      <c r="X43" s="4">
        <v>0</v>
      </c>
      <c r="Y43" s="4">
        <v>0</v>
      </c>
      <c r="Z43" s="3">
        <v>0</v>
      </c>
      <c r="AA43" s="3">
        <v>0</v>
      </c>
    </row>
    <row r="44" spans="1:27" x14ac:dyDescent="0.2">
      <c r="A44">
        <f t="shared" si="0"/>
        <v>1</v>
      </c>
      <c r="B44">
        <f t="shared" si="1"/>
        <v>3</v>
      </c>
      <c r="C44" s="1">
        <v>46037</v>
      </c>
      <c r="D44" t="s">
        <v>25</v>
      </c>
      <c r="E44" t="s">
        <v>26</v>
      </c>
      <c r="F44" t="s">
        <v>39</v>
      </c>
      <c r="G44" t="s">
        <v>40</v>
      </c>
      <c r="H44" t="s">
        <v>29</v>
      </c>
      <c r="I44" t="s">
        <v>30</v>
      </c>
      <c r="J44" t="s">
        <v>78</v>
      </c>
      <c r="K44" t="s">
        <v>42</v>
      </c>
      <c r="L44" t="s">
        <v>79</v>
      </c>
      <c r="M44" s="4">
        <v>107</v>
      </c>
      <c r="N44" s="4">
        <v>3</v>
      </c>
      <c r="O44" s="2">
        <v>2.803738317757009E-2</v>
      </c>
      <c r="P44" s="3">
        <v>0.56333333333333335</v>
      </c>
      <c r="Q44" s="3">
        <v>1.69</v>
      </c>
      <c r="R44" s="3">
        <v>0</v>
      </c>
      <c r="S44" s="2"/>
      <c r="T44" s="5">
        <v>0</v>
      </c>
      <c r="U44" s="4">
        <v>0</v>
      </c>
      <c r="V44" s="4">
        <v>0</v>
      </c>
      <c r="W44" s="2">
        <v>0</v>
      </c>
      <c r="X44" s="4">
        <v>0</v>
      </c>
      <c r="Y44" s="4">
        <v>0</v>
      </c>
      <c r="Z44" s="3">
        <v>0</v>
      </c>
      <c r="AA44" s="3">
        <v>0</v>
      </c>
    </row>
    <row r="45" spans="1:27" x14ac:dyDescent="0.2">
      <c r="A45">
        <f t="shared" si="0"/>
        <v>1</v>
      </c>
      <c r="B45">
        <f t="shared" si="1"/>
        <v>3</v>
      </c>
      <c r="C45" s="1">
        <v>46038</v>
      </c>
      <c r="D45" t="s">
        <v>25</v>
      </c>
      <c r="E45" t="s">
        <v>26</v>
      </c>
      <c r="F45" t="s">
        <v>39</v>
      </c>
      <c r="G45" t="s">
        <v>40</v>
      </c>
      <c r="H45" t="s">
        <v>29</v>
      </c>
      <c r="I45" t="s">
        <v>30</v>
      </c>
      <c r="J45" t="s">
        <v>78</v>
      </c>
      <c r="K45" t="s">
        <v>42</v>
      </c>
      <c r="L45" t="s">
        <v>79</v>
      </c>
      <c r="M45" s="4">
        <v>95</v>
      </c>
      <c r="N45" s="4">
        <v>1</v>
      </c>
      <c r="O45" s="2">
        <v>1.0526315789473684E-2</v>
      </c>
      <c r="P45" s="3">
        <v>0.52</v>
      </c>
      <c r="Q45" s="3">
        <v>0.52</v>
      </c>
      <c r="R45" s="3">
        <v>0</v>
      </c>
      <c r="S45" s="2"/>
      <c r="T45" s="5">
        <v>0</v>
      </c>
      <c r="U45" s="4">
        <v>0</v>
      </c>
      <c r="V45" s="4">
        <v>0</v>
      </c>
      <c r="W45" s="2">
        <v>0</v>
      </c>
      <c r="X45" s="4">
        <v>0</v>
      </c>
      <c r="Y45" s="4">
        <v>0</v>
      </c>
      <c r="Z45" s="3">
        <v>0</v>
      </c>
      <c r="AA45" s="3">
        <v>0</v>
      </c>
    </row>
    <row r="46" spans="1:27" x14ac:dyDescent="0.2">
      <c r="A46">
        <f t="shared" si="0"/>
        <v>1</v>
      </c>
      <c r="B46">
        <f t="shared" si="1"/>
        <v>3</v>
      </c>
      <c r="C46" s="1">
        <v>46039</v>
      </c>
      <c r="D46" t="s">
        <v>25</v>
      </c>
      <c r="E46" t="s">
        <v>26</v>
      </c>
      <c r="F46" t="s">
        <v>39</v>
      </c>
      <c r="G46" t="s">
        <v>40</v>
      </c>
      <c r="H46" t="s">
        <v>29</v>
      </c>
      <c r="I46" t="s">
        <v>30</v>
      </c>
      <c r="J46" t="s">
        <v>78</v>
      </c>
      <c r="K46" t="s">
        <v>42</v>
      </c>
      <c r="L46" t="s">
        <v>79</v>
      </c>
      <c r="M46" s="4">
        <v>70</v>
      </c>
      <c r="N46" s="4">
        <v>2</v>
      </c>
      <c r="O46" s="2">
        <v>2.8571428571428571E-2</v>
      </c>
      <c r="P46" s="3">
        <v>0.54</v>
      </c>
      <c r="Q46" s="3">
        <v>1.08</v>
      </c>
      <c r="R46" s="3">
        <v>17.09</v>
      </c>
      <c r="S46" s="2">
        <v>6.3194850789935642E-2</v>
      </c>
      <c r="T46" s="5">
        <v>15.824074074074073</v>
      </c>
      <c r="U46" s="4">
        <v>1</v>
      </c>
      <c r="V46" s="4">
        <v>1</v>
      </c>
      <c r="W46" s="2">
        <v>0.5</v>
      </c>
      <c r="X46" s="4">
        <v>1</v>
      </c>
      <c r="Y46" s="4">
        <v>0</v>
      </c>
      <c r="Z46" s="3">
        <v>17.09</v>
      </c>
      <c r="AA46" s="3">
        <v>0</v>
      </c>
    </row>
    <row r="47" spans="1:27" x14ac:dyDescent="0.2">
      <c r="A47">
        <f t="shared" si="0"/>
        <v>1</v>
      </c>
      <c r="B47">
        <f t="shared" si="1"/>
        <v>4</v>
      </c>
      <c r="C47" s="1">
        <v>46041</v>
      </c>
      <c r="D47" t="s">
        <v>25</v>
      </c>
      <c r="E47" t="s">
        <v>26</v>
      </c>
      <c r="F47" t="s">
        <v>39</v>
      </c>
      <c r="G47" t="s">
        <v>40</v>
      </c>
      <c r="H47" t="s">
        <v>29</v>
      </c>
      <c r="I47" t="s">
        <v>30</v>
      </c>
      <c r="J47" t="s">
        <v>78</v>
      </c>
      <c r="K47" t="s">
        <v>42</v>
      </c>
      <c r="L47" t="s">
        <v>79</v>
      </c>
      <c r="M47" s="4">
        <v>133</v>
      </c>
      <c r="N47" s="4">
        <v>3</v>
      </c>
      <c r="O47" s="2">
        <v>2.2556390977443604E-2</v>
      </c>
      <c r="P47" s="3">
        <v>0.57999999999999996</v>
      </c>
      <c r="Q47" s="3">
        <v>1.74</v>
      </c>
      <c r="R47" s="3">
        <v>0</v>
      </c>
      <c r="S47" s="2"/>
      <c r="T47" s="5">
        <v>0</v>
      </c>
      <c r="U47" s="4">
        <v>0</v>
      </c>
      <c r="V47" s="4">
        <v>0</v>
      </c>
      <c r="W47" s="2">
        <v>0</v>
      </c>
      <c r="X47" s="4">
        <v>0</v>
      </c>
      <c r="Y47" s="4">
        <v>0</v>
      </c>
      <c r="Z47" s="3">
        <v>0</v>
      </c>
      <c r="AA47" s="3">
        <v>0</v>
      </c>
    </row>
    <row r="48" spans="1:27" x14ac:dyDescent="0.2">
      <c r="A48">
        <f t="shared" si="0"/>
        <v>1</v>
      </c>
      <c r="B48">
        <f t="shared" si="1"/>
        <v>4</v>
      </c>
      <c r="C48" s="1">
        <v>46042</v>
      </c>
      <c r="D48" t="s">
        <v>25</v>
      </c>
      <c r="E48" t="s">
        <v>26</v>
      </c>
      <c r="F48" t="s">
        <v>39</v>
      </c>
      <c r="G48" t="s">
        <v>40</v>
      </c>
      <c r="H48" t="s">
        <v>29</v>
      </c>
      <c r="I48" t="s">
        <v>30</v>
      </c>
      <c r="J48" t="s">
        <v>78</v>
      </c>
      <c r="K48" t="s">
        <v>42</v>
      </c>
      <c r="L48" t="s">
        <v>79</v>
      </c>
      <c r="M48" s="4">
        <v>125</v>
      </c>
      <c r="N48" s="4">
        <v>2</v>
      </c>
      <c r="O48" s="2">
        <v>1.6E-2</v>
      </c>
      <c r="P48" s="3">
        <v>0.57999999999999996</v>
      </c>
      <c r="Q48" s="3">
        <v>1.1599999999999999</v>
      </c>
      <c r="R48" s="3">
        <v>0</v>
      </c>
      <c r="S48" s="2"/>
      <c r="T48" s="5">
        <v>0</v>
      </c>
      <c r="U48" s="4">
        <v>0</v>
      </c>
      <c r="V48" s="4">
        <v>0</v>
      </c>
      <c r="W48" s="2">
        <v>0</v>
      </c>
      <c r="X48" s="4">
        <v>0</v>
      </c>
      <c r="Y48" s="4">
        <v>0</v>
      </c>
      <c r="Z48" s="3">
        <v>0</v>
      </c>
      <c r="AA48" s="3">
        <v>0</v>
      </c>
    </row>
    <row r="49" spans="1:27" x14ac:dyDescent="0.2">
      <c r="A49">
        <f t="shared" si="0"/>
        <v>1</v>
      </c>
      <c r="B49">
        <f t="shared" si="1"/>
        <v>4</v>
      </c>
      <c r="C49" s="1">
        <v>46040</v>
      </c>
      <c r="D49" t="s">
        <v>25</v>
      </c>
      <c r="E49" t="s">
        <v>26</v>
      </c>
      <c r="F49" t="s">
        <v>49</v>
      </c>
      <c r="G49" t="s">
        <v>50</v>
      </c>
      <c r="H49" t="s">
        <v>29</v>
      </c>
      <c r="I49" t="s">
        <v>30</v>
      </c>
      <c r="J49" t="s">
        <v>51</v>
      </c>
      <c r="K49" t="s">
        <v>42</v>
      </c>
      <c r="L49" t="s">
        <v>80</v>
      </c>
      <c r="M49" s="4">
        <v>1</v>
      </c>
      <c r="N49" s="4">
        <v>1</v>
      </c>
      <c r="O49" s="2">
        <v>1</v>
      </c>
      <c r="P49" s="3">
        <v>0.44</v>
      </c>
      <c r="Q49" s="3">
        <v>0.44</v>
      </c>
      <c r="R49" s="3">
        <v>0</v>
      </c>
      <c r="S49" s="2"/>
      <c r="T49" s="5">
        <v>0</v>
      </c>
      <c r="U49" s="4">
        <v>0</v>
      </c>
      <c r="V49" s="4">
        <v>0</v>
      </c>
      <c r="W49" s="2">
        <v>0</v>
      </c>
      <c r="X49" s="4">
        <v>0</v>
      </c>
      <c r="Y49" s="4">
        <v>0</v>
      </c>
      <c r="Z49" s="3">
        <v>0</v>
      </c>
      <c r="AA49" s="3">
        <v>0</v>
      </c>
    </row>
    <row r="50" spans="1:27" x14ac:dyDescent="0.2">
      <c r="A50">
        <f t="shared" si="0"/>
        <v>1</v>
      </c>
      <c r="B50">
        <f t="shared" si="1"/>
        <v>2</v>
      </c>
      <c r="C50" s="1">
        <v>46026</v>
      </c>
      <c r="D50" t="s">
        <v>25</v>
      </c>
      <c r="E50" t="s">
        <v>26</v>
      </c>
      <c r="F50" t="s">
        <v>49</v>
      </c>
      <c r="G50" t="s">
        <v>50</v>
      </c>
      <c r="H50" t="s">
        <v>29</v>
      </c>
      <c r="I50" t="s">
        <v>30</v>
      </c>
      <c r="J50" t="s">
        <v>51</v>
      </c>
      <c r="K50" t="s">
        <v>42</v>
      </c>
      <c r="L50" t="s">
        <v>81</v>
      </c>
      <c r="M50" s="4">
        <v>1</v>
      </c>
      <c r="N50" s="4">
        <v>1</v>
      </c>
      <c r="O50" s="2">
        <v>1</v>
      </c>
      <c r="P50" s="3">
        <v>0.51</v>
      </c>
      <c r="Q50" s="3">
        <v>0.51</v>
      </c>
      <c r="R50" s="3">
        <v>0</v>
      </c>
      <c r="S50" s="2"/>
      <c r="T50" s="5">
        <v>0</v>
      </c>
      <c r="U50" s="4">
        <v>0</v>
      </c>
      <c r="V50" s="4">
        <v>0</v>
      </c>
      <c r="W50" s="2">
        <v>0</v>
      </c>
      <c r="X50" s="4">
        <v>0</v>
      </c>
      <c r="Y50" s="4">
        <v>0</v>
      </c>
      <c r="Z50" s="3">
        <v>0</v>
      </c>
      <c r="AA50" s="3">
        <v>0</v>
      </c>
    </row>
    <row r="51" spans="1:27" x14ac:dyDescent="0.2">
      <c r="A51">
        <f t="shared" si="0"/>
        <v>1</v>
      </c>
      <c r="B51">
        <f t="shared" si="1"/>
        <v>2</v>
      </c>
      <c r="C51" s="1">
        <v>46031</v>
      </c>
      <c r="D51" t="s">
        <v>25</v>
      </c>
      <c r="E51" t="s">
        <v>26</v>
      </c>
      <c r="F51" t="s">
        <v>61</v>
      </c>
      <c r="G51" t="s">
        <v>62</v>
      </c>
      <c r="H51" t="s">
        <v>29</v>
      </c>
      <c r="I51" t="s">
        <v>30</v>
      </c>
      <c r="J51" t="s">
        <v>51</v>
      </c>
      <c r="K51" t="s">
        <v>42</v>
      </c>
      <c r="L51" t="s">
        <v>82</v>
      </c>
      <c r="M51" s="4">
        <v>4</v>
      </c>
      <c r="N51" s="4">
        <v>1</v>
      </c>
      <c r="O51" s="2">
        <v>0.25</v>
      </c>
      <c r="P51" s="3">
        <v>1.1499999999999999</v>
      </c>
      <c r="Q51" s="3">
        <v>1.1499999999999999</v>
      </c>
      <c r="R51" s="3">
        <v>0</v>
      </c>
      <c r="S51" s="2"/>
      <c r="T51" s="5">
        <v>0</v>
      </c>
      <c r="U51" s="4">
        <v>0</v>
      </c>
      <c r="V51" s="4">
        <v>0</v>
      </c>
      <c r="W51" s="2">
        <v>0</v>
      </c>
      <c r="X51" s="4">
        <v>0</v>
      </c>
      <c r="Y51" s="4">
        <v>0</v>
      </c>
      <c r="Z51" s="3">
        <v>0</v>
      </c>
      <c r="AA51" s="3">
        <v>0</v>
      </c>
    </row>
    <row r="52" spans="1:27" x14ac:dyDescent="0.2">
      <c r="A52">
        <f t="shared" si="0"/>
        <v>1</v>
      </c>
      <c r="B52">
        <f t="shared" si="1"/>
        <v>2</v>
      </c>
      <c r="C52" s="1">
        <v>46027</v>
      </c>
      <c r="D52" t="s">
        <v>25</v>
      </c>
      <c r="E52" t="s">
        <v>26</v>
      </c>
      <c r="F52" t="s">
        <v>61</v>
      </c>
      <c r="G52" t="s">
        <v>62</v>
      </c>
      <c r="H52" t="s">
        <v>29</v>
      </c>
      <c r="I52" t="s">
        <v>30</v>
      </c>
      <c r="J52" t="s">
        <v>51</v>
      </c>
      <c r="K52" t="s">
        <v>42</v>
      </c>
      <c r="L52" t="s">
        <v>83</v>
      </c>
      <c r="M52" s="4">
        <v>1</v>
      </c>
      <c r="N52" s="4">
        <v>1</v>
      </c>
      <c r="O52" s="2">
        <v>1</v>
      </c>
      <c r="P52" s="3">
        <v>1.0900000000000001</v>
      </c>
      <c r="Q52" s="3">
        <v>1.0900000000000001</v>
      </c>
      <c r="R52" s="3">
        <v>0</v>
      </c>
      <c r="S52" s="2"/>
      <c r="T52" s="5">
        <v>0</v>
      </c>
      <c r="U52" s="4">
        <v>0</v>
      </c>
      <c r="V52" s="4">
        <v>0</v>
      </c>
      <c r="W52" s="2">
        <v>0</v>
      </c>
      <c r="X52" s="4">
        <v>0</v>
      </c>
      <c r="Y52" s="4">
        <v>0</v>
      </c>
      <c r="Z52" s="3">
        <v>0</v>
      </c>
      <c r="AA52" s="3">
        <v>0</v>
      </c>
    </row>
    <row r="53" spans="1:27" x14ac:dyDescent="0.2">
      <c r="A53">
        <f t="shared" si="0"/>
        <v>1</v>
      </c>
      <c r="B53">
        <f t="shared" si="1"/>
        <v>1</v>
      </c>
      <c r="C53" s="1">
        <v>46023</v>
      </c>
      <c r="D53" t="s">
        <v>25</v>
      </c>
      <c r="E53" t="s">
        <v>26</v>
      </c>
      <c r="F53" t="s">
        <v>84</v>
      </c>
      <c r="G53" t="s">
        <v>85</v>
      </c>
      <c r="H53" t="s">
        <v>29</v>
      </c>
      <c r="I53" t="s">
        <v>30</v>
      </c>
      <c r="J53" t="s">
        <v>86</v>
      </c>
      <c r="K53" t="s">
        <v>87</v>
      </c>
      <c r="L53" t="s">
        <v>86</v>
      </c>
      <c r="M53" s="4">
        <v>894</v>
      </c>
      <c r="N53" s="4">
        <v>1</v>
      </c>
      <c r="O53" s="2">
        <v>1.1185682326621924E-3</v>
      </c>
      <c r="P53" s="3">
        <v>0.8</v>
      </c>
      <c r="Q53" s="3">
        <v>0.8</v>
      </c>
      <c r="R53" s="3">
        <v>0</v>
      </c>
      <c r="S53" s="2"/>
      <c r="T53" s="5">
        <v>0</v>
      </c>
      <c r="U53" s="4">
        <v>0</v>
      </c>
      <c r="V53" s="4">
        <v>0</v>
      </c>
      <c r="W53" s="2">
        <v>0</v>
      </c>
      <c r="X53" s="4">
        <v>0</v>
      </c>
      <c r="Y53" s="4">
        <v>0</v>
      </c>
      <c r="Z53" s="3">
        <v>0</v>
      </c>
      <c r="AA53" s="3">
        <v>0</v>
      </c>
    </row>
    <row r="54" spans="1:27" x14ac:dyDescent="0.2">
      <c r="A54">
        <f t="shared" si="0"/>
        <v>1</v>
      </c>
      <c r="B54">
        <f t="shared" si="1"/>
        <v>1</v>
      </c>
      <c r="C54" s="1">
        <v>46025</v>
      </c>
      <c r="D54" t="s">
        <v>25</v>
      </c>
      <c r="E54" t="s">
        <v>26</v>
      </c>
      <c r="F54" t="s">
        <v>84</v>
      </c>
      <c r="G54" t="s">
        <v>85</v>
      </c>
      <c r="H54" t="s">
        <v>29</v>
      </c>
      <c r="I54" t="s">
        <v>30</v>
      </c>
      <c r="J54" t="s">
        <v>86</v>
      </c>
      <c r="K54" t="s">
        <v>87</v>
      </c>
      <c r="L54" t="s">
        <v>86</v>
      </c>
      <c r="M54" s="4">
        <v>437</v>
      </c>
      <c r="N54" s="4">
        <v>1</v>
      </c>
      <c r="O54" s="2">
        <v>2.2883295194508009E-3</v>
      </c>
      <c r="P54" s="3">
        <v>1.25</v>
      </c>
      <c r="Q54" s="3">
        <v>1.25</v>
      </c>
      <c r="R54" s="3">
        <v>0</v>
      </c>
      <c r="S54" s="2"/>
      <c r="T54" s="5">
        <v>0</v>
      </c>
      <c r="U54" s="4">
        <v>0</v>
      </c>
      <c r="V54" s="4">
        <v>0</v>
      </c>
      <c r="W54" s="2">
        <v>0</v>
      </c>
      <c r="X54" s="4">
        <v>0</v>
      </c>
      <c r="Y54" s="4">
        <v>0</v>
      </c>
      <c r="Z54" s="3">
        <v>0</v>
      </c>
      <c r="AA54" s="3">
        <v>0</v>
      </c>
    </row>
    <row r="55" spans="1:27" x14ac:dyDescent="0.2">
      <c r="A55">
        <f t="shared" si="0"/>
        <v>1</v>
      </c>
      <c r="B55">
        <f t="shared" si="1"/>
        <v>1</v>
      </c>
      <c r="C55" s="1">
        <v>46024</v>
      </c>
      <c r="D55" t="s">
        <v>25</v>
      </c>
      <c r="E55" t="s">
        <v>26</v>
      </c>
      <c r="F55" t="s">
        <v>88</v>
      </c>
      <c r="G55" t="s">
        <v>86</v>
      </c>
      <c r="H55" t="s">
        <v>29</v>
      </c>
      <c r="I55" t="s">
        <v>30</v>
      </c>
      <c r="J55" t="s">
        <v>47</v>
      </c>
      <c r="K55" t="s">
        <v>42</v>
      </c>
      <c r="L55" t="s">
        <v>86</v>
      </c>
      <c r="M55" s="4">
        <v>2370</v>
      </c>
      <c r="N55" s="4">
        <v>2</v>
      </c>
      <c r="O55" s="2">
        <v>8.438818565400844E-4</v>
      </c>
      <c r="P55" s="3">
        <v>0.41</v>
      </c>
      <c r="Q55" s="3">
        <v>0.82</v>
      </c>
      <c r="R55" s="3">
        <v>0</v>
      </c>
      <c r="S55" s="2"/>
      <c r="T55" s="5">
        <v>0</v>
      </c>
      <c r="U55" s="4">
        <v>0</v>
      </c>
      <c r="V55" s="4">
        <v>0</v>
      </c>
      <c r="W55" s="2">
        <v>0</v>
      </c>
      <c r="X55" s="4">
        <v>0</v>
      </c>
      <c r="Y55" s="4">
        <v>0</v>
      </c>
      <c r="Z55" s="3">
        <v>0</v>
      </c>
      <c r="AA55" s="3">
        <v>0</v>
      </c>
    </row>
    <row r="56" spans="1:27" x14ac:dyDescent="0.2">
      <c r="A56">
        <f t="shared" si="0"/>
        <v>1</v>
      </c>
      <c r="B56">
        <f t="shared" si="1"/>
        <v>2</v>
      </c>
      <c r="C56" s="1">
        <v>46026</v>
      </c>
      <c r="D56" t="s">
        <v>25</v>
      </c>
      <c r="E56" t="s">
        <v>26</v>
      </c>
      <c r="F56" t="s">
        <v>88</v>
      </c>
      <c r="G56" t="s">
        <v>86</v>
      </c>
      <c r="H56" t="s">
        <v>29</v>
      </c>
      <c r="I56" t="s">
        <v>30</v>
      </c>
      <c r="J56" t="s">
        <v>47</v>
      </c>
      <c r="K56" t="s">
        <v>42</v>
      </c>
      <c r="L56" t="s">
        <v>86</v>
      </c>
      <c r="M56" s="4">
        <v>613</v>
      </c>
      <c r="N56" s="4">
        <v>1</v>
      </c>
      <c r="O56" s="2">
        <v>1.6313213703099509E-3</v>
      </c>
      <c r="P56" s="3">
        <v>0.03</v>
      </c>
      <c r="Q56" s="3">
        <v>0.03</v>
      </c>
      <c r="R56" s="3">
        <v>0</v>
      </c>
      <c r="S56" s="2"/>
      <c r="T56" s="5">
        <v>0</v>
      </c>
      <c r="U56" s="4">
        <v>0</v>
      </c>
      <c r="V56" s="4">
        <v>0</v>
      </c>
      <c r="W56" s="2">
        <v>0</v>
      </c>
      <c r="X56" s="4">
        <v>0</v>
      </c>
      <c r="Y56" s="4">
        <v>0</v>
      </c>
      <c r="Z56" s="3">
        <v>0</v>
      </c>
      <c r="AA56" s="3">
        <v>0</v>
      </c>
    </row>
    <row r="57" spans="1:27" x14ac:dyDescent="0.2">
      <c r="A57">
        <f t="shared" si="0"/>
        <v>1</v>
      </c>
      <c r="B57">
        <f t="shared" si="1"/>
        <v>2</v>
      </c>
      <c r="C57" s="1">
        <v>46026</v>
      </c>
      <c r="D57" t="s">
        <v>25</v>
      </c>
      <c r="E57" t="s">
        <v>26</v>
      </c>
      <c r="F57" t="s">
        <v>84</v>
      </c>
      <c r="G57" t="s">
        <v>85</v>
      </c>
      <c r="H57" t="s">
        <v>29</v>
      </c>
      <c r="I57" t="s">
        <v>30</v>
      </c>
      <c r="J57" t="s">
        <v>86</v>
      </c>
      <c r="K57" t="s">
        <v>87</v>
      </c>
      <c r="L57" t="s">
        <v>89</v>
      </c>
      <c r="M57" s="4">
        <v>14</v>
      </c>
      <c r="N57" s="4">
        <v>1</v>
      </c>
      <c r="O57" s="2">
        <v>7.1428571428571425E-2</v>
      </c>
      <c r="P57" s="3">
        <v>0.5</v>
      </c>
      <c r="Q57" s="3">
        <v>0.5</v>
      </c>
      <c r="R57" s="3">
        <v>0</v>
      </c>
      <c r="S57" s="2"/>
      <c r="T57" s="5">
        <v>0</v>
      </c>
      <c r="U57" s="4">
        <v>0</v>
      </c>
      <c r="V57" s="4">
        <v>0</v>
      </c>
      <c r="W57" s="2">
        <v>0</v>
      </c>
      <c r="X57" s="4">
        <v>0</v>
      </c>
      <c r="Y57" s="4">
        <v>0</v>
      </c>
      <c r="Z57" s="3">
        <v>0</v>
      </c>
      <c r="AA57" s="3">
        <v>0</v>
      </c>
    </row>
    <row r="58" spans="1:27" x14ac:dyDescent="0.2">
      <c r="A58">
        <f t="shared" si="0"/>
        <v>1</v>
      </c>
      <c r="B58">
        <f t="shared" si="1"/>
        <v>2</v>
      </c>
      <c r="C58" s="1">
        <v>46026</v>
      </c>
      <c r="D58" t="s">
        <v>25</v>
      </c>
      <c r="E58" t="s">
        <v>26</v>
      </c>
      <c r="F58" t="s">
        <v>84</v>
      </c>
      <c r="G58" t="s">
        <v>85</v>
      </c>
      <c r="H58" t="s">
        <v>29</v>
      </c>
      <c r="I58" t="s">
        <v>30</v>
      </c>
      <c r="J58" t="s">
        <v>86</v>
      </c>
      <c r="K58" t="s">
        <v>87</v>
      </c>
      <c r="L58" t="s">
        <v>90</v>
      </c>
      <c r="M58" s="4">
        <v>47</v>
      </c>
      <c r="N58" s="4">
        <v>1</v>
      </c>
      <c r="O58" s="2">
        <v>2.1276595744680851E-2</v>
      </c>
      <c r="P58" s="3">
        <v>0.04</v>
      </c>
      <c r="Q58" s="3">
        <v>0.04</v>
      </c>
      <c r="R58" s="3">
        <v>0</v>
      </c>
      <c r="S58" s="2"/>
      <c r="T58" s="5">
        <v>0</v>
      </c>
      <c r="U58" s="4">
        <v>0</v>
      </c>
      <c r="V58" s="4">
        <v>0</v>
      </c>
      <c r="W58" s="2">
        <v>0</v>
      </c>
      <c r="X58" s="4">
        <v>0</v>
      </c>
      <c r="Y58" s="4">
        <v>0</v>
      </c>
      <c r="Z58" s="3">
        <v>0</v>
      </c>
      <c r="AA58" s="3">
        <v>0</v>
      </c>
    </row>
    <row r="59" spans="1:27" x14ac:dyDescent="0.2">
      <c r="A59">
        <f t="shared" si="0"/>
        <v>1</v>
      </c>
      <c r="B59">
        <f t="shared" si="1"/>
        <v>1</v>
      </c>
      <c r="C59" s="1">
        <v>46025</v>
      </c>
      <c r="D59" t="s">
        <v>25</v>
      </c>
      <c r="E59" t="s">
        <v>26</v>
      </c>
      <c r="F59" t="s">
        <v>84</v>
      </c>
      <c r="G59" t="s">
        <v>85</v>
      </c>
      <c r="H59" t="s">
        <v>29</v>
      </c>
      <c r="I59" t="s">
        <v>30</v>
      </c>
      <c r="J59" t="s">
        <v>86</v>
      </c>
      <c r="K59" t="s">
        <v>87</v>
      </c>
      <c r="L59" t="s">
        <v>91</v>
      </c>
      <c r="M59" s="4">
        <v>502</v>
      </c>
      <c r="N59" s="4">
        <v>1</v>
      </c>
      <c r="O59" s="2">
        <v>1.9920318725099601E-3</v>
      </c>
      <c r="P59" s="3">
        <v>0.5</v>
      </c>
      <c r="Q59" s="3">
        <v>0.5</v>
      </c>
      <c r="R59" s="3">
        <v>0</v>
      </c>
      <c r="S59" s="2"/>
      <c r="T59" s="5">
        <v>0</v>
      </c>
      <c r="U59" s="4">
        <v>0</v>
      </c>
      <c r="V59" s="4">
        <v>0</v>
      </c>
      <c r="W59" s="2">
        <v>0</v>
      </c>
      <c r="X59" s="4">
        <v>0</v>
      </c>
      <c r="Y59" s="4">
        <v>0</v>
      </c>
      <c r="Z59" s="3">
        <v>0</v>
      </c>
      <c r="AA59" s="3">
        <v>0</v>
      </c>
    </row>
    <row r="60" spans="1:27" x14ac:dyDescent="0.2">
      <c r="A60">
        <f t="shared" si="0"/>
        <v>1</v>
      </c>
      <c r="B60">
        <f t="shared" si="1"/>
        <v>2</v>
      </c>
      <c r="C60" s="1">
        <v>46026</v>
      </c>
      <c r="D60" t="s">
        <v>25</v>
      </c>
      <c r="E60" t="s">
        <v>26</v>
      </c>
      <c r="F60" t="s">
        <v>88</v>
      </c>
      <c r="G60" t="s">
        <v>86</v>
      </c>
      <c r="H60" t="s">
        <v>29</v>
      </c>
      <c r="I60" t="s">
        <v>30</v>
      </c>
      <c r="J60" t="s">
        <v>47</v>
      </c>
      <c r="K60" t="s">
        <v>42</v>
      </c>
      <c r="L60" t="s">
        <v>92</v>
      </c>
      <c r="M60" s="4">
        <v>218</v>
      </c>
      <c r="N60" s="4">
        <v>1</v>
      </c>
      <c r="O60" s="2">
        <v>4.5871559633027525E-3</v>
      </c>
      <c r="P60" s="3">
        <v>0.03</v>
      </c>
      <c r="Q60" s="3">
        <v>0.03</v>
      </c>
      <c r="R60" s="3">
        <v>0</v>
      </c>
      <c r="S60" s="2"/>
      <c r="T60" s="5">
        <v>0</v>
      </c>
      <c r="U60" s="4">
        <v>0</v>
      </c>
      <c r="V60" s="4">
        <v>0</v>
      </c>
      <c r="W60" s="2">
        <v>0</v>
      </c>
      <c r="X60" s="4">
        <v>0</v>
      </c>
      <c r="Y60" s="4">
        <v>0</v>
      </c>
      <c r="Z60" s="3">
        <v>0</v>
      </c>
      <c r="AA60" s="3">
        <v>0</v>
      </c>
    </row>
    <row r="61" spans="1:27" x14ac:dyDescent="0.2">
      <c r="A61">
        <f t="shared" si="0"/>
        <v>1</v>
      </c>
      <c r="B61">
        <f t="shared" si="1"/>
        <v>1</v>
      </c>
      <c r="C61" s="1">
        <v>46023</v>
      </c>
      <c r="D61" t="s">
        <v>25</v>
      </c>
      <c r="E61" t="s">
        <v>26</v>
      </c>
      <c r="F61" t="s">
        <v>84</v>
      </c>
      <c r="G61" t="s">
        <v>85</v>
      </c>
      <c r="H61" t="s">
        <v>29</v>
      </c>
      <c r="I61" t="s">
        <v>30</v>
      </c>
      <c r="J61" t="s">
        <v>86</v>
      </c>
      <c r="K61" t="s">
        <v>87</v>
      </c>
      <c r="L61" t="s">
        <v>93</v>
      </c>
      <c r="M61" s="4">
        <v>122</v>
      </c>
      <c r="N61" s="4">
        <v>1</v>
      </c>
      <c r="O61" s="2">
        <v>8.1967213114754103E-3</v>
      </c>
      <c r="P61" s="3">
        <v>0.48</v>
      </c>
      <c r="Q61" s="3">
        <v>0.48</v>
      </c>
      <c r="R61" s="3">
        <v>0</v>
      </c>
      <c r="S61" s="2"/>
      <c r="T61" s="5">
        <v>0</v>
      </c>
      <c r="U61" s="4">
        <v>0</v>
      </c>
      <c r="V61" s="4">
        <v>0</v>
      </c>
      <c r="W61" s="2">
        <v>0</v>
      </c>
      <c r="X61" s="4">
        <v>0</v>
      </c>
      <c r="Y61" s="4">
        <v>0</v>
      </c>
      <c r="Z61" s="3">
        <v>0</v>
      </c>
      <c r="AA61" s="3">
        <v>0</v>
      </c>
    </row>
    <row r="62" spans="1:27" x14ac:dyDescent="0.2">
      <c r="A62">
        <f t="shared" si="0"/>
        <v>1</v>
      </c>
      <c r="B62">
        <f t="shared" si="1"/>
        <v>1</v>
      </c>
      <c r="C62" s="1">
        <v>46024</v>
      </c>
      <c r="D62" t="s">
        <v>25</v>
      </c>
      <c r="E62" t="s">
        <v>26</v>
      </c>
      <c r="F62" t="s">
        <v>84</v>
      </c>
      <c r="G62" t="s">
        <v>85</v>
      </c>
      <c r="H62" t="s">
        <v>29</v>
      </c>
      <c r="I62" t="s">
        <v>30</v>
      </c>
      <c r="J62" t="s">
        <v>86</v>
      </c>
      <c r="K62" t="s">
        <v>87</v>
      </c>
      <c r="L62" t="s">
        <v>93</v>
      </c>
      <c r="M62" s="4">
        <v>69</v>
      </c>
      <c r="N62" s="4">
        <v>1</v>
      </c>
      <c r="O62" s="2">
        <v>1.4492753623188406E-2</v>
      </c>
      <c r="P62" s="3">
        <v>0.42</v>
      </c>
      <c r="Q62" s="3">
        <v>0.42</v>
      </c>
      <c r="R62" s="3">
        <v>0</v>
      </c>
      <c r="S62" s="2"/>
      <c r="T62" s="5">
        <v>0</v>
      </c>
      <c r="U62" s="4">
        <v>0</v>
      </c>
      <c r="V62" s="4">
        <v>0</v>
      </c>
      <c r="W62" s="2">
        <v>0</v>
      </c>
      <c r="X62" s="4">
        <v>0</v>
      </c>
      <c r="Y62" s="4">
        <v>0</v>
      </c>
      <c r="Z62" s="3">
        <v>0</v>
      </c>
      <c r="AA62" s="3">
        <v>0</v>
      </c>
    </row>
    <row r="63" spans="1:27" x14ac:dyDescent="0.2">
      <c r="A63">
        <f t="shared" si="0"/>
        <v>1</v>
      </c>
      <c r="B63">
        <f t="shared" si="1"/>
        <v>2</v>
      </c>
      <c r="C63" s="1">
        <v>46026</v>
      </c>
      <c r="D63" t="s">
        <v>25</v>
      </c>
      <c r="E63" t="s">
        <v>26</v>
      </c>
      <c r="F63" t="s">
        <v>84</v>
      </c>
      <c r="G63" t="s">
        <v>85</v>
      </c>
      <c r="H63" t="s">
        <v>29</v>
      </c>
      <c r="I63" t="s">
        <v>30</v>
      </c>
      <c r="J63" t="s">
        <v>86</v>
      </c>
      <c r="K63" t="s">
        <v>87</v>
      </c>
      <c r="L63" t="s">
        <v>93</v>
      </c>
      <c r="M63" s="4">
        <v>119</v>
      </c>
      <c r="N63" s="4">
        <v>1</v>
      </c>
      <c r="O63" s="2">
        <v>8.4033613445378148E-3</v>
      </c>
      <c r="P63" s="3">
        <v>0.8</v>
      </c>
      <c r="Q63" s="3">
        <v>0.8</v>
      </c>
      <c r="R63" s="3">
        <v>0</v>
      </c>
      <c r="S63" s="2"/>
      <c r="T63" s="5">
        <v>0</v>
      </c>
      <c r="U63" s="4">
        <v>0</v>
      </c>
      <c r="V63" s="4">
        <v>0</v>
      </c>
      <c r="W63" s="2">
        <v>0</v>
      </c>
      <c r="X63" s="4">
        <v>0</v>
      </c>
      <c r="Y63" s="4">
        <v>0</v>
      </c>
      <c r="Z63" s="3">
        <v>0</v>
      </c>
      <c r="AA63" s="3">
        <v>0</v>
      </c>
    </row>
    <row r="64" spans="1:27" x14ac:dyDescent="0.2">
      <c r="A64">
        <f t="shared" si="0"/>
        <v>1</v>
      </c>
      <c r="B64">
        <f t="shared" si="1"/>
        <v>1</v>
      </c>
      <c r="C64" s="1">
        <v>46023</v>
      </c>
      <c r="D64" t="s">
        <v>25</v>
      </c>
      <c r="E64" t="s">
        <v>26</v>
      </c>
      <c r="F64" t="s">
        <v>84</v>
      </c>
      <c r="G64" t="s">
        <v>85</v>
      </c>
      <c r="H64" t="s">
        <v>29</v>
      </c>
      <c r="I64" t="s">
        <v>30</v>
      </c>
      <c r="J64" t="s">
        <v>86</v>
      </c>
      <c r="K64" t="s">
        <v>87</v>
      </c>
      <c r="L64" t="s">
        <v>94</v>
      </c>
      <c r="M64" s="4">
        <v>68</v>
      </c>
      <c r="N64" s="4">
        <v>1</v>
      </c>
      <c r="O64" s="2">
        <v>1.4705882352941175E-2</v>
      </c>
      <c r="P64" s="3">
        <v>0.8</v>
      </c>
      <c r="Q64" s="3">
        <v>0.8</v>
      </c>
      <c r="R64" s="3">
        <v>0</v>
      </c>
      <c r="S64" s="2"/>
      <c r="T64" s="5">
        <v>0</v>
      </c>
      <c r="U64" s="4">
        <v>0</v>
      </c>
      <c r="V64" s="4">
        <v>0</v>
      </c>
      <c r="W64" s="2">
        <v>0</v>
      </c>
      <c r="X64" s="4">
        <v>0</v>
      </c>
      <c r="Y64" s="4">
        <v>0</v>
      </c>
      <c r="Z64" s="3">
        <v>0</v>
      </c>
      <c r="AA64" s="3">
        <v>0</v>
      </c>
    </row>
    <row r="65" spans="1:27" x14ac:dyDescent="0.2">
      <c r="A65">
        <f t="shared" si="0"/>
        <v>1</v>
      </c>
      <c r="B65">
        <f t="shared" si="1"/>
        <v>3</v>
      </c>
      <c r="C65" s="1">
        <v>46034</v>
      </c>
      <c r="D65" t="s">
        <v>25</v>
      </c>
      <c r="E65" t="s">
        <v>26</v>
      </c>
      <c r="F65" t="s">
        <v>53</v>
      </c>
      <c r="G65" t="s">
        <v>54</v>
      </c>
      <c r="H65" t="s">
        <v>29</v>
      </c>
      <c r="I65" t="s">
        <v>30</v>
      </c>
      <c r="J65" t="s">
        <v>95</v>
      </c>
      <c r="K65" t="s">
        <v>42</v>
      </c>
      <c r="L65" t="s">
        <v>96</v>
      </c>
      <c r="M65" s="4">
        <v>1</v>
      </c>
      <c r="N65" s="4">
        <v>1</v>
      </c>
      <c r="O65" s="2">
        <v>1</v>
      </c>
      <c r="P65" s="3">
        <v>0.72</v>
      </c>
      <c r="Q65" s="3">
        <v>0.72</v>
      </c>
      <c r="R65" s="3">
        <v>0</v>
      </c>
      <c r="S65" s="2"/>
      <c r="T65" s="5">
        <v>0</v>
      </c>
      <c r="U65" s="4">
        <v>0</v>
      </c>
      <c r="V65" s="4">
        <v>0</v>
      </c>
      <c r="W65" s="2">
        <v>0</v>
      </c>
      <c r="X65" s="4">
        <v>0</v>
      </c>
      <c r="Y65" s="4">
        <v>0</v>
      </c>
      <c r="Z65" s="3">
        <v>0</v>
      </c>
      <c r="AA65" s="3">
        <v>0</v>
      </c>
    </row>
    <row r="66" spans="1:27" x14ac:dyDescent="0.2">
      <c r="A66">
        <f t="shared" si="0"/>
        <v>1</v>
      </c>
      <c r="B66">
        <f t="shared" si="1"/>
        <v>1</v>
      </c>
      <c r="C66" s="1">
        <v>46024</v>
      </c>
      <c r="D66" t="s">
        <v>25</v>
      </c>
      <c r="E66" t="s">
        <v>26</v>
      </c>
      <c r="F66" t="s">
        <v>53</v>
      </c>
      <c r="G66" t="s">
        <v>54</v>
      </c>
      <c r="H66" t="s">
        <v>29</v>
      </c>
      <c r="I66" t="s">
        <v>30</v>
      </c>
      <c r="J66" t="s">
        <v>47</v>
      </c>
      <c r="K66" t="s">
        <v>42</v>
      </c>
      <c r="L66" t="s">
        <v>97</v>
      </c>
      <c r="M66" s="4">
        <v>9</v>
      </c>
      <c r="N66" s="4">
        <v>1</v>
      </c>
      <c r="O66" s="2">
        <v>0.1111111111111111</v>
      </c>
      <c r="P66" s="3">
        <v>1.37</v>
      </c>
      <c r="Q66" s="3">
        <v>1.37</v>
      </c>
      <c r="R66" s="3">
        <v>0</v>
      </c>
      <c r="S66" s="2"/>
      <c r="T66" s="5">
        <v>0</v>
      </c>
      <c r="U66" s="4">
        <v>0</v>
      </c>
      <c r="V66" s="4">
        <v>0</v>
      </c>
      <c r="W66" s="2">
        <v>0</v>
      </c>
      <c r="X66" s="4">
        <v>0</v>
      </c>
      <c r="Y66" s="4">
        <v>0</v>
      </c>
      <c r="Z66" s="3">
        <v>0</v>
      </c>
      <c r="AA66" s="3">
        <v>0</v>
      </c>
    </row>
    <row r="67" spans="1:27" x14ac:dyDescent="0.2">
      <c r="A67">
        <f t="shared" ref="A67:A130" si="2">MONTH(C67)</f>
        <v>1</v>
      </c>
      <c r="B67">
        <f t="shared" ref="B67:B130" si="3">WEEKNUM(C67,1)</f>
        <v>3</v>
      </c>
      <c r="C67" s="1">
        <v>46033</v>
      </c>
      <c r="D67" t="s">
        <v>25</v>
      </c>
      <c r="E67" t="s">
        <v>26</v>
      </c>
      <c r="F67" t="s">
        <v>61</v>
      </c>
      <c r="G67" t="s">
        <v>62</v>
      </c>
      <c r="H67" t="s">
        <v>29</v>
      </c>
      <c r="I67" t="s">
        <v>30</v>
      </c>
      <c r="J67" t="s">
        <v>95</v>
      </c>
      <c r="K67" t="s">
        <v>42</v>
      </c>
      <c r="L67" t="s">
        <v>98</v>
      </c>
      <c r="M67" s="4">
        <v>1</v>
      </c>
      <c r="N67" s="4">
        <v>1</v>
      </c>
      <c r="O67" s="2">
        <v>1</v>
      </c>
      <c r="P67" s="3">
        <v>1.31</v>
      </c>
      <c r="Q67" s="3">
        <v>1.31</v>
      </c>
      <c r="R67" s="3">
        <v>0</v>
      </c>
      <c r="S67" s="2"/>
      <c r="T67" s="5">
        <v>0</v>
      </c>
      <c r="U67" s="4">
        <v>0</v>
      </c>
      <c r="V67" s="4">
        <v>0</v>
      </c>
      <c r="W67" s="2">
        <v>0</v>
      </c>
      <c r="X67" s="4">
        <v>0</v>
      </c>
      <c r="Y67" s="4">
        <v>0</v>
      </c>
      <c r="Z67" s="3">
        <v>0</v>
      </c>
      <c r="AA67" s="3">
        <v>0</v>
      </c>
    </row>
    <row r="68" spans="1:27" x14ac:dyDescent="0.2">
      <c r="A68">
        <f t="shared" si="2"/>
        <v>1</v>
      </c>
      <c r="B68">
        <f t="shared" si="3"/>
        <v>3</v>
      </c>
      <c r="C68" s="1">
        <v>46035</v>
      </c>
      <c r="D68" t="s">
        <v>25</v>
      </c>
      <c r="E68" t="s">
        <v>26</v>
      </c>
      <c r="F68" t="s">
        <v>34</v>
      </c>
      <c r="G68" t="s">
        <v>28</v>
      </c>
      <c r="H68" t="s">
        <v>29</v>
      </c>
      <c r="I68" t="s">
        <v>30</v>
      </c>
      <c r="J68" t="s">
        <v>99</v>
      </c>
      <c r="K68" t="s">
        <v>32</v>
      </c>
      <c r="L68" t="s">
        <v>100</v>
      </c>
      <c r="M68" s="4">
        <v>2</v>
      </c>
      <c r="N68" s="4">
        <v>1</v>
      </c>
      <c r="O68" s="2">
        <v>0.5</v>
      </c>
      <c r="P68" s="3">
        <v>1.17</v>
      </c>
      <c r="Q68" s="3">
        <v>1.17</v>
      </c>
      <c r="R68" s="3">
        <v>0</v>
      </c>
      <c r="S68" s="2"/>
      <c r="T68" s="5">
        <v>0</v>
      </c>
      <c r="U68" s="4">
        <v>0</v>
      </c>
      <c r="V68" s="4">
        <v>0</v>
      </c>
      <c r="W68" s="2">
        <v>0</v>
      </c>
      <c r="X68" s="4">
        <v>0</v>
      </c>
      <c r="Y68" s="4">
        <v>0</v>
      </c>
      <c r="Z68" s="3">
        <v>0</v>
      </c>
      <c r="AA68" s="3">
        <v>0</v>
      </c>
    </row>
    <row r="69" spans="1:27" x14ac:dyDescent="0.2">
      <c r="A69">
        <f t="shared" si="2"/>
        <v>1</v>
      </c>
      <c r="B69">
        <f t="shared" si="3"/>
        <v>4</v>
      </c>
      <c r="C69" s="1">
        <v>46040</v>
      </c>
      <c r="D69" t="s">
        <v>25</v>
      </c>
      <c r="E69" t="s">
        <v>26</v>
      </c>
      <c r="F69" t="s">
        <v>27</v>
      </c>
      <c r="G69" t="s">
        <v>28</v>
      </c>
      <c r="H69" t="s">
        <v>29</v>
      </c>
      <c r="I69" t="s">
        <v>30</v>
      </c>
      <c r="J69" t="s">
        <v>101</v>
      </c>
      <c r="K69" t="s">
        <v>32</v>
      </c>
      <c r="L69" t="s">
        <v>102</v>
      </c>
      <c r="M69" s="4">
        <v>1</v>
      </c>
      <c r="N69" s="4">
        <v>1</v>
      </c>
      <c r="O69" s="2">
        <v>1</v>
      </c>
      <c r="P69" s="3">
        <v>0.21</v>
      </c>
      <c r="Q69" s="3">
        <v>0.21</v>
      </c>
      <c r="R69" s="3">
        <v>0</v>
      </c>
      <c r="S69" s="2"/>
      <c r="T69" s="5">
        <v>0</v>
      </c>
      <c r="U69" s="4">
        <v>0</v>
      </c>
      <c r="V69" s="4">
        <v>0</v>
      </c>
      <c r="W69" s="2">
        <v>0</v>
      </c>
      <c r="X69" s="4">
        <v>0</v>
      </c>
      <c r="Y69" s="4">
        <v>0</v>
      </c>
      <c r="Z69" s="3">
        <v>0</v>
      </c>
      <c r="AA69" s="3">
        <v>0</v>
      </c>
    </row>
    <row r="70" spans="1:27" x14ac:dyDescent="0.2">
      <c r="A70">
        <f t="shared" si="2"/>
        <v>1</v>
      </c>
      <c r="B70">
        <f t="shared" si="3"/>
        <v>2</v>
      </c>
      <c r="C70" s="1">
        <v>46029</v>
      </c>
      <c r="D70" t="s">
        <v>25</v>
      </c>
      <c r="E70" t="s">
        <v>26</v>
      </c>
      <c r="F70" t="s">
        <v>49</v>
      </c>
      <c r="G70" t="s">
        <v>50</v>
      </c>
      <c r="H70" t="s">
        <v>29</v>
      </c>
      <c r="I70" t="s">
        <v>30</v>
      </c>
      <c r="J70" t="s">
        <v>47</v>
      </c>
      <c r="K70" t="s">
        <v>42</v>
      </c>
      <c r="L70" t="s">
        <v>103</v>
      </c>
      <c r="M70" s="4">
        <v>1</v>
      </c>
      <c r="N70" s="4">
        <v>1</v>
      </c>
      <c r="O70" s="2">
        <v>1</v>
      </c>
      <c r="P70" s="3">
        <v>0.76</v>
      </c>
      <c r="Q70" s="3">
        <v>0.76</v>
      </c>
      <c r="R70" s="3">
        <v>0</v>
      </c>
      <c r="S70" s="2"/>
      <c r="T70" s="5">
        <v>0</v>
      </c>
      <c r="U70" s="4">
        <v>0</v>
      </c>
      <c r="V70" s="4">
        <v>0</v>
      </c>
      <c r="W70" s="2">
        <v>0</v>
      </c>
      <c r="X70" s="4">
        <v>0</v>
      </c>
      <c r="Y70" s="4">
        <v>0</v>
      </c>
      <c r="Z70" s="3">
        <v>0</v>
      </c>
      <c r="AA70" s="3">
        <v>0</v>
      </c>
    </row>
    <row r="71" spans="1:27" x14ac:dyDescent="0.2">
      <c r="A71">
        <f t="shared" si="2"/>
        <v>1</v>
      </c>
      <c r="B71">
        <f t="shared" si="3"/>
        <v>3</v>
      </c>
      <c r="C71" s="1">
        <v>46034</v>
      </c>
      <c r="D71" t="s">
        <v>25</v>
      </c>
      <c r="E71" t="s">
        <v>26</v>
      </c>
      <c r="F71" t="s">
        <v>49</v>
      </c>
      <c r="G71" t="s">
        <v>50</v>
      </c>
      <c r="H71" t="s">
        <v>29</v>
      </c>
      <c r="I71" t="s">
        <v>30</v>
      </c>
      <c r="J71" t="s">
        <v>95</v>
      </c>
      <c r="K71" t="s">
        <v>42</v>
      </c>
      <c r="L71" t="s">
        <v>104</v>
      </c>
      <c r="M71" s="4">
        <v>2</v>
      </c>
      <c r="N71" s="4">
        <v>1</v>
      </c>
      <c r="O71" s="2">
        <v>0.5</v>
      </c>
      <c r="P71" s="3">
        <v>0.48</v>
      </c>
      <c r="Q71" s="3">
        <v>0.48</v>
      </c>
      <c r="R71" s="3">
        <v>0</v>
      </c>
      <c r="S71" s="2"/>
      <c r="T71" s="5">
        <v>0</v>
      </c>
      <c r="U71" s="4">
        <v>0</v>
      </c>
      <c r="V71" s="4">
        <v>0</v>
      </c>
      <c r="W71" s="2">
        <v>0</v>
      </c>
      <c r="X71" s="4">
        <v>0</v>
      </c>
      <c r="Y71" s="4">
        <v>0</v>
      </c>
      <c r="Z71" s="3">
        <v>0</v>
      </c>
      <c r="AA71" s="3">
        <v>0</v>
      </c>
    </row>
    <row r="72" spans="1:27" x14ac:dyDescent="0.2">
      <c r="A72">
        <f t="shared" si="2"/>
        <v>1</v>
      </c>
      <c r="B72">
        <f t="shared" si="3"/>
        <v>1</v>
      </c>
      <c r="C72" s="1">
        <v>46024</v>
      </c>
      <c r="D72" t="s">
        <v>25</v>
      </c>
      <c r="E72" t="s">
        <v>26</v>
      </c>
      <c r="F72" t="s">
        <v>53</v>
      </c>
      <c r="G72" t="s">
        <v>54</v>
      </c>
      <c r="H72" t="s">
        <v>29</v>
      </c>
      <c r="I72" t="s">
        <v>30</v>
      </c>
      <c r="J72" t="s">
        <v>47</v>
      </c>
      <c r="K72" t="s">
        <v>42</v>
      </c>
      <c r="L72" t="s">
        <v>105</v>
      </c>
      <c r="M72" s="4">
        <v>29</v>
      </c>
      <c r="N72" s="4">
        <v>1</v>
      </c>
      <c r="O72" s="2">
        <v>3.4482758620689655E-2</v>
      </c>
      <c r="P72" s="3">
        <v>0.91</v>
      </c>
      <c r="Q72" s="3">
        <v>0.91</v>
      </c>
      <c r="R72" s="3">
        <v>0</v>
      </c>
      <c r="S72" s="2"/>
      <c r="T72" s="5">
        <v>0</v>
      </c>
      <c r="U72" s="4">
        <v>0</v>
      </c>
      <c r="V72" s="4">
        <v>0</v>
      </c>
      <c r="W72" s="2">
        <v>0</v>
      </c>
      <c r="X72" s="4">
        <v>0</v>
      </c>
      <c r="Y72" s="4">
        <v>0</v>
      </c>
      <c r="Z72" s="3">
        <v>0</v>
      </c>
      <c r="AA72" s="3">
        <v>0</v>
      </c>
    </row>
    <row r="73" spans="1:27" x14ac:dyDescent="0.2">
      <c r="A73">
        <f t="shared" si="2"/>
        <v>1</v>
      </c>
      <c r="B73">
        <f t="shared" si="3"/>
        <v>2</v>
      </c>
      <c r="C73" s="1">
        <v>46028</v>
      </c>
      <c r="D73" t="s">
        <v>25</v>
      </c>
      <c r="E73" t="s">
        <v>26</v>
      </c>
      <c r="F73" t="s">
        <v>53</v>
      </c>
      <c r="G73" t="s">
        <v>54</v>
      </c>
      <c r="H73" t="s">
        <v>29</v>
      </c>
      <c r="I73" t="s">
        <v>30</v>
      </c>
      <c r="J73" t="s">
        <v>47</v>
      </c>
      <c r="K73" t="s">
        <v>42</v>
      </c>
      <c r="L73" t="s">
        <v>105</v>
      </c>
      <c r="M73" s="4">
        <v>22</v>
      </c>
      <c r="N73" s="4">
        <v>1</v>
      </c>
      <c r="O73" s="2">
        <v>4.5454545454545463E-2</v>
      </c>
      <c r="P73" s="3">
        <v>0.95</v>
      </c>
      <c r="Q73" s="3">
        <v>0.95</v>
      </c>
      <c r="R73" s="3">
        <v>0</v>
      </c>
      <c r="S73" s="2"/>
      <c r="T73" s="5">
        <v>0</v>
      </c>
      <c r="U73" s="4">
        <v>0</v>
      </c>
      <c r="V73" s="4">
        <v>0</v>
      </c>
      <c r="W73" s="2">
        <v>0</v>
      </c>
      <c r="X73" s="4">
        <v>0</v>
      </c>
      <c r="Y73" s="4">
        <v>0</v>
      </c>
      <c r="Z73" s="3">
        <v>0</v>
      </c>
      <c r="AA73" s="3">
        <v>0</v>
      </c>
    </row>
    <row r="74" spans="1:27" x14ac:dyDescent="0.2">
      <c r="A74">
        <f t="shared" si="2"/>
        <v>1</v>
      </c>
      <c r="B74">
        <f t="shared" si="3"/>
        <v>2</v>
      </c>
      <c r="C74" s="1">
        <v>46030</v>
      </c>
      <c r="D74" t="s">
        <v>25</v>
      </c>
      <c r="E74" t="s">
        <v>26</v>
      </c>
      <c r="F74" t="s">
        <v>53</v>
      </c>
      <c r="G74" t="s">
        <v>54</v>
      </c>
      <c r="H74" t="s">
        <v>29</v>
      </c>
      <c r="I74" t="s">
        <v>30</v>
      </c>
      <c r="J74" t="s">
        <v>47</v>
      </c>
      <c r="K74" t="s">
        <v>42</v>
      </c>
      <c r="L74" t="s">
        <v>105</v>
      </c>
      <c r="M74" s="4">
        <v>11</v>
      </c>
      <c r="N74" s="4">
        <v>1</v>
      </c>
      <c r="O74" s="2">
        <v>9.0909090909090925E-2</v>
      </c>
      <c r="P74" s="3">
        <v>0.99</v>
      </c>
      <c r="Q74" s="3">
        <v>0.99</v>
      </c>
      <c r="R74" s="3">
        <v>0</v>
      </c>
      <c r="S74" s="2"/>
      <c r="T74" s="5">
        <v>0</v>
      </c>
      <c r="U74" s="4">
        <v>0</v>
      </c>
      <c r="V74" s="4">
        <v>0</v>
      </c>
      <c r="W74" s="2">
        <v>0</v>
      </c>
      <c r="X74" s="4">
        <v>0</v>
      </c>
      <c r="Y74" s="4">
        <v>0</v>
      </c>
      <c r="Z74" s="3">
        <v>0</v>
      </c>
      <c r="AA74" s="3">
        <v>0</v>
      </c>
    </row>
    <row r="75" spans="1:27" x14ac:dyDescent="0.2">
      <c r="A75">
        <f t="shared" si="2"/>
        <v>1</v>
      </c>
      <c r="B75">
        <f t="shared" si="3"/>
        <v>1</v>
      </c>
      <c r="C75" s="1">
        <v>46025</v>
      </c>
      <c r="D75" t="s">
        <v>25</v>
      </c>
      <c r="E75" t="s">
        <v>26</v>
      </c>
      <c r="F75" t="s">
        <v>53</v>
      </c>
      <c r="G75" t="s">
        <v>54</v>
      </c>
      <c r="H75" t="s">
        <v>29</v>
      </c>
      <c r="I75" t="s">
        <v>30</v>
      </c>
      <c r="J75" t="s">
        <v>95</v>
      </c>
      <c r="K75" t="s">
        <v>42</v>
      </c>
      <c r="L75" t="s">
        <v>106</v>
      </c>
      <c r="M75" s="4">
        <v>2</v>
      </c>
      <c r="N75" s="4">
        <v>1</v>
      </c>
      <c r="O75" s="2">
        <v>0.5</v>
      </c>
      <c r="P75" s="3">
        <v>0.72</v>
      </c>
      <c r="Q75" s="3">
        <v>0.72</v>
      </c>
      <c r="R75" s="3">
        <v>0</v>
      </c>
      <c r="S75" s="2"/>
      <c r="T75" s="5">
        <v>0</v>
      </c>
      <c r="U75" s="4">
        <v>0</v>
      </c>
      <c r="V75" s="4">
        <v>0</v>
      </c>
      <c r="W75" s="2">
        <v>0</v>
      </c>
      <c r="X75" s="4">
        <v>0</v>
      </c>
      <c r="Y75" s="4">
        <v>0</v>
      </c>
      <c r="Z75" s="3">
        <v>0</v>
      </c>
      <c r="AA75" s="3">
        <v>0</v>
      </c>
    </row>
    <row r="76" spans="1:27" x14ac:dyDescent="0.2">
      <c r="A76">
        <f t="shared" si="2"/>
        <v>1</v>
      </c>
      <c r="B76">
        <f t="shared" si="3"/>
        <v>1</v>
      </c>
      <c r="C76" s="1">
        <v>46025</v>
      </c>
      <c r="D76" t="s">
        <v>25</v>
      </c>
      <c r="E76" t="s">
        <v>26</v>
      </c>
      <c r="F76" t="s">
        <v>61</v>
      </c>
      <c r="G76" t="s">
        <v>62</v>
      </c>
      <c r="H76" t="s">
        <v>29</v>
      </c>
      <c r="I76" t="s">
        <v>30</v>
      </c>
      <c r="J76" t="s">
        <v>95</v>
      </c>
      <c r="K76" t="s">
        <v>42</v>
      </c>
      <c r="L76" t="s">
        <v>107</v>
      </c>
      <c r="M76" s="4">
        <v>1</v>
      </c>
      <c r="N76" s="4">
        <v>1</v>
      </c>
      <c r="O76" s="2">
        <v>1</v>
      </c>
      <c r="P76" s="3">
        <v>1.4</v>
      </c>
      <c r="Q76" s="3">
        <v>1.4</v>
      </c>
      <c r="R76" s="3">
        <v>0</v>
      </c>
      <c r="S76" s="2"/>
      <c r="T76" s="5">
        <v>0</v>
      </c>
      <c r="U76" s="4">
        <v>0</v>
      </c>
      <c r="V76" s="4">
        <v>0</v>
      </c>
      <c r="W76" s="2">
        <v>0</v>
      </c>
      <c r="X76" s="4">
        <v>0</v>
      </c>
      <c r="Y76" s="4">
        <v>0</v>
      </c>
      <c r="Z76" s="3">
        <v>0</v>
      </c>
      <c r="AA76" s="3">
        <v>0</v>
      </c>
    </row>
    <row r="77" spans="1:27" x14ac:dyDescent="0.2">
      <c r="A77">
        <f t="shared" si="2"/>
        <v>1</v>
      </c>
      <c r="B77">
        <f t="shared" si="3"/>
        <v>4</v>
      </c>
      <c r="C77" s="1">
        <v>46041</v>
      </c>
      <c r="D77" t="s">
        <v>25</v>
      </c>
      <c r="E77" t="s">
        <v>26</v>
      </c>
      <c r="F77" t="s">
        <v>45</v>
      </c>
      <c r="G77" t="s">
        <v>46</v>
      </c>
      <c r="H77" t="s">
        <v>29</v>
      </c>
      <c r="I77" t="s">
        <v>30</v>
      </c>
      <c r="J77" t="s">
        <v>47</v>
      </c>
      <c r="K77" t="s">
        <v>42</v>
      </c>
      <c r="L77" t="s">
        <v>108</v>
      </c>
      <c r="M77" s="4">
        <v>3</v>
      </c>
      <c r="N77" s="4">
        <v>1</v>
      </c>
      <c r="O77" s="2">
        <v>0.33333333333333331</v>
      </c>
      <c r="P77" s="3">
        <v>0.54</v>
      </c>
      <c r="Q77" s="3">
        <v>0.54</v>
      </c>
      <c r="R77" s="3">
        <v>0</v>
      </c>
      <c r="S77" s="2"/>
      <c r="T77" s="5">
        <v>0</v>
      </c>
      <c r="U77" s="4">
        <v>0</v>
      </c>
      <c r="V77" s="4">
        <v>0</v>
      </c>
      <c r="W77" s="2">
        <v>0</v>
      </c>
      <c r="X77" s="4">
        <v>0</v>
      </c>
      <c r="Y77" s="4">
        <v>0</v>
      </c>
      <c r="Z77" s="3">
        <v>0</v>
      </c>
      <c r="AA77" s="3">
        <v>0</v>
      </c>
    </row>
    <row r="78" spans="1:27" x14ac:dyDescent="0.2">
      <c r="A78">
        <f t="shared" si="2"/>
        <v>1</v>
      </c>
      <c r="B78">
        <f t="shared" si="3"/>
        <v>3</v>
      </c>
      <c r="C78" s="1">
        <v>46038</v>
      </c>
      <c r="D78" t="s">
        <v>25</v>
      </c>
      <c r="E78" t="s">
        <v>26</v>
      </c>
      <c r="F78" t="s">
        <v>53</v>
      </c>
      <c r="G78" t="s">
        <v>54</v>
      </c>
      <c r="H78" t="s">
        <v>29</v>
      </c>
      <c r="I78" t="s">
        <v>30</v>
      </c>
      <c r="J78" t="s">
        <v>47</v>
      </c>
      <c r="K78" t="s">
        <v>42</v>
      </c>
      <c r="L78" t="s">
        <v>108</v>
      </c>
      <c r="M78" s="4">
        <v>4</v>
      </c>
      <c r="N78" s="4">
        <v>1</v>
      </c>
      <c r="O78" s="2">
        <v>0.25</v>
      </c>
      <c r="P78" s="3">
        <v>0.6</v>
      </c>
      <c r="Q78" s="3">
        <v>0.6</v>
      </c>
      <c r="R78" s="3">
        <v>0</v>
      </c>
      <c r="S78" s="2"/>
      <c r="T78" s="5">
        <v>0</v>
      </c>
      <c r="U78" s="4">
        <v>0</v>
      </c>
      <c r="V78" s="4">
        <v>0</v>
      </c>
      <c r="W78" s="2">
        <v>0</v>
      </c>
      <c r="X78" s="4">
        <v>0</v>
      </c>
      <c r="Y78" s="4">
        <v>0</v>
      </c>
      <c r="Z78" s="3">
        <v>0</v>
      </c>
      <c r="AA78" s="3">
        <v>0</v>
      </c>
    </row>
    <row r="79" spans="1:27" x14ac:dyDescent="0.2">
      <c r="A79">
        <f t="shared" si="2"/>
        <v>1</v>
      </c>
      <c r="B79">
        <f t="shared" si="3"/>
        <v>4</v>
      </c>
      <c r="C79" s="1">
        <v>46040</v>
      </c>
      <c r="D79" t="s">
        <v>25</v>
      </c>
      <c r="E79" t="s">
        <v>26</v>
      </c>
      <c r="F79" t="s">
        <v>53</v>
      </c>
      <c r="G79" t="s">
        <v>54</v>
      </c>
      <c r="H79" t="s">
        <v>29</v>
      </c>
      <c r="I79" t="s">
        <v>30</v>
      </c>
      <c r="J79" t="s">
        <v>47</v>
      </c>
      <c r="K79" t="s">
        <v>42</v>
      </c>
      <c r="L79" t="s">
        <v>108</v>
      </c>
      <c r="M79" s="4">
        <v>12</v>
      </c>
      <c r="N79" s="4">
        <v>1</v>
      </c>
      <c r="O79" s="2">
        <v>8.3333333333333315E-2</v>
      </c>
      <c r="P79" s="3">
        <v>0.6</v>
      </c>
      <c r="Q79" s="3">
        <v>0.6</v>
      </c>
      <c r="R79" s="3">
        <v>0</v>
      </c>
      <c r="S79" s="2"/>
      <c r="T79" s="5">
        <v>0</v>
      </c>
      <c r="U79" s="4">
        <v>0</v>
      </c>
      <c r="V79" s="4">
        <v>0</v>
      </c>
      <c r="W79" s="2">
        <v>0</v>
      </c>
      <c r="X79" s="4">
        <v>0</v>
      </c>
      <c r="Y79" s="4">
        <v>0</v>
      </c>
      <c r="Z79" s="3">
        <v>0</v>
      </c>
      <c r="AA79" s="3">
        <v>0</v>
      </c>
    </row>
    <row r="80" spans="1:27" x14ac:dyDescent="0.2">
      <c r="A80">
        <f t="shared" si="2"/>
        <v>1</v>
      </c>
      <c r="B80">
        <f t="shared" si="3"/>
        <v>3</v>
      </c>
      <c r="C80" s="1">
        <v>46034</v>
      </c>
      <c r="D80" t="s">
        <v>25</v>
      </c>
      <c r="E80" t="s">
        <v>26</v>
      </c>
      <c r="F80" t="s">
        <v>45</v>
      </c>
      <c r="G80" t="s">
        <v>46</v>
      </c>
      <c r="H80" t="s">
        <v>29</v>
      </c>
      <c r="I80" t="s">
        <v>30</v>
      </c>
      <c r="J80" t="s">
        <v>47</v>
      </c>
      <c r="K80" t="s">
        <v>42</v>
      </c>
      <c r="L80" t="s">
        <v>109</v>
      </c>
      <c r="M80" s="4">
        <v>1</v>
      </c>
      <c r="N80" s="4">
        <v>1</v>
      </c>
      <c r="O80" s="2">
        <v>1</v>
      </c>
      <c r="P80" s="3">
        <v>0.42</v>
      </c>
      <c r="Q80" s="3">
        <v>0.42</v>
      </c>
      <c r="R80" s="3">
        <v>0</v>
      </c>
      <c r="S80" s="2"/>
      <c r="T80" s="5">
        <v>0</v>
      </c>
      <c r="U80" s="4">
        <v>0</v>
      </c>
      <c r="V80" s="4">
        <v>0</v>
      </c>
      <c r="W80" s="2">
        <v>0</v>
      </c>
      <c r="X80" s="4">
        <v>0</v>
      </c>
      <c r="Y80" s="4">
        <v>0</v>
      </c>
      <c r="Z80" s="3">
        <v>0</v>
      </c>
      <c r="AA80" s="3">
        <v>0</v>
      </c>
    </row>
    <row r="81" spans="1:27" x14ac:dyDescent="0.2">
      <c r="A81">
        <f t="shared" si="2"/>
        <v>1</v>
      </c>
      <c r="B81">
        <f t="shared" si="3"/>
        <v>2</v>
      </c>
      <c r="C81" s="1">
        <v>46027</v>
      </c>
      <c r="D81" t="s">
        <v>25</v>
      </c>
      <c r="E81" t="s">
        <v>26</v>
      </c>
      <c r="F81" t="s">
        <v>53</v>
      </c>
      <c r="G81" t="s">
        <v>54</v>
      </c>
      <c r="H81" t="s">
        <v>29</v>
      </c>
      <c r="I81" t="s">
        <v>30</v>
      </c>
      <c r="J81" t="s">
        <v>47</v>
      </c>
      <c r="K81" t="s">
        <v>42</v>
      </c>
      <c r="L81" t="s">
        <v>109</v>
      </c>
      <c r="M81" s="4">
        <v>11</v>
      </c>
      <c r="N81" s="4">
        <v>1</v>
      </c>
      <c r="O81" s="2">
        <v>9.0909090909090925E-2</v>
      </c>
      <c r="P81" s="3">
        <v>0.99</v>
      </c>
      <c r="Q81" s="3">
        <v>0.99</v>
      </c>
      <c r="R81" s="3">
        <v>7.83</v>
      </c>
      <c r="S81" s="2">
        <v>0.12643678160919539</v>
      </c>
      <c r="T81" s="5">
        <v>7.9090909090909092</v>
      </c>
      <c r="U81" s="4">
        <v>1</v>
      </c>
      <c r="V81" s="4">
        <v>1</v>
      </c>
      <c r="W81" s="2">
        <v>1</v>
      </c>
      <c r="X81" s="4">
        <v>1</v>
      </c>
      <c r="Y81" s="4">
        <v>0</v>
      </c>
      <c r="Z81" s="3">
        <v>7.83</v>
      </c>
      <c r="AA81" s="3">
        <v>0</v>
      </c>
    </row>
    <row r="82" spans="1:27" x14ac:dyDescent="0.2">
      <c r="A82">
        <f t="shared" si="2"/>
        <v>1</v>
      </c>
      <c r="B82">
        <f t="shared" si="3"/>
        <v>3</v>
      </c>
      <c r="C82" s="1">
        <v>46034</v>
      </c>
      <c r="D82" t="s">
        <v>25</v>
      </c>
      <c r="E82" t="s">
        <v>26</v>
      </c>
      <c r="F82" t="s">
        <v>53</v>
      </c>
      <c r="G82" t="s">
        <v>54</v>
      </c>
      <c r="H82" t="s">
        <v>29</v>
      </c>
      <c r="I82" t="s">
        <v>30</v>
      </c>
      <c r="J82" t="s">
        <v>47</v>
      </c>
      <c r="K82" t="s">
        <v>42</v>
      </c>
      <c r="L82" t="s">
        <v>109</v>
      </c>
      <c r="M82" s="4">
        <v>8</v>
      </c>
      <c r="N82" s="4">
        <v>1</v>
      </c>
      <c r="O82" s="2">
        <v>0.125</v>
      </c>
      <c r="P82" s="3">
        <v>0.6</v>
      </c>
      <c r="Q82" s="3">
        <v>0.6</v>
      </c>
      <c r="R82" s="3">
        <v>0</v>
      </c>
      <c r="S82" s="2"/>
      <c r="T82" s="5">
        <v>0</v>
      </c>
      <c r="U82" s="4">
        <v>0</v>
      </c>
      <c r="V82" s="4">
        <v>0</v>
      </c>
      <c r="W82" s="2">
        <v>0</v>
      </c>
      <c r="X82" s="4">
        <v>0</v>
      </c>
      <c r="Y82" s="4">
        <v>0</v>
      </c>
      <c r="Z82" s="3">
        <v>0</v>
      </c>
      <c r="AA82" s="3">
        <v>0</v>
      </c>
    </row>
    <row r="83" spans="1:27" x14ac:dyDescent="0.2">
      <c r="A83">
        <f t="shared" si="2"/>
        <v>1</v>
      </c>
      <c r="B83">
        <f t="shared" si="3"/>
        <v>1</v>
      </c>
      <c r="C83" s="1">
        <v>46023</v>
      </c>
      <c r="D83" t="s">
        <v>25</v>
      </c>
      <c r="E83" t="s">
        <v>26</v>
      </c>
      <c r="F83" t="s">
        <v>53</v>
      </c>
      <c r="G83" t="s">
        <v>54</v>
      </c>
      <c r="H83" t="s">
        <v>29</v>
      </c>
      <c r="I83" t="s">
        <v>30</v>
      </c>
      <c r="J83" t="s">
        <v>47</v>
      </c>
      <c r="K83" t="s">
        <v>42</v>
      </c>
      <c r="L83" t="s">
        <v>110</v>
      </c>
      <c r="M83" s="4">
        <v>19</v>
      </c>
      <c r="N83" s="4">
        <v>1</v>
      </c>
      <c r="O83" s="2">
        <v>5.2631578947368418E-2</v>
      </c>
      <c r="P83" s="3">
        <v>0.6</v>
      </c>
      <c r="Q83" s="3">
        <v>0.6</v>
      </c>
      <c r="R83" s="3">
        <v>0</v>
      </c>
      <c r="S83" s="2"/>
      <c r="T83" s="5">
        <v>0</v>
      </c>
      <c r="U83" s="4">
        <v>0</v>
      </c>
      <c r="V83" s="4">
        <v>0</v>
      </c>
      <c r="W83" s="2">
        <v>0</v>
      </c>
      <c r="X83" s="4">
        <v>0</v>
      </c>
      <c r="Y83" s="4">
        <v>0</v>
      </c>
      <c r="Z83" s="3">
        <v>0</v>
      </c>
      <c r="AA83" s="3">
        <v>0</v>
      </c>
    </row>
    <row r="84" spans="1:27" x14ac:dyDescent="0.2">
      <c r="A84">
        <f t="shared" si="2"/>
        <v>1</v>
      </c>
      <c r="B84">
        <f t="shared" si="3"/>
        <v>2</v>
      </c>
      <c r="C84" s="1">
        <v>46028</v>
      </c>
      <c r="D84" t="s">
        <v>25</v>
      </c>
      <c r="E84" t="s">
        <v>26</v>
      </c>
      <c r="F84" t="s">
        <v>53</v>
      </c>
      <c r="G84" t="s">
        <v>54</v>
      </c>
      <c r="H84" t="s">
        <v>29</v>
      </c>
      <c r="I84" t="s">
        <v>30</v>
      </c>
      <c r="J84" t="s">
        <v>47</v>
      </c>
      <c r="K84" t="s">
        <v>42</v>
      </c>
      <c r="L84" t="s">
        <v>110</v>
      </c>
      <c r="M84" s="4">
        <v>32</v>
      </c>
      <c r="N84" s="4">
        <v>1</v>
      </c>
      <c r="O84" s="2">
        <v>3.125E-2</v>
      </c>
      <c r="P84" s="3">
        <v>0.6</v>
      </c>
      <c r="Q84" s="3">
        <v>0.6</v>
      </c>
      <c r="R84" s="3">
        <v>0</v>
      </c>
      <c r="S84" s="2"/>
      <c r="T84" s="5">
        <v>0</v>
      </c>
      <c r="U84" s="4">
        <v>0</v>
      </c>
      <c r="V84" s="4">
        <v>0</v>
      </c>
      <c r="W84" s="2">
        <v>0</v>
      </c>
      <c r="X84" s="4">
        <v>0</v>
      </c>
      <c r="Y84" s="4">
        <v>0</v>
      </c>
      <c r="Z84" s="3">
        <v>0</v>
      </c>
      <c r="AA84" s="3">
        <v>0</v>
      </c>
    </row>
    <row r="85" spans="1:27" x14ac:dyDescent="0.2">
      <c r="A85">
        <f t="shared" si="2"/>
        <v>1</v>
      </c>
      <c r="B85">
        <f t="shared" si="3"/>
        <v>1</v>
      </c>
      <c r="C85" s="1">
        <v>46025</v>
      </c>
      <c r="D85" t="s">
        <v>25</v>
      </c>
      <c r="E85" t="s">
        <v>26</v>
      </c>
      <c r="F85" t="s">
        <v>53</v>
      </c>
      <c r="G85" t="s">
        <v>54</v>
      </c>
      <c r="H85" t="s">
        <v>29</v>
      </c>
      <c r="I85" t="s">
        <v>30</v>
      </c>
      <c r="J85" t="s">
        <v>47</v>
      </c>
      <c r="K85" t="s">
        <v>42</v>
      </c>
      <c r="L85" t="s">
        <v>111</v>
      </c>
      <c r="M85" s="4">
        <v>4</v>
      </c>
      <c r="N85" s="4">
        <v>1</v>
      </c>
      <c r="O85" s="2">
        <v>0.25</v>
      </c>
      <c r="P85" s="3">
        <v>0.99</v>
      </c>
      <c r="Q85" s="3">
        <v>0.99</v>
      </c>
      <c r="R85" s="3">
        <v>0</v>
      </c>
      <c r="S85" s="2"/>
      <c r="T85" s="5">
        <v>0</v>
      </c>
      <c r="U85" s="4">
        <v>0</v>
      </c>
      <c r="V85" s="4">
        <v>0</v>
      </c>
      <c r="W85" s="2">
        <v>0</v>
      </c>
      <c r="X85" s="4">
        <v>0</v>
      </c>
      <c r="Y85" s="4">
        <v>0</v>
      </c>
      <c r="Z85" s="3">
        <v>0</v>
      </c>
      <c r="AA85" s="3">
        <v>0</v>
      </c>
    </row>
    <row r="86" spans="1:27" x14ac:dyDescent="0.2">
      <c r="A86">
        <f t="shared" si="2"/>
        <v>1</v>
      </c>
      <c r="B86">
        <f t="shared" si="3"/>
        <v>1</v>
      </c>
      <c r="C86" s="1">
        <v>46024</v>
      </c>
      <c r="D86" t="s">
        <v>25</v>
      </c>
      <c r="E86" t="s">
        <v>26</v>
      </c>
      <c r="F86" t="s">
        <v>112</v>
      </c>
      <c r="G86" t="s">
        <v>113</v>
      </c>
      <c r="H86" t="s">
        <v>29</v>
      </c>
      <c r="I86" t="s">
        <v>30</v>
      </c>
      <c r="J86" t="s">
        <v>111</v>
      </c>
      <c r="K86" t="s">
        <v>32</v>
      </c>
      <c r="L86" t="s">
        <v>111</v>
      </c>
      <c r="M86" s="4">
        <v>10</v>
      </c>
      <c r="N86" s="4">
        <v>1</v>
      </c>
      <c r="O86" s="2">
        <v>0.1</v>
      </c>
      <c r="P86" s="3">
        <v>0.45</v>
      </c>
      <c r="Q86" s="3">
        <v>0.45</v>
      </c>
      <c r="R86" s="3">
        <v>0</v>
      </c>
      <c r="S86" s="2"/>
      <c r="T86" s="5">
        <v>0</v>
      </c>
      <c r="U86" s="4">
        <v>0</v>
      </c>
      <c r="V86" s="4">
        <v>0</v>
      </c>
      <c r="W86" s="2">
        <v>0</v>
      </c>
      <c r="X86" s="4">
        <v>0</v>
      </c>
      <c r="Y86" s="4">
        <v>0</v>
      </c>
      <c r="Z86" s="3">
        <v>0</v>
      </c>
      <c r="AA86" s="3">
        <v>0</v>
      </c>
    </row>
    <row r="87" spans="1:27" x14ac:dyDescent="0.2">
      <c r="A87">
        <f t="shared" si="2"/>
        <v>1</v>
      </c>
      <c r="B87">
        <f t="shared" si="3"/>
        <v>1</v>
      </c>
      <c r="C87" s="1">
        <v>46024</v>
      </c>
      <c r="D87" t="s">
        <v>25</v>
      </c>
      <c r="E87" t="s">
        <v>26</v>
      </c>
      <c r="F87" t="s">
        <v>61</v>
      </c>
      <c r="G87" t="s">
        <v>62</v>
      </c>
      <c r="H87" t="s">
        <v>29</v>
      </c>
      <c r="I87" t="s">
        <v>30</v>
      </c>
      <c r="J87" t="s">
        <v>95</v>
      </c>
      <c r="K87" t="s">
        <v>42</v>
      </c>
      <c r="L87" t="s">
        <v>114</v>
      </c>
      <c r="M87" s="4">
        <v>2</v>
      </c>
      <c r="N87" s="4">
        <v>1</v>
      </c>
      <c r="O87" s="2">
        <v>0.5</v>
      </c>
      <c r="P87" s="3">
        <v>0.24</v>
      </c>
      <c r="Q87" s="3">
        <v>0.24</v>
      </c>
      <c r="R87" s="3">
        <v>0</v>
      </c>
      <c r="S87" s="2"/>
      <c r="T87" s="5">
        <v>0</v>
      </c>
      <c r="U87" s="4">
        <v>0</v>
      </c>
      <c r="V87" s="4">
        <v>0</v>
      </c>
      <c r="W87" s="2">
        <v>0</v>
      </c>
      <c r="X87" s="4">
        <v>0</v>
      </c>
      <c r="Y87" s="4">
        <v>0</v>
      </c>
      <c r="Z87" s="3">
        <v>0</v>
      </c>
      <c r="AA87" s="3">
        <v>0</v>
      </c>
    </row>
    <row r="88" spans="1:27" x14ac:dyDescent="0.2">
      <c r="A88">
        <f t="shared" si="2"/>
        <v>1</v>
      </c>
      <c r="B88">
        <f t="shared" si="3"/>
        <v>2</v>
      </c>
      <c r="C88" s="1">
        <v>46026</v>
      </c>
      <c r="D88" t="s">
        <v>25</v>
      </c>
      <c r="E88" t="s">
        <v>26</v>
      </c>
      <c r="F88" t="s">
        <v>84</v>
      </c>
      <c r="G88" t="s">
        <v>115</v>
      </c>
      <c r="H88" t="s">
        <v>29</v>
      </c>
      <c r="I88" t="s">
        <v>30</v>
      </c>
      <c r="J88" t="s">
        <v>86</v>
      </c>
      <c r="K88" t="s">
        <v>32</v>
      </c>
      <c r="L88" t="s">
        <v>116</v>
      </c>
      <c r="M88" s="4">
        <v>50</v>
      </c>
      <c r="N88" s="4">
        <v>1</v>
      </c>
      <c r="O88" s="2">
        <v>0.02</v>
      </c>
      <c r="P88" s="3">
        <v>0.72</v>
      </c>
      <c r="Q88" s="3">
        <v>0.72</v>
      </c>
      <c r="R88" s="3">
        <v>0</v>
      </c>
      <c r="S88" s="2"/>
      <c r="T88" s="5">
        <v>0</v>
      </c>
      <c r="U88" s="4">
        <v>0</v>
      </c>
      <c r="V88" s="4">
        <v>0</v>
      </c>
      <c r="W88" s="2">
        <v>0</v>
      </c>
      <c r="X88" s="4">
        <v>0</v>
      </c>
      <c r="Y88" s="4">
        <v>0</v>
      </c>
      <c r="Z88" s="3">
        <v>0</v>
      </c>
      <c r="AA88" s="3">
        <v>0</v>
      </c>
    </row>
    <row r="89" spans="1:27" x14ac:dyDescent="0.2">
      <c r="A89">
        <f t="shared" si="2"/>
        <v>1</v>
      </c>
      <c r="B89">
        <f t="shared" si="3"/>
        <v>1</v>
      </c>
      <c r="C89" s="1">
        <v>46023</v>
      </c>
      <c r="D89" t="s">
        <v>25</v>
      </c>
      <c r="E89" t="s">
        <v>26</v>
      </c>
      <c r="F89" t="s">
        <v>84</v>
      </c>
      <c r="G89" t="s">
        <v>115</v>
      </c>
      <c r="H89" t="s">
        <v>29</v>
      </c>
      <c r="I89" t="s">
        <v>30</v>
      </c>
      <c r="J89" t="s">
        <v>117</v>
      </c>
      <c r="K89" t="s">
        <v>32</v>
      </c>
      <c r="L89" t="s">
        <v>116</v>
      </c>
      <c r="M89" s="4">
        <v>2</v>
      </c>
      <c r="N89" s="4">
        <v>1</v>
      </c>
      <c r="O89" s="2">
        <v>0.5</v>
      </c>
      <c r="P89" s="3">
        <v>0.45</v>
      </c>
      <c r="Q89" s="3">
        <v>0.45</v>
      </c>
      <c r="R89" s="3">
        <v>0</v>
      </c>
      <c r="S89" s="2"/>
      <c r="T89" s="5">
        <v>0</v>
      </c>
      <c r="U89" s="4">
        <v>0</v>
      </c>
      <c r="V89" s="4">
        <v>0</v>
      </c>
      <c r="W89" s="2">
        <v>0</v>
      </c>
      <c r="X89" s="4">
        <v>0</v>
      </c>
      <c r="Y89" s="4">
        <v>0</v>
      </c>
      <c r="Z89" s="3">
        <v>0</v>
      </c>
      <c r="AA89" s="3">
        <v>0</v>
      </c>
    </row>
    <row r="90" spans="1:27" x14ac:dyDescent="0.2">
      <c r="A90">
        <f t="shared" si="2"/>
        <v>1</v>
      </c>
      <c r="B90">
        <f t="shared" si="3"/>
        <v>3</v>
      </c>
      <c r="C90" s="1">
        <v>46039</v>
      </c>
      <c r="D90" t="s">
        <v>25</v>
      </c>
      <c r="E90" t="s">
        <v>26</v>
      </c>
      <c r="F90" t="s">
        <v>49</v>
      </c>
      <c r="G90" t="s">
        <v>50</v>
      </c>
      <c r="H90" t="s">
        <v>29</v>
      </c>
      <c r="I90" t="s">
        <v>30</v>
      </c>
      <c r="J90" t="s">
        <v>95</v>
      </c>
      <c r="K90" t="s">
        <v>42</v>
      </c>
      <c r="L90" t="s">
        <v>118</v>
      </c>
      <c r="M90" s="4">
        <v>1</v>
      </c>
      <c r="N90" s="4">
        <v>1</v>
      </c>
      <c r="O90" s="2">
        <v>1</v>
      </c>
      <c r="P90" s="3">
        <v>0.45</v>
      </c>
      <c r="Q90" s="3">
        <v>0.45</v>
      </c>
      <c r="R90" s="3">
        <v>0</v>
      </c>
      <c r="S90" s="2"/>
      <c r="T90" s="5">
        <v>0</v>
      </c>
      <c r="U90" s="4">
        <v>0</v>
      </c>
      <c r="V90" s="4">
        <v>0</v>
      </c>
      <c r="W90" s="2">
        <v>0</v>
      </c>
      <c r="X90" s="4">
        <v>0</v>
      </c>
      <c r="Y90" s="4">
        <v>0</v>
      </c>
      <c r="Z90" s="3">
        <v>0</v>
      </c>
      <c r="AA90" s="3">
        <v>0</v>
      </c>
    </row>
    <row r="91" spans="1:27" x14ac:dyDescent="0.2">
      <c r="A91">
        <f t="shared" si="2"/>
        <v>1</v>
      </c>
      <c r="B91">
        <f t="shared" si="3"/>
        <v>2</v>
      </c>
      <c r="C91" s="1">
        <v>46026</v>
      </c>
      <c r="D91" t="s">
        <v>25</v>
      </c>
      <c r="E91" t="s">
        <v>26</v>
      </c>
      <c r="F91" t="s">
        <v>27</v>
      </c>
      <c r="G91" t="s">
        <v>28</v>
      </c>
      <c r="H91" t="s">
        <v>29</v>
      </c>
      <c r="I91" t="s">
        <v>30</v>
      </c>
      <c r="J91" t="s">
        <v>119</v>
      </c>
      <c r="K91" t="s">
        <v>32</v>
      </c>
      <c r="L91" t="s">
        <v>120</v>
      </c>
      <c r="M91" s="4">
        <v>1</v>
      </c>
      <c r="N91" s="4">
        <v>1</v>
      </c>
      <c r="O91" s="2">
        <v>1</v>
      </c>
      <c r="P91" s="3">
        <v>0.16</v>
      </c>
      <c r="Q91" s="3">
        <v>0.16</v>
      </c>
      <c r="R91" s="3">
        <v>0</v>
      </c>
      <c r="S91" s="2"/>
      <c r="T91" s="5">
        <v>0</v>
      </c>
      <c r="U91" s="4">
        <v>0</v>
      </c>
      <c r="V91" s="4">
        <v>0</v>
      </c>
      <c r="W91" s="2">
        <v>0</v>
      </c>
      <c r="X91" s="4">
        <v>0</v>
      </c>
      <c r="Y91" s="4">
        <v>0</v>
      </c>
      <c r="Z91" s="3">
        <v>0</v>
      </c>
      <c r="AA91" s="3">
        <v>0</v>
      </c>
    </row>
    <row r="92" spans="1:27" x14ac:dyDescent="0.2">
      <c r="A92">
        <f t="shared" si="2"/>
        <v>1</v>
      </c>
      <c r="B92">
        <f t="shared" si="3"/>
        <v>2</v>
      </c>
      <c r="C92" s="1">
        <v>46029</v>
      </c>
      <c r="D92" t="s">
        <v>25</v>
      </c>
      <c r="E92" t="s">
        <v>26</v>
      </c>
      <c r="F92" t="s">
        <v>49</v>
      </c>
      <c r="G92" t="s">
        <v>50</v>
      </c>
      <c r="H92" t="s">
        <v>29</v>
      </c>
      <c r="I92" t="s">
        <v>30</v>
      </c>
      <c r="J92" t="s">
        <v>95</v>
      </c>
      <c r="K92" t="s">
        <v>42</v>
      </c>
      <c r="L92" t="s">
        <v>121</v>
      </c>
      <c r="M92" s="4">
        <v>1</v>
      </c>
      <c r="N92" s="4">
        <v>1</v>
      </c>
      <c r="O92" s="2">
        <v>1</v>
      </c>
      <c r="P92" s="3">
        <v>0.54</v>
      </c>
      <c r="Q92" s="3">
        <v>0.54</v>
      </c>
      <c r="R92" s="3">
        <v>0</v>
      </c>
      <c r="S92" s="2"/>
      <c r="T92" s="5">
        <v>0</v>
      </c>
      <c r="U92" s="4">
        <v>0</v>
      </c>
      <c r="V92" s="4">
        <v>0</v>
      </c>
      <c r="W92" s="2">
        <v>0</v>
      </c>
      <c r="X92" s="4">
        <v>0</v>
      </c>
      <c r="Y92" s="4">
        <v>0</v>
      </c>
      <c r="Z92" s="3">
        <v>0</v>
      </c>
      <c r="AA92" s="3">
        <v>0</v>
      </c>
    </row>
    <row r="93" spans="1:27" x14ac:dyDescent="0.2">
      <c r="A93">
        <f t="shared" si="2"/>
        <v>1</v>
      </c>
      <c r="B93">
        <f t="shared" si="3"/>
        <v>1</v>
      </c>
      <c r="C93" s="1">
        <v>46025</v>
      </c>
      <c r="D93" t="s">
        <v>25</v>
      </c>
      <c r="E93" t="s">
        <v>26</v>
      </c>
      <c r="F93" t="s">
        <v>88</v>
      </c>
      <c r="G93" t="s">
        <v>86</v>
      </c>
      <c r="H93" t="s">
        <v>29</v>
      </c>
      <c r="I93" t="s">
        <v>30</v>
      </c>
      <c r="J93" t="s">
        <v>95</v>
      </c>
      <c r="K93" t="s">
        <v>42</v>
      </c>
      <c r="L93" t="s">
        <v>122</v>
      </c>
      <c r="M93" s="4">
        <v>10</v>
      </c>
      <c r="N93" s="4">
        <v>1</v>
      </c>
      <c r="O93" s="2">
        <v>0.1</v>
      </c>
      <c r="P93" s="3">
        <v>0.64</v>
      </c>
      <c r="Q93" s="3">
        <v>0.64</v>
      </c>
      <c r="R93" s="3">
        <v>0</v>
      </c>
      <c r="S93" s="2"/>
      <c r="T93" s="5">
        <v>0</v>
      </c>
      <c r="U93" s="4">
        <v>0</v>
      </c>
      <c r="V93" s="4">
        <v>0</v>
      </c>
      <c r="W93" s="2">
        <v>0</v>
      </c>
      <c r="X93" s="4">
        <v>0</v>
      </c>
      <c r="Y93" s="4">
        <v>0</v>
      </c>
      <c r="Z93" s="3">
        <v>0</v>
      </c>
      <c r="AA93" s="3">
        <v>0</v>
      </c>
    </row>
    <row r="94" spans="1:27" x14ac:dyDescent="0.2">
      <c r="A94">
        <f t="shared" si="2"/>
        <v>1</v>
      </c>
      <c r="B94">
        <f t="shared" si="3"/>
        <v>1</v>
      </c>
      <c r="C94" s="1">
        <v>46024</v>
      </c>
      <c r="D94" t="s">
        <v>25</v>
      </c>
      <c r="E94" t="s">
        <v>26</v>
      </c>
      <c r="F94" t="s">
        <v>84</v>
      </c>
      <c r="G94" t="s">
        <v>115</v>
      </c>
      <c r="H94" t="s">
        <v>29</v>
      </c>
      <c r="I94" t="s">
        <v>30</v>
      </c>
      <c r="J94" t="s">
        <v>86</v>
      </c>
      <c r="K94" t="s">
        <v>32</v>
      </c>
      <c r="L94" t="s">
        <v>123</v>
      </c>
      <c r="M94" s="4">
        <v>53</v>
      </c>
      <c r="N94" s="4">
        <v>1</v>
      </c>
      <c r="O94" s="2">
        <v>1.8867924528301886E-2</v>
      </c>
      <c r="P94" s="3">
        <v>0.72</v>
      </c>
      <c r="Q94" s="3">
        <v>0.72</v>
      </c>
      <c r="R94" s="3">
        <v>0</v>
      </c>
      <c r="S94" s="2"/>
      <c r="T94" s="5">
        <v>0</v>
      </c>
      <c r="U94" s="4">
        <v>0</v>
      </c>
      <c r="V94" s="4">
        <v>0</v>
      </c>
      <c r="W94" s="2">
        <v>0</v>
      </c>
      <c r="X94" s="4">
        <v>0</v>
      </c>
      <c r="Y94" s="4">
        <v>0</v>
      </c>
      <c r="Z94" s="3">
        <v>0</v>
      </c>
      <c r="AA94" s="3">
        <v>0</v>
      </c>
    </row>
    <row r="95" spans="1:27" x14ac:dyDescent="0.2">
      <c r="A95">
        <f t="shared" si="2"/>
        <v>1</v>
      </c>
      <c r="B95">
        <f t="shared" si="3"/>
        <v>2</v>
      </c>
      <c r="C95" s="1">
        <v>46026</v>
      </c>
      <c r="D95" t="s">
        <v>25</v>
      </c>
      <c r="E95" t="s">
        <v>26</v>
      </c>
      <c r="F95" t="s">
        <v>27</v>
      </c>
      <c r="G95" t="s">
        <v>124</v>
      </c>
      <c r="H95" t="s">
        <v>29</v>
      </c>
      <c r="I95" t="s">
        <v>30</v>
      </c>
      <c r="J95" t="s">
        <v>31</v>
      </c>
      <c r="K95" t="s">
        <v>87</v>
      </c>
      <c r="L95" t="s">
        <v>125</v>
      </c>
      <c r="M95" s="4">
        <v>1</v>
      </c>
      <c r="N95" s="4">
        <v>1</v>
      </c>
      <c r="O95" s="2">
        <v>1</v>
      </c>
      <c r="P95" s="3">
        <v>0.2</v>
      </c>
      <c r="Q95" s="3">
        <v>0.2</v>
      </c>
      <c r="R95" s="3">
        <v>0</v>
      </c>
      <c r="S95" s="2"/>
      <c r="T95" s="5">
        <v>0</v>
      </c>
      <c r="U95" s="4">
        <v>0</v>
      </c>
      <c r="V95" s="4">
        <v>0</v>
      </c>
      <c r="W95" s="2">
        <v>0</v>
      </c>
      <c r="X95" s="4">
        <v>0</v>
      </c>
      <c r="Y95" s="4">
        <v>0</v>
      </c>
      <c r="Z95" s="3">
        <v>0</v>
      </c>
      <c r="AA95" s="3">
        <v>0</v>
      </c>
    </row>
    <row r="96" spans="1:27" x14ac:dyDescent="0.2">
      <c r="A96">
        <f t="shared" si="2"/>
        <v>1</v>
      </c>
      <c r="B96">
        <f t="shared" si="3"/>
        <v>4</v>
      </c>
      <c r="C96" s="1">
        <v>46041</v>
      </c>
      <c r="D96" t="s">
        <v>25</v>
      </c>
      <c r="E96" t="s">
        <v>26</v>
      </c>
      <c r="F96" t="s">
        <v>49</v>
      </c>
      <c r="G96" t="s">
        <v>50</v>
      </c>
      <c r="H96" t="s">
        <v>29</v>
      </c>
      <c r="I96" t="s">
        <v>30</v>
      </c>
      <c r="J96" t="s">
        <v>95</v>
      </c>
      <c r="K96" t="s">
        <v>42</v>
      </c>
      <c r="L96" t="s">
        <v>126</v>
      </c>
      <c r="M96" s="4">
        <v>1</v>
      </c>
      <c r="N96" s="4">
        <v>1</v>
      </c>
      <c r="O96" s="2">
        <v>1</v>
      </c>
      <c r="P96" s="3">
        <v>0.6</v>
      </c>
      <c r="Q96" s="3">
        <v>0.6</v>
      </c>
      <c r="R96" s="3">
        <v>0</v>
      </c>
      <c r="S96" s="2"/>
      <c r="T96" s="5">
        <v>0</v>
      </c>
      <c r="U96" s="4">
        <v>0</v>
      </c>
      <c r="V96" s="4">
        <v>0</v>
      </c>
      <c r="W96" s="2">
        <v>0</v>
      </c>
      <c r="X96" s="4">
        <v>0</v>
      </c>
      <c r="Y96" s="4">
        <v>0</v>
      </c>
      <c r="Z96" s="3">
        <v>0</v>
      </c>
      <c r="AA96" s="3">
        <v>0</v>
      </c>
    </row>
    <row r="97" spans="1:27" x14ac:dyDescent="0.2">
      <c r="A97">
        <f t="shared" si="2"/>
        <v>1</v>
      </c>
      <c r="B97">
        <f t="shared" si="3"/>
        <v>1</v>
      </c>
      <c r="C97" s="1">
        <v>46024</v>
      </c>
      <c r="D97" t="s">
        <v>25</v>
      </c>
      <c r="E97" t="s">
        <v>26</v>
      </c>
      <c r="F97" t="s">
        <v>27</v>
      </c>
      <c r="G97" t="s">
        <v>28</v>
      </c>
      <c r="H97" t="s">
        <v>29</v>
      </c>
      <c r="I97" t="s">
        <v>30</v>
      </c>
      <c r="J97" t="s">
        <v>119</v>
      </c>
      <c r="K97" t="s">
        <v>32</v>
      </c>
      <c r="L97" t="s">
        <v>127</v>
      </c>
      <c r="M97" s="4">
        <v>3</v>
      </c>
      <c r="N97" s="4">
        <v>1</v>
      </c>
      <c r="O97" s="2">
        <v>0.33333333333333331</v>
      </c>
      <c r="P97" s="3">
        <v>0.16</v>
      </c>
      <c r="Q97" s="3">
        <v>0.16</v>
      </c>
      <c r="R97" s="3">
        <v>0</v>
      </c>
      <c r="S97" s="2"/>
      <c r="T97" s="5">
        <v>0</v>
      </c>
      <c r="U97" s="4">
        <v>0</v>
      </c>
      <c r="V97" s="4">
        <v>0</v>
      </c>
      <c r="W97" s="2">
        <v>0</v>
      </c>
      <c r="X97" s="4">
        <v>0</v>
      </c>
      <c r="Y97" s="4">
        <v>0</v>
      </c>
      <c r="Z97" s="3">
        <v>0</v>
      </c>
      <c r="AA97" s="3">
        <v>0</v>
      </c>
    </row>
    <row r="98" spans="1:27" x14ac:dyDescent="0.2">
      <c r="A98">
        <f t="shared" si="2"/>
        <v>1</v>
      </c>
      <c r="B98">
        <f t="shared" si="3"/>
        <v>3</v>
      </c>
      <c r="C98" s="1">
        <v>46036</v>
      </c>
      <c r="D98" t="s">
        <v>25</v>
      </c>
      <c r="E98" t="s">
        <v>26</v>
      </c>
      <c r="F98" t="s">
        <v>49</v>
      </c>
      <c r="G98" t="s">
        <v>50</v>
      </c>
      <c r="H98" t="s">
        <v>29</v>
      </c>
      <c r="I98" t="s">
        <v>30</v>
      </c>
      <c r="J98" t="s">
        <v>95</v>
      </c>
      <c r="K98" t="s">
        <v>42</v>
      </c>
      <c r="L98" t="s">
        <v>128</v>
      </c>
      <c r="M98" s="4">
        <v>2</v>
      </c>
      <c r="N98" s="4">
        <v>1</v>
      </c>
      <c r="O98" s="2">
        <v>0.5</v>
      </c>
      <c r="P98" s="3">
        <v>0.45</v>
      </c>
      <c r="Q98" s="3">
        <v>0.45</v>
      </c>
      <c r="R98" s="3">
        <v>17.09</v>
      </c>
      <c r="S98" s="2">
        <v>2.6331187829139849E-2</v>
      </c>
      <c r="T98" s="5">
        <v>37.977777777777774</v>
      </c>
      <c r="U98" s="4">
        <v>1</v>
      </c>
      <c r="V98" s="4">
        <v>1</v>
      </c>
      <c r="W98" s="2">
        <v>1</v>
      </c>
      <c r="X98" s="4">
        <v>1</v>
      </c>
      <c r="Y98" s="4">
        <v>0</v>
      </c>
      <c r="Z98" s="3">
        <v>17.09</v>
      </c>
      <c r="AA98" s="3">
        <v>0</v>
      </c>
    </row>
    <row r="99" spans="1:27" x14ac:dyDescent="0.2">
      <c r="A99">
        <f t="shared" si="2"/>
        <v>1</v>
      </c>
      <c r="B99">
        <f t="shared" si="3"/>
        <v>3</v>
      </c>
      <c r="C99" s="1">
        <v>46033</v>
      </c>
      <c r="D99" t="s">
        <v>25</v>
      </c>
      <c r="E99" t="s">
        <v>26</v>
      </c>
      <c r="F99" t="s">
        <v>49</v>
      </c>
      <c r="G99" t="s">
        <v>50</v>
      </c>
      <c r="H99" t="s">
        <v>29</v>
      </c>
      <c r="I99" t="s">
        <v>30</v>
      </c>
      <c r="J99" t="s">
        <v>95</v>
      </c>
      <c r="K99" t="s">
        <v>42</v>
      </c>
      <c r="L99" t="s">
        <v>129</v>
      </c>
      <c r="M99" s="4">
        <v>1</v>
      </c>
      <c r="N99" s="4">
        <v>1</v>
      </c>
      <c r="O99" s="2">
        <v>1</v>
      </c>
      <c r="P99" s="3">
        <v>0.54</v>
      </c>
      <c r="Q99" s="3">
        <v>0.54</v>
      </c>
      <c r="R99" s="3">
        <v>0</v>
      </c>
      <c r="S99" s="2"/>
      <c r="T99" s="5">
        <v>0</v>
      </c>
      <c r="U99" s="4">
        <v>0</v>
      </c>
      <c r="V99" s="4">
        <v>0</v>
      </c>
      <c r="W99" s="2">
        <v>0</v>
      </c>
      <c r="X99" s="4">
        <v>0</v>
      </c>
      <c r="Y99" s="4">
        <v>0</v>
      </c>
      <c r="Z99" s="3">
        <v>0</v>
      </c>
      <c r="AA99" s="3">
        <v>0</v>
      </c>
    </row>
    <row r="100" spans="1:27" x14ac:dyDescent="0.2">
      <c r="A100">
        <f t="shared" si="2"/>
        <v>1</v>
      </c>
      <c r="B100">
        <f t="shared" si="3"/>
        <v>3</v>
      </c>
      <c r="C100" s="1">
        <v>46036</v>
      </c>
      <c r="D100" t="s">
        <v>25</v>
      </c>
      <c r="E100" t="s">
        <v>26</v>
      </c>
      <c r="F100" t="s">
        <v>27</v>
      </c>
      <c r="G100" t="s">
        <v>28</v>
      </c>
      <c r="H100" t="s">
        <v>29</v>
      </c>
      <c r="I100" t="s">
        <v>30</v>
      </c>
      <c r="J100" t="s">
        <v>99</v>
      </c>
      <c r="K100" t="s">
        <v>32</v>
      </c>
      <c r="L100" t="s">
        <v>130</v>
      </c>
      <c r="M100" s="4">
        <v>2</v>
      </c>
      <c r="N100" s="4">
        <v>1</v>
      </c>
      <c r="O100" s="2">
        <v>0.5</v>
      </c>
      <c r="P100" s="3">
        <v>0.21</v>
      </c>
      <c r="Q100" s="3">
        <v>0.21</v>
      </c>
      <c r="R100" s="3">
        <v>0</v>
      </c>
      <c r="S100" s="2"/>
      <c r="T100" s="5">
        <v>0</v>
      </c>
      <c r="U100" s="4">
        <v>0</v>
      </c>
      <c r="V100" s="4">
        <v>0</v>
      </c>
      <c r="W100" s="2">
        <v>0</v>
      </c>
      <c r="X100" s="4">
        <v>0</v>
      </c>
      <c r="Y100" s="4">
        <v>0</v>
      </c>
      <c r="Z100" s="3">
        <v>0</v>
      </c>
      <c r="AA100" s="3">
        <v>0</v>
      </c>
    </row>
    <row r="101" spans="1:27" x14ac:dyDescent="0.2">
      <c r="A101">
        <f t="shared" si="2"/>
        <v>1</v>
      </c>
      <c r="B101">
        <f t="shared" si="3"/>
        <v>3</v>
      </c>
      <c r="C101" s="1">
        <v>46034</v>
      </c>
      <c r="D101" t="s">
        <v>25</v>
      </c>
      <c r="E101" t="s">
        <v>26</v>
      </c>
      <c r="F101" t="s">
        <v>34</v>
      </c>
      <c r="G101" t="s">
        <v>28</v>
      </c>
      <c r="H101" t="s">
        <v>29</v>
      </c>
      <c r="I101" t="s">
        <v>30</v>
      </c>
      <c r="J101" t="s">
        <v>37</v>
      </c>
      <c r="K101" t="s">
        <v>32</v>
      </c>
      <c r="L101" t="s">
        <v>131</v>
      </c>
      <c r="M101" s="4">
        <v>3</v>
      </c>
      <c r="N101" s="4">
        <v>1</v>
      </c>
      <c r="O101" s="2">
        <v>0.33333333333333331</v>
      </c>
      <c r="P101" s="3">
        <v>1.75</v>
      </c>
      <c r="Q101" s="3">
        <v>1.75</v>
      </c>
      <c r="R101" s="3">
        <v>0</v>
      </c>
      <c r="S101" s="2"/>
      <c r="T101" s="5">
        <v>0</v>
      </c>
      <c r="U101" s="4">
        <v>0</v>
      </c>
      <c r="V101" s="4">
        <v>0</v>
      </c>
      <c r="W101" s="2">
        <v>0</v>
      </c>
      <c r="X101" s="4">
        <v>0</v>
      </c>
      <c r="Y101" s="4">
        <v>0</v>
      </c>
      <c r="Z101" s="3">
        <v>0</v>
      </c>
      <c r="AA101" s="3">
        <v>0</v>
      </c>
    </row>
    <row r="102" spans="1:27" x14ac:dyDescent="0.2">
      <c r="A102">
        <f t="shared" si="2"/>
        <v>1</v>
      </c>
      <c r="B102">
        <f t="shared" si="3"/>
        <v>3</v>
      </c>
      <c r="C102" s="1">
        <v>46037</v>
      </c>
      <c r="D102" t="s">
        <v>25</v>
      </c>
      <c r="E102" t="s">
        <v>26</v>
      </c>
      <c r="F102" t="s">
        <v>27</v>
      </c>
      <c r="G102" t="s">
        <v>28</v>
      </c>
      <c r="H102" t="s">
        <v>29</v>
      </c>
      <c r="I102" t="s">
        <v>30</v>
      </c>
      <c r="J102" t="s">
        <v>101</v>
      </c>
      <c r="K102" t="s">
        <v>32</v>
      </c>
      <c r="L102" t="s">
        <v>132</v>
      </c>
      <c r="M102" s="4">
        <v>1</v>
      </c>
      <c r="N102" s="4">
        <v>1</v>
      </c>
      <c r="O102" s="2">
        <v>1</v>
      </c>
      <c r="P102" s="3">
        <v>0.4</v>
      </c>
      <c r="Q102" s="3">
        <v>0.4</v>
      </c>
      <c r="R102" s="3">
        <v>0</v>
      </c>
      <c r="S102" s="2"/>
      <c r="T102" s="5">
        <v>0</v>
      </c>
      <c r="U102" s="4">
        <v>0</v>
      </c>
      <c r="V102" s="4">
        <v>0</v>
      </c>
      <c r="W102" s="2">
        <v>0</v>
      </c>
      <c r="X102" s="4">
        <v>0</v>
      </c>
      <c r="Y102" s="4">
        <v>0</v>
      </c>
      <c r="Z102" s="3">
        <v>0</v>
      </c>
      <c r="AA102" s="3">
        <v>0</v>
      </c>
    </row>
    <row r="103" spans="1:27" x14ac:dyDescent="0.2">
      <c r="A103">
        <f t="shared" si="2"/>
        <v>1</v>
      </c>
      <c r="B103">
        <f t="shared" si="3"/>
        <v>1</v>
      </c>
      <c r="C103" s="1">
        <v>46023</v>
      </c>
      <c r="D103" t="s">
        <v>25</v>
      </c>
      <c r="E103" t="s">
        <v>26</v>
      </c>
      <c r="F103" t="s">
        <v>27</v>
      </c>
      <c r="G103" t="s">
        <v>28</v>
      </c>
      <c r="H103" t="s">
        <v>29</v>
      </c>
      <c r="I103" t="s">
        <v>30</v>
      </c>
      <c r="J103" t="s">
        <v>133</v>
      </c>
      <c r="K103" t="s">
        <v>32</v>
      </c>
      <c r="L103" t="s">
        <v>134</v>
      </c>
      <c r="M103" s="4">
        <v>1</v>
      </c>
      <c r="N103" s="4">
        <v>1</v>
      </c>
      <c r="O103" s="2">
        <v>1</v>
      </c>
      <c r="P103" s="3">
        <v>0.2</v>
      </c>
      <c r="Q103" s="3">
        <v>0.2</v>
      </c>
      <c r="R103" s="3">
        <v>0</v>
      </c>
      <c r="S103" s="2"/>
      <c r="T103" s="5">
        <v>0</v>
      </c>
      <c r="U103" s="4">
        <v>0</v>
      </c>
      <c r="V103" s="4">
        <v>0</v>
      </c>
      <c r="W103" s="2">
        <v>0</v>
      </c>
      <c r="X103" s="4">
        <v>0</v>
      </c>
      <c r="Y103" s="4">
        <v>0</v>
      </c>
      <c r="Z103" s="3">
        <v>0</v>
      </c>
      <c r="AA103" s="3">
        <v>0</v>
      </c>
    </row>
    <row r="104" spans="1:27" x14ac:dyDescent="0.2">
      <c r="A104">
        <f t="shared" si="2"/>
        <v>1</v>
      </c>
      <c r="B104">
        <f t="shared" si="3"/>
        <v>3</v>
      </c>
      <c r="C104" s="1">
        <v>46035</v>
      </c>
      <c r="D104" t="s">
        <v>25</v>
      </c>
      <c r="E104" t="s">
        <v>26</v>
      </c>
      <c r="F104" t="s">
        <v>34</v>
      </c>
      <c r="G104" t="s">
        <v>28</v>
      </c>
      <c r="H104" t="s">
        <v>29</v>
      </c>
      <c r="I104" t="s">
        <v>30</v>
      </c>
      <c r="J104" t="s">
        <v>44</v>
      </c>
      <c r="K104" t="s">
        <v>32</v>
      </c>
      <c r="L104" t="s">
        <v>135</v>
      </c>
      <c r="M104" s="4">
        <v>1</v>
      </c>
      <c r="N104" s="4">
        <v>1</v>
      </c>
      <c r="O104" s="2">
        <v>1</v>
      </c>
      <c r="P104" s="3">
        <v>0.84</v>
      </c>
      <c r="Q104" s="3">
        <v>0.84</v>
      </c>
      <c r="R104" s="3">
        <v>0</v>
      </c>
      <c r="S104" s="2"/>
      <c r="T104" s="5">
        <v>0</v>
      </c>
      <c r="U104" s="4">
        <v>0</v>
      </c>
      <c r="V104" s="4">
        <v>0</v>
      </c>
      <c r="W104" s="2">
        <v>0</v>
      </c>
      <c r="X104" s="4">
        <v>0</v>
      </c>
      <c r="Y104" s="4">
        <v>0</v>
      </c>
      <c r="Z104" s="3">
        <v>0</v>
      </c>
      <c r="AA104" s="3">
        <v>0</v>
      </c>
    </row>
    <row r="105" spans="1:27" x14ac:dyDescent="0.2">
      <c r="A105">
        <f t="shared" si="2"/>
        <v>1</v>
      </c>
      <c r="B105">
        <f t="shared" si="3"/>
        <v>3</v>
      </c>
      <c r="C105" s="1">
        <v>46039</v>
      </c>
      <c r="D105" t="s">
        <v>25</v>
      </c>
      <c r="E105" t="s">
        <v>26</v>
      </c>
      <c r="F105" t="s">
        <v>39</v>
      </c>
      <c r="G105" t="s">
        <v>40</v>
      </c>
      <c r="H105" t="s">
        <v>29</v>
      </c>
      <c r="I105" t="s">
        <v>30</v>
      </c>
      <c r="J105" t="s">
        <v>136</v>
      </c>
      <c r="K105" t="s">
        <v>42</v>
      </c>
      <c r="L105" t="s">
        <v>137</v>
      </c>
      <c r="M105" s="4">
        <v>4</v>
      </c>
      <c r="N105" s="4">
        <v>1</v>
      </c>
      <c r="O105" s="2">
        <v>0.25</v>
      </c>
      <c r="P105" s="3">
        <v>0.62</v>
      </c>
      <c r="Q105" s="3">
        <v>0.62</v>
      </c>
      <c r="R105" s="3">
        <v>0</v>
      </c>
      <c r="S105" s="2"/>
      <c r="T105" s="5">
        <v>0</v>
      </c>
      <c r="U105" s="4">
        <v>0</v>
      </c>
      <c r="V105" s="4">
        <v>0</v>
      </c>
      <c r="W105" s="2">
        <v>0</v>
      </c>
      <c r="X105" s="4">
        <v>0</v>
      </c>
      <c r="Y105" s="4">
        <v>0</v>
      </c>
      <c r="Z105" s="3">
        <v>0</v>
      </c>
      <c r="AA105" s="3">
        <v>0</v>
      </c>
    </row>
    <row r="106" spans="1:27" x14ac:dyDescent="0.2">
      <c r="A106">
        <f t="shared" si="2"/>
        <v>1</v>
      </c>
      <c r="B106">
        <f t="shared" si="3"/>
        <v>4</v>
      </c>
      <c r="C106" s="1">
        <v>46042</v>
      </c>
      <c r="D106" t="s">
        <v>25</v>
      </c>
      <c r="E106" t="s">
        <v>26</v>
      </c>
      <c r="F106" t="s">
        <v>49</v>
      </c>
      <c r="G106" t="s">
        <v>50</v>
      </c>
      <c r="H106" t="s">
        <v>29</v>
      </c>
      <c r="I106" t="s">
        <v>30</v>
      </c>
      <c r="J106" t="s">
        <v>95</v>
      </c>
      <c r="K106" t="s">
        <v>42</v>
      </c>
      <c r="L106" t="s">
        <v>138</v>
      </c>
      <c r="M106" s="4">
        <v>1</v>
      </c>
      <c r="N106" s="4">
        <v>1</v>
      </c>
      <c r="O106" s="2">
        <v>1</v>
      </c>
      <c r="P106" s="3">
        <v>0.6</v>
      </c>
      <c r="Q106" s="3">
        <v>0.6</v>
      </c>
      <c r="R106" s="3">
        <v>0</v>
      </c>
      <c r="S106" s="2"/>
      <c r="T106" s="5">
        <v>0</v>
      </c>
      <c r="U106" s="4">
        <v>0</v>
      </c>
      <c r="V106" s="4">
        <v>0</v>
      </c>
      <c r="W106" s="2">
        <v>0</v>
      </c>
      <c r="X106" s="4">
        <v>0</v>
      </c>
      <c r="Y106" s="4">
        <v>0</v>
      </c>
      <c r="Z106" s="3">
        <v>0</v>
      </c>
      <c r="AA106" s="3">
        <v>0</v>
      </c>
    </row>
    <row r="107" spans="1:27" x14ac:dyDescent="0.2">
      <c r="A107">
        <f t="shared" si="2"/>
        <v>1</v>
      </c>
      <c r="B107">
        <f t="shared" si="3"/>
        <v>4</v>
      </c>
      <c r="C107" s="1">
        <v>46042</v>
      </c>
      <c r="D107" t="s">
        <v>25</v>
      </c>
      <c r="E107" t="s">
        <v>26</v>
      </c>
      <c r="F107" t="s">
        <v>34</v>
      </c>
      <c r="G107" t="s">
        <v>28</v>
      </c>
      <c r="H107" t="s">
        <v>29</v>
      </c>
      <c r="I107" t="s">
        <v>30</v>
      </c>
      <c r="J107" t="s">
        <v>99</v>
      </c>
      <c r="K107" t="s">
        <v>32</v>
      </c>
      <c r="L107" t="s">
        <v>139</v>
      </c>
      <c r="M107" s="4">
        <v>2</v>
      </c>
      <c r="N107" s="4">
        <v>1</v>
      </c>
      <c r="O107" s="2">
        <v>0.5</v>
      </c>
      <c r="P107" s="3">
        <v>1.48</v>
      </c>
      <c r="Q107" s="3">
        <v>1.48</v>
      </c>
      <c r="R107" s="3">
        <v>0</v>
      </c>
      <c r="S107" s="2"/>
      <c r="T107" s="5">
        <v>0</v>
      </c>
      <c r="U107" s="4">
        <v>0</v>
      </c>
      <c r="V107" s="4">
        <v>0</v>
      </c>
      <c r="W107" s="2">
        <v>0</v>
      </c>
      <c r="X107" s="4">
        <v>0</v>
      </c>
      <c r="Y107" s="4">
        <v>0</v>
      </c>
      <c r="Z107" s="3">
        <v>0</v>
      </c>
      <c r="AA107" s="3">
        <v>0</v>
      </c>
    </row>
    <row r="108" spans="1:27" x14ac:dyDescent="0.2">
      <c r="A108">
        <f t="shared" si="2"/>
        <v>1</v>
      </c>
      <c r="B108">
        <f t="shared" si="3"/>
        <v>1</v>
      </c>
      <c r="C108" s="1">
        <v>46025</v>
      </c>
      <c r="D108" t="s">
        <v>25</v>
      </c>
      <c r="E108" t="s">
        <v>26</v>
      </c>
      <c r="F108" t="s">
        <v>88</v>
      </c>
      <c r="G108" t="s">
        <v>86</v>
      </c>
      <c r="H108" t="s">
        <v>29</v>
      </c>
      <c r="I108" t="s">
        <v>30</v>
      </c>
      <c r="J108" t="s">
        <v>95</v>
      </c>
      <c r="K108" t="s">
        <v>42</v>
      </c>
      <c r="L108" t="s">
        <v>140</v>
      </c>
      <c r="M108" s="4">
        <v>20</v>
      </c>
      <c r="N108" s="4">
        <v>1</v>
      </c>
      <c r="O108" s="2">
        <v>0.05</v>
      </c>
      <c r="P108" s="3">
        <v>0.88</v>
      </c>
      <c r="Q108" s="3">
        <v>0.88</v>
      </c>
      <c r="R108" s="3">
        <v>0</v>
      </c>
      <c r="S108" s="2"/>
      <c r="T108" s="5">
        <v>0</v>
      </c>
      <c r="U108" s="4">
        <v>0</v>
      </c>
      <c r="V108" s="4">
        <v>0</v>
      </c>
      <c r="W108" s="2">
        <v>0</v>
      </c>
      <c r="X108" s="4">
        <v>0</v>
      </c>
      <c r="Y108" s="4">
        <v>0</v>
      </c>
      <c r="Z108" s="3">
        <v>0</v>
      </c>
      <c r="AA108" s="3">
        <v>0</v>
      </c>
    </row>
    <row r="109" spans="1:27" x14ac:dyDescent="0.2">
      <c r="A109">
        <f t="shared" si="2"/>
        <v>1</v>
      </c>
      <c r="B109">
        <f t="shared" si="3"/>
        <v>2</v>
      </c>
      <c r="C109" s="1">
        <v>46028</v>
      </c>
      <c r="D109" t="s">
        <v>25</v>
      </c>
      <c r="E109" t="s">
        <v>26</v>
      </c>
      <c r="F109" t="s">
        <v>49</v>
      </c>
      <c r="G109" t="s">
        <v>50</v>
      </c>
      <c r="H109" t="s">
        <v>29</v>
      </c>
      <c r="I109" t="s">
        <v>30</v>
      </c>
      <c r="J109" t="s">
        <v>95</v>
      </c>
      <c r="K109" t="s">
        <v>42</v>
      </c>
      <c r="L109" t="s">
        <v>141</v>
      </c>
      <c r="M109" s="4">
        <v>1</v>
      </c>
      <c r="N109" s="4">
        <v>1</v>
      </c>
      <c r="O109" s="2">
        <v>1</v>
      </c>
      <c r="P109" s="3">
        <v>0.54</v>
      </c>
      <c r="Q109" s="3">
        <v>0.54</v>
      </c>
      <c r="R109" s="3">
        <v>0</v>
      </c>
      <c r="S109" s="2"/>
      <c r="T109" s="5">
        <v>0</v>
      </c>
      <c r="U109" s="4">
        <v>0</v>
      </c>
      <c r="V109" s="4">
        <v>0</v>
      </c>
      <c r="W109" s="2">
        <v>0</v>
      </c>
      <c r="X109" s="4">
        <v>0</v>
      </c>
      <c r="Y109" s="4">
        <v>0</v>
      </c>
      <c r="Z109" s="3">
        <v>0</v>
      </c>
      <c r="AA109" s="3">
        <v>0</v>
      </c>
    </row>
    <row r="110" spans="1:27" x14ac:dyDescent="0.2">
      <c r="A110">
        <f t="shared" si="2"/>
        <v>1</v>
      </c>
      <c r="B110">
        <f t="shared" si="3"/>
        <v>2</v>
      </c>
      <c r="C110" s="1">
        <v>46032</v>
      </c>
      <c r="D110" t="s">
        <v>25</v>
      </c>
      <c r="E110" t="s">
        <v>26</v>
      </c>
      <c r="F110" t="s">
        <v>49</v>
      </c>
      <c r="G110" t="s">
        <v>50</v>
      </c>
      <c r="H110" t="s">
        <v>29</v>
      </c>
      <c r="I110" t="s">
        <v>30</v>
      </c>
      <c r="J110" t="s">
        <v>95</v>
      </c>
      <c r="K110" t="s">
        <v>42</v>
      </c>
      <c r="L110" t="s">
        <v>142</v>
      </c>
      <c r="M110" s="4">
        <v>1</v>
      </c>
      <c r="N110" s="4">
        <v>1</v>
      </c>
      <c r="O110" s="2">
        <v>1</v>
      </c>
      <c r="P110" s="3">
        <v>0.54</v>
      </c>
      <c r="Q110" s="3">
        <v>0.54</v>
      </c>
      <c r="R110" s="3">
        <v>0</v>
      </c>
      <c r="S110" s="2"/>
      <c r="T110" s="5">
        <v>0</v>
      </c>
      <c r="U110" s="4">
        <v>0</v>
      </c>
      <c r="V110" s="4">
        <v>0</v>
      </c>
      <c r="W110" s="2">
        <v>0</v>
      </c>
      <c r="X110" s="4">
        <v>0</v>
      </c>
      <c r="Y110" s="4">
        <v>0</v>
      </c>
      <c r="Z110" s="3">
        <v>0</v>
      </c>
      <c r="AA110" s="3">
        <v>0</v>
      </c>
    </row>
    <row r="111" spans="1:27" x14ac:dyDescent="0.2">
      <c r="A111">
        <f t="shared" si="2"/>
        <v>1</v>
      </c>
      <c r="B111">
        <f t="shared" si="3"/>
        <v>2</v>
      </c>
      <c r="C111" s="1">
        <v>46030</v>
      </c>
      <c r="D111" t="s">
        <v>25</v>
      </c>
      <c r="E111" t="s">
        <v>26</v>
      </c>
      <c r="F111" t="s">
        <v>27</v>
      </c>
      <c r="G111" t="s">
        <v>28</v>
      </c>
      <c r="H111" t="s">
        <v>29</v>
      </c>
      <c r="I111" t="s">
        <v>30</v>
      </c>
      <c r="J111" t="s">
        <v>31</v>
      </c>
      <c r="K111" t="s">
        <v>32</v>
      </c>
      <c r="L111" t="s">
        <v>143</v>
      </c>
      <c r="M111" s="4">
        <v>2</v>
      </c>
      <c r="N111" s="4">
        <v>1</v>
      </c>
      <c r="O111" s="2">
        <v>0.5</v>
      </c>
      <c r="P111" s="3">
        <v>0.4</v>
      </c>
      <c r="Q111" s="3">
        <v>0.4</v>
      </c>
      <c r="R111" s="3">
        <v>0</v>
      </c>
      <c r="S111" s="2"/>
      <c r="T111" s="5">
        <v>0</v>
      </c>
      <c r="U111" s="4">
        <v>0</v>
      </c>
      <c r="V111" s="4">
        <v>0</v>
      </c>
      <c r="W111" s="2">
        <v>0</v>
      </c>
      <c r="X111" s="4">
        <v>0</v>
      </c>
      <c r="Y111" s="4">
        <v>0</v>
      </c>
      <c r="Z111" s="3">
        <v>0</v>
      </c>
      <c r="AA111" s="3">
        <v>0</v>
      </c>
    </row>
    <row r="112" spans="1:27" x14ac:dyDescent="0.2">
      <c r="A112">
        <f t="shared" si="2"/>
        <v>1</v>
      </c>
      <c r="B112">
        <f t="shared" si="3"/>
        <v>2</v>
      </c>
      <c r="C112" s="1">
        <v>46029</v>
      </c>
      <c r="D112" t="s">
        <v>25</v>
      </c>
      <c r="E112" t="s">
        <v>26</v>
      </c>
      <c r="F112" t="s">
        <v>34</v>
      </c>
      <c r="G112" t="s">
        <v>28</v>
      </c>
      <c r="H112" t="s">
        <v>29</v>
      </c>
      <c r="I112" t="s">
        <v>30</v>
      </c>
      <c r="J112" t="s">
        <v>144</v>
      </c>
      <c r="K112" t="s">
        <v>32</v>
      </c>
      <c r="L112" t="s">
        <v>145</v>
      </c>
      <c r="M112" s="4">
        <v>1</v>
      </c>
      <c r="N112" s="4">
        <v>1</v>
      </c>
      <c r="O112" s="2">
        <v>1</v>
      </c>
      <c r="P112" s="3">
        <v>1.02</v>
      </c>
      <c r="Q112" s="3">
        <v>1.02</v>
      </c>
      <c r="R112" s="3">
        <v>0</v>
      </c>
      <c r="S112" s="2"/>
      <c r="T112" s="5">
        <v>0</v>
      </c>
      <c r="U112" s="4">
        <v>0</v>
      </c>
      <c r="V112" s="4">
        <v>0</v>
      </c>
      <c r="W112" s="2">
        <v>0</v>
      </c>
      <c r="X112" s="4">
        <v>0</v>
      </c>
      <c r="Y112" s="4">
        <v>0</v>
      </c>
      <c r="Z112" s="3">
        <v>0</v>
      </c>
      <c r="AA112" s="3">
        <v>0</v>
      </c>
    </row>
    <row r="113" spans="1:27" x14ac:dyDescent="0.2">
      <c r="A113">
        <f t="shared" si="2"/>
        <v>1</v>
      </c>
      <c r="B113">
        <f t="shared" si="3"/>
        <v>3</v>
      </c>
      <c r="C113" s="1">
        <v>46035</v>
      </c>
      <c r="D113" t="s">
        <v>25</v>
      </c>
      <c r="E113" t="s">
        <v>26</v>
      </c>
      <c r="F113" t="s">
        <v>49</v>
      </c>
      <c r="G113" t="s">
        <v>50</v>
      </c>
      <c r="H113" t="s">
        <v>29</v>
      </c>
      <c r="I113" t="s">
        <v>30</v>
      </c>
      <c r="J113" t="s">
        <v>95</v>
      </c>
      <c r="K113" t="s">
        <v>42</v>
      </c>
      <c r="L113" t="s">
        <v>146</v>
      </c>
      <c r="M113" s="4">
        <v>2</v>
      </c>
      <c r="N113" s="4">
        <v>1</v>
      </c>
      <c r="O113" s="2">
        <v>0.5</v>
      </c>
      <c r="P113" s="3">
        <v>0.48</v>
      </c>
      <c r="Q113" s="3">
        <v>0.48</v>
      </c>
      <c r="R113" s="3">
        <v>0</v>
      </c>
      <c r="S113" s="2"/>
      <c r="T113" s="5">
        <v>0</v>
      </c>
      <c r="U113" s="4">
        <v>0</v>
      </c>
      <c r="V113" s="4">
        <v>0</v>
      </c>
      <c r="W113" s="2">
        <v>0</v>
      </c>
      <c r="X113" s="4">
        <v>0</v>
      </c>
      <c r="Y113" s="4">
        <v>0</v>
      </c>
      <c r="Z113" s="3">
        <v>0</v>
      </c>
      <c r="AA113" s="3">
        <v>0</v>
      </c>
    </row>
    <row r="114" spans="1:27" x14ac:dyDescent="0.2">
      <c r="A114">
        <f t="shared" si="2"/>
        <v>1</v>
      </c>
      <c r="B114">
        <f t="shared" si="3"/>
        <v>3</v>
      </c>
      <c r="C114" s="1">
        <v>46039</v>
      </c>
      <c r="D114" t="s">
        <v>25</v>
      </c>
      <c r="E114" t="s">
        <v>26</v>
      </c>
      <c r="F114" t="s">
        <v>34</v>
      </c>
      <c r="G114" t="s">
        <v>28</v>
      </c>
      <c r="H114" t="s">
        <v>29</v>
      </c>
      <c r="I114" t="s">
        <v>30</v>
      </c>
      <c r="J114" t="s">
        <v>50</v>
      </c>
      <c r="K114" t="s">
        <v>32</v>
      </c>
      <c r="L114" t="s">
        <v>147</v>
      </c>
      <c r="M114" s="4">
        <v>1</v>
      </c>
      <c r="N114" s="4">
        <v>1</v>
      </c>
      <c r="O114" s="2">
        <v>1</v>
      </c>
      <c r="P114" s="3">
        <v>0.88</v>
      </c>
      <c r="Q114" s="3">
        <v>0.88</v>
      </c>
      <c r="R114" s="3">
        <v>0</v>
      </c>
      <c r="S114" s="2"/>
      <c r="T114" s="5">
        <v>0</v>
      </c>
      <c r="U114" s="4">
        <v>0</v>
      </c>
      <c r="V114" s="4">
        <v>0</v>
      </c>
      <c r="W114" s="2">
        <v>0</v>
      </c>
      <c r="X114" s="4">
        <v>0</v>
      </c>
      <c r="Y114" s="4">
        <v>0</v>
      </c>
      <c r="Z114" s="3">
        <v>0</v>
      </c>
      <c r="AA114" s="3">
        <v>0</v>
      </c>
    </row>
    <row r="115" spans="1:27" x14ac:dyDescent="0.2">
      <c r="A115">
        <f t="shared" si="2"/>
        <v>1</v>
      </c>
      <c r="B115">
        <f t="shared" si="3"/>
        <v>3</v>
      </c>
      <c r="C115" s="1">
        <v>46036</v>
      </c>
      <c r="D115" t="s">
        <v>25</v>
      </c>
      <c r="E115" t="s">
        <v>26</v>
      </c>
      <c r="F115" t="s">
        <v>49</v>
      </c>
      <c r="G115" t="s">
        <v>50</v>
      </c>
      <c r="H115" t="s">
        <v>29</v>
      </c>
      <c r="I115" t="s">
        <v>30</v>
      </c>
      <c r="J115" t="s">
        <v>95</v>
      </c>
      <c r="K115" t="s">
        <v>42</v>
      </c>
      <c r="L115" t="s">
        <v>148</v>
      </c>
      <c r="M115" s="4">
        <v>2</v>
      </c>
      <c r="N115" s="4">
        <v>1</v>
      </c>
      <c r="O115" s="2">
        <v>0.5</v>
      </c>
      <c r="P115" s="3">
        <v>0.45</v>
      </c>
      <c r="Q115" s="3">
        <v>0.45</v>
      </c>
      <c r="R115" s="3">
        <v>0</v>
      </c>
      <c r="S115" s="2"/>
      <c r="T115" s="5">
        <v>0</v>
      </c>
      <c r="U115" s="4">
        <v>0</v>
      </c>
      <c r="V115" s="4">
        <v>0</v>
      </c>
      <c r="W115" s="2">
        <v>0</v>
      </c>
      <c r="X115" s="4">
        <v>0</v>
      </c>
      <c r="Y115" s="4">
        <v>0</v>
      </c>
      <c r="Z115" s="3">
        <v>0</v>
      </c>
      <c r="AA115" s="3">
        <v>0</v>
      </c>
    </row>
    <row r="116" spans="1:27" x14ac:dyDescent="0.2">
      <c r="A116">
        <f t="shared" si="2"/>
        <v>1</v>
      </c>
      <c r="B116">
        <f t="shared" si="3"/>
        <v>3</v>
      </c>
      <c r="C116" s="1">
        <v>46039</v>
      </c>
      <c r="D116" t="s">
        <v>25</v>
      </c>
      <c r="E116" t="s">
        <v>26</v>
      </c>
      <c r="F116" t="s">
        <v>34</v>
      </c>
      <c r="G116" t="s">
        <v>28</v>
      </c>
      <c r="H116" t="s">
        <v>29</v>
      </c>
      <c r="I116" t="s">
        <v>30</v>
      </c>
      <c r="J116" t="s">
        <v>133</v>
      </c>
      <c r="K116" t="s">
        <v>32</v>
      </c>
      <c r="L116" t="s">
        <v>149</v>
      </c>
      <c r="M116" s="4">
        <v>2</v>
      </c>
      <c r="N116" s="4">
        <v>1</v>
      </c>
      <c r="O116" s="2">
        <v>0.5</v>
      </c>
      <c r="P116" s="3">
        <v>1.32</v>
      </c>
      <c r="Q116" s="3">
        <v>1.32</v>
      </c>
      <c r="R116" s="3">
        <v>0</v>
      </c>
      <c r="S116" s="2"/>
      <c r="T116" s="5">
        <v>0</v>
      </c>
      <c r="U116" s="4">
        <v>0</v>
      </c>
      <c r="V116" s="4">
        <v>0</v>
      </c>
      <c r="W116" s="2">
        <v>0</v>
      </c>
      <c r="X116" s="4">
        <v>0</v>
      </c>
      <c r="Y116" s="4">
        <v>0</v>
      </c>
      <c r="Z116" s="3">
        <v>0</v>
      </c>
      <c r="AA116" s="3">
        <v>0</v>
      </c>
    </row>
    <row r="117" spans="1:27" x14ac:dyDescent="0.2">
      <c r="A117">
        <f t="shared" si="2"/>
        <v>1</v>
      </c>
      <c r="B117">
        <f t="shared" si="3"/>
        <v>2</v>
      </c>
      <c r="C117" s="1">
        <v>46027</v>
      </c>
      <c r="D117" t="s">
        <v>25</v>
      </c>
      <c r="E117" t="s">
        <v>26</v>
      </c>
      <c r="F117" t="s">
        <v>49</v>
      </c>
      <c r="G117" t="s">
        <v>50</v>
      </c>
      <c r="H117" t="s">
        <v>29</v>
      </c>
      <c r="I117" t="s">
        <v>30</v>
      </c>
      <c r="J117" t="s">
        <v>95</v>
      </c>
      <c r="K117" t="s">
        <v>42</v>
      </c>
      <c r="L117" t="s">
        <v>150</v>
      </c>
      <c r="M117" s="4">
        <v>1</v>
      </c>
      <c r="N117" s="4">
        <v>1</v>
      </c>
      <c r="O117" s="2">
        <v>1</v>
      </c>
      <c r="P117" s="3">
        <v>0.54</v>
      </c>
      <c r="Q117" s="3">
        <v>0.54</v>
      </c>
      <c r="R117" s="3">
        <v>0</v>
      </c>
      <c r="S117" s="2"/>
      <c r="T117" s="5">
        <v>0</v>
      </c>
      <c r="U117" s="4">
        <v>0</v>
      </c>
      <c r="V117" s="4">
        <v>0</v>
      </c>
      <c r="W117" s="2">
        <v>0</v>
      </c>
      <c r="X117" s="4">
        <v>0</v>
      </c>
      <c r="Y117" s="4">
        <v>0</v>
      </c>
      <c r="Z117" s="3">
        <v>0</v>
      </c>
      <c r="AA117" s="3">
        <v>0</v>
      </c>
    </row>
    <row r="118" spans="1:27" x14ac:dyDescent="0.2">
      <c r="A118">
        <f t="shared" si="2"/>
        <v>1</v>
      </c>
      <c r="B118">
        <f t="shared" si="3"/>
        <v>2</v>
      </c>
      <c r="C118" s="1">
        <v>46032</v>
      </c>
      <c r="D118" t="s">
        <v>25</v>
      </c>
      <c r="E118" t="s">
        <v>26</v>
      </c>
      <c r="F118" t="s">
        <v>27</v>
      </c>
      <c r="G118" t="s">
        <v>28</v>
      </c>
      <c r="H118" t="s">
        <v>29</v>
      </c>
      <c r="I118" t="s">
        <v>30</v>
      </c>
      <c r="J118" t="s">
        <v>31</v>
      </c>
      <c r="K118" t="s">
        <v>32</v>
      </c>
      <c r="L118" t="s">
        <v>151</v>
      </c>
      <c r="M118" s="4">
        <v>1</v>
      </c>
      <c r="N118" s="4">
        <v>1</v>
      </c>
      <c r="O118" s="2">
        <v>1</v>
      </c>
      <c r="P118" s="3">
        <v>0.4</v>
      </c>
      <c r="Q118" s="3">
        <v>0.4</v>
      </c>
      <c r="R118" s="3">
        <v>0</v>
      </c>
      <c r="S118" s="2"/>
      <c r="T118" s="5">
        <v>0</v>
      </c>
      <c r="U118" s="4">
        <v>0</v>
      </c>
      <c r="V118" s="4">
        <v>0</v>
      </c>
      <c r="W118" s="2">
        <v>0</v>
      </c>
      <c r="X118" s="4">
        <v>0</v>
      </c>
      <c r="Y118" s="4">
        <v>0</v>
      </c>
      <c r="Z118" s="3">
        <v>0</v>
      </c>
      <c r="AA118" s="3">
        <v>0</v>
      </c>
    </row>
    <row r="119" spans="1:27" x14ac:dyDescent="0.2">
      <c r="A119">
        <f t="shared" si="2"/>
        <v>1</v>
      </c>
      <c r="B119">
        <f t="shared" si="3"/>
        <v>2</v>
      </c>
      <c r="C119" s="1">
        <v>46027</v>
      </c>
      <c r="D119" t="s">
        <v>25</v>
      </c>
      <c r="E119" t="s">
        <v>26</v>
      </c>
      <c r="F119" t="s">
        <v>49</v>
      </c>
      <c r="G119" t="s">
        <v>50</v>
      </c>
      <c r="H119" t="s">
        <v>29</v>
      </c>
      <c r="I119" t="s">
        <v>30</v>
      </c>
      <c r="J119" t="s">
        <v>47</v>
      </c>
      <c r="K119" t="s">
        <v>42</v>
      </c>
      <c r="L119" t="s">
        <v>152</v>
      </c>
      <c r="M119" s="4">
        <v>2</v>
      </c>
      <c r="N119" s="4">
        <v>1</v>
      </c>
      <c r="O119" s="2">
        <v>0.5</v>
      </c>
      <c r="P119" s="3">
        <v>0.77</v>
      </c>
      <c r="Q119" s="3">
        <v>0.77</v>
      </c>
      <c r="R119" s="3">
        <v>0</v>
      </c>
      <c r="S119" s="2"/>
      <c r="T119" s="5">
        <v>0</v>
      </c>
      <c r="U119" s="4">
        <v>0</v>
      </c>
      <c r="V119" s="4">
        <v>0</v>
      </c>
      <c r="W119" s="2">
        <v>0</v>
      </c>
      <c r="X119" s="4">
        <v>0</v>
      </c>
      <c r="Y119" s="4">
        <v>0</v>
      </c>
      <c r="Z119" s="3">
        <v>0</v>
      </c>
      <c r="AA119" s="3">
        <v>0</v>
      </c>
    </row>
    <row r="120" spans="1:27" x14ac:dyDescent="0.2">
      <c r="A120">
        <f t="shared" si="2"/>
        <v>1</v>
      </c>
      <c r="B120">
        <f t="shared" si="3"/>
        <v>2</v>
      </c>
      <c r="C120" s="1">
        <v>46031</v>
      </c>
      <c r="D120" t="s">
        <v>25</v>
      </c>
      <c r="E120" t="s">
        <v>26</v>
      </c>
      <c r="F120" t="s">
        <v>49</v>
      </c>
      <c r="G120" t="s">
        <v>50</v>
      </c>
      <c r="H120" t="s">
        <v>29</v>
      </c>
      <c r="I120" t="s">
        <v>30</v>
      </c>
      <c r="J120" t="s">
        <v>47</v>
      </c>
      <c r="K120" t="s">
        <v>42</v>
      </c>
      <c r="L120" t="s">
        <v>153</v>
      </c>
      <c r="M120" s="4">
        <v>1</v>
      </c>
      <c r="N120" s="4">
        <v>1</v>
      </c>
      <c r="O120" s="2">
        <v>1</v>
      </c>
      <c r="P120" s="3">
        <v>0.77</v>
      </c>
      <c r="Q120" s="3">
        <v>0.77</v>
      </c>
      <c r="R120" s="3">
        <v>0</v>
      </c>
      <c r="S120" s="2"/>
      <c r="T120" s="5">
        <v>0</v>
      </c>
      <c r="U120" s="4">
        <v>0</v>
      </c>
      <c r="V120" s="4">
        <v>0</v>
      </c>
      <c r="W120" s="2">
        <v>0</v>
      </c>
      <c r="X120" s="4">
        <v>0</v>
      </c>
      <c r="Y120" s="4">
        <v>0</v>
      </c>
      <c r="Z120" s="3">
        <v>0</v>
      </c>
      <c r="AA120" s="3">
        <v>0</v>
      </c>
    </row>
    <row r="121" spans="1:27" x14ac:dyDescent="0.2">
      <c r="A121">
        <f t="shared" si="2"/>
        <v>1</v>
      </c>
      <c r="B121">
        <f t="shared" si="3"/>
        <v>1</v>
      </c>
      <c r="C121" s="1">
        <v>46023</v>
      </c>
      <c r="D121" t="s">
        <v>25</v>
      </c>
      <c r="E121" t="s">
        <v>26</v>
      </c>
      <c r="F121" t="s">
        <v>34</v>
      </c>
      <c r="G121" t="s">
        <v>28</v>
      </c>
      <c r="H121" t="s">
        <v>29</v>
      </c>
      <c r="I121" t="s">
        <v>30</v>
      </c>
      <c r="J121" t="s">
        <v>154</v>
      </c>
      <c r="K121" t="s">
        <v>32</v>
      </c>
      <c r="L121" t="s">
        <v>155</v>
      </c>
      <c r="M121" s="4">
        <v>10</v>
      </c>
      <c r="N121" s="4">
        <v>1</v>
      </c>
      <c r="O121" s="2">
        <v>0.1</v>
      </c>
      <c r="P121" s="3">
        <v>0.97</v>
      </c>
      <c r="Q121" s="3">
        <v>0.97</v>
      </c>
      <c r="R121" s="3">
        <v>0</v>
      </c>
      <c r="S121" s="2"/>
      <c r="T121" s="5">
        <v>0</v>
      </c>
      <c r="U121" s="4">
        <v>0</v>
      </c>
      <c r="V121" s="4">
        <v>0</v>
      </c>
      <c r="W121" s="2">
        <v>0</v>
      </c>
      <c r="X121" s="4">
        <v>0</v>
      </c>
      <c r="Y121" s="4">
        <v>0</v>
      </c>
      <c r="Z121" s="3">
        <v>0</v>
      </c>
      <c r="AA121" s="3">
        <v>0</v>
      </c>
    </row>
    <row r="122" spans="1:27" x14ac:dyDescent="0.2">
      <c r="A122">
        <f t="shared" si="2"/>
        <v>1</v>
      </c>
      <c r="B122">
        <f t="shared" si="3"/>
        <v>3</v>
      </c>
      <c r="C122" s="1">
        <v>46035</v>
      </c>
      <c r="D122" t="s">
        <v>25</v>
      </c>
      <c r="E122" t="s">
        <v>26</v>
      </c>
      <c r="F122" t="s">
        <v>27</v>
      </c>
      <c r="G122" t="s">
        <v>28</v>
      </c>
      <c r="H122" t="s">
        <v>29</v>
      </c>
      <c r="I122" t="s">
        <v>30</v>
      </c>
      <c r="J122" t="s">
        <v>31</v>
      </c>
      <c r="K122" t="s">
        <v>32</v>
      </c>
      <c r="L122" t="s">
        <v>156</v>
      </c>
      <c r="M122" s="4">
        <v>4</v>
      </c>
      <c r="N122" s="4">
        <v>1</v>
      </c>
      <c r="O122" s="2">
        <v>0.25</v>
      </c>
      <c r="P122" s="3">
        <v>0.2</v>
      </c>
      <c r="Q122" s="3">
        <v>0.2</v>
      </c>
      <c r="R122" s="3">
        <v>0</v>
      </c>
      <c r="S122" s="2"/>
      <c r="T122" s="5">
        <v>0</v>
      </c>
      <c r="U122" s="4">
        <v>0</v>
      </c>
      <c r="V122" s="4">
        <v>0</v>
      </c>
      <c r="W122" s="2">
        <v>0</v>
      </c>
      <c r="X122" s="4">
        <v>0</v>
      </c>
      <c r="Y122" s="4">
        <v>0</v>
      </c>
      <c r="Z122" s="3">
        <v>0</v>
      </c>
      <c r="AA122" s="3">
        <v>0</v>
      </c>
    </row>
    <row r="123" spans="1:27" x14ac:dyDescent="0.2">
      <c r="A123">
        <f t="shared" si="2"/>
        <v>1</v>
      </c>
      <c r="B123">
        <f t="shared" si="3"/>
        <v>3</v>
      </c>
      <c r="C123" s="1">
        <v>46034</v>
      </c>
      <c r="D123" t="s">
        <v>25</v>
      </c>
      <c r="E123" t="s">
        <v>26</v>
      </c>
      <c r="F123" t="s">
        <v>49</v>
      </c>
      <c r="G123" t="s">
        <v>50</v>
      </c>
      <c r="H123" t="s">
        <v>29</v>
      </c>
      <c r="I123" t="s">
        <v>30</v>
      </c>
      <c r="J123" t="s">
        <v>95</v>
      </c>
      <c r="K123" t="s">
        <v>42</v>
      </c>
      <c r="L123" t="s">
        <v>157</v>
      </c>
      <c r="M123" s="4">
        <v>4</v>
      </c>
      <c r="N123" s="4">
        <v>1</v>
      </c>
      <c r="O123" s="2">
        <v>0.25</v>
      </c>
      <c r="P123" s="3">
        <v>0.48</v>
      </c>
      <c r="Q123" s="3">
        <v>0.48</v>
      </c>
      <c r="R123" s="3">
        <v>0</v>
      </c>
      <c r="S123" s="2"/>
      <c r="T123" s="5">
        <v>0</v>
      </c>
      <c r="U123" s="4">
        <v>0</v>
      </c>
      <c r="V123" s="4">
        <v>0</v>
      </c>
      <c r="W123" s="2">
        <v>0</v>
      </c>
      <c r="X123" s="4">
        <v>0</v>
      </c>
      <c r="Y123" s="4">
        <v>0</v>
      </c>
      <c r="Z123" s="3">
        <v>0</v>
      </c>
      <c r="AA123" s="3">
        <v>0</v>
      </c>
    </row>
    <row r="124" spans="1:27" x14ac:dyDescent="0.2">
      <c r="A124">
        <f t="shared" si="2"/>
        <v>1</v>
      </c>
      <c r="B124">
        <f t="shared" si="3"/>
        <v>3</v>
      </c>
      <c r="C124" s="1">
        <v>46035</v>
      </c>
      <c r="D124" t="s">
        <v>25</v>
      </c>
      <c r="E124" t="s">
        <v>26</v>
      </c>
      <c r="F124" t="s">
        <v>49</v>
      </c>
      <c r="G124" t="s">
        <v>50</v>
      </c>
      <c r="H124" t="s">
        <v>29</v>
      </c>
      <c r="I124" t="s">
        <v>30</v>
      </c>
      <c r="J124" t="s">
        <v>47</v>
      </c>
      <c r="K124" t="s">
        <v>42</v>
      </c>
      <c r="L124" t="s">
        <v>158</v>
      </c>
      <c r="M124" s="4">
        <v>2</v>
      </c>
      <c r="N124" s="4">
        <v>1</v>
      </c>
      <c r="O124" s="2">
        <v>0.5</v>
      </c>
      <c r="P124" s="3">
        <v>0.48</v>
      </c>
      <c r="Q124" s="3">
        <v>0.48</v>
      </c>
      <c r="R124" s="3">
        <v>0</v>
      </c>
      <c r="S124" s="2"/>
      <c r="T124" s="5">
        <v>0</v>
      </c>
      <c r="U124" s="4">
        <v>0</v>
      </c>
      <c r="V124" s="4">
        <v>0</v>
      </c>
      <c r="W124" s="2">
        <v>0</v>
      </c>
      <c r="X124" s="4">
        <v>0</v>
      </c>
      <c r="Y124" s="4">
        <v>0</v>
      </c>
      <c r="Z124" s="3">
        <v>0</v>
      </c>
      <c r="AA124" s="3">
        <v>0</v>
      </c>
    </row>
    <row r="125" spans="1:27" x14ac:dyDescent="0.2">
      <c r="A125">
        <f t="shared" si="2"/>
        <v>1</v>
      </c>
      <c r="B125">
        <f t="shared" si="3"/>
        <v>3</v>
      </c>
      <c r="C125" s="1">
        <v>46034</v>
      </c>
      <c r="D125" t="s">
        <v>25</v>
      </c>
      <c r="E125" t="s">
        <v>26</v>
      </c>
      <c r="F125" t="s">
        <v>49</v>
      </c>
      <c r="G125" t="s">
        <v>50</v>
      </c>
      <c r="H125" t="s">
        <v>29</v>
      </c>
      <c r="I125" t="s">
        <v>30</v>
      </c>
      <c r="J125" t="s">
        <v>95</v>
      </c>
      <c r="K125" t="s">
        <v>42</v>
      </c>
      <c r="L125" t="s">
        <v>159</v>
      </c>
      <c r="M125" s="4">
        <v>1</v>
      </c>
      <c r="N125" s="4">
        <v>1</v>
      </c>
      <c r="O125" s="2">
        <v>1</v>
      </c>
      <c r="P125" s="3">
        <v>0.52</v>
      </c>
      <c r="Q125" s="3">
        <v>0.52</v>
      </c>
      <c r="R125" s="3">
        <v>0</v>
      </c>
      <c r="S125" s="2"/>
      <c r="T125" s="5">
        <v>0</v>
      </c>
      <c r="U125" s="4">
        <v>0</v>
      </c>
      <c r="V125" s="4">
        <v>0</v>
      </c>
      <c r="W125" s="2">
        <v>0</v>
      </c>
      <c r="X125" s="4">
        <v>0</v>
      </c>
      <c r="Y125" s="4">
        <v>0</v>
      </c>
      <c r="Z125" s="3">
        <v>0</v>
      </c>
      <c r="AA125" s="3">
        <v>0</v>
      </c>
    </row>
    <row r="126" spans="1:27" x14ac:dyDescent="0.2">
      <c r="A126">
        <f t="shared" si="2"/>
        <v>1</v>
      </c>
      <c r="B126">
        <f t="shared" si="3"/>
        <v>1</v>
      </c>
      <c r="C126" s="1">
        <v>46025</v>
      </c>
      <c r="D126" t="s">
        <v>25</v>
      </c>
      <c r="E126" t="s">
        <v>26</v>
      </c>
      <c r="F126" t="s">
        <v>34</v>
      </c>
      <c r="G126" t="s">
        <v>28</v>
      </c>
      <c r="H126" t="s">
        <v>29</v>
      </c>
      <c r="I126" t="s">
        <v>30</v>
      </c>
      <c r="J126" t="s">
        <v>44</v>
      </c>
      <c r="K126" t="s">
        <v>32</v>
      </c>
      <c r="L126" t="s">
        <v>160</v>
      </c>
      <c r="M126" s="4">
        <v>1</v>
      </c>
      <c r="N126" s="4">
        <v>1</v>
      </c>
      <c r="O126" s="2">
        <v>1</v>
      </c>
      <c r="P126" s="3">
        <v>0.99</v>
      </c>
      <c r="Q126" s="3">
        <v>0.99</v>
      </c>
      <c r="R126" s="3">
        <v>0</v>
      </c>
      <c r="S126" s="2"/>
      <c r="T126" s="5">
        <v>0</v>
      </c>
      <c r="U126" s="4">
        <v>0</v>
      </c>
      <c r="V126" s="4">
        <v>0</v>
      </c>
      <c r="W126" s="2">
        <v>0</v>
      </c>
      <c r="X126" s="4">
        <v>0</v>
      </c>
      <c r="Y126" s="4">
        <v>0</v>
      </c>
      <c r="Z126" s="3">
        <v>0</v>
      </c>
      <c r="AA126" s="3">
        <v>0</v>
      </c>
    </row>
    <row r="127" spans="1:27" x14ac:dyDescent="0.2">
      <c r="A127">
        <f t="shared" si="2"/>
        <v>1</v>
      </c>
      <c r="B127">
        <f t="shared" si="3"/>
        <v>2</v>
      </c>
      <c r="C127" s="1">
        <v>46029</v>
      </c>
      <c r="D127" t="s">
        <v>25</v>
      </c>
      <c r="E127" t="s">
        <v>26</v>
      </c>
      <c r="F127" t="s">
        <v>49</v>
      </c>
      <c r="G127" t="s">
        <v>50</v>
      </c>
      <c r="H127" t="s">
        <v>29</v>
      </c>
      <c r="I127" t="s">
        <v>30</v>
      </c>
      <c r="J127" t="s">
        <v>95</v>
      </c>
      <c r="K127" t="s">
        <v>42</v>
      </c>
      <c r="L127" t="s">
        <v>161</v>
      </c>
      <c r="M127" s="4">
        <v>1</v>
      </c>
      <c r="N127" s="4">
        <v>1</v>
      </c>
      <c r="O127" s="2">
        <v>1</v>
      </c>
      <c r="P127" s="3">
        <v>0.54</v>
      </c>
      <c r="Q127" s="3">
        <v>0.54</v>
      </c>
      <c r="R127" s="3">
        <v>0</v>
      </c>
      <c r="S127" s="2"/>
      <c r="T127" s="5">
        <v>0</v>
      </c>
      <c r="U127" s="4">
        <v>0</v>
      </c>
      <c r="V127" s="4">
        <v>0</v>
      </c>
      <c r="W127" s="2">
        <v>0</v>
      </c>
      <c r="X127" s="4">
        <v>0</v>
      </c>
      <c r="Y127" s="4">
        <v>0</v>
      </c>
      <c r="Z127" s="3">
        <v>0</v>
      </c>
      <c r="AA127" s="3">
        <v>0</v>
      </c>
    </row>
    <row r="128" spans="1:27" x14ac:dyDescent="0.2">
      <c r="A128">
        <f t="shared" si="2"/>
        <v>1</v>
      </c>
      <c r="B128">
        <f t="shared" si="3"/>
        <v>4</v>
      </c>
      <c r="C128" s="1">
        <v>46042</v>
      </c>
      <c r="D128" t="s">
        <v>25</v>
      </c>
      <c r="E128" t="s">
        <v>26</v>
      </c>
      <c r="F128" t="s">
        <v>49</v>
      </c>
      <c r="G128" t="s">
        <v>50</v>
      </c>
      <c r="H128" t="s">
        <v>29</v>
      </c>
      <c r="I128" t="s">
        <v>30</v>
      </c>
      <c r="J128" t="s">
        <v>95</v>
      </c>
      <c r="K128" t="s">
        <v>42</v>
      </c>
      <c r="L128" t="s">
        <v>162</v>
      </c>
      <c r="M128" s="4">
        <v>1</v>
      </c>
      <c r="N128" s="4">
        <v>1</v>
      </c>
      <c r="O128" s="2">
        <v>1</v>
      </c>
      <c r="P128" s="3">
        <v>0.53</v>
      </c>
      <c r="Q128" s="3">
        <v>0.53</v>
      </c>
      <c r="R128" s="3">
        <v>0</v>
      </c>
      <c r="S128" s="2"/>
      <c r="T128" s="5">
        <v>0</v>
      </c>
      <c r="U128" s="4">
        <v>0</v>
      </c>
      <c r="V128" s="4">
        <v>0</v>
      </c>
      <c r="W128" s="2">
        <v>0</v>
      </c>
      <c r="X128" s="4">
        <v>0</v>
      </c>
      <c r="Y128" s="4">
        <v>0</v>
      </c>
      <c r="Z128" s="3">
        <v>0</v>
      </c>
      <c r="AA128" s="3">
        <v>0</v>
      </c>
    </row>
    <row r="129" spans="1:27" x14ac:dyDescent="0.2">
      <c r="A129">
        <f t="shared" si="2"/>
        <v>1</v>
      </c>
      <c r="B129">
        <f t="shared" si="3"/>
        <v>1</v>
      </c>
      <c r="C129" s="1">
        <v>46024</v>
      </c>
      <c r="D129" t="s">
        <v>25</v>
      </c>
      <c r="E129" t="s">
        <v>26</v>
      </c>
      <c r="F129" t="s">
        <v>61</v>
      </c>
      <c r="G129" t="s">
        <v>62</v>
      </c>
      <c r="H129" t="s">
        <v>29</v>
      </c>
      <c r="I129" t="s">
        <v>30</v>
      </c>
      <c r="J129" t="s">
        <v>47</v>
      </c>
      <c r="K129" t="s">
        <v>42</v>
      </c>
      <c r="L129" t="s">
        <v>163</v>
      </c>
      <c r="M129" s="4">
        <v>1</v>
      </c>
      <c r="N129" s="4">
        <v>1</v>
      </c>
      <c r="O129" s="2">
        <v>1</v>
      </c>
      <c r="P129" s="3">
        <v>1.1299999999999999</v>
      </c>
      <c r="Q129" s="3">
        <v>1.1299999999999999</v>
      </c>
      <c r="R129" s="3">
        <v>0</v>
      </c>
      <c r="S129" s="2"/>
      <c r="T129" s="5">
        <v>0</v>
      </c>
      <c r="U129" s="4">
        <v>0</v>
      </c>
      <c r="V129" s="4">
        <v>0</v>
      </c>
      <c r="W129" s="2">
        <v>0</v>
      </c>
      <c r="X129" s="4">
        <v>0</v>
      </c>
      <c r="Y129" s="4">
        <v>0</v>
      </c>
      <c r="Z129" s="3">
        <v>0</v>
      </c>
      <c r="AA129" s="3">
        <v>0</v>
      </c>
    </row>
    <row r="130" spans="1:27" x14ac:dyDescent="0.2">
      <c r="A130">
        <f t="shared" si="2"/>
        <v>1</v>
      </c>
      <c r="B130">
        <f t="shared" si="3"/>
        <v>3</v>
      </c>
      <c r="C130" s="1">
        <v>46038</v>
      </c>
      <c r="D130" t="s">
        <v>25</v>
      </c>
      <c r="E130" t="s">
        <v>26</v>
      </c>
      <c r="F130" t="s">
        <v>49</v>
      </c>
      <c r="G130" t="s">
        <v>50</v>
      </c>
      <c r="H130" t="s">
        <v>29</v>
      </c>
      <c r="I130" t="s">
        <v>30</v>
      </c>
      <c r="J130" t="s">
        <v>95</v>
      </c>
      <c r="K130" t="s">
        <v>42</v>
      </c>
      <c r="L130" t="s">
        <v>164</v>
      </c>
      <c r="M130" s="4">
        <v>2</v>
      </c>
      <c r="N130" s="4">
        <v>1</v>
      </c>
      <c r="O130" s="2">
        <v>0.5</v>
      </c>
      <c r="P130" s="3">
        <v>0.54</v>
      </c>
      <c r="Q130" s="3">
        <v>0.54</v>
      </c>
      <c r="R130" s="3">
        <v>0</v>
      </c>
      <c r="S130" s="2"/>
      <c r="T130" s="5">
        <v>0</v>
      </c>
      <c r="U130" s="4">
        <v>0</v>
      </c>
      <c r="V130" s="4">
        <v>0</v>
      </c>
      <c r="W130" s="2">
        <v>0</v>
      </c>
      <c r="X130" s="4">
        <v>0</v>
      </c>
      <c r="Y130" s="4">
        <v>0</v>
      </c>
      <c r="Z130" s="3">
        <v>0</v>
      </c>
      <c r="AA130" s="3">
        <v>0</v>
      </c>
    </row>
    <row r="131" spans="1:27" x14ac:dyDescent="0.2">
      <c r="A131">
        <f t="shared" ref="A131:A194" si="4">MONTH(C131)</f>
        <v>1</v>
      </c>
      <c r="B131">
        <f t="shared" ref="B131:B194" si="5">WEEKNUM(C131,1)</f>
        <v>4</v>
      </c>
      <c r="C131" s="1">
        <v>46043</v>
      </c>
      <c r="D131" t="s">
        <v>25</v>
      </c>
      <c r="E131" t="s">
        <v>26</v>
      </c>
      <c r="F131" t="s">
        <v>49</v>
      </c>
      <c r="G131" t="s">
        <v>50</v>
      </c>
      <c r="H131" t="s">
        <v>29</v>
      </c>
      <c r="I131" t="s">
        <v>30</v>
      </c>
      <c r="J131" t="s">
        <v>95</v>
      </c>
      <c r="K131" t="s">
        <v>42</v>
      </c>
      <c r="L131" t="s">
        <v>165</v>
      </c>
      <c r="M131" s="4">
        <v>1</v>
      </c>
      <c r="N131" s="4">
        <v>1</v>
      </c>
      <c r="O131" s="2">
        <v>1</v>
      </c>
      <c r="P131" s="3">
        <v>0.53</v>
      </c>
      <c r="Q131" s="3">
        <v>0.53</v>
      </c>
      <c r="R131" s="3">
        <v>0</v>
      </c>
      <c r="S131" s="2"/>
      <c r="T131" s="5">
        <v>0</v>
      </c>
      <c r="U131" s="4">
        <v>0</v>
      </c>
      <c r="V131" s="4">
        <v>0</v>
      </c>
      <c r="W131" s="2">
        <v>0</v>
      </c>
      <c r="X131" s="4">
        <v>0</v>
      </c>
      <c r="Y131" s="4">
        <v>0</v>
      </c>
      <c r="Z131" s="3">
        <v>0</v>
      </c>
      <c r="AA131" s="3">
        <v>0</v>
      </c>
    </row>
    <row r="132" spans="1:27" x14ac:dyDescent="0.2">
      <c r="A132">
        <f t="shared" si="4"/>
        <v>1</v>
      </c>
      <c r="B132">
        <f t="shared" si="5"/>
        <v>2</v>
      </c>
      <c r="C132" s="1">
        <v>46027</v>
      </c>
      <c r="D132" t="s">
        <v>25</v>
      </c>
      <c r="E132" t="s">
        <v>26</v>
      </c>
      <c r="F132" t="s">
        <v>39</v>
      </c>
      <c r="G132" t="s">
        <v>40</v>
      </c>
      <c r="H132" t="s">
        <v>29</v>
      </c>
      <c r="I132" t="s">
        <v>30</v>
      </c>
      <c r="J132" t="s">
        <v>41</v>
      </c>
      <c r="K132" t="s">
        <v>42</v>
      </c>
      <c r="L132" t="s">
        <v>166</v>
      </c>
      <c r="M132" s="4">
        <v>2</v>
      </c>
      <c r="N132" s="4">
        <v>1</v>
      </c>
      <c r="O132" s="2">
        <v>0.5</v>
      </c>
      <c r="P132" s="3">
        <v>0.74</v>
      </c>
      <c r="Q132" s="3">
        <v>0.74</v>
      </c>
      <c r="R132" s="3">
        <v>34.18</v>
      </c>
      <c r="S132" s="2">
        <v>2.1650087770626096E-2</v>
      </c>
      <c r="T132" s="5">
        <v>46.189189189189186</v>
      </c>
      <c r="U132" s="4">
        <v>1</v>
      </c>
      <c r="V132" s="4">
        <v>2</v>
      </c>
      <c r="W132" s="2">
        <v>1</v>
      </c>
      <c r="X132" s="4">
        <v>0</v>
      </c>
      <c r="Y132" s="4">
        <v>2</v>
      </c>
      <c r="Z132" s="3">
        <v>0</v>
      </c>
      <c r="AA132" s="3">
        <v>34.18</v>
      </c>
    </row>
    <row r="133" spans="1:27" x14ac:dyDescent="0.2">
      <c r="A133">
        <f t="shared" si="4"/>
        <v>1</v>
      </c>
      <c r="B133">
        <f t="shared" si="5"/>
        <v>4</v>
      </c>
      <c r="C133" s="1">
        <v>46040</v>
      </c>
      <c r="D133" t="s">
        <v>25</v>
      </c>
      <c r="E133" t="s">
        <v>26</v>
      </c>
      <c r="F133" t="s">
        <v>49</v>
      </c>
      <c r="G133" t="s">
        <v>50</v>
      </c>
      <c r="H133" t="s">
        <v>29</v>
      </c>
      <c r="I133" t="s">
        <v>30</v>
      </c>
      <c r="J133" t="s">
        <v>95</v>
      </c>
      <c r="K133" t="s">
        <v>42</v>
      </c>
      <c r="L133" t="s">
        <v>167</v>
      </c>
      <c r="M133" s="4">
        <v>3</v>
      </c>
      <c r="N133" s="4">
        <v>1</v>
      </c>
      <c r="O133" s="2">
        <v>0.33333333333333331</v>
      </c>
      <c r="P133" s="3">
        <v>0.44</v>
      </c>
      <c r="Q133" s="3">
        <v>0.44</v>
      </c>
      <c r="R133" s="3">
        <v>0</v>
      </c>
      <c r="S133" s="2"/>
      <c r="T133" s="5">
        <v>0</v>
      </c>
      <c r="U133" s="4">
        <v>0</v>
      </c>
      <c r="V133" s="4">
        <v>0</v>
      </c>
      <c r="W133" s="2">
        <v>0</v>
      </c>
      <c r="X133" s="4">
        <v>0</v>
      </c>
      <c r="Y133" s="4">
        <v>0</v>
      </c>
      <c r="Z133" s="3">
        <v>0</v>
      </c>
      <c r="AA133" s="3">
        <v>0</v>
      </c>
    </row>
    <row r="134" spans="1:27" x14ac:dyDescent="0.2">
      <c r="A134">
        <f t="shared" si="4"/>
        <v>1</v>
      </c>
      <c r="B134">
        <f t="shared" si="5"/>
        <v>3</v>
      </c>
      <c r="C134" s="1">
        <v>46033</v>
      </c>
      <c r="D134" t="s">
        <v>25</v>
      </c>
      <c r="E134" t="s">
        <v>26</v>
      </c>
      <c r="F134" t="s">
        <v>27</v>
      </c>
      <c r="G134" t="s">
        <v>28</v>
      </c>
      <c r="H134" t="s">
        <v>29</v>
      </c>
      <c r="I134" t="s">
        <v>30</v>
      </c>
      <c r="J134" t="s">
        <v>50</v>
      </c>
      <c r="K134" t="s">
        <v>32</v>
      </c>
      <c r="L134" t="s">
        <v>168</v>
      </c>
      <c r="M134" s="4">
        <v>1</v>
      </c>
      <c r="N134" s="4">
        <v>1</v>
      </c>
      <c r="O134" s="2">
        <v>1</v>
      </c>
      <c r="P134" s="3">
        <v>0.21</v>
      </c>
      <c r="Q134" s="3">
        <v>0.21</v>
      </c>
      <c r="R134" s="3">
        <v>0</v>
      </c>
      <c r="S134" s="2"/>
      <c r="T134" s="5">
        <v>0</v>
      </c>
      <c r="U134" s="4">
        <v>0</v>
      </c>
      <c r="V134" s="4">
        <v>0</v>
      </c>
      <c r="W134" s="2">
        <v>0</v>
      </c>
      <c r="X134" s="4">
        <v>0</v>
      </c>
      <c r="Y134" s="4">
        <v>0</v>
      </c>
      <c r="Z134" s="3">
        <v>0</v>
      </c>
      <c r="AA134" s="3">
        <v>0</v>
      </c>
    </row>
    <row r="135" spans="1:27" x14ac:dyDescent="0.2">
      <c r="A135">
        <f t="shared" si="4"/>
        <v>1</v>
      </c>
      <c r="B135">
        <f t="shared" si="5"/>
        <v>1</v>
      </c>
      <c r="C135" s="1">
        <v>46024</v>
      </c>
      <c r="D135" t="s">
        <v>25</v>
      </c>
      <c r="E135" t="s">
        <v>26</v>
      </c>
      <c r="F135" t="s">
        <v>49</v>
      </c>
      <c r="G135" t="s">
        <v>50</v>
      </c>
      <c r="H135" t="s">
        <v>29</v>
      </c>
      <c r="I135" t="s">
        <v>30</v>
      </c>
      <c r="J135" t="s">
        <v>47</v>
      </c>
      <c r="K135" t="s">
        <v>42</v>
      </c>
      <c r="L135" t="s">
        <v>169</v>
      </c>
      <c r="M135" s="4">
        <v>1</v>
      </c>
      <c r="N135" s="4">
        <v>1</v>
      </c>
      <c r="O135" s="2">
        <v>1</v>
      </c>
      <c r="P135" s="3">
        <v>0.67</v>
      </c>
      <c r="Q135" s="3">
        <v>0.67</v>
      </c>
      <c r="R135" s="3">
        <v>0</v>
      </c>
      <c r="S135" s="2"/>
      <c r="T135" s="5">
        <v>0</v>
      </c>
      <c r="U135" s="4">
        <v>0</v>
      </c>
      <c r="V135" s="4">
        <v>0</v>
      </c>
      <c r="W135" s="2">
        <v>0</v>
      </c>
      <c r="X135" s="4">
        <v>0</v>
      </c>
      <c r="Y135" s="4">
        <v>0</v>
      </c>
      <c r="Z135" s="3">
        <v>0</v>
      </c>
      <c r="AA135" s="3">
        <v>0</v>
      </c>
    </row>
    <row r="136" spans="1:27" x14ac:dyDescent="0.2">
      <c r="A136">
        <f t="shared" si="4"/>
        <v>1</v>
      </c>
      <c r="B136">
        <f t="shared" si="5"/>
        <v>2</v>
      </c>
      <c r="C136" s="1">
        <v>46031</v>
      </c>
      <c r="D136" t="s">
        <v>25</v>
      </c>
      <c r="E136" t="s">
        <v>26</v>
      </c>
      <c r="F136" t="s">
        <v>27</v>
      </c>
      <c r="G136" t="s">
        <v>28</v>
      </c>
      <c r="H136" t="s">
        <v>29</v>
      </c>
      <c r="I136" t="s">
        <v>30</v>
      </c>
      <c r="J136" t="s">
        <v>119</v>
      </c>
      <c r="K136" t="s">
        <v>32</v>
      </c>
      <c r="L136" t="s">
        <v>170</v>
      </c>
      <c r="M136" s="4">
        <v>1</v>
      </c>
      <c r="N136" s="4">
        <v>1</v>
      </c>
      <c r="O136" s="2">
        <v>1</v>
      </c>
      <c r="P136" s="3">
        <v>0.3</v>
      </c>
      <c r="Q136" s="3">
        <v>0.3</v>
      </c>
      <c r="R136" s="3">
        <v>0</v>
      </c>
      <c r="S136" s="2"/>
      <c r="T136" s="5">
        <v>0</v>
      </c>
      <c r="U136" s="4">
        <v>0</v>
      </c>
      <c r="V136" s="4">
        <v>0</v>
      </c>
      <c r="W136" s="2">
        <v>0</v>
      </c>
      <c r="X136" s="4">
        <v>0</v>
      </c>
      <c r="Y136" s="4">
        <v>0</v>
      </c>
      <c r="Z136" s="3">
        <v>0</v>
      </c>
      <c r="AA136" s="3">
        <v>0</v>
      </c>
    </row>
    <row r="137" spans="1:27" x14ac:dyDescent="0.2">
      <c r="A137">
        <f t="shared" si="4"/>
        <v>1</v>
      </c>
      <c r="B137">
        <f t="shared" si="5"/>
        <v>4</v>
      </c>
      <c r="C137" s="1">
        <v>46043</v>
      </c>
      <c r="D137" t="s">
        <v>25</v>
      </c>
      <c r="E137" t="s">
        <v>26</v>
      </c>
      <c r="F137" t="s">
        <v>27</v>
      </c>
      <c r="G137" t="s">
        <v>28</v>
      </c>
      <c r="H137" t="s">
        <v>29</v>
      </c>
      <c r="I137" t="s">
        <v>30</v>
      </c>
      <c r="J137" t="s">
        <v>119</v>
      </c>
      <c r="K137" t="s">
        <v>32</v>
      </c>
      <c r="L137" t="s">
        <v>171</v>
      </c>
      <c r="M137" s="4">
        <v>1</v>
      </c>
      <c r="N137" s="4">
        <v>1</v>
      </c>
      <c r="O137" s="2">
        <v>1</v>
      </c>
      <c r="P137" s="3">
        <v>0.16</v>
      </c>
      <c r="Q137" s="3">
        <v>0.16</v>
      </c>
      <c r="R137" s="3">
        <v>0</v>
      </c>
      <c r="S137" s="2"/>
      <c r="T137" s="5">
        <v>0</v>
      </c>
      <c r="U137" s="4">
        <v>0</v>
      </c>
      <c r="V137" s="4">
        <v>0</v>
      </c>
      <c r="W137" s="2">
        <v>0</v>
      </c>
      <c r="X137" s="4">
        <v>0</v>
      </c>
      <c r="Y137" s="4">
        <v>0</v>
      </c>
      <c r="Z137" s="3">
        <v>0</v>
      </c>
      <c r="AA137" s="3">
        <v>0</v>
      </c>
    </row>
    <row r="138" spans="1:27" x14ac:dyDescent="0.2">
      <c r="A138">
        <f t="shared" si="4"/>
        <v>1</v>
      </c>
      <c r="B138">
        <f t="shared" si="5"/>
        <v>4</v>
      </c>
      <c r="C138" s="1">
        <v>46043</v>
      </c>
      <c r="D138" t="s">
        <v>25</v>
      </c>
      <c r="E138" t="s">
        <v>26</v>
      </c>
      <c r="F138" t="s">
        <v>49</v>
      </c>
      <c r="G138" t="s">
        <v>50</v>
      </c>
      <c r="H138" t="s">
        <v>29</v>
      </c>
      <c r="I138" t="s">
        <v>30</v>
      </c>
      <c r="J138" t="s">
        <v>95</v>
      </c>
      <c r="K138" t="s">
        <v>42</v>
      </c>
      <c r="L138" t="s">
        <v>172</v>
      </c>
      <c r="M138" s="4">
        <v>2</v>
      </c>
      <c r="N138" s="4">
        <v>1</v>
      </c>
      <c r="O138" s="2">
        <v>0.5</v>
      </c>
      <c r="P138" s="3">
        <v>0.53</v>
      </c>
      <c r="Q138" s="3">
        <v>0.53</v>
      </c>
      <c r="R138" s="3">
        <v>0</v>
      </c>
      <c r="S138" s="2"/>
      <c r="T138" s="5">
        <v>0</v>
      </c>
      <c r="U138" s="4">
        <v>0</v>
      </c>
      <c r="V138" s="4">
        <v>0</v>
      </c>
      <c r="W138" s="2">
        <v>0</v>
      </c>
      <c r="X138" s="4">
        <v>0</v>
      </c>
      <c r="Y138" s="4">
        <v>0</v>
      </c>
      <c r="Z138" s="3">
        <v>0</v>
      </c>
      <c r="AA138" s="3">
        <v>0</v>
      </c>
    </row>
    <row r="139" spans="1:27" x14ac:dyDescent="0.2">
      <c r="A139">
        <f t="shared" si="4"/>
        <v>1</v>
      </c>
      <c r="B139">
        <f t="shared" si="5"/>
        <v>3</v>
      </c>
      <c r="C139" s="1">
        <v>46037</v>
      </c>
      <c r="D139" t="s">
        <v>25</v>
      </c>
      <c r="E139" t="s">
        <v>26</v>
      </c>
      <c r="F139" t="s">
        <v>112</v>
      </c>
      <c r="G139" t="s">
        <v>62</v>
      </c>
      <c r="H139" t="s">
        <v>29</v>
      </c>
      <c r="I139" t="s">
        <v>30</v>
      </c>
      <c r="J139" t="s">
        <v>173</v>
      </c>
      <c r="K139" t="s">
        <v>32</v>
      </c>
      <c r="L139" t="s">
        <v>174</v>
      </c>
      <c r="M139" s="4">
        <v>2</v>
      </c>
      <c r="N139" s="4">
        <v>1</v>
      </c>
      <c r="O139" s="2">
        <v>0.5</v>
      </c>
      <c r="P139" s="3">
        <v>1</v>
      </c>
      <c r="Q139" s="3">
        <v>1</v>
      </c>
      <c r="R139" s="3">
        <v>0</v>
      </c>
      <c r="S139" s="2"/>
      <c r="T139" s="5">
        <v>0</v>
      </c>
      <c r="U139" s="4">
        <v>0</v>
      </c>
      <c r="V139" s="4">
        <v>0</v>
      </c>
      <c r="W139" s="2">
        <v>0</v>
      </c>
      <c r="X139" s="4">
        <v>0</v>
      </c>
      <c r="Y139" s="4">
        <v>0</v>
      </c>
      <c r="Z139" s="3">
        <v>0</v>
      </c>
      <c r="AA139" s="3">
        <v>0</v>
      </c>
    </row>
    <row r="140" spans="1:27" x14ac:dyDescent="0.2">
      <c r="A140">
        <f t="shared" si="4"/>
        <v>1</v>
      </c>
      <c r="B140">
        <f t="shared" si="5"/>
        <v>3</v>
      </c>
      <c r="C140" s="1">
        <v>46034</v>
      </c>
      <c r="D140" t="s">
        <v>25</v>
      </c>
      <c r="E140" t="s">
        <v>26</v>
      </c>
      <c r="F140" t="s">
        <v>61</v>
      </c>
      <c r="G140" t="s">
        <v>62</v>
      </c>
      <c r="H140" t="s">
        <v>29</v>
      </c>
      <c r="I140" t="s">
        <v>30</v>
      </c>
      <c r="J140" t="s">
        <v>47</v>
      </c>
      <c r="K140" t="s">
        <v>42</v>
      </c>
      <c r="L140" t="s">
        <v>175</v>
      </c>
      <c r="M140" s="4">
        <v>1</v>
      </c>
      <c r="N140" s="4">
        <v>1</v>
      </c>
      <c r="O140" s="2">
        <v>1</v>
      </c>
      <c r="P140" s="3">
        <v>1.03</v>
      </c>
      <c r="Q140" s="3">
        <v>1.03</v>
      </c>
      <c r="R140" s="3">
        <v>0</v>
      </c>
      <c r="S140" s="2"/>
      <c r="T140" s="5">
        <v>0</v>
      </c>
      <c r="U140" s="4">
        <v>0</v>
      </c>
      <c r="V140" s="4">
        <v>0</v>
      </c>
      <c r="W140" s="2">
        <v>0</v>
      </c>
      <c r="X140" s="4">
        <v>0</v>
      </c>
      <c r="Y140" s="4">
        <v>0</v>
      </c>
      <c r="Z140" s="3">
        <v>0</v>
      </c>
      <c r="AA140" s="3">
        <v>0</v>
      </c>
    </row>
    <row r="141" spans="1:27" x14ac:dyDescent="0.2">
      <c r="A141">
        <f t="shared" si="4"/>
        <v>1</v>
      </c>
      <c r="B141">
        <f t="shared" si="5"/>
        <v>4</v>
      </c>
      <c r="C141" s="1">
        <v>46041</v>
      </c>
      <c r="D141" t="s">
        <v>25</v>
      </c>
      <c r="E141" t="s">
        <v>26</v>
      </c>
      <c r="F141" t="s">
        <v>61</v>
      </c>
      <c r="G141" t="s">
        <v>62</v>
      </c>
      <c r="H141" t="s">
        <v>29</v>
      </c>
      <c r="I141" t="s">
        <v>30</v>
      </c>
      <c r="J141" t="s">
        <v>47</v>
      </c>
      <c r="K141" t="s">
        <v>42</v>
      </c>
      <c r="L141" t="s">
        <v>176</v>
      </c>
      <c r="M141" s="4">
        <v>2</v>
      </c>
      <c r="N141" s="4">
        <v>1</v>
      </c>
      <c r="O141" s="2">
        <v>0.5</v>
      </c>
      <c r="P141" s="3">
        <v>1.29</v>
      </c>
      <c r="Q141" s="3">
        <v>1.29</v>
      </c>
      <c r="R141" s="3">
        <v>25.73</v>
      </c>
      <c r="S141" s="2">
        <v>5.0136027982899331E-2</v>
      </c>
      <c r="T141" s="5">
        <v>19.945736434108525</v>
      </c>
      <c r="U141" s="4">
        <v>1</v>
      </c>
      <c r="V141" s="4">
        <v>1</v>
      </c>
      <c r="W141" s="2">
        <v>1</v>
      </c>
      <c r="X141" s="4">
        <v>1</v>
      </c>
      <c r="Y141" s="4">
        <v>0</v>
      </c>
      <c r="Z141" s="3">
        <v>25.73</v>
      </c>
      <c r="AA141" s="3">
        <v>0</v>
      </c>
    </row>
    <row r="142" spans="1:27" x14ac:dyDescent="0.2">
      <c r="A142">
        <f t="shared" si="4"/>
        <v>1</v>
      </c>
      <c r="B142">
        <f t="shared" si="5"/>
        <v>2</v>
      </c>
      <c r="C142" s="1">
        <v>46029</v>
      </c>
      <c r="D142" t="s">
        <v>25</v>
      </c>
      <c r="E142" t="s">
        <v>26</v>
      </c>
      <c r="F142" t="s">
        <v>53</v>
      </c>
      <c r="G142" t="s">
        <v>54</v>
      </c>
      <c r="H142" t="s">
        <v>29</v>
      </c>
      <c r="I142" t="s">
        <v>30</v>
      </c>
      <c r="J142" t="s">
        <v>47</v>
      </c>
      <c r="K142" t="s">
        <v>42</v>
      </c>
      <c r="L142" t="s">
        <v>177</v>
      </c>
      <c r="M142" s="4">
        <v>1</v>
      </c>
      <c r="N142" s="4">
        <v>1</v>
      </c>
      <c r="O142" s="2">
        <v>1</v>
      </c>
      <c r="P142" s="3">
        <v>0.99</v>
      </c>
      <c r="Q142" s="3">
        <v>0.99</v>
      </c>
      <c r="R142" s="3">
        <v>7.83</v>
      </c>
      <c r="S142" s="2">
        <v>0.12643678160919539</v>
      </c>
      <c r="T142" s="5">
        <v>7.9090909090909092</v>
      </c>
      <c r="U142" s="4">
        <v>1</v>
      </c>
      <c r="V142" s="4">
        <v>1</v>
      </c>
      <c r="W142" s="2">
        <v>1</v>
      </c>
      <c r="X142" s="4">
        <v>1</v>
      </c>
      <c r="Y142" s="4">
        <v>0</v>
      </c>
      <c r="Z142" s="3">
        <v>7.83</v>
      </c>
      <c r="AA142" s="3">
        <v>0</v>
      </c>
    </row>
    <row r="143" spans="1:27" x14ac:dyDescent="0.2">
      <c r="A143">
        <f t="shared" si="4"/>
        <v>1</v>
      </c>
      <c r="B143">
        <f t="shared" si="5"/>
        <v>3</v>
      </c>
      <c r="C143" s="1">
        <v>46037</v>
      </c>
      <c r="D143" t="s">
        <v>25</v>
      </c>
      <c r="E143" t="s">
        <v>26</v>
      </c>
      <c r="F143" t="s">
        <v>61</v>
      </c>
      <c r="G143" t="s">
        <v>62</v>
      </c>
      <c r="H143" t="s">
        <v>29</v>
      </c>
      <c r="I143" t="s">
        <v>30</v>
      </c>
      <c r="J143" t="s">
        <v>95</v>
      </c>
      <c r="K143" t="s">
        <v>42</v>
      </c>
      <c r="L143" t="s">
        <v>178</v>
      </c>
      <c r="M143" s="4">
        <v>2</v>
      </c>
      <c r="N143" s="4">
        <v>1</v>
      </c>
      <c r="O143" s="2">
        <v>0.5</v>
      </c>
      <c r="P143" s="3">
        <v>1.1000000000000001</v>
      </c>
      <c r="Q143" s="3">
        <v>1.1000000000000001</v>
      </c>
      <c r="R143" s="3">
        <v>0</v>
      </c>
      <c r="S143" s="2"/>
      <c r="T143" s="5">
        <v>0</v>
      </c>
      <c r="U143" s="4">
        <v>0</v>
      </c>
      <c r="V143" s="4">
        <v>0</v>
      </c>
      <c r="W143" s="2">
        <v>0</v>
      </c>
      <c r="X143" s="4">
        <v>0</v>
      </c>
      <c r="Y143" s="4">
        <v>0</v>
      </c>
      <c r="Z143" s="3">
        <v>0</v>
      </c>
      <c r="AA143" s="3">
        <v>0</v>
      </c>
    </row>
    <row r="144" spans="1:27" x14ac:dyDescent="0.2">
      <c r="A144">
        <f t="shared" si="4"/>
        <v>1</v>
      </c>
      <c r="B144">
        <f t="shared" si="5"/>
        <v>4</v>
      </c>
      <c r="C144" s="1">
        <v>46040</v>
      </c>
      <c r="D144" t="s">
        <v>25</v>
      </c>
      <c r="E144" t="s">
        <v>26</v>
      </c>
      <c r="F144" t="s">
        <v>112</v>
      </c>
      <c r="G144" t="s">
        <v>62</v>
      </c>
      <c r="H144" t="s">
        <v>29</v>
      </c>
      <c r="I144" t="s">
        <v>30</v>
      </c>
      <c r="J144" t="s">
        <v>173</v>
      </c>
      <c r="K144" t="s">
        <v>32</v>
      </c>
      <c r="L144" t="s">
        <v>179</v>
      </c>
      <c r="M144" s="4">
        <v>3</v>
      </c>
      <c r="N144" s="4">
        <v>1</v>
      </c>
      <c r="O144" s="2">
        <v>0.33333333333333331</v>
      </c>
      <c r="P144" s="3">
        <v>0.52</v>
      </c>
      <c r="Q144" s="3">
        <v>0.52</v>
      </c>
      <c r="R144" s="3">
        <v>0</v>
      </c>
      <c r="S144" s="2"/>
      <c r="T144" s="5">
        <v>0</v>
      </c>
      <c r="U144" s="4">
        <v>0</v>
      </c>
      <c r="V144" s="4">
        <v>0</v>
      </c>
      <c r="W144" s="2">
        <v>0</v>
      </c>
      <c r="X144" s="4">
        <v>0</v>
      </c>
      <c r="Y144" s="4">
        <v>0</v>
      </c>
      <c r="Z144" s="3">
        <v>0</v>
      </c>
      <c r="AA144" s="3">
        <v>0</v>
      </c>
    </row>
    <row r="145" spans="1:27" x14ac:dyDescent="0.2">
      <c r="A145">
        <f t="shared" si="4"/>
        <v>1</v>
      </c>
      <c r="B145">
        <f t="shared" si="5"/>
        <v>3</v>
      </c>
      <c r="C145" s="1">
        <v>46038</v>
      </c>
      <c r="D145" t="s">
        <v>25</v>
      </c>
      <c r="E145" t="s">
        <v>26</v>
      </c>
      <c r="F145" t="s">
        <v>61</v>
      </c>
      <c r="G145" t="s">
        <v>62</v>
      </c>
      <c r="H145" t="s">
        <v>29</v>
      </c>
      <c r="I145" t="s">
        <v>30</v>
      </c>
      <c r="J145" t="s">
        <v>47</v>
      </c>
      <c r="K145" t="s">
        <v>42</v>
      </c>
      <c r="L145" t="s">
        <v>173</v>
      </c>
      <c r="M145" s="4">
        <v>5</v>
      </c>
      <c r="N145" s="4">
        <v>1</v>
      </c>
      <c r="O145" s="2">
        <v>0.2</v>
      </c>
      <c r="P145" s="3">
        <v>1.18</v>
      </c>
      <c r="Q145" s="3">
        <v>1.18</v>
      </c>
      <c r="R145" s="3">
        <v>0</v>
      </c>
      <c r="S145" s="2"/>
      <c r="T145" s="5">
        <v>0</v>
      </c>
      <c r="U145" s="4">
        <v>0</v>
      </c>
      <c r="V145" s="4">
        <v>0</v>
      </c>
      <c r="W145" s="2">
        <v>0</v>
      </c>
      <c r="X145" s="4">
        <v>0</v>
      </c>
      <c r="Y145" s="4">
        <v>0</v>
      </c>
      <c r="Z145" s="3">
        <v>0</v>
      </c>
      <c r="AA145" s="3">
        <v>0</v>
      </c>
    </row>
    <row r="146" spans="1:27" x14ac:dyDescent="0.2">
      <c r="A146">
        <f t="shared" si="4"/>
        <v>1</v>
      </c>
      <c r="B146">
        <f t="shared" si="5"/>
        <v>4</v>
      </c>
      <c r="C146" s="1">
        <v>46040</v>
      </c>
      <c r="D146" t="s">
        <v>25</v>
      </c>
      <c r="E146" t="s">
        <v>26</v>
      </c>
      <c r="F146" t="s">
        <v>61</v>
      </c>
      <c r="G146" t="s">
        <v>62</v>
      </c>
      <c r="H146" t="s">
        <v>29</v>
      </c>
      <c r="I146" t="s">
        <v>30</v>
      </c>
      <c r="J146" t="s">
        <v>47</v>
      </c>
      <c r="K146" t="s">
        <v>42</v>
      </c>
      <c r="L146" t="s">
        <v>173</v>
      </c>
      <c r="M146" s="4">
        <v>38</v>
      </c>
      <c r="N146" s="4">
        <v>1</v>
      </c>
      <c r="O146" s="2">
        <v>2.6315789473684209E-2</v>
      </c>
      <c r="P146" s="3">
        <v>1.25</v>
      </c>
      <c r="Q146" s="3">
        <v>1.25</v>
      </c>
      <c r="R146" s="3">
        <v>0</v>
      </c>
      <c r="S146" s="2"/>
      <c r="T146" s="5">
        <v>0</v>
      </c>
      <c r="U146" s="4">
        <v>0</v>
      </c>
      <c r="V146" s="4">
        <v>0</v>
      </c>
      <c r="W146" s="2">
        <v>0</v>
      </c>
      <c r="X146" s="4">
        <v>0</v>
      </c>
      <c r="Y146" s="4">
        <v>0</v>
      </c>
      <c r="Z146" s="3">
        <v>0</v>
      </c>
      <c r="AA146" s="3">
        <v>0</v>
      </c>
    </row>
    <row r="147" spans="1:27" x14ac:dyDescent="0.2">
      <c r="A147">
        <f t="shared" si="4"/>
        <v>1</v>
      </c>
      <c r="B147">
        <f t="shared" si="5"/>
        <v>3</v>
      </c>
      <c r="C147" s="1">
        <v>46039</v>
      </c>
      <c r="D147" t="s">
        <v>25</v>
      </c>
      <c r="E147" t="s">
        <v>26</v>
      </c>
      <c r="F147" t="s">
        <v>112</v>
      </c>
      <c r="G147" t="s">
        <v>62</v>
      </c>
      <c r="H147" t="s">
        <v>29</v>
      </c>
      <c r="I147" t="s">
        <v>30</v>
      </c>
      <c r="J147" t="s">
        <v>173</v>
      </c>
      <c r="K147" t="s">
        <v>32</v>
      </c>
      <c r="L147" t="s">
        <v>173</v>
      </c>
      <c r="M147" s="4">
        <v>47</v>
      </c>
      <c r="N147" s="4">
        <v>1</v>
      </c>
      <c r="O147" s="2">
        <v>2.1276595744680851E-2</v>
      </c>
      <c r="P147" s="3">
        <v>0.52</v>
      </c>
      <c r="Q147" s="3">
        <v>0.52</v>
      </c>
      <c r="R147" s="3">
        <v>0</v>
      </c>
      <c r="S147" s="2"/>
      <c r="T147" s="5">
        <v>0</v>
      </c>
      <c r="U147" s="4">
        <v>0</v>
      </c>
      <c r="V147" s="4">
        <v>0</v>
      </c>
      <c r="W147" s="2">
        <v>0</v>
      </c>
      <c r="X147" s="4">
        <v>0</v>
      </c>
      <c r="Y147" s="4">
        <v>0</v>
      </c>
      <c r="Z147" s="3">
        <v>0</v>
      </c>
      <c r="AA147" s="3">
        <v>0</v>
      </c>
    </row>
    <row r="148" spans="1:27" x14ac:dyDescent="0.2">
      <c r="A148">
        <f t="shared" si="4"/>
        <v>1</v>
      </c>
      <c r="B148">
        <f t="shared" si="5"/>
        <v>4</v>
      </c>
      <c r="C148" s="1">
        <v>46043</v>
      </c>
      <c r="D148" t="s">
        <v>25</v>
      </c>
      <c r="E148" t="s">
        <v>26</v>
      </c>
      <c r="F148" t="s">
        <v>112</v>
      </c>
      <c r="G148" t="s">
        <v>62</v>
      </c>
      <c r="H148" t="s">
        <v>29</v>
      </c>
      <c r="I148" t="s">
        <v>30</v>
      </c>
      <c r="J148" t="s">
        <v>173</v>
      </c>
      <c r="K148" t="s">
        <v>32</v>
      </c>
      <c r="L148" t="s">
        <v>173</v>
      </c>
      <c r="M148" s="4">
        <v>15</v>
      </c>
      <c r="N148" s="4">
        <v>1</v>
      </c>
      <c r="O148" s="2">
        <v>6.6666666666666666E-2</v>
      </c>
      <c r="P148" s="3">
        <v>0.52</v>
      </c>
      <c r="Q148" s="3">
        <v>0.52</v>
      </c>
      <c r="R148" s="3">
        <v>25.73</v>
      </c>
      <c r="S148" s="2">
        <v>2.02098717450447E-2</v>
      </c>
      <c r="T148" s="5">
        <v>49.480769230769226</v>
      </c>
      <c r="U148" s="4">
        <v>1</v>
      </c>
      <c r="V148" s="4">
        <v>1</v>
      </c>
      <c r="W148" s="2">
        <v>1</v>
      </c>
      <c r="X148" s="4">
        <v>1</v>
      </c>
      <c r="Y148" s="4">
        <v>0</v>
      </c>
      <c r="Z148" s="3">
        <v>25.73</v>
      </c>
      <c r="AA148" s="3">
        <v>0</v>
      </c>
    </row>
    <row r="149" spans="1:27" x14ac:dyDescent="0.2">
      <c r="A149">
        <f t="shared" si="4"/>
        <v>1</v>
      </c>
      <c r="B149">
        <f t="shared" si="5"/>
        <v>3</v>
      </c>
      <c r="C149" s="1">
        <v>46038</v>
      </c>
      <c r="D149" t="s">
        <v>25</v>
      </c>
      <c r="E149" t="s">
        <v>26</v>
      </c>
      <c r="F149" t="s">
        <v>61</v>
      </c>
      <c r="G149" t="s">
        <v>62</v>
      </c>
      <c r="H149" t="s">
        <v>29</v>
      </c>
      <c r="I149" t="s">
        <v>30</v>
      </c>
      <c r="J149" t="s">
        <v>47</v>
      </c>
      <c r="K149" t="s">
        <v>42</v>
      </c>
      <c r="L149" t="s">
        <v>180</v>
      </c>
      <c r="M149" s="4">
        <v>1</v>
      </c>
      <c r="N149" s="4">
        <v>1</v>
      </c>
      <c r="O149" s="2">
        <v>1</v>
      </c>
      <c r="P149" s="3">
        <v>1.18</v>
      </c>
      <c r="Q149" s="3">
        <v>1.18</v>
      </c>
      <c r="R149" s="3">
        <v>25.73</v>
      </c>
      <c r="S149" s="2">
        <v>4.5860862806062962E-2</v>
      </c>
      <c r="T149" s="5">
        <v>21.805084745762713</v>
      </c>
      <c r="U149" s="4">
        <v>1</v>
      </c>
      <c r="V149" s="4">
        <v>1</v>
      </c>
      <c r="W149" s="2">
        <v>1</v>
      </c>
      <c r="X149" s="4">
        <v>1</v>
      </c>
      <c r="Y149" s="4">
        <v>0</v>
      </c>
      <c r="Z149" s="3">
        <v>25.73</v>
      </c>
      <c r="AA149" s="3">
        <v>0</v>
      </c>
    </row>
    <row r="150" spans="1:27" x14ac:dyDescent="0.2">
      <c r="A150">
        <f t="shared" si="4"/>
        <v>1</v>
      </c>
      <c r="B150">
        <f t="shared" si="5"/>
        <v>2</v>
      </c>
      <c r="C150" s="1">
        <v>46032</v>
      </c>
      <c r="D150" t="s">
        <v>25</v>
      </c>
      <c r="E150" t="s">
        <v>26</v>
      </c>
      <c r="F150" t="s">
        <v>61</v>
      </c>
      <c r="G150" t="s">
        <v>62</v>
      </c>
      <c r="H150" t="s">
        <v>29</v>
      </c>
      <c r="I150" t="s">
        <v>30</v>
      </c>
      <c r="J150" t="s">
        <v>47</v>
      </c>
      <c r="K150" t="s">
        <v>42</v>
      </c>
      <c r="L150" t="s">
        <v>181</v>
      </c>
      <c r="M150" s="4">
        <v>1</v>
      </c>
      <c r="N150" s="4">
        <v>1</v>
      </c>
      <c r="O150" s="2">
        <v>1</v>
      </c>
      <c r="P150" s="3">
        <v>1.42</v>
      </c>
      <c r="Q150" s="3">
        <v>1.42</v>
      </c>
      <c r="R150" s="3">
        <v>0</v>
      </c>
      <c r="S150" s="2"/>
      <c r="T150" s="5">
        <v>0</v>
      </c>
      <c r="U150" s="4">
        <v>0</v>
      </c>
      <c r="V150" s="4">
        <v>0</v>
      </c>
      <c r="W150" s="2">
        <v>0</v>
      </c>
      <c r="X150" s="4">
        <v>0</v>
      </c>
      <c r="Y150" s="4">
        <v>0</v>
      </c>
      <c r="Z150" s="3">
        <v>0</v>
      </c>
      <c r="AA150" s="3">
        <v>0</v>
      </c>
    </row>
    <row r="151" spans="1:27" x14ac:dyDescent="0.2">
      <c r="A151">
        <f t="shared" si="4"/>
        <v>1</v>
      </c>
      <c r="B151">
        <f t="shared" si="5"/>
        <v>3</v>
      </c>
      <c r="C151" s="1">
        <v>46037</v>
      </c>
      <c r="D151" t="s">
        <v>25</v>
      </c>
      <c r="E151" t="s">
        <v>26</v>
      </c>
      <c r="F151" t="s">
        <v>112</v>
      </c>
      <c r="G151" t="s">
        <v>62</v>
      </c>
      <c r="H151" t="s">
        <v>29</v>
      </c>
      <c r="I151" t="s">
        <v>30</v>
      </c>
      <c r="J151" t="s">
        <v>173</v>
      </c>
      <c r="K151" t="s">
        <v>32</v>
      </c>
      <c r="L151" t="s">
        <v>182</v>
      </c>
      <c r="M151" s="4">
        <v>1</v>
      </c>
      <c r="N151" s="4">
        <v>1</v>
      </c>
      <c r="O151" s="2">
        <v>1</v>
      </c>
      <c r="P151" s="3">
        <v>1</v>
      </c>
      <c r="Q151" s="3">
        <v>1</v>
      </c>
      <c r="R151" s="3">
        <v>0</v>
      </c>
      <c r="S151" s="2"/>
      <c r="T151" s="5">
        <v>0</v>
      </c>
      <c r="U151" s="4">
        <v>0</v>
      </c>
      <c r="V151" s="4">
        <v>0</v>
      </c>
      <c r="W151" s="2">
        <v>0</v>
      </c>
      <c r="X151" s="4">
        <v>0</v>
      </c>
      <c r="Y151" s="4">
        <v>0</v>
      </c>
      <c r="Z151" s="3">
        <v>0</v>
      </c>
      <c r="AA151" s="3">
        <v>0</v>
      </c>
    </row>
    <row r="152" spans="1:27" x14ac:dyDescent="0.2">
      <c r="A152">
        <f t="shared" si="4"/>
        <v>1</v>
      </c>
      <c r="B152">
        <f t="shared" si="5"/>
        <v>1</v>
      </c>
      <c r="C152" s="1">
        <v>46024</v>
      </c>
      <c r="D152" t="s">
        <v>25</v>
      </c>
      <c r="E152" t="s">
        <v>26</v>
      </c>
      <c r="F152" t="s">
        <v>61</v>
      </c>
      <c r="G152" t="s">
        <v>62</v>
      </c>
      <c r="H152" t="s">
        <v>29</v>
      </c>
      <c r="I152" t="s">
        <v>30</v>
      </c>
      <c r="J152" t="s">
        <v>47</v>
      </c>
      <c r="K152" t="s">
        <v>42</v>
      </c>
      <c r="L152" t="s">
        <v>183</v>
      </c>
      <c r="M152" s="4">
        <v>1</v>
      </c>
      <c r="N152" s="4">
        <v>1</v>
      </c>
      <c r="O152" s="2">
        <v>1</v>
      </c>
      <c r="P152" s="3">
        <v>1.43</v>
      </c>
      <c r="Q152" s="3">
        <v>1.43</v>
      </c>
      <c r="R152" s="3">
        <v>0</v>
      </c>
      <c r="S152" s="2"/>
      <c r="T152" s="5">
        <v>0</v>
      </c>
      <c r="U152" s="4">
        <v>0</v>
      </c>
      <c r="V152" s="4">
        <v>0</v>
      </c>
      <c r="W152" s="2">
        <v>0</v>
      </c>
      <c r="X152" s="4">
        <v>0</v>
      </c>
      <c r="Y152" s="4">
        <v>0</v>
      </c>
      <c r="Z152" s="3">
        <v>0</v>
      </c>
      <c r="AA152" s="3">
        <v>0</v>
      </c>
    </row>
    <row r="153" spans="1:27" x14ac:dyDescent="0.2">
      <c r="A153">
        <f t="shared" si="4"/>
        <v>1</v>
      </c>
      <c r="B153">
        <f t="shared" si="5"/>
        <v>3</v>
      </c>
      <c r="C153" s="1">
        <v>46039</v>
      </c>
      <c r="D153" t="s">
        <v>25</v>
      </c>
      <c r="E153" t="s">
        <v>26</v>
      </c>
      <c r="F153" t="s">
        <v>61</v>
      </c>
      <c r="G153" t="s">
        <v>62</v>
      </c>
      <c r="H153" t="s">
        <v>29</v>
      </c>
      <c r="I153" t="s">
        <v>30</v>
      </c>
      <c r="J153" t="s">
        <v>47</v>
      </c>
      <c r="K153" t="s">
        <v>42</v>
      </c>
      <c r="L153" t="s">
        <v>184</v>
      </c>
      <c r="M153" s="4">
        <v>5</v>
      </c>
      <c r="N153" s="4">
        <v>1</v>
      </c>
      <c r="O153" s="2">
        <v>0.2</v>
      </c>
      <c r="P153" s="3">
        <v>1.23</v>
      </c>
      <c r="Q153" s="3">
        <v>1.23</v>
      </c>
      <c r="R153" s="3">
        <v>0</v>
      </c>
      <c r="S153" s="2"/>
      <c r="T153" s="5">
        <v>0</v>
      </c>
      <c r="U153" s="4">
        <v>0</v>
      </c>
      <c r="V153" s="4">
        <v>0</v>
      </c>
      <c r="W153" s="2">
        <v>0</v>
      </c>
      <c r="X153" s="4">
        <v>0</v>
      </c>
      <c r="Y153" s="4">
        <v>0</v>
      </c>
      <c r="Z153" s="3">
        <v>0</v>
      </c>
      <c r="AA153" s="3">
        <v>0</v>
      </c>
    </row>
    <row r="154" spans="1:27" x14ac:dyDescent="0.2">
      <c r="A154">
        <f t="shared" si="4"/>
        <v>1</v>
      </c>
      <c r="B154">
        <f t="shared" si="5"/>
        <v>3</v>
      </c>
      <c r="C154" s="1">
        <v>46036</v>
      </c>
      <c r="D154" t="s">
        <v>25</v>
      </c>
      <c r="E154" t="s">
        <v>26</v>
      </c>
      <c r="F154" t="s">
        <v>112</v>
      </c>
      <c r="G154" t="s">
        <v>62</v>
      </c>
      <c r="H154" t="s">
        <v>29</v>
      </c>
      <c r="I154" t="s">
        <v>30</v>
      </c>
      <c r="J154" t="s">
        <v>173</v>
      </c>
      <c r="K154" t="s">
        <v>32</v>
      </c>
      <c r="L154" t="s">
        <v>184</v>
      </c>
      <c r="M154" s="4">
        <v>12</v>
      </c>
      <c r="N154" s="4">
        <v>1</v>
      </c>
      <c r="O154" s="2">
        <v>8.3333333333333315E-2</v>
      </c>
      <c r="P154" s="3">
        <v>0.52</v>
      </c>
      <c r="Q154" s="3">
        <v>0.52</v>
      </c>
      <c r="R154" s="3">
        <v>25.73</v>
      </c>
      <c r="S154" s="2">
        <v>2.02098717450447E-2</v>
      </c>
      <c r="T154" s="5">
        <v>49.480769230769226</v>
      </c>
      <c r="U154" s="4">
        <v>1</v>
      </c>
      <c r="V154" s="4">
        <v>1</v>
      </c>
      <c r="W154" s="2">
        <v>1</v>
      </c>
      <c r="X154" s="4">
        <v>1</v>
      </c>
      <c r="Y154" s="4">
        <v>0</v>
      </c>
      <c r="Z154" s="3">
        <v>25.73</v>
      </c>
      <c r="AA154" s="3">
        <v>0</v>
      </c>
    </row>
    <row r="155" spans="1:27" x14ac:dyDescent="0.2">
      <c r="A155">
        <f t="shared" si="4"/>
        <v>1</v>
      </c>
      <c r="B155">
        <f t="shared" si="5"/>
        <v>3</v>
      </c>
      <c r="C155" s="1">
        <v>46036</v>
      </c>
      <c r="D155" t="s">
        <v>25</v>
      </c>
      <c r="E155" t="s">
        <v>26</v>
      </c>
      <c r="F155" t="s">
        <v>61</v>
      </c>
      <c r="G155" t="s">
        <v>62</v>
      </c>
      <c r="H155" t="s">
        <v>29</v>
      </c>
      <c r="I155" t="s">
        <v>30</v>
      </c>
      <c r="J155" t="s">
        <v>95</v>
      </c>
      <c r="K155" t="s">
        <v>42</v>
      </c>
      <c r="L155" t="s">
        <v>185</v>
      </c>
      <c r="M155" s="4">
        <v>7</v>
      </c>
      <c r="N155" s="4">
        <v>1</v>
      </c>
      <c r="O155" s="2">
        <v>0.14285714285714285</v>
      </c>
      <c r="P155" s="3">
        <v>1.05</v>
      </c>
      <c r="Q155" s="3">
        <v>1.05</v>
      </c>
      <c r="R155" s="3">
        <v>25.73</v>
      </c>
      <c r="S155" s="2">
        <v>4.0808394869801791E-2</v>
      </c>
      <c r="T155" s="5">
        <v>24.504761904761903</v>
      </c>
      <c r="U155" s="4">
        <v>1</v>
      </c>
      <c r="V155" s="4">
        <v>1</v>
      </c>
      <c r="W155" s="2">
        <v>1</v>
      </c>
      <c r="X155" s="4">
        <v>1</v>
      </c>
      <c r="Y155" s="4">
        <v>0</v>
      </c>
      <c r="Z155" s="3">
        <v>25.73</v>
      </c>
      <c r="AA155" s="3">
        <v>0</v>
      </c>
    </row>
    <row r="156" spans="1:27" x14ac:dyDescent="0.2">
      <c r="A156">
        <f t="shared" si="4"/>
        <v>1</v>
      </c>
      <c r="B156">
        <f t="shared" si="5"/>
        <v>3</v>
      </c>
      <c r="C156" s="1">
        <v>46036</v>
      </c>
      <c r="D156" t="s">
        <v>25</v>
      </c>
      <c r="E156" t="s">
        <v>26</v>
      </c>
      <c r="F156" t="s">
        <v>112</v>
      </c>
      <c r="G156" t="s">
        <v>62</v>
      </c>
      <c r="H156" t="s">
        <v>29</v>
      </c>
      <c r="I156" t="s">
        <v>30</v>
      </c>
      <c r="J156" t="s">
        <v>173</v>
      </c>
      <c r="K156" t="s">
        <v>32</v>
      </c>
      <c r="L156" t="s">
        <v>185</v>
      </c>
      <c r="M156" s="4">
        <v>36</v>
      </c>
      <c r="N156" s="4">
        <v>1</v>
      </c>
      <c r="O156" s="2">
        <v>2.7777777777777776E-2</v>
      </c>
      <c r="P156" s="3">
        <v>0.52</v>
      </c>
      <c r="Q156" s="3">
        <v>0.52</v>
      </c>
      <c r="R156" s="3">
        <v>0</v>
      </c>
      <c r="S156" s="2"/>
      <c r="T156" s="5">
        <v>0</v>
      </c>
      <c r="U156" s="4">
        <v>0</v>
      </c>
      <c r="V156" s="4">
        <v>0</v>
      </c>
      <c r="W156" s="2">
        <v>0</v>
      </c>
      <c r="X156" s="4">
        <v>0</v>
      </c>
      <c r="Y156" s="4">
        <v>0</v>
      </c>
      <c r="Z156" s="3">
        <v>0</v>
      </c>
      <c r="AA156" s="3">
        <v>0</v>
      </c>
    </row>
    <row r="157" spans="1:27" x14ac:dyDescent="0.2">
      <c r="A157">
        <f t="shared" si="4"/>
        <v>1</v>
      </c>
      <c r="B157">
        <f t="shared" si="5"/>
        <v>4</v>
      </c>
      <c r="C157" s="1">
        <v>46042</v>
      </c>
      <c r="D157" t="s">
        <v>25</v>
      </c>
      <c r="E157" t="s">
        <v>26</v>
      </c>
      <c r="F157" t="s">
        <v>112</v>
      </c>
      <c r="G157" t="s">
        <v>62</v>
      </c>
      <c r="H157" t="s">
        <v>29</v>
      </c>
      <c r="I157" t="s">
        <v>30</v>
      </c>
      <c r="J157" t="s">
        <v>173</v>
      </c>
      <c r="K157" t="s">
        <v>87</v>
      </c>
      <c r="L157" t="s">
        <v>185</v>
      </c>
      <c r="M157" s="4">
        <v>8</v>
      </c>
      <c r="N157" s="4">
        <v>1</v>
      </c>
      <c r="O157" s="2">
        <v>0.125</v>
      </c>
      <c r="P157" s="3">
        <v>0.52</v>
      </c>
      <c r="Q157" s="3">
        <v>0.52</v>
      </c>
      <c r="R157" s="3">
        <v>0</v>
      </c>
      <c r="S157" s="2"/>
      <c r="T157" s="5">
        <v>0</v>
      </c>
      <c r="U157" s="4">
        <v>0</v>
      </c>
      <c r="V157" s="4">
        <v>0</v>
      </c>
      <c r="W157" s="2">
        <v>0</v>
      </c>
      <c r="X157" s="4">
        <v>0</v>
      </c>
      <c r="Y157" s="4">
        <v>0</v>
      </c>
      <c r="Z157" s="3">
        <v>0</v>
      </c>
      <c r="AA157" s="3">
        <v>0</v>
      </c>
    </row>
    <row r="158" spans="1:27" x14ac:dyDescent="0.2">
      <c r="A158">
        <f t="shared" si="4"/>
        <v>1</v>
      </c>
      <c r="B158">
        <f t="shared" si="5"/>
        <v>3</v>
      </c>
      <c r="C158" s="1">
        <v>46036</v>
      </c>
      <c r="D158" t="s">
        <v>25</v>
      </c>
      <c r="E158" t="s">
        <v>26</v>
      </c>
      <c r="F158" t="s">
        <v>61</v>
      </c>
      <c r="G158" t="s">
        <v>62</v>
      </c>
      <c r="H158" t="s">
        <v>29</v>
      </c>
      <c r="I158" t="s">
        <v>30</v>
      </c>
      <c r="J158" t="s">
        <v>47</v>
      </c>
      <c r="K158" t="s">
        <v>42</v>
      </c>
      <c r="L158" t="s">
        <v>186</v>
      </c>
      <c r="M158" s="4">
        <v>1</v>
      </c>
      <c r="N158" s="4">
        <v>1</v>
      </c>
      <c r="O158" s="2">
        <v>1</v>
      </c>
      <c r="P158" s="3">
        <v>1.2</v>
      </c>
      <c r="Q158" s="3">
        <v>1.2</v>
      </c>
      <c r="R158" s="3">
        <v>0</v>
      </c>
      <c r="S158" s="2"/>
      <c r="T158" s="5">
        <v>0</v>
      </c>
      <c r="U158" s="4">
        <v>0</v>
      </c>
      <c r="V158" s="4">
        <v>0</v>
      </c>
      <c r="W158" s="2">
        <v>0</v>
      </c>
      <c r="X158" s="4">
        <v>0</v>
      </c>
      <c r="Y158" s="4">
        <v>0</v>
      </c>
      <c r="Z158" s="3">
        <v>0</v>
      </c>
      <c r="AA158" s="3">
        <v>0</v>
      </c>
    </row>
    <row r="159" spans="1:27" x14ac:dyDescent="0.2">
      <c r="A159">
        <f t="shared" si="4"/>
        <v>1</v>
      </c>
      <c r="B159">
        <f t="shared" si="5"/>
        <v>3</v>
      </c>
      <c r="C159" s="1">
        <v>46034</v>
      </c>
      <c r="D159" t="s">
        <v>25</v>
      </c>
      <c r="E159" t="s">
        <v>26</v>
      </c>
      <c r="F159" t="s">
        <v>61</v>
      </c>
      <c r="G159" t="s">
        <v>62</v>
      </c>
      <c r="H159" t="s">
        <v>29</v>
      </c>
      <c r="I159" t="s">
        <v>30</v>
      </c>
      <c r="J159" t="s">
        <v>47</v>
      </c>
      <c r="K159" t="s">
        <v>42</v>
      </c>
      <c r="L159" t="s">
        <v>187</v>
      </c>
      <c r="M159" s="4">
        <v>1</v>
      </c>
      <c r="N159" s="4">
        <v>1</v>
      </c>
      <c r="O159" s="2">
        <v>1</v>
      </c>
      <c r="P159" s="3">
        <v>1.23</v>
      </c>
      <c r="Q159" s="3">
        <v>1.23</v>
      </c>
      <c r="R159" s="3">
        <v>0</v>
      </c>
      <c r="S159" s="2"/>
      <c r="T159" s="5">
        <v>0</v>
      </c>
      <c r="U159" s="4">
        <v>0</v>
      </c>
      <c r="V159" s="4">
        <v>0</v>
      </c>
      <c r="W159" s="2">
        <v>0</v>
      </c>
      <c r="X159" s="4">
        <v>0</v>
      </c>
      <c r="Y159" s="4">
        <v>0</v>
      </c>
      <c r="Z159" s="3">
        <v>0</v>
      </c>
      <c r="AA159" s="3">
        <v>0</v>
      </c>
    </row>
    <row r="160" spans="1:27" x14ac:dyDescent="0.2">
      <c r="A160">
        <f t="shared" si="4"/>
        <v>1</v>
      </c>
      <c r="B160">
        <f t="shared" si="5"/>
        <v>3</v>
      </c>
      <c r="C160" s="1">
        <v>46035</v>
      </c>
      <c r="D160" t="s">
        <v>25</v>
      </c>
      <c r="E160" t="s">
        <v>26</v>
      </c>
      <c r="F160" t="s">
        <v>112</v>
      </c>
      <c r="G160" t="s">
        <v>62</v>
      </c>
      <c r="H160" t="s">
        <v>29</v>
      </c>
      <c r="I160" t="s">
        <v>30</v>
      </c>
      <c r="J160" t="s">
        <v>173</v>
      </c>
      <c r="K160" t="s">
        <v>32</v>
      </c>
      <c r="L160" t="s">
        <v>188</v>
      </c>
      <c r="M160" s="4">
        <v>2</v>
      </c>
      <c r="N160" s="4">
        <v>1</v>
      </c>
      <c r="O160" s="2">
        <v>0.5</v>
      </c>
      <c r="P160" s="3">
        <v>0.52</v>
      </c>
      <c r="Q160" s="3">
        <v>0.52</v>
      </c>
      <c r="R160" s="3">
        <v>0</v>
      </c>
      <c r="S160" s="2"/>
      <c r="T160" s="5">
        <v>0</v>
      </c>
      <c r="U160" s="4">
        <v>0</v>
      </c>
      <c r="V160" s="4">
        <v>0</v>
      </c>
      <c r="W160" s="2">
        <v>0</v>
      </c>
      <c r="X160" s="4">
        <v>0</v>
      </c>
      <c r="Y160" s="4">
        <v>0</v>
      </c>
      <c r="Z160" s="3">
        <v>0</v>
      </c>
      <c r="AA160" s="3">
        <v>0</v>
      </c>
    </row>
    <row r="161" spans="1:27" x14ac:dyDescent="0.2">
      <c r="A161">
        <f t="shared" si="4"/>
        <v>1</v>
      </c>
      <c r="B161">
        <f t="shared" si="5"/>
        <v>3</v>
      </c>
      <c r="C161" s="1">
        <v>46035</v>
      </c>
      <c r="D161" t="s">
        <v>25</v>
      </c>
      <c r="E161" t="s">
        <v>26</v>
      </c>
      <c r="F161" t="s">
        <v>112</v>
      </c>
      <c r="G161" t="s">
        <v>62</v>
      </c>
      <c r="H161" t="s">
        <v>29</v>
      </c>
      <c r="I161" t="s">
        <v>30</v>
      </c>
      <c r="J161" t="s">
        <v>173</v>
      </c>
      <c r="K161" t="s">
        <v>32</v>
      </c>
      <c r="L161" t="s">
        <v>189</v>
      </c>
      <c r="M161" s="4">
        <v>1</v>
      </c>
      <c r="N161" s="4">
        <v>1</v>
      </c>
      <c r="O161" s="2">
        <v>1</v>
      </c>
      <c r="P161" s="3">
        <v>0.68</v>
      </c>
      <c r="Q161" s="3">
        <v>0.68</v>
      </c>
      <c r="R161" s="3">
        <v>0</v>
      </c>
      <c r="S161" s="2"/>
      <c r="T161" s="5">
        <v>0</v>
      </c>
      <c r="U161" s="4">
        <v>0</v>
      </c>
      <c r="V161" s="4">
        <v>0</v>
      </c>
      <c r="W161" s="2">
        <v>0</v>
      </c>
      <c r="X161" s="4">
        <v>0</v>
      </c>
      <c r="Y161" s="4">
        <v>0</v>
      </c>
      <c r="Z161" s="3">
        <v>0</v>
      </c>
      <c r="AA161" s="3">
        <v>0</v>
      </c>
    </row>
    <row r="162" spans="1:27" x14ac:dyDescent="0.2">
      <c r="A162">
        <f t="shared" si="4"/>
        <v>1</v>
      </c>
      <c r="B162">
        <f t="shared" si="5"/>
        <v>1</v>
      </c>
      <c r="C162" s="1">
        <v>46025</v>
      </c>
      <c r="D162" t="s">
        <v>25</v>
      </c>
      <c r="E162" t="s">
        <v>26</v>
      </c>
      <c r="F162" t="s">
        <v>61</v>
      </c>
      <c r="G162" t="s">
        <v>62</v>
      </c>
      <c r="H162" t="s">
        <v>29</v>
      </c>
      <c r="I162" t="s">
        <v>30</v>
      </c>
      <c r="J162" t="s">
        <v>95</v>
      </c>
      <c r="K162" t="s">
        <v>42</v>
      </c>
      <c r="L162" t="s">
        <v>190</v>
      </c>
      <c r="M162" s="4">
        <v>3</v>
      </c>
      <c r="N162" s="4">
        <v>1</v>
      </c>
      <c r="O162" s="2">
        <v>0.33333333333333331</v>
      </c>
      <c r="P162" s="3">
        <v>1.22</v>
      </c>
      <c r="Q162" s="3">
        <v>1.22</v>
      </c>
      <c r="R162" s="3">
        <v>0</v>
      </c>
      <c r="S162" s="2"/>
      <c r="T162" s="5">
        <v>0</v>
      </c>
      <c r="U162" s="4">
        <v>0</v>
      </c>
      <c r="V162" s="4">
        <v>0</v>
      </c>
      <c r="W162" s="2">
        <v>0</v>
      </c>
      <c r="X162" s="4">
        <v>0</v>
      </c>
      <c r="Y162" s="4">
        <v>0</v>
      </c>
      <c r="Z162" s="3">
        <v>0</v>
      </c>
      <c r="AA162" s="3">
        <v>0</v>
      </c>
    </row>
    <row r="163" spans="1:27" x14ac:dyDescent="0.2">
      <c r="A163">
        <f t="shared" si="4"/>
        <v>1</v>
      </c>
      <c r="B163">
        <f t="shared" si="5"/>
        <v>3</v>
      </c>
      <c r="C163" s="1">
        <v>46039</v>
      </c>
      <c r="D163" t="s">
        <v>25</v>
      </c>
      <c r="E163" t="s">
        <v>26</v>
      </c>
      <c r="F163" t="s">
        <v>112</v>
      </c>
      <c r="G163" t="s">
        <v>62</v>
      </c>
      <c r="H163" t="s">
        <v>29</v>
      </c>
      <c r="I163" t="s">
        <v>30</v>
      </c>
      <c r="J163" t="s">
        <v>173</v>
      </c>
      <c r="K163" t="s">
        <v>32</v>
      </c>
      <c r="L163" t="s">
        <v>191</v>
      </c>
      <c r="M163" s="4">
        <v>2</v>
      </c>
      <c r="N163" s="4">
        <v>1</v>
      </c>
      <c r="O163" s="2">
        <v>0.5</v>
      </c>
      <c r="P163" s="3">
        <v>0.68</v>
      </c>
      <c r="Q163" s="3">
        <v>0.68</v>
      </c>
      <c r="R163" s="3">
        <v>0</v>
      </c>
      <c r="S163" s="2"/>
      <c r="T163" s="5">
        <v>0</v>
      </c>
      <c r="U163" s="4">
        <v>0</v>
      </c>
      <c r="V163" s="4">
        <v>0</v>
      </c>
      <c r="W163" s="2">
        <v>0</v>
      </c>
      <c r="X163" s="4">
        <v>0</v>
      </c>
      <c r="Y163" s="4">
        <v>0</v>
      </c>
      <c r="Z163" s="3">
        <v>0</v>
      </c>
      <c r="AA163" s="3">
        <v>0</v>
      </c>
    </row>
    <row r="164" spans="1:27" x14ac:dyDescent="0.2">
      <c r="A164">
        <f t="shared" si="4"/>
        <v>1</v>
      </c>
      <c r="B164">
        <f t="shared" si="5"/>
        <v>4</v>
      </c>
      <c r="C164" s="1">
        <v>46042</v>
      </c>
      <c r="D164" t="s">
        <v>25</v>
      </c>
      <c r="E164" t="s">
        <v>26</v>
      </c>
      <c r="F164" t="s">
        <v>61</v>
      </c>
      <c r="G164" t="s">
        <v>62</v>
      </c>
      <c r="H164" t="s">
        <v>29</v>
      </c>
      <c r="I164" t="s">
        <v>30</v>
      </c>
      <c r="J164" t="s">
        <v>95</v>
      </c>
      <c r="K164" t="s">
        <v>42</v>
      </c>
      <c r="L164" t="s">
        <v>192</v>
      </c>
      <c r="M164" s="4">
        <v>1</v>
      </c>
      <c r="N164" s="4">
        <v>1</v>
      </c>
      <c r="O164" s="2">
        <v>1</v>
      </c>
      <c r="P164" s="3">
        <v>1.22</v>
      </c>
      <c r="Q164" s="3">
        <v>1.22</v>
      </c>
      <c r="R164" s="3">
        <v>0</v>
      </c>
      <c r="S164" s="2"/>
      <c r="T164" s="5">
        <v>0</v>
      </c>
      <c r="U164" s="4">
        <v>0</v>
      </c>
      <c r="V164" s="4">
        <v>0</v>
      </c>
      <c r="W164" s="2">
        <v>0</v>
      </c>
      <c r="X164" s="4">
        <v>0</v>
      </c>
      <c r="Y164" s="4">
        <v>0</v>
      </c>
      <c r="Z164" s="3">
        <v>0</v>
      </c>
      <c r="AA164" s="3">
        <v>0</v>
      </c>
    </row>
    <row r="165" spans="1:27" x14ac:dyDescent="0.2">
      <c r="A165">
        <f t="shared" si="4"/>
        <v>1</v>
      </c>
      <c r="B165">
        <f t="shared" si="5"/>
        <v>4</v>
      </c>
      <c r="C165" s="1">
        <v>46043</v>
      </c>
      <c r="D165" t="s">
        <v>25</v>
      </c>
      <c r="E165" t="s">
        <v>26</v>
      </c>
      <c r="F165" t="s">
        <v>61</v>
      </c>
      <c r="G165" t="s">
        <v>62</v>
      </c>
      <c r="H165" t="s">
        <v>29</v>
      </c>
      <c r="I165" t="s">
        <v>30</v>
      </c>
      <c r="J165" t="s">
        <v>95</v>
      </c>
      <c r="K165" t="s">
        <v>42</v>
      </c>
      <c r="L165" t="s">
        <v>192</v>
      </c>
      <c r="M165" s="4">
        <v>1</v>
      </c>
      <c r="N165" s="4">
        <v>1</v>
      </c>
      <c r="O165" s="2">
        <v>1</v>
      </c>
      <c r="P165" s="3">
        <v>1.22</v>
      </c>
      <c r="Q165" s="3">
        <v>1.22</v>
      </c>
      <c r="R165" s="3">
        <v>0</v>
      </c>
      <c r="S165" s="2"/>
      <c r="T165" s="5">
        <v>0</v>
      </c>
      <c r="U165" s="4">
        <v>0</v>
      </c>
      <c r="V165" s="4">
        <v>0</v>
      </c>
      <c r="W165" s="2">
        <v>0</v>
      </c>
      <c r="X165" s="4">
        <v>0</v>
      </c>
      <c r="Y165" s="4">
        <v>0</v>
      </c>
      <c r="Z165" s="3">
        <v>0</v>
      </c>
      <c r="AA165" s="3">
        <v>0</v>
      </c>
    </row>
    <row r="166" spans="1:27" x14ac:dyDescent="0.2">
      <c r="A166">
        <f t="shared" si="4"/>
        <v>1</v>
      </c>
      <c r="B166">
        <f t="shared" si="5"/>
        <v>3</v>
      </c>
      <c r="C166" s="1">
        <v>46039</v>
      </c>
      <c r="D166" t="s">
        <v>25</v>
      </c>
      <c r="E166" t="s">
        <v>26</v>
      </c>
      <c r="F166" t="s">
        <v>112</v>
      </c>
      <c r="G166" t="s">
        <v>62</v>
      </c>
      <c r="H166" t="s">
        <v>29</v>
      </c>
      <c r="I166" t="s">
        <v>30</v>
      </c>
      <c r="J166" t="s">
        <v>173</v>
      </c>
      <c r="K166" t="s">
        <v>32</v>
      </c>
      <c r="L166" t="s">
        <v>193</v>
      </c>
      <c r="M166" s="4">
        <v>1</v>
      </c>
      <c r="N166" s="4">
        <v>1</v>
      </c>
      <c r="O166" s="2">
        <v>1</v>
      </c>
      <c r="P166" s="3">
        <v>1</v>
      </c>
      <c r="Q166" s="3">
        <v>1</v>
      </c>
      <c r="R166" s="3">
        <v>0</v>
      </c>
      <c r="S166" s="2"/>
      <c r="T166" s="5">
        <v>0</v>
      </c>
      <c r="U166" s="4">
        <v>0</v>
      </c>
      <c r="V166" s="4">
        <v>0</v>
      </c>
      <c r="W166" s="2">
        <v>0</v>
      </c>
      <c r="X166" s="4">
        <v>0</v>
      </c>
      <c r="Y166" s="4">
        <v>0</v>
      </c>
      <c r="Z166" s="3">
        <v>0</v>
      </c>
      <c r="AA166" s="3">
        <v>0</v>
      </c>
    </row>
    <row r="167" spans="1:27" x14ac:dyDescent="0.2">
      <c r="A167">
        <f t="shared" si="4"/>
        <v>1</v>
      </c>
      <c r="B167">
        <f t="shared" si="5"/>
        <v>2</v>
      </c>
      <c r="C167" s="1">
        <v>46026</v>
      </c>
      <c r="D167" t="s">
        <v>25</v>
      </c>
      <c r="E167" t="s">
        <v>26</v>
      </c>
      <c r="F167" t="s">
        <v>61</v>
      </c>
      <c r="G167" t="s">
        <v>62</v>
      </c>
      <c r="H167" t="s">
        <v>29</v>
      </c>
      <c r="I167" t="s">
        <v>30</v>
      </c>
      <c r="J167" t="s">
        <v>95</v>
      </c>
      <c r="K167" t="s">
        <v>42</v>
      </c>
      <c r="L167" t="s">
        <v>194</v>
      </c>
      <c r="M167" s="4">
        <v>1</v>
      </c>
      <c r="N167" s="4">
        <v>1</v>
      </c>
      <c r="O167" s="2">
        <v>1</v>
      </c>
      <c r="P167" s="3">
        <v>1.25</v>
      </c>
      <c r="Q167" s="3">
        <v>1.25</v>
      </c>
      <c r="R167" s="3">
        <v>0</v>
      </c>
      <c r="S167" s="2"/>
      <c r="T167" s="5">
        <v>0</v>
      </c>
      <c r="U167" s="4">
        <v>0</v>
      </c>
      <c r="V167" s="4">
        <v>0</v>
      </c>
      <c r="W167" s="2">
        <v>0</v>
      </c>
      <c r="X167" s="4">
        <v>0</v>
      </c>
      <c r="Y167" s="4">
        <v>0</v>
      </c>
      <c r="Z167" s="3">
        <v>0</v>
      </c>
      <c r="AA167" s="3">
        <v>0</v>
      </c>
    </row>
    <row r="168" spans="1:27" x14ac:dyDescent="0.2">
      <c r="A168">
        <f t="shared" si="4"/>
        <v>1</v>
      </c>
      <c r="B168">
        <f t="shared" si="5"/>
        <v>4</v>
      </c>
      <c r="C168" s="1">
        <v>46040</v>
      </c>
      <c r="D168" t="s">
        <v>25</v>
      </c>
      <c r="E168" t="s">
        <v>26</v>
      </c>
      <c r="F168" t="s">
        <v>112</v>
      </c>
      <c r="G168" t="s">
        <v>62</v>
      </c>
      <c r="H168" t="s">
        <v>29</v>
      </c>
      <c r="I168" t="s">
        <v>30</v>
      </c>
      <c r="J168" t="s">
        <v>173</v>
      </c>
      <c r="K168" t="s">
        <v>32</v>
      </c>
      <c r="L168" t="s">
        <v>195</v>
      </c>
      <c r="M168" s="4">
        <v>7</v>
      </c>
      <c r="N168" s="4">
        <v>1</v>
      </c>
      <c r="O168" s="2">
        <v>0.14285714285714285</v>
      </c>
      <c r="P168" s="3">
        <v>0.68</v>
      </c>
      <c r="Q168" s="3">
        <v>0.68</v>
      </c>
      <c r="R168" s="3">
        <v>0</v>
      </c>
      <c r="S168" s="2"/>
      <c r="T168" s="5">
        <v>0</v>
      </c>
      <c r="U168" s="4">
        <v>0</v>
      </c>
      <c r="V168" s="4">
        <v>0</v>
      </c>
      <c r="W168" s="2">
        <v>0</v>
      </c>
      <c r="X168" s="4">
        <v>0</v>
      </c>
      <c r="Y168" s="4">
        <v>0</v>
      </c>
      <c r="Z168" s="3">
        <v>0</v>
      </c>
      <c r="AA168" s="3">
        <v>0</v>
      </c>
    </row>
    <row r="169" spans="1:27" x14ac:dyDescent="0.2">
      <c r="A169">
        <f t="shared" si="4"/>
        <v>1</v>
      </c>
      <c r="B169">
        <f t="shared" si="5"/>
        <v>3</v>
      </c>
      <c r="C169" s="1">
        <v>46035</v>
      </c>
      <c r="D169" t="s">
        <v>25</v>
      </c>
      <c r="E169" t="s">
        <v>26</v>
      </c>
      <c r="F169" t="s">
        <v>61</v>
      </c>
      <c r="G169" t="s">
        <v>62</v>
      </c>
      <c r="H169" t="s">
        <v>29</v>
      </c>
      <c r="I169" t="s">
        <v>30</v>
      </c>
      <c r="J169" t="s">
        <v>95</v>
      </c>
      <c r="K169" t="s">
        <v>42</v>
      </c>
      <c r="L169" t="s">
        <v>196</v>
      </c>
      <c r="M169" s="4">
        <v>1</v>
      </c>
      <c r="N169" s="4">
        <v>1</v>
      </c>
      <c r="O169" s="2">
        <v>1</v>
      </c>
      <c r="P169" s="3">
        <v>1.2</v>
      </c>
      <c r="Q169" s="3">
        <v>1.2</v>
      </c>
      <c r="R169" s="3">
        <v>0</v>
      </c>
      <c r="S169" s="2"/>
      <c r="T169" s="5">
        <v>0</v>
      </c>
      <c r="U169" s="4">
        <v>0</v>
      </c>
      <c r="V169" s="4">
        <v>0</v>
      </c>
      <c r="W169" s="2">
        <v>0</v>
      </c>
      <c r="X169" s="4">
        <v>0</v>
      </c>
      <c r="Y169" s="4">
        <v>0</v>
      </c>
      <c r="Z169" s="3">
        <v>0</v>
      </c>
      <c r="AA169" s="3">
        <v>0</v>
      </c>
    </row>
    <row r="170" spans="1:27" x14ac:dyDescent="0.2">
      <c r="A170">
        <f t="shared" si="4"/>
        <v>1</v>
      </c>
      <c r="B170">
        <f t="shared" si="5"/>
        <v>4</v>
      </c>
      <c r="C170" s="1">
        <v>46041</v>
      </c>
      <c r="D170" t="s">
        <v>25</v>
      </c>
      <c r="E170" t="s">
        <v>26</v>
      </c>
      <c r="F170" t="s">
        <v>61</v>
      </c>
      <c r="G170" t="s">
        <v>62</v>
      </c>
      <c r="H170" t="s">
        <v>29</v>
      </c>
      <c r="I170" t="s">
        <v>30</v>
      </c>
      <c r="J170" t="s">
        <v>95</v>
      </c>
      <c r="K170" t="s">
        <v>42</v>
      </c>
      <c r="L170" t="s">
        <v>197</v>
      </c>
      <c r="M170" s="4">
        <v>1</v>
      </c>
      <c r="N170" s="4">
        <v>1</v>
      </c>
      <c r="O170" s="2">
        <v>1</v>
      </c>
      <c r="P170" s="3">
        <v>1.24</v>
      </c>
      <c r="Q170" s="3">
        <v>1.24</v>
      </c>
      <c r="R170" s="3">
        <v>0</v>
      </c>
      <c r="S170" s="2"/>
      <c r="T170" s="5">
        <v>0</v>
      </c>
      <c r="U170" s="4">
        <v>0</v>
      </c>
      <c r="V170" s="4">
        <v>0</v>
      </c>
      <c r="W170" s="2">
        <v>0</v>
      </c>
      <c r="X170" s="4">
        <v>0</v>
      </c>
      <c r="Y170" s="4">
        <v>0</v>
      </c>
      <c r="Z170" s="3">
        <v>0</v>
      </c>
      <c r="AA170" s="3">
        <v>0</v>
      </c>
    </row>
    <row r="171" spans="1:27" x14ac:dyDescent="0.2">
      <c r="A171">
        <f t="shared" si="4"/>
        <v>1</v>
      </c>
      <c r="B171">
        <f t="shared" si="5"/>
        <v>3</v>
      </c>
      <c r="C171" s="1">
        <v>46036</v>
      </c>
      <c r="D171" t="s">
        <v>25</v>
      </c>
      <c r="E171" t="s">
        <v>26</v>
      </c>
      <c r="F171" t="s">
        <v>112</v>
      </c>
      <c r="G171" t="s">
        <v>62</v>
      </c>
      <c r="H171" t="s">
        <v>29</v>
      </c>
      <c r="I171" t="s">
        <v>30</v>
      </c>
      <c r="J171" t="s">
        <v>173</v>
      </c>
      <c r="K171" t="s">
        <v>32</v>
      </c>
      <c r="L171" t="s">
        <v>198</v>
      </c>
      <c r="M171" s="4">
        <v>1</v>
      </c>
      <c r="N171" s="4">
        <v>1</v>
      </c>
      <c r="O171" s="2">
        <v>1</v>
      </c>
      <c r="P171" s="3">
        <v>0.68</v>
      </c>
      <c r="Q171" s="3">
        <v>0.68</v>
      </c>
      <c r="R171" s="3">
        <v>0</v>
      </c>
      <c r="S171" s="2"/>
      <c r="T171" s="5">
        <v>0</v>
      </c>
      <c r="U171" s="4">
        <v>0</v>
      </c>
      <c r="V171" s="4">
        <v>0</v>
      </c>
      <c r="W171" s="2">
        <v>0</v>
      </c>
      <c r="X171" s="4">
        <v>0</v>
      </c>
      <c r="Y171" s="4">
        <v>0</v>
      </c>
      <c r="Z171" s="3">
        <v>0</v>
      </c>
      <c r="AA171" s="3">
        <v>0</v>
      </c>
    </row>
    <row r="172" spans="1:27" x14ac:dyDescent="0.2">
      <c r="A172">
        <f t="shared" si="4"/>
        <v>1</v>
      </c>
      <c r="B172">
        <f t="shared" si="5"/>
        <v>2</v>
      </c>
      <c r="C172" s="1">
        <v>46030</v>
      </c>
      <c r="D172" t="s">
        <v>25</v>
      </c>
      <c r="E172" t="s">
        <v>26</v>
      </c>
      <c r="F172" t="s">
        <v>61</v>
      </c>
      <c r="G172" t="s">
        <v>62</v>
      </c>
      <c r="H172" t="s">
        <v>29</v>
      </c>
      <c r="I172" t="s">
        <v>30</v>
      </c>
      <c r="J172" t="s">
        <v>95</v>
      </c>
      <c r="K172" t="s">
        <v>42</v>
      </c>
      <c r="L172" t="s">
        <v>199</v>
      </c>
      <c r="M172" s="4">
        <v>1</v>
      </c>
      <c r="N172" s="4">
        <v>1</v>
      </c>
      <c r="O172" s="2">
        <v>1</v>
      </c>
      <c r="P172" s="3">
        <v>1.3</v>
      </c>
      <c r="Q172" s="3">
        <v>1.3</v>
      </c>
      <c r="R172" s="3">
        <v>0</v>
      </c>
      <c r="S172" s="2"/>
      <c r="T172" s="5">
        <v>0</v>
      </c>
      <c r="U172" s="4">
        <v>0</v>
      </c>
      <c r="V172" s="4">
        <v>0</v>
      </c>
      <c r="W172" s="2">
        <v>0</v>
      </c>
      <c r="X172" s="4">
        <v>0</v>
      </c>
      <c r="Y172" s="4">
        <v>0</v>
      </c>
      <c r="Z172" s="3">
        <v>0</v>
      </c>
      <c r="AA172" s="3">
        <v>0</v>
      </c>
    </row>
    <row r="173" spans="1:27" x14ac:dyDescent="0.2">
      <c r="A173">
        <f t="shared" si="4"/>
        <v>1</v>
      </c>
      <c r="B173">
        <f t="shared" si="5"/>
        <v>4</v>
      </c>
      <c r="C173" s="1">
        <v>46041</v>
      </c>
      <c r="D173" t="s">
        <v>25</v>
      </c>
      <c r="E173" t="s">
        <v>26</v>
      </c>
      <c r="F173" t="s">
        <v>45</v>
      </c>
      <c r="G173" t="s">
        <v>46</v>
      </c>
      <c r="H173" t="s">
        <v>29</v>
      </c>
      <c r="I173" t="s">
        <v>30</v>
      </c>
      <c r="J173" t="s">
        <v>47</v>
      </c>
      <c r="K173" t="s">
        <v>42</v>
      </c>
      <c r="L173" t="s">
        <v>200</v>
      </c>
      <c r="M173" s="4">
        <v>1</v>
      </c>
      <c r="N173" s="4">
        <v>1</v>
      </c>
      <c r="O173" s="2">
        <v>1</v>
      </c>
      <c r="P173" s="3">
        <v>0.54</v>
      </c>
      <c r="Q173" s="3">
        <v>0.54</v>
      </c>
      <c r="R173" s="3">
        <v>0</v>
      </c>
      <c r="S173" s="2"/>
      <c r="T173" s="5">
        <v>0</v>
      </c>
      <c r="U173" s="4">
        <v>0</v>
      </c>
      <c r="V173" s="4">
        <v>0</v>
      </c>
      <c r="W173" s="2">
        <v>0</v>
      </c>
      <c r="X173" s="4">
        <v>0</v>
      </c>
      <c r="Y173" s="4">
        <v>0</v>
      </c>
      <c r="Z173" s="3">
        <v>0</v>
      </c>
      <c r="AA173" s="3">
        <v>0</v>
      </c>
    </row>
    <row r="174" spans="1:27" x14ac:dyDescent="0.2">
      <c r="A174">
        <f t="shared" si="4"/>
        <v>1</v>
      </c>
      <c r="B174">
        <f t="shared" si="5"/>
        <v>1</v>
      </c>
      <c r="C174" s="1">
        <v>46025</v>
      </c>
      <c r="D174" t="s">
        <v>25</v>
      </c>
      <c r="E174" t="s">
        <v>26</v>
      </c>
      <c r="F174" t="s">
        <v>27</v>
      </c>
      <c r="G174" t="s">
        <v>28</v>
      </c>
      <c r="H174" t="s">
        <v>29</v>
      </c>
      <c r="I174" t="s">
        <v>30</v>
      </c>
      <c r="J174" t="s">
        <v>119</v>
      </c>
      <c r="K174" t="s">
        <v>32</v>
      </c>
      <c r="L174" t="s">
        <v>201</v>
      </c>
      <c r="M174" s="4">
        <v>2</v>
      </c>
      <c r="N174" s="4">
        <v>1</v>
      </c>
      <c r="O174" s="2">
        <v>0.5</v>
      </c>
      <c r="P174" s="3">
        <v>0.15</v>
      </c>
      <c r="Q174" s="3">
        <v>0.15</v>
      </c>
      <c r="R174" s="3">
        <v>0</v>
      </c>
      <c r="S174" s="2"/>
      <c r="T174" s="5">
        <v>0</v>
      </c>
      <c r="U174" s="4">
        <v>0</v>
      </c>
      <c r="V174" s="4">
        <v>0</v>
      </c>
      <c r="W174" s="2">
        <v>0</v>
      </c>
      <c r="X174" s="4">
        <v>0</v>
      </c>
      <c r="Y174" s="4">
        <v>0</v>
      </c>
      <c r="Z174" s="3">
        <v>0</v>
      </c>
      <c r="AA174" s="3">
        <v>0</v>
      </c>
    </row>
    <row r="175" spans="1:27" x14ac:dyDescent="0.2">
      <c r="A175">
        <f t="shared" si="4"/>
        <v>1</v>
      </c>
      <c r="B175">
        <f t="shared" si="5"/>
        <v>1</v>
      </c>
      <c r="C175" s="1">
        <v>46025</v>
      </c>
      <c r="D175" t="s">
        <v>25</v>
      </c>
      <c r="E175" t="s">
        <v>26</v>
      </c>
      <c r="F175" t="s">
        <v>88</v>
      </c>
      <c r="G175" t="s">
        <v>86</v>
      </c>
      <c r="H175" t="s">
        <v>29</v>
      </c>
      <c r="I175" t="s">
        <v>30</v>
      </c>
      <c r="J175" t="s">
        <v>95</v>
      </c>
      <c r="K175" t="s">
        <v>42</v>
      </c>
      <c r="L175" t="s">
        <v>202</v>
      </c>
      <c r="M175" s="4">
        <v>1</v>
      </c>
      <c r="N175" s="4">
        <v>1</v>
      </c>
      <c r="O175" s="2">
        <v>1</v>
      </c>
      <c r="P175" s="3">
        <v>0.64</v>
      </c>
      <c r="Q175" s="3">
        <v>0.64</v>
      </c>
      <c r="R175" s="3">
        <v>0</v>
      </c>
      <c r="S175" s="2"/>
      <c r="T175" s="5">
        <v>0</v>
      </c>
      <c r="U175" s="4">
        <v>0</v>
      </c>
      <c r="V175" s="4">
        <v>0</v>
      </c>
      <c r="W175" s="2">
        <v>0</v>
      </c>
      <c r="X175" s="4">
        <v>0</v>
      </c>
      <c r="Y175" s="4">
        <v>0</v>
      </c>
      <c r="Z175" s="3">
        <v>0</v>
      </c>
      <c r="AA175" s="3">
        <v>0</v>
      </c>
    </row>
    <row r="176" spans="1:27" x14ac:dyDescent="0.2">
      <c r="A176">
        <f t="shared" si="4"/>
        <v>1</v>
      </c>
      <c r="B176">
        <f t="shared" si="5"/>
        <v>3</v>
      </c>
      <c r="C176" s="1">
        <v>46033</v>
      </c>
      <c r="D176" t="s">
        <v>25</v>
      </c>
      <c r="E176" t="s">
        <v>26</v>
      </c>
      <c r="F176" t="s">
        <v>27</v>
      </c>
      <c r="G176" t="s">
        <v>28</v>
      </c>
      <c r="H176" t="s">
        <v>29</v>
      </c>
      <c r="I176" t="s">
        <v>30</v>
      </c>
      <c r="J176" t="s">
        <v>50</v>
      </c>
      <c r="K176" t="s">
        <v>32</v>
      </c>
      <c r="L176" t="s">
        <v>203</v>
      </c>
      <c r="M176" s="4">
        <v>2</v>
      </c>
      <c r="N176" s="4">
        <v>1</v>
      </c>
      <c r="O176" s="2">
        <v>0.5</v>
      </c>
      <c r="P176" s="3">
        <v>0.21</v>
      </c>
      <c r="Q176" s="3">
        <v>0.21</v>
      </c>
      <c r="R176" s="3">
        <v>0</v>
      </c>
      <c r="S176" s="2"/>
      <c r="T176" s="5">
        <v>0</v>
      </c>
      <c r="U176" s="4">
        <v>0</v>
      </c>
      <c r="V176" s="4">
        <v>0</v>
      </c>
      <c r="W176" s="2">
        <v>0</v>
      </c>
      <c r="X176" s="4">
        <v>0</v>
      </c>
      <c r="Y176" s="4">
        <v>0</v>
      </c>
      <c r="Z176" s="3">
        <v>0</v>
      </c>
      <c r="AA176" s="3">
        <v>0</v>
      </c>
    </row>
    <row r="177" spans="1:27" x14ac:dyDescent="0.2">
      <c r="A177">
        <f t="shared" si="4"/>
        <v>1</v>
      </c>
      <c r="B177">
        <f t="shared" si="5"/>
        <v>2</v>
      </c>
      <c r="C177" s="1">
        <v>46027</v>
      </c>
      <c r="D177" t="s">
        <v>25</v>
      </c>
      <c r="E177" t="s">
        <v>26</v>
      </c>
      <c r="F177" t="s">
        <v>84</v>
      </c>
      <c r="G177" t="s">
        <v>85</v>
      </c>
      <c r="H177" t="s">
        <v>29</v>
      </c>
      <c r="I177" t="s">
        <v>30</v>
      </c>
      <c r="J177" t="s">
        <v>94</v>
      </c>
      <c r="K177" t="s">
        <v>87</v>
      </c>
      <c r="L177" t="s">
        <v>204</v>
      </c>
      <c r="M177" s="4">
        <v>1</v>
      </c>
      <c r="N177" s="4">
        <v>1</v>
      </c>
      <c r="O177" s="2">
        <v>1</v>
      </c>
      <c r="P177" s="3">
        <v>0.8</v>
      </c>
      <c r="Q177" s="3">
        <v>0.8</v>
      </c>
      <c r="R177" s="3">
        <v>0</v>
      </c>
      <c r="S177" s="2"/>
      <c r="T177" s="5">
        <v>0</v>
      </c>
      <c r="U177" s="4">
        <v>0</v>
      </c>
      <c r="V177" s="4">
        <v>0</v>
      </c>
      <c r="W177" s="2">
        <v>0</v>
      </c>
      <c r="X177" s="4">
        <v>0</v>
      </c>
      <c r="Y177" s="4">
        <v>0</v>
      </c>
      <c r="Z177" s="3">
        <v>0</v>
      </c>
      <c r="AA177" s="3">
        <v>0</v>
      </c>
    </row>
    <row r="178" spans="1:27" x14ac:dyDescent="0.2">
      <c r="A178">
        <f t="shared" si="4"/>
        <v>1</v>
      </c>
      <c r="B178">
        <f t="shared" si="5"/>
        <v>3</v>
      </c>
      <c r="C178" s="1">
        <v>46039</v>
      </c>
      <c r="D178" t="s">
        <v>25</v>
      </c>
      <c r="E178" t="s">
        <v>26</v>
      </c>
      <c r="F178" t="s">
        <v>27</v>
      </c>
      <c r="G178" t="s">
        <v>28</v>
      </c>
      <c r="H178" t="s">
        <v>29</v>
      </c>
      <c r="I178" t="s">
        <v>30</v>
      </c>
      <c r="J178" t="s">
        <v>101</v>
      </c>
      <c r="K178" t="s">
        <v>32</v>
      </c>
      <c r="L178" t="s">
        <v>205</v>
      </c>
      <c r="M178" s="4">
        <v>3</v>
      </c>
      <c r="N178" s="4">
        <v>1</v>
      </c>
      <c r="O178" s="2">
        <v>0.33333333333333331</v>
      </c>
      <c r="P178" s="3">
        <v>0.21</v>
      </c>
      <c r="Q178" s="3">
        <v>0.21</v>
      </c>
      <c r="R178" s="3">
        <v>0</v>
      </c>
      <c r="S178" s="2"/>
      <c r="T178" s="5">
        <v>0</v>
      </c>
      <c r="U178" s="4">
        <v>0</v>
      </c>
      <c r="V178" s="4">
        <v>0</v>
      </c>
      <c r="W178" s="2">
        <v>0</v>
      </c>
      <c r="X178" s="4">
        <v>0</v>
      </c>
      <c r="Y178" s="4">
        <v>0</v>
      </c>
      <c r="Z178" s="3">
        <v>0</v>
      </c>
      <c r="AA178" s="3">
        <v>0</v>
      </c>
    </row>
    <row r="179" spans="1:27" x14ac:dyDescent="0.2">
      <c r="A179">
        <f t="shared" si="4"/>
        <v>1</v>
      </c>
      <c r="B179">
        <f t="shared" si="5"/>
        <v>3</v>
      </c>
      <c r="C179" s="1">
        <v>46038</v>
      </c>
      <c r="D179" t="s">
        <v>25</v>
      </c>
      <c r="E179" t="s">
        <v>26</v>
      </c>
      <c r="F179" t="s">
        <v>39</v>
      </c>
      <c r="G179" t="s">
        <v>40</v>
      </c>
      <c r="H179" t="s">
        <v>29</v>
      </c>
      <c r="I179" t="s">
        <v>30</v>
      </c>
      <c r="J179" t="s">
        <v>78</v>
      </c>
      <c r="K179" t="s">
        <v>42</v>
      </c>
      <c r="L179" t="s">
        <v>206</v>
      </c>
      <c r="M179" s="4">
        <v>1</v>
      </c>
      <c r="N179" s="4">
        <v>1</v>
      </c>
      <c r="O179" s="2">
        <v>1</v>
      </c>
      <c r="P179" s="3">
        <v>0.52</v>
      </c>
      <c r="Q179" s="3">
        <v>0.52</v>
      </c>
      <c r="R179" s="3">
        <v>0</v>
      </c>
      <c r="S179" s="2"/>
      <c r="T179" s="5">
        <v>0</v>
      </c>
      <c r="U179" s="4">
        <v>0</v>
      </c>
      <c r="V179" s="4">
        <v>0</v>
      </c>
      <c r="W179" s="2">
        <v>0</v>
      </c>
      <c r="X179" s="4">
        <v>0</v>
      </c>
      <c r="Y179" s="4">
        <v>0</v>
      </c>
      <c r="Z179" s="3">
        <v>0</v>
      </c>
      <c r="AA179" s="3">
        <v>0</v>
      </c>
    </row>
    <row r="180" spans="1:27" x14ac:dyDescent="0.2">
      <c r="A180">
        <f t="shared" si="4"/>
        <v>1</v>
      </c>
      <c r="B180">
        <f t="shared" si="5"/>
        <v>2</v>
      </c>
      <c r="C180" s="1">
        <v>46026</v>
      </c>
      <c r="D180" t="s">
        <v>25</v>
      </c>
      <c r="E180" t="s">
        <v>26</v>
      </c>
      <c r="F180" t="s">
        <v>27</v>
      </c>
      <c r="G180" t="s">
        <v>28</v>
      </c>
      <c r="H180" t="s">
        <v>29</v>
      </c>
      <c r="I180" t="s">
        <v>30</v>
      </c>
      <c r="J180" t="s">
        <v>50</v>
      </c>
      <c r="K180" t="s">
        <v>32</v>
      </c>
      <c r="L180" t="s">
        <v>207</v>
      </c>
      <c r="M180" s="4">
        <v>8</v>
      </c>
      <c r="N180" s="4">
        <v>1</v>
      </c>
      <c r="O180" s="2">
        <v>0.125</v>
      </c>
      <c r="P180" s="3">
        <v>0.2</v>
      </c>
      <c r="Q180" s="3">
        <v>0.2</v>
      </c>
      <c r="R180" s="3">
        <v>0</v>
      </c>
      <c r="S180" s="2"/>
      <c r="T180" s="5">
        <v>0</v>
      </c>
      <c r="U180" s="4">
        <v>0</v>
      </c>
      <c r="V180" s="4">
        <v>0</v>
      </c>
      <c r="W180" s="2">
        <v>0</v>
      </c>
      <c r="X180" s="4">
        <v>0</v>
      </c>
      <c r="Y180" s="4">
        <v>0</v>
      </c>
      <c r="Z180" s="3">
        <v>0</v>
      </c>
      <c r="AA180" s="3">
        <v>0</v>
      </c>
    </row>
    <row r="181" spans="1:27" x14ac:dyDescent="0.2">
      <c r="A181">
        <f t="shared" si="4"/>
        <v>1</v>
      </c>
      <c r="B181">
        <f t="shared" si="5"/>
        <v>3</v>
      </c>
      <c r="C181" s="1">
        <v>46033</v>
      </c>
      <c r="D181" t="s">
        <v>25</v>
      </c>
      <c r="E181" t="s">
        <v>26</v>
      </c>
      <c r="F181" t="s">
        <v>27</v>
      </c>
      <c r="G181" t="s">
        <v>124</v>
      </c>
      <c r="H181" t="s">
        <v>29</v>
      </c>
      <c r="I181" t="s">
        <v>30</v>
      </c>
      <c r="J181" t="s">
        <v>31</v>
      </c>
      <c r="K181" t="s">
        <v>87</v>
      </c>
      <c r="L181" t="s">
        <v>208</v>
      </c>
      <c r="M181" s="4">
        <v>1</v>
      </c>
      <c r="N181" s="4">
        <v>1</v>
      </c>
      <c r="O181" s="2">
        <v>1</v>
      </c>
      <c r="P181" s="3">
        <v>0.2</v>
      </c>
      <c r="Q181" s="3">
        <v>0.2</v>
      </c>
      <c r="R181" s="3">
        <v>0</v>
      </c>
      <c r="S181" s="2"/>
      <c r="T181" s="5">
        <v>0</v>
      </c>
      <c r="U181" s="4">
        <v>0</v>
      </c>
      <c r="V181" s="4">
        <v>0</v>
      </c>
      <c r="W181" s="2">
        <v>0</v>
      </c>
      <c r="X181" s="4">
        <v>0</v>
      </c>
      <c r="Y181" s="4">
        <v>0</v>
      </c>
      <c r="Z181" s="3">
        <v>0</v>
      </c>
      <c r="AA181" s="3">
        <v>0</v>
      </c>
    </row>
    <row r="182" spans="1:27" x14ac:dyDescent="0.2">
      <c r="A182">
        <f t="shared" si="4"/>
        <v>1</v>
      </c>
      <c r="B182">
        <f t="shared" si="5"/>
        <v>3</v>
      </c>
      <c r="C182" s="1">
        <v>46038</v>
      </c>
      <c r="D182" t="s">
        <v>25</v>
      </c>
      <c r="E182" t="s">
        <v>26</v>
      </c>
      <c r="F182" t="s">
        <v>112</v>
      </c>
      <c r="G182" t="s">
        <v>62</v>
      </c>
      <c r="H182" t="s">
        <v>29</v>
      </c>
      <c r="I182" t="s">
        <v>30</v>
      </c>
      <c r="J182" t="s">
        <v>173</v>
      </c>
      <c r="K182" t="s">
        <v>32</v>
      </c>
      <c r="L182" t="s">
        <v>209</v>
      </c>
      <c r="M182" s="4">
        <v>2</v>
      </c>
      <c r="N182" s="4">
        <v>1</v>
      </c>
      <c r="O182" s="2">
        <v>0.5</v>
      </c>
      <c r="P182" s="3">
        <v>0.68</v>
      </c>
      <c r="Q182" s="3">
        <v>0.68</v>
      </c>
      <c r="R182" s="3">
        <v>0</v>
      </c>
      <c r="S182" s="2"/>
      <c r="T182" s="5">
        <v>0</v>
      </c>
      <c r="U182" s="4">
        <v>0</v>
      </c>
      <c r="V182" s="4">
        <v>0</v>
      </c>
      <c r="W182" s="2">
        <v>0</v>
      </c>
      <c r="X182" s="4">
        <v>0</v>
      </c>
      <c r="Y182" s="4">
        <v>0</v>
      </c>
      <c r="Z182" s="3">
        <v>0</v>
      </c>
      <c r="AA182" s="3">
        <v>0</v>
      </c>
    </row>
    <row r="183" spans="1:27" x14ac:dyDescent="0.2">
      <c r="A183">
        <f t="shared" si="4"/>
        <v>1</v>
      </c>
      <c r="B183">
        <f t="shared" si="5"/>
        <v>2</v>
      </c>
      <c r="C183" s="1">
        <v>46032</v>
      </c>
      <c r="D183" t="s">
        <v>25</v>
      </c>
      <c r="E183" t="s">
        <v>26</v>
      </c>
      <c r="F183" t="s">
        <v>34</v>
      </c>
      <c r="G183" t="s">
        <v>28</v>
      </c>
      <c r="H183" t="s">
        <v>29</v>
      </c>
      <c r="I183" t="s">
        <v>30</v>
      </c>
      <c r="J183" t="s">
        <v>44</v>
      </c>
      <c r="K183" t="s">
        <v>32</v>
      </c>
      <c r="L183" t="s">
        <v>210</v>
      </c>
      <c r="M183" s="4">
        <v>2</v>
      </c>
      <c r="N183" s="4">
        <v>1</v>
      </c>
      <c r="O183" s="2">
        <v>0.5</v>
      </c>
      <c r="P183" s="3">
        <v>0.79</v>
      </c>
      <c r="Q183" s="3">
        <v>0.79</v>
      </c>
      <c r="R183" s="3">
        <v>0</v>
      </c>
      <c r="S183" s="2"/>
      <c r="T183" s="5">
        <v>0</v>
      </c>
      <c r="U183" s="4">
        <v>0</v>
      </c>
      <c r="V183" s="4">
        <v>0</v>
      </c>
      <c r="W183" s="2">
        <v>0</v>
      </c>
      <c r="X183" s="4">
        <v>0</v>
      </c>
      <c r="Y183" s="4">
        <v>0</v>
      </c>
      <c r="Z183" s="3">
        <v>0</v>
      </c>
      <c r="AA183" s="3">
        <v>0</v>
      </c>
    </row>
    <row r="184" spans="1:27" x14ac:dyDescent="0.2">
      <c r="A184">
        <f t="shared" si="4"/>
        <v>1</v>
      </c>
      <c r="B184">
        <f t="shared" si="5"/>
        <v>3</v>
      </c>
      <c r="C184" s="1">
        <v>46039</v>
      </c>
      <c r="D184" t="s">
        <v>25</v>
      </c>
      <c r="E184" t="s">
        <v>26</v>
      </c>
      <c r="F184" t="s">
        <v>27</v>
      </c>
      <c r="G184" t="s">
        <v>28</v>
      </c>
      <c r="H184" t="s">
        <v>29</v>
      </c>
      <c r="I184" t="s">
        <v>30</v>
      </c>
      <c r="J184" t="s">
        <v>211</v>
      </c>
      <c r="K184" t="s">
        <v>32</v>
      </c>
      <c r="L184" t="s">
        <v>212</v>
      </c>
      <c r="M184" s="4">
        <v>2</v>
      </c>
      <c r="N184" s="4">
        <v>1</v>
      </c>
      <c r="O184" s="2">
        <v>0.5</v>
      </c>
      <c r="P184" s="3">
        <v>0.4</v>
      </c>
      <c r="Q184" s="3">
        <v>0.4</v>
      </c>
      <c r="R184" s="3">
        <v>0</v>
      </c>
      <c r="S184" s="2"/>
      <c r="T184" s="5">
        <v>0</v>
      </c>
      <c r="U184" s="4">
        <v>0</v>
      </c>
      <c r="V184" s="4">
        <v>0</v>
      </c>
      <c r="W184" s="2">
        <v>0</v>
      </c>
      <c r="X184" s="4">
        <v>0</v>
      </c>
      <c r="Y184" s="4">
        <v>0</v>
      </c>
      <c r="Z184" s="3">
        <v>0</v>
      </c>
      <c r="AA184" s="3">
        <v>0</v>
      </c>
    </row>
    <row r="185" spans="1:27" x14ac:dyDescent="0.2">
      <c r="A185">
        <f t="shared" si="4"/>
        <v>1</v>
      </c>
      <c r="B185">
        <f t="shared" si="5"/>
        <v>1</v>
      </c>
      <c r="C185" s="1">
        <v>46025</v>
      </c>
      <c r="D185" t="s">
        <v>25</v>
      </c>
      <c r="E185" t="s">
        <v>26</v>
      </c>
      <c r="F185" t="s">
        <v>49</v>
      </c>
      <c r="G185" t="s">
        <v>50</v>
      </c>
      <c r="H185" t="s">
        <v>29</v>
      </c>
      <c r="I185" t="s">
        <v>30</v>
      </c>
      <c r="J185" t="s">
        <v>95</v>
      </c>
      <c r="K185" t="s">
        <v>42</v>
      </c>
      <c r="L185" t="s">
        <v>213</v>
      </c>
      <c r="M185" s="4">
        <v>1</v>
      </c>
      <c r="N185" s="4">
        <v>1</v>
      </c>
      <c r="O185" s="2">
        <v>1</v>
      </c>
      <c r="P185" s="3">
        <v>0.48</v>
      </c>
      <c r="Q185" s="3">
        <v>0.48</v>
      </c>
      <c r="R185" s="3">
        <v>0</v>
      </c>
      <c r="S185" s="2"/>
      <c r="T185" s="5">
        <v>0</v>
      </c>
      <c r="U185" s="4">
        <v>0</v>
      </c>
      <c r="V185" s="4">
        <v>0</v>
      </c>
      <c r="W185" s="2">
        <v>0</v>
      </c>
      <c r="X185" s="4">
        <v>0</v>
      </c>
      <c r="Y185" s="4">
        <v>0</v>
      </c>
      <c r="Z185" s="3">
        <v>0</v>
      </c>
      <c r="AA185" s="3">
        <v>0</v>
      </c>
    </row>
    <row r="186" spans="1:27" x14ac:dyDescent="0.2">
      <c r="A186">
        <f t="shared" si="4"/>
        <v>1</v>
      </c>
      <c r="B186">
        <f t="shared" si="5"/>
        <v>1</v>
      </c>
      <c r="C186" s="1">
        <v>46025</v>
      </c>
      <c r="D186" t="s">
        <v>25</v>
      </c>
      <c r="E186" t="s">
        <v>26</v>
      </c>
      <c r="F186" t="s">
        <v>34</v>
      </c>
      <c r="G186" t="s">
        <v>28</v>
      </c>
      <c r="H186" t="s">
        <v>29</v>
      </c>
      <c r="I186" t="s">
        <v>30</v>
      </c>
      <c r="J186" t="s">
        <v>44</v>
      </c>
      <c r="K186" t="s">
        <v>32</v>
      </c>
      <c r="L186" t="s">
        <v>214</v>
      </c>
      <c r="M186" s="4">
        <v>1</v>
      </c>
      <c r="N186" s="4">
        <v>1</v>
      </c>
      <c r="O186" s="2">
        <v>1</v>
      </c>
      <c r="P186" s="3">
        <v>0.99</v>
      </c>
      <c r="Q186" s="3">
        <v>0.99</v>
      </c>
      <c r="R186" s="3">
        <v>0</v>
      </c>
      <c r="S186" s="2"/>
      <c r="T186" s="5">
        <v>0</v>
      </c>
      <c r="U186" s="4">
        <v>0</v>
      </c>
      <c r="V186" s="4">
        <v>0</v>
      </c>
      <c r="W186" s="2">
        <v>0</v>
      </c>
      <c r="X186" s="4">
        <v>0</v>
      </c>
      <c r="Y186" s="4">
        <v>0</v>
      </c>
      <c r="Z186" s="3">
        <v>0</v>
      </c>
      <c r="AA186" s="3">
        <v>0</v>
      </c>
    </row>
    <row r="187" spans="1:27" x14ac:dyDescent="0.2">
      <c r="A187">
        <f t="shared" si="4"/>
        <v>1</v>
      </c>
      <c r="B187">
        <f t="shared" si="5"/>
        <v>2</v>
      </c>
      <c r="C187" s="1">
        <v>46032</v>
      </c>
      <c r="D187" t="s">
        <v>25</v>
      </c>
      <c r="E187" t="s">
        <v>26</v>
      </c>
      <c r="F187" t="s">
        <v>27</v>
      </c>
      <c r="G187" t="s">
        <v>124</v>
      </c>
      <c r="H187" t="s">
        <v>29</v>
      </c>
      <c r="I187" t="s">
        <v>30</v>
      </c>
      <c r="J187" t="s">
        <v>101</v>
      </c>
      <c r="K187" t="s">
        <v>87</v>
      </c>
      <c r="L187" t="s">
        <v>215</v>
      </c>
      <c r="M187" s="4">
        <v>1</v>
      </c>
      <c r="N187" s="4">
        <v>1</v>
      </c>
      <c r="O187" s="2">
        <v>1</v>
      </c>
      <c r="P187" s="3">
        <v>0.2</v>
      </c>
      <c r="Q187" s="3">
        <v>0.2</v>
      </c>
      <c r="R187" s="3">
        <v>0</v>
      </c>
      <c r="S187" s="2"/>
      <c r="T187" s="5">
        <v>0</v>
      </c>
      <c r="U187" s="4">
        <v>0</v>
      </c>
      <c r="V187" s="4">
        <v>0</v>
      </c>
      <c r="W187" s="2">
        <v>0</v>
      </c>
      <c r="X187" s="4">
        <v>0</v>
      </c>
      <c r="Y187" s="4">
        <v>0</v>
      </c>
      <c r="Z187" s="3">
        <v>0</v>
      </c>
      <c r="AA187" s="3">
        <v>0</v>
      </c>
    </row>
    <row r="188" spans="1:27" x14ac:dyDescent="0.2">
      <c r="A188">
        <f t="shared" si="4"/>
        <v>1</v>
      </c>
      <c r="B188">
        <f t="shared" si="5"/>
        <v>4</v>
      </c>
      <c r="C188" s="1">
        <v>46041</v>
      </c>
      <c r="D188" t="s">
        <v>25</v>
      </c>
      <c r="E188" t="s">
        <v>26</v>
      </c>
      <c r="F188" t="s">
        <v>27</v>
      </c>
      <c r="G188" t="s">
        <v>28</v>
      </c>
      <c r="H188" t="s">
        <v>29</v>
      </c>
      <c r="I188" t="s">
        <v>30</v>
      </c>
      <c r="J188" t="s">
        <v>101</v>
      </c>
      <c r="K188" t="s">
        <v>32</v>
      </c>
      <c r="L188" t="s">
        <v>216</v>
      </c>
      <c r="M188" s="4">
        <v>2</v>
      </c>
      <c r="N188" s="4">
        <v>1</v>
      </c>
      <c r="O188" s="2">
        <v>0.5</v>
      </c>
      <c r="P188" s="3">
        <v>0.21</v>
      </c>
      <c r="Q188" s="3">
        <v>0.21</v>
      </c>
      <c r="R188" s="3">
        <v>17.09</v>
      </c>
      <c r="S188" s="2">
        <v>1.2287887653598594E-2</v>
      </c>
      <c r="T188" s="5">
        <v>81.38095238095238</v>
      </c>
      <c r="U188" s="4">
        <v>1</v>
      </c>
      <c r="V188" s="4">
        <v>1</v>
      </c>
      <c r="W188" s="2">
        <v>1</v>
      </c>
      <c r="X188" s="4">
        <v>1</v>
      </c>
      <c r="Y188" s="4">
        <v>0</v>
      </c>
      <c r="Z188" s="3">
        <v>17.09</v>
      </c>
      <c r="AA188" s="3">
        <v>0</v>
      </c>
    </row>
    <row r="189" spans="1:27" x14ac:dyDescent="0.2">
      <c r="A189">
        <f t="shared" si="4"/>
        <v>1</v>
      </c>
      <c r="B189">
        <f t="shared" si="5"/>
        <v>3</v>
      </c>
      <c r="C189" s="1">
        <v>46036</v>
      </c>
      <c r="D189" t="s">
        <v>25</v>
      </c>
      <c r="E189" t="s">
        <v>26</v>
      </c>
      <c r="F189" t="s">
        <v>27</v>
      </c>
      <c r="G189" t="s">
        <v>28</v>
      </c>
      <c r="H189" t="s">
        <v>29</v>
      </c>
      <c r="I189" t="s">
        <v>30</v>
      </c>
      <c r="J189" t="s">
        <v>101</v>
      </c>
      <c r="K189" t="s">
        <v>32</v>
      </c>
      <c r="L189" t="s">
        <v>217</v>
      </c>
      <c r="M189" s="4">
        <v>3</v>
      </c>
      <c r="N189" s="4">
        <v>1</v>
      </c>
      <c r="O189" s="2">
        <v>0.33333333333333331</v>
      </c>
      <c r="P189" s="3">
        <v>0.21</v>
      </c>
      <c r="Q189" s="3">
        <v>0.21</v>
      </c>
      <c r="R189" s="3">
        <v>0</v>
      </c>
      <c r="S189" s="2"/>
      <c r="T189" s="5">
        <v>0</v>
      </c>
      <c r="U189" s="4">
        <v>0</v>
      </c>
      <c r="V189" s="4">
        <v>0</v>
      </c>
      <c r="W189" s="2">
        <v>0</v>
      </c>
      <c r="X189" s="4">
        <v>0</v>
      </c>
      <c r="Y189" s="4">
        <v>0</v>
      </c>
      <c r="Z189" s="3">
        <v>0</v>
      </c>
      <c r="AA189" s="3">
        <v>0</v>
      </c>
    </row>
    <row r="190" spans="1:27" x14ac:dyDescent="0.2">
      <c r="A190">
        <f t="shared" si="4"/>
        <v>1</v>
      </c>
      <c r="B190">
        <f t="shared" si="5"/>
        <v>1</v>
      </c>
      <c r="C190" s="1">
        <v>46023</v>
      </c>
      <c r="D190" t="s">
        <v>25</v>
      </c>
      <c r="E190" t="s">
        <v>26</v>
      </c>
      <c r="F190" t="s">
        <v>34</v>
      </c>
      <c r="G190" t="s">
        <v>28</v>
      </c>
      <c r="H190" t="s">
        <v>29</v>
      </c>
      <c r="I190" t="s">
        <v>30</v>
      </c>
      <c r="J190" t="s">
        <v>154</v>
      </c>
      <c r="K190" t="s">
        <v>32</v>
      </c>
      <c r="L190" t="s">
        <v>218</v>
      </c>
      <c r="M190" s="4">
        <v>8</v>
      </c>
      <c r="N190" s="4">
        <v>1</v>
      </c>
      <c r="O190" s="2">
        <v>0.125</v>
      </c>
      <c r="P190" s="3">
        <v>0.97</v>
      </c>
      <c r="Q190" s="3">
        <v>0.97</v>
      </c>
      <c r="R190" s="3">
        <v>0</v>
      </c>
      <c r="S190" s="2"/>
      <c r="T190" s="5">
        <v>0</v>
      </c>
      <c r="U190" s="4">
        <v>0</v>
      </c>
      <c r="V190" s="4">
        <v>0</v>
      </c>
      <c r="W190" s="2">
        <v>0</v>
      </c>
      <c r="X190" s="4">
        <v>0</v>
      </c>
      <c r="Y190" s="4">
        <v>0</v>
      </c>
      <c r="Z190" s="3">
        <v>0</v>
      </c>
      <c r="AA190" s="3">
        <v>0</v>
      </c>
    </row>
    <row r="191" spans="1:27" x14ac:dyDescent="0.2">
      <c r="A191">
        <f t="shared" si="4"/>
        <v>1</v>
      </c>
      <c r="B191">
        <f t="shared" si="5"/>
        <v>3</v>
      </c>
      <c r="C191" s="1">
        <v>46033</v>
      </c>
      <c r="D191" t="s">
        <v>25</v>
      </c>
      <c r="E191" t="s">
        <v>26</v>
      </c>
      <c r="F191" t="s">
        <v>49</v>
      </c>
      <c r="G191" t="s">
        <v>50</v>
      </c>
      <c r="H191" t="s">
        <v>29</v>
      </c>
      <c r="I191" t="s">
        <v>30</v>
      </c>
      <c r="J191" t="s">
        <v>95</v>
      </c>
      <c r="K191" t="s">
        <v>42</v>
      </c>
      <c r="L191" t="s">
        <v>219</v>
      </c>
      <c r="M191" s="4">
        <v>1</v>
      </c>
      <c r="N191" s="4">
        <v>1</v>
      </c>
      <c r="O191" s="2">
        <v>1</v>
      </c>
      <c r="P191" s="3">
        <v>0.54</v>
      </c>
      <c r="Q191" s="3">
        <v>0.54</v>
      </c>
      <c r="R191" s="3">
        <v>0</v>
      </c>
      <c r="S191" s="2"/>
      <c r="T191" s="5">
        <v>0</v>
      </c>
      <c r="U191" s="4">
        <v>0</v>
      </c>
      <c r="V191" s="4">
        <v>0</v>
      </c>
      <c r="W191" s="2">
        <v>0</v>
      </c>
      <c r="X191" s="4">
        <v>0</v>
      </c>
      <c r="Y191" s="4">
        <v>0</v>
      </c>
      <c r="Z191" s="3">
        <v>0</v>
      </c>
      <c r="AA191" s="3">
        <v>0</v>
      </c>
    </row>
    <row r="192" spans="1:27" x14ac:dyDescent="0.2">
      <c r="A192">
        <f t="shared" si="4"/>
        <v>1</v>
      </c>
      <c r="B192">
        <f t="shared" si="5"/>
        <v>2</v>
      </c>
      <c r="C192" s="1">
        <v>46026</v>
      </c>
      <c r="D192" t="s">
        <v>25</v>
      </c>
      <c r="E192" t="s">
        <v>26</v>
      </c>
      <c r="F192" t="s">
        <v>27</v>
      </c>
      <c r="G192" t="s">
        <v>124</v>
      </c>
      <c r="H192" t="s">
        <v>29</v>
      </c>
      <c r="I192" t="s">
        <v>30</v>
      </c>
      <c r="J192" t="s">
        <v>101</v>
      </c>
      <c r="K192" t="s">
        <v>87</v>
      </c>
      <c r="L192" t="s">
        <v>220</v>
      </c>
      <c r="M192" s="4">
        <v>2</v>
      </c>
      <c r="N192" s="4">
        <v>1</v>
      </c>
      <c r="O192" s="2">
        <v>0.5</v>
      </c>
      <c r="P192" s="3">
        <v>0.2</v>
      </c>
      <c r="Q192" s="3">
        <v>0.2</v>
      </c>
      <c r="R192" s="3">
        <v>0</v>
      </c>
      <c r="S192" s="2"/>
      <c r="T192" s="5">
        <v>0</v>
      </c>
      <c r="U192" s="4">
        <v>0</v>
      </c>
      <c r="V192" s="4">
        <v>0</v>
      </c>
      <c r="W192" s="2">
        <v>0</v>
      </c>
      <c r="X192" s="4">
        <v>0</v>
      </c>
      <c r="Y192" s="4">
        <v>0</v>
      </c>
      <c r="Z192" s="3">
        <v>0</v>
      </c>
      <c r="AA192" s="3">
        <v>0</v>
      </c>
    </row>
    <row r="193" spans="1:27" x14ac:dyDescent="0.2">
      <c r="A193">
        <f t="shared" si="4"/>
        <v>1</v>
      </c>
      <c r="B193">
        <f t="shared" si="5"/>
        <v>4</v>
      </c>
      <c r="C193" s="1">
        <v>46040</v>
      </c>
      <c r="D193" t="s">
        <v>25</v>
      </c>
      <c r="E193" t="s">
        <v>26</v>
      </c>
      <c r="F193" t="s">
        <v>27</v>
      </c>
      <c r="G193" t="s">
        <v>28</v>
      </c>
      <c r="H193" t="s">
        <v>29</v>
      </c>
      <c r="I193" t="s">
        <v>30</v>
      </c>
      <c r="J193" t="s">
        <v>31</v>
      </c>
      <c r="K193" t="s">
        <v>32</v>
      </c>
      <c r="L193" t="s">
        <v>221</v>
      </c>
      <c r="M193" s="4">
        <v>1</v>
      </c>
      <c r="N193" s="4">
        <v>1</v>
      </c>
      <c r="O193" s="2">
        <v>1</v>
      </c>
      <c r="P193" s="3">
        <v>0.2</v>
      </c>
      <c r="Q193" s="3">
        <v>0.2</v>
      </c>
      <c r="R193" s="3">
        <v>0</v>
      </c>
      <c r="S193" s="2"/>
      <c r="T193" s="5">
        <v>0</v>
      </c>
      <c r="U193" s="4">
        <v>0</v>
      </c>
      <c r="V193" s="4">
        <v>0</v>
      </c>
      <c r="W193" s="2">
        <v>0</v>
      </c>
      <c r="X193" s="4">
        <v>0</v>
      </c>
      <c r="Y193" s="4">
        <v>0</v>
      </c>
      <c r="Z193" s="3">
        <v>0</v>
      </c>
      <c r="AA193" s="3">
        <v>0</v>
      </c>
    </row>
    <row r="194" spans="1:27" x14ac:dyDescent="0.2">
      <c r="A194">
        <f t="shared" si="4"/>
        <v>1</v>
      </c>
      <c r="B194">
        <f t="shared" si="5"/>
        <v>2</v>
      </c>
      <c r="C194" s="1">
        <v>46030</v>
      </c>
      <c r="D194" t="s">
        <v>25</v>
      </c>
      <c r="E194" t="s">
        <v>26</v>
      </c>
      <c r="F194" t="s">
        <v>61</v>
      </c>
      <c r="G194" t="s">
        <v>62</v>
      </c>
      <c r="H194" t="s">
        <v>29</v>
      </c>
      <c r="I194" t="s">
        <v>30</v>
      </c>
      <c r="J194" t="s">
        <v>95</v>
      </c>
      <c r="K194" t="s">
        <v>42</v>
      </c>
      <c r="L194" t="s">
        <v>222</v>
      </c>
      <c r="M194" s="4">
        <v>1</v>
      </c>
      <c r="N194" s="4">
        <v>1</v>
      </c>
      <c r="O194" s="2">
        <v>1</v>
      </c>
      <c r="P194" s="3">
        <v>1.3</v>
      </c>
      <c r="Q194" s="3">
        <v>1.3</v>
      </c>
      <c r="R194" s="3">
        <v>0</v>
      </c>
      <c r="S194" s="2"/>
      <c r="T194" s="5">
        <v>0</v>
      </c>
      <c r="U194" s="4">
        <v>0</v>
      </c>
      <c r="V194" s="4">
        <v>0</v>
      </c>
      <c r="W194" s="2">
        <v>0</v>
      </c>
      <c r="X194" s="4">
        <v>0</v>
      </c>
      <c r="Y194" s="4">
        <v>0</v>
      </c>
      <c r="Z194" s="3">
        <v>0</v>
      </c>
      <c r="AA194" s="3">
        <v>0</v>
      </c>
    </row>
    <row r="195" spans="1:27" x14ac:dyDescent="0.2">
      <c r="A195">
        <f t="shared" ref="A195:A258" si="6">MONTH(C195)</f>
        <v>1</v>
      </c>
      <c r="B195">
        <f t="shared" ref="B195:B258" si="7">WEEKNUM(C195,1)</f>
        <v>2</v>
      </c>
      <c r="C195" s="1">
        <v>46028</v>
      </c>
      <c r="D195" t="s">
        <v>25</v>
      </c>
      <c r="E195" t="s">
        <v>26</v>
      </c>
      <c r="F195" t="s">
        <v>27</v>
      </c>
      <c r="G195" t="s">
        <v>28</v>
      </c>
      <c r="H195" t="s">
        <v>29</v>
      </c>
      <c r="I195" t="s">
        <v>30</v>
      </c>
      <c r="J195" t="s">
        <v>31</v>
      </c>
      <c r="K195" t="s">
        <v>32</v>
      </c>
      <c r="L195" t="s">
        <v>223</v>
      </c>
      <c r="M195" s="4">
        <v>1</v>
      </c>
      <c r="N195" s="4">
        <v>1</v>
      </c>
      <c r="O195" s="2">
        <v>1</v>
      </c>
      <c r="P195" s="3">
        <v>0.21</v>
      </c>
      <c r="Q195" s="3">
        <v>0.21</v>
      </c>
      <c r="R195" s="3">
        <v>0</v>
      </c>
      <c r="S195" s="2"/>
      <c r="T195" s="5">
        <v>0</v>
      </c>
      <c r="U195" s="4">
        <v>0</v>
      </c>
      <c r="V195" s="4">
        <v>0</v>
      </c>
      <c r="W195" s="2">
        <v>0</v>
      </c>
      <c r="X195" s="4">
        <v>0</v>
      </c>
      <c r="Y195" s="4">
        <v>0</v>
      </c>
      <c r="Z195" s="3">
        <v>0</v>
      </c>
      <c r="AA195" s="3">
        <v>0</v>
      </c>
    </row>
    <row r="196" spans="1:27" x14ac:dyDescent="0.2">
      <c r="A196">
        <f t="shared" si="6"/>
        <v>1</v>
      </c>
      <c r="B196">
        <f t="shared" si="7"/>
        <v>1</v>
      </c>
      <c r="C196" s="1">
        <v>46024</v>
      </c>
      <c r="D196" t="s">
        <v>25</v>
      </c>
      <c r="E196" t="s">
        <v>26</v>
      </c>
      <c r="F196" t="s">
        <v>84</v>
      </c>
      <c r="G196" t="s">
        <v>85</v>
      </c>
      <c r="H196" t="s">
        <v>29</v>
      </c>
      <c r="I196" t="s">
        <v>30</v>
      </c>
      <c r="J196" t="s">
        <v>86</v>
      </c>
      <c r="K196" t="s">
        <v>87</v>
      </c>
      <c r="L196" t="s">
        <v>224</v>
      </c>
      <c r="M196" s="4">
        <v>5</v>
      </c>
      <c r="N196" s="4">
        <v>1</v>
      </c>
      <c r="O196" s="2">
        <v>0.2</v>
      </c>
      <c r="P196" s="3">
        <v>0.5</v>
      </c>
      <c r="Q196" s="3">
        <v>0.5</v>
      </c>
      <c r="R196" s="3">
        <v>0</v>
      </c>
      <c r="S196" s="2"/>
      <c r="T196" s="5">
        <v>0</v>
      </c>
      <c r="U196" s="4">
        <v>0</v>
      </c>
      <c r="V196" s="4">
        <v>0</v>
      </c>
      <c r="W196" s="2">
        <v>0</v>
      </c>
      <c r="X196" s="4">
        <v>0</v>
      </c>
      <c r="Y196" s="4">
        <v>0</v>
      </c>
      <c r="Z196" s="3">
        <v>0</v>
      </c>
      <c r="AA196" s="3">
        <v>0</v>
      </c>
    </row>
    <row r="197" spans="1:27" x14ac:dyDescent="0.2">
      <c r="A197">
        <f t="shared" si="6"/>
        <v>1</v>
      </c>
      <c r="B197">
        <f t="shared" si="7"/>
        <v>2</v>
      </c>
      <c r="C197" s="1">
        <v>46027</v>
      </c>
      <c r="D197" t="s">
        <v>25</v>
      </c>
      <c r="E197" t="s">
        <v>26</v>
      </c>
      <c r="F197" t="s">
        <v>84</v>
      </c>
      <c r="G197" t="s">
        <v>85</v>
      </c>
      <c r="H197" t="s">
        <v>29</v>
      </c>
      <c r="I197" t="s">
        <v>30</v>
      </c>
      <c r="J197" t="s">
        <v>86</v>
      </c>
      <c r="K197" t="s">
        <v>87</v>
      </c>
      <c r="L197" t="s">
        <v>225</v>
      </c>
      <c r="M197" s="4">
        <v>3</v>
      </c>
      <c r="N197" s="4">
        <v>1</v>
      </c>
      <c r="O197" s="2">
        <v>0.33333333333333331</v>
      </c>
      <c r="P197" s="3">
        <v>0.41</v>
      </c>
      <c r="Q197" s="3">
        <v>0.41</v>
      </c>
      <c r="R197" s="3">
        <v>0</v>
      </c>
      <c r="S197" s="2"/>
      <c r="T197" s="5">
        <v>0</v>
      </c>
      <c r="U197" s="4">
        <v>0</v>
      </c>
      <c r="V197" s="4">
        <v>0</v>
      </c>
      <c r="W197" s="2">
        <v>0</v>
      </c>
      <c r="X197" s="4">
        <v>0</v>
      </c>
      <c r="Y197" s="4">
        <v>0</v>
      </c>
      <c r="Z197" s="3">
        <v>0</v>
      </c>
      <c r="AA197" s="3">
        <v>0</v>
      </c>
    </row>
    <row r="198" spans="1:27" x14ac:dyDescent="0.2">
      <c r="A198">
        <f t="shared" si="6"/>
        <v>1</v>
      </c>
      <c r="B198">
        <f t="shared" si="7"/>
        <v>1</v>
      </c>
      <c r="C198" s="1">
        <v>46025</v>
      </c>
      <c r="D198" t="s">
        <v>25</v>
      </c>
      <c r="E198" t="s">
        <v>26</v>
      </c>
      <c r="F198" t="s">
        <v>49</v>
      </c>
      <c r="G198" t="s">
        <v>50</v>
      </c>
      <c r="H198" t="s">
        <v>29</v>
      </c>
      <c r="I198" t="s">
        <v>30</v>
      </c>
      <c r="J198" t="s">
        <v>95</v>
      </c>
      <c r="K198" t="s">
        <v>42</v>
      </c>
      <c r="L198" t="s">
        <v>226</v>
      </c>
      <c r="M198" s="4">
        <v>1</v>
      </c>
      <c r="N198" s="4">
        <v>1</v>
      </c>
      <c r="O198" s="2">
        <v>1</v>
      </c>
      <c r="P198" s="3">
        <v>0.48</v>
      </c>
      <c r="Q198" s="3">
        <v>0.48</v>
      </c>
      <c r="R198" s="3">
        <v>0</v>
      </c>
      <c r="S198" s="2"/>
      <c r="T198" s="5">
        <v>0</v>
      </c>
      <c r="U198" s="4">
        <v>0</v>
      </c>
      <c r="V198" s="4">
        <v>0</v>
      </c>
      <c r="W198" s="2">
        <v>0</v>
      </c>
      <c r="X198" s="4">
        <v>0</v>
      </c>
      <c r="Y198" s="4">
        <v>0</v>
      </c>
      <c r="Z198" s="3">
        <v>0</v>
      </c>
      <c r="AA198" s="3">
        <v>0</v>
      </c>
    </row>
    <row r="199" spans="1:27" x14ac:dyDescent="0.2">
      <c r="A199">
        <f t="shared" si="6"/>
        <v>1</v>
      </c>
      <c r="B199">
        <f t="shared" si="7"/>
        <v>3</v>
      </c>
      <c r="C199" s="1">
        <v>46038</v>
      </c>
      <c r="D199" t="s">
        <v>25</v>
      </c>
      <c r="E199" t="s">
        <v>26</v>
      </c>
      <c r="F199" t="s">
        <v>49</v>
      </c>
      <c r="G199" t="s">
        <v>50</v>
      </c>
      <c r="H199" t="s">
        <v>29</v>
      </c>
      <c r="I199" t="s">
        <v>30</v>
      </c>
      <c r="J199" t="s">
        <v>95</v>
      </c>
      <c r="K199" t="s">
        <v>42</v>
      </c>
      <c r="L199" t="s">
        <v>227</v>
      </c>
      <c r="M199" s="4">
        <v>1</v>
      </c>
      <c r="N199" s="4">
        <v>1</v>
      </c>
      <c r="O199" s="2">
        <v>1</v>
      </c>
      <c r="P199" s="3">
        <v>0.46</v>
      </c>
      <c r="Q199" s="3">
        <v>0.46</v>
      </c>
      <c r="R199" s="3">
        <v>0</v>
      </c>
      <c r="S199" s="2"/>
      <c r="T199" s="5">
        <v>0</v>
      </c>
      <c r="U199" s="4">
        <v>0</v>
      </c>
      <c r="V199" s="4">
        <v>0</v>
      </c>
      <c r="W199" s="2">
        <v>0</v>
      </c>
      <c r="X199" s="4">
        <v>0</v>
      </c>
      <c r="Y199" s="4">
        <v>0</v>
      </c>
      <c r="Z199" s="3">
        <v>0</v>
      </c>
      <c r="AA199" s="3">
        <v>0</v>
      </c>
    </row>
    <row r="200" spans="1:27" x14ac:dyDescent="0.2">
      <c r="A200">
        <f t="shared" si="6"/>
        <v>1</v>
      </c>
      <c r="B200">
        <f t="shared" si="7"/>
        <v>2</v>
      </c>
      <c r="C200" s="1">
        <v>46031</v>
      </c>
      <c r="D200" t="s">
        <v>25</v>
      </c>
      <c r="E200" t="s">
        <v>26</v>
      </c>
      <c r="F200" t="s">
        <v>53</v>
      </c>
      <c r="G200" t="s">
        <v>54</v>
      </c>
      <c r="H200" t="s">
        <v>29</v>
      </c>
      <c r="I200" t="s">
        <v>30</v>
      </c>
      <c r="J200" t="s">
        <v>47</v>
      </c>
      <c r="K200" t="s">
        <v>42</v>
      </c>
      <c r="L200" t="s">
        <v>228</v>
      </c>
      <c r="M200" s="4">
        <v>5</v>
      </c>
      <c r="N200" s="4">
        <v>2</v>
      </c>
      <c r="O200" s="2">
        <v>0.4</v>
      </c>
      <c r="P200" s="3">
        <v>0.6</v>
      </c>
      <c r="Q200" s="3">
        <v>1.2</v>
      </c>
      <c r="R200" s="3">
        <v>0</v>
      </c>
      <c r="S200" s="2"/>
      <c r="T200" s="5">
        <v>0</v>
      </c>
      <c r="U200" s="4">
        <v>0</v>
      </c>
      <c r="V200" s="4">
        <v>0</v>
      </c>
      <c r="W200" s="2">
        <v>0</v>
      </c>
      <c r="X200" s="4">
        <v>0</v>
      </c>
      <c r="Y200" s="4">
        <v>0</v>
      </c>
      <c r="Z200" s="3">
        <v>0</v>
      </c>
      <c r="AA200" s="3">
        <v>0</v>
      </c>
    </row>
    <row r="201" spans="1:27" x14ac:dyDescent="0.2">
      <c r="A201">
        <f t="shared" si="6"/>
        <v>1</v>
      </c>
      <c r="B201">
        <f t="shared" si="7"/>
        <v>4</v>
      </c>
      <c r="C201" s="1">
        <v>46042</v>
      </c>
      <c r="D201" t="s">
        <v>25</v>
      </c>
      <c r="E201" t="s">
        <v>26</v>
      </c>
      <c r="F201" t="s">
        <v>53</v>
      </c>
      <c r="G201" t="s">
        <v>54</v>
      </c>
      <c r="H201" t="s">
        <v>29</v>
      </c>
      <c r="I201" t="s">
        <v>30</v>
      </c>
      <c r="J201" t="s">
        <v>95</v>
      </c>
      <c r="K201" t="s">
        <v>42</v>
      </c>
      <c r="L201" t="s">
        <v>229</v>
      </c>
      <c r="M201" s="4">
        <v>1</v>
      </c>
      <c r="N201" s="4">
        <v>1</v>
      </c>
      <c r="O201" s="2">
        <v>1</v>
      </c>
      <c r="P201" s="3">
        <v>0.72</v>
      </c>
      <c r="Q201" s="3">
        <v>0.72</v>
      </c>
      <c r="R201" s="3">
        <v>0</v>
      </c>
      <c r="S201" s="2"/>
      <c r="T201" s="5">
        <v>0</v>
      </c>
      <c r="U201" s="4">
        <v>0</v>
      </c>
      <c r="V201" s="4">
        <v>0</v>
      </c>
      <c r="W201" s="2">
        <v>0</v>
      </c>
      <c r="X201" s="4">
        <v>0</v>
      </c>
      <c r="Y201" s="4">
        <v>0</v>
      </c>
      <c r="Z201" s="3">
        <v>0</v>
      </c>
      <c r="AA201" s="3">
        <v>0</v>
      </c>
    </row>
    <row r="202" spans="1:27" x14ac:dyDescent="0.2">
      <c r="A202">
        <f t="shared" si="6"/>
        <v>1</v>
      </c>
      <c r="B202">
        <f t="shared" si="7"/>
        <v>4</v>
      </c>
      <c r="C202" s="1">
        <v>46040</v>
      </c>
      <c r="D202" t="s">
        <v>25</v>
      </c>
      <c r="E202" t="s">
        <v>26</v>
      </c>
      <c r="F202" t="s">
        <v>61</v>
      </c>
      <c r="G202" t="s">
        <v>62</v>
      </c>
      <c r="H202" t="s">
        <v>29</v>
      </c>
      <c r="I202" t="s">
        <v>30</v>
      </c>
      <c r="J202" t="s">
        <v>47</v>
      </c>
      <c r="K202" t="s">
        <v>42</v>
      </c>
      <c r="L202" t="s">
        <v>230</v>
      </c>
      <c r="M202" s="4">
        <v>1</v>
      </c>
      <c r="N202" s="4">
        <v>1</v>
      </c>
      <c r="O202" s="2">
        <v>1</v>
      </c>
      <c r="P202" s="3">
        <v>1.01</v>
      </c>
      <c r="Q202" s="3">
        <v>1.01</v>
      </c>
      <c r="R202" s="3">
        <v>0</v>
      </c>
      <c r="S202" s="2"/>
      <c r="T202" s="5">
        <v>0</v>
      </c>
      <c r="U202" s="4">
        <v>0</v>
      </c>
      <c r="V202" s="4">
        <v>0</v>
      </c>
      <c r="W202" s="2">
        <v>0</v>
      </c>
      <c r="X202" s="4">
        <v>0</v>
      </c>
      <c r="Y202" s="4">
        <v>0</v>
      </c>
      <c r="Z202" s="3">
        <v>0</v>
      </c>
      <c r="AA202" s="3">
        <v>0</v>
      </c>
    </row>
    <row r="203" spans="1:27" x14ac:dyDescent="0.2">
      <c r="A203">
        <f t="shared" si="6"/>
        <v>1</v>
      </c>
      <c r="B203">
        <f t="shared" si="7"/>
        <v>2</v>
      </c>
      <c r="C203" s="1">
        <v>46026</v>
      </c>
      <c r="D203" t="s">
        <v>25</v>
      </c>
      <c r="E203" t="s">
        <v>26</v>
      </c>
      <c r="F203" t="s">
        <v>53</v>
      </c>
      <c r="G203" t="s">
        <v>54</v>
      </c>
      <c r="H203" t="s">
        <v>29</v>
      </c>
      <c r="I203" t="s">
        <v>30</v>
      </c>
      <c r="J203" t="s">
        <v>95</v>
      </c>
      <c r="K203" t="s">
        <v>42</v>
      </c>
      <c r="L203" t="s">
        <v>231</v>
      </c>
      <c r="M203" s="4">
        <v>1</v>
      </c>
      <c r="N203" s="4">
        <v>1</v>
      </c>
      <c r="O203" s="2">
        <v>1</v>
      </c>
      <c r="P203" s="3">
        <v>1</v>
      </c>
      <c r="Q203" s="3">
        <v>1</v>
      </c>
      <c r="R203" s="3">
        <v>0</v>
      </c>
      <c r="S203" s="2"/>
      <c r="T203" s="5">
        <v>0</v>
      </c>
      <c r="U203" s="4">
        <v>0</v>
      </c>
      <c r="V203" s="4">
        <v>0</v>
      </c>
      <c r="W203" s="2">
        <v>0</v>
      </c>
      <c r="X203" s="4">
        <v>0</v>
      </c>
      <c r="Y203" s="4">
        <v>0</v>
      </c>
      <c r="Z203" s="3">
        <v>0</v>
      </c>
      <c r="AA203" s="3">
        <v>0</v>
      </c>
    </row>
    <row r="204" spans="1:27" x14ac:dyDescent="0.2">
      <c r="A204">
        <f t="shared" si="6"/>
        <v>1</v>
      </c>
      <c r="B204">
        <f t="shared" si="7"/>
        <v>2</v>
      </c>
      <c r="C204" s="1">
        <v>46032</v>
      </c>
      <c r="D204" t="s">
        <v>25</v>
      </c>
      <c r="E204" t="s">
        <v>26</v>
      </c>
      <c r="F204" t="s">
        <v>61</v>
      </c>
      <c r="G204" t="s">
        <v>62</v>
      </c>
      <c r="H204" t="s">
        <v>29</v>
      </c>
      <c r="I204" t="s">
        <v>30</v>
      </c>
      <c r="J204" t="s">
        <v>47</v>
      </c>
      <c r="K204" t="s">
        <v>42</v>
      </c>
      <c r="L204" t="s">
        <v>232</v>
      </c>
      <c r="M204" s="4">
        <v>4</v>
      </c>
      <c r="N204" s="4">
        <v>1</v>
      </c>
      <c r="O204" s="2">
        <v>0.25</v>
      </c>
      <c r="P204" s="3">
        <v>0.91</v>
      </c>
      <c r="Q204" s="3">
        <v>0.91</v>
      </c>
      <c r="R204" s="3">
        <v>0</v>
      </c>
      <c r="S204" s="2"/>
      <c r="T204" s="5">
        <v>0</v>
      </c>
      <c r="U204" s="4">
        <v>0</v>
      </c>
      <c r="V204" s="4">
        <v>0</v>
      </c>
      <c r="W204" s="2">
        <v>0</v>
      </c>
      <c r="X204" s="4">
        <v>0</v>
      </c>
      <c r="Y204" s="4">
        <v>0</v>
      </c>
      <c r="Z204" s="3">
        <v>0</v>
      </c>
      <c r="AA204" s="3">
        <v>0</v>
      </c>
    </row>
    <row r="205" spans="1:27" x14ac:dyDescent="0.2">
      <c r="A205">
        <f t="shared" si="6"/>
        <v>1</v>
      </c>
      <c r="B205">
        <f t="shared" si="7"/>
        <v>3</v>
      </c>
      <c r="C205" s="1">
        <v>46037</v>
      </c>
      <c r="D205" t="s">
        <v>25</v>
      </c>
      <c r="E205" t="s">
        <v>26</v>
      </c>
      <c r="F205" t="s">
        <v>61</v>
      </c>
      <c r="G205" t="s">
        <v>62</v>
      </c>
      <c r="H205" t="s">
        <v>29</v>
      </c>
      <c r="I205" t="s">
        <v>30</v>
      </c>
      <c r="J205" t="s">
        <v>47</v>
      </c>
      <c r="K205" t="s">
        <v>42</v>
      </c>
      <c r="L205" t="s">
        <v>232</v>
      </c>
      <c r="M205" s="4">
        <v>2</v>
      </c>
      <c r="N205" s="4">
        <v>1</v>
      </c>
      <c r="O205" s="2">
        <v>0.5</v>
      </c>
      <c r="P205" s="3">
        <v>1.2</v>
      </c>
      <c r="Q205" s="3">
        <v>1.2</v>
      </c>
      <c r="R205" s="3">
        <v>0</v>
      </c>
      <c r="S205" s="2"/>
      <c r="T205" s="5">
        <v>0</v>
      </c>
      <c r="U205" s="4">
        <v>0</v>
      </c>
      <c r="V205" s="4">
        <v>0</v>
      </c>
      <c r="W205" s="2">
        <v>0</v>
      </c>
      <c r="X205" s="4">
        <v>0</v>
      </c>
      <c r="Y205" s="4">
        <v>0</v>
      </c>
      <c r="Z205" s="3">
        <v>0</v>
      </c>
      <c r="AA205" s="3">
        <v>0</v>
      </c>
    </row>
    <row r="206" spans="1:27" x14ac:dyDescent="0.2">
      <c r="A206">
        <f t="shared" si="6"/>
        <v>1</v>
      </c>
      <c r="B206">
        <f t="shared" si="7"/>
        <v>2</v>
      </c>
      <c r="C206" s="1">
        <v>46027</v>
      </c>
      <c r="D206" t="s">
        <v>25</v>
      </c>
      <c r="E206" t="s">
        <v>26</v>
      </c>
      <c r="F206" t="s">
        <v>53</v>
      </c>
      <c r="G206" t="s">
        <v>54</v>
      </c>
      <c r="H206" t="s">
        <v>29</v>
      </c>
      <c r="I206" t="s">
        <v>30</v>
      </c>
      <c r="J206" t="s">
        <v>47</v>
      </c>
      <c r="K206" t="s">
        <v>42</v>
      </c>
      <c r="L206" t="s">
        <v>233</v>
      </c>
      <c r="M206" s="4">
        <v>4</v>
      </c>
      <c r="N206" s="4">
        <v>1</v>
      </c>
      <c r="O206" s="2">
        <v>0.25</v>
      </c>
      <c r="P206" s="3">
        <v>0.9</v>
      </c>
      <c r="Q206" s="3">
        <v>0.9</v>
      </c>
      <c r="R206" s="3">
        <v>0</v>
      </c>
      <c r="S206" s="2"/>
      <c r="T206" s="5">
        <v>0</v>
      </c>
      <c r="U206" s="4">
        <v>0</v>
      </c>
      <c r="V206" s="4">
        <v>0</v>
      </c>
      <c r="W206" s="2">
        <v>0</v>
      </c>
      <c r="X206" s="4">
        <v>0</v>
      </c>
      <c r="Y206" s="4">
        <v>0</v>
      </c>
      <c r="Z206" s="3">
        <v>0</v>
      </c>
      <c r="AA206" s="3">
        <v>0</v>
      </c>
    </row>
    <row r="207" spans="1:27" x14ac:dyDescent="0.2">
      <c r="A207">
        <f t="shared" si="6"/>
        <v>1</v>
      </c>
      <c r="B207">
        <f t="shared" si="7"/>
        <v>2</v>
      </c>
      <c r="C207" s="1">
        <v>46028</v>
      </c>
      <c r="D207" t="s">
        <v>25</v>
      </c>
      <c r="E207" t="s">
        <v>26</v>
      </c>
      <c r="F207" t="s">
        <v>53</v>
      </c>
      <c r="G207" t="s">
        <v>54</v>
      </c>
      <c r="H207" t="s">
        <v>29</v>
      </c>
      <c r="I207" t="s">
        <v>30</v>
      </c>
      <c r="J207" t="s">
        <v>47</v>
      </c>
      <c r="K207" t="s">
        <v>42</v>
      </c>
      <c r="L207" t="s">
        <v>233</v>
      </c>
      <c r="M207" s="4">
        <v>6</v>
      </c>
      <c r="N207" s="4">
        <v>1</v>
      </c>
      <c r="O207" s="2">
        <v>0.16666666666666663</v>
      </c>
      <c r="P207" s="3">
        <v>0.98</v>
      </c>
      <c r="Q207" s="3">
        <v>0.98</v>
      </c>
      <c r="R207" s="3">
        <v>0</v>
      </c>
      <c r="S207" s="2"/>
      <c r="T207" s="5">
        <v>0</v>
      </c>
      <c r="U207" s="4">
        <v>0</v>
      </c>
      <c r="V207" s="4">
        <v>0</v>
      </c>
      <c r="W207" s="2">
        <v>0</v>
      </c>
      <c r="X207" s="4">
        <v>0</v>
      </c>
      <c r="Y207" s="4">
        <v>0</v>
      </c>
      <c r="Z207" s="3">
        <v>0</v>
      </c>
      <c r="AA207" s="3">
        <v>0</v>
      </c>
    </row>
    <row r="208" spans="1:27" x14ac:dyDescent="0.2">
      <c r="A208">
        <f t="shared" si="6"/>
        <v>1</v>
      </c>
      <c r="B208">
        <f t="shared" si="7"/>
        <v>4</v>
      </c>
      <c r="C208" s="1">
        <v>46042</v>
      </c>
      <c r="D208" t="s">
        <v>25</v>
      </c>
      <c r="E208" t="s">
        <v>26</v>
      </c>
      <c r="F208" t="s">
        <v>61</v>
      </c>
      <c r="G208" t="s">
        <v>62</v>
      </c>
      <c r="H208" t="s">
        <v>29</v>
      </c>
      <c r="I208" t="s">
        <v>30</v>
      </c>
      <c r="J208" t="s">
        <v>95</v>
      </c>
      <c r="K208" t="s">
        <v>42</v>
      </c>
      <c r="L208" t="s">
        <v>234</v>
      </c>
      <c r="M208" s="4">
        <v>1</v>
      </c>
      <c r="N208" s="4">
        <v>1</v>
      </c>
      <c r="O208" s="2">
        <v>1</v>
      </c>
      <c r="P208" s="3">
        <v>1.22</v>
      </c>
      <c r="Q208" s="3">
        <v>1.22</v>
      </c>
      <c r="R208" s="3">
        <v>25.73</v>
      </c>
      <c r="S208" s="2">
        <v>4.7415468324912551E-2</v>
      </c>
      <c r="T208" s="5">
        <v>21.090163934426229</v>
      </c>
      <c r="U208" s="4">
        <v>1</v>
      </c>
      <c r="V208" s="4">
        <v>1</v>
      </c>
      <c r="W208" s="2">
        <v>1</v>
      </c>
      <c r="X208" s="4">
        <v>1</v>
      </c>
      <c r="Y208" s="4">
        <v>0</v>
      </c>
      <c r="Z208" s="3">
        <v>25.73</v>
      </c>
      <c r="AA208" s="3">
        <v>0</v>
      </c>
    </row>
    <row r="209" spans="1:27" x14ac:dyDescent="0.2">
      <c r="A209">
        <f t="shared" si="6"/>
        <v>1</v>
      </c>
      <c r="B209">
        <f t="shared" si="7"/>
        <v>2</v>
      </c>
      <c r="C209" s="1">
        <v>46029</v>
      </c>
      <c r="D209" t="s">
        <v>25</v>
      </c>
      <c r="E209" t="s">
        <v>26</v>
      </c>
      <c r="F209" t="s">
        <v>61</v>
      </c>
      <c r="G209" t="s">
        <v>62</v>
      </c>
      <c r="H209" t="s">
        <v>29</v>
      </c>
      <c r="I209" t="s">
        <v>30</v>
      </c>
      <c r="J209" t="s">
        <v>47</v>
      </c>
      <c r="K209" t="s">
        <v>42</v>
      </c>
      <c r="L209" t="s">
        <v>235</v>
      </c>
      <c r="M209" s="4">
        <v>1</v>
      </c>
      <c r="N209" s="4">
        <v>1</v>
      </c>
      <c r="O209" s="2">
        <v>1</v>
      </c>
      <c r="P209" s="3">
        <v>1.1000000000000001</v>
      </c>
      <c r="Q209" s="3">
        <v>1.1000000000000001</v>
      </c>
      <c r="R209" s="3">
        <v>0</v>
      </c>
      <c r="S209" s="2"/>
      <c r="T209" s="5">
        <v>0</v>
      </c>
      <c r="U209" s="4">
        <v>0</v>
      </c>
      <c r="V209" s="4">
        <v>0</v>
      </c>
      <c r="W209" s="2">
        <v>0</v>
      </c>
      <c r="X209" s="4">
        <v>0</v>
      </c>
      <c r="Y209" s="4">
        <v>0</v>
      </c>
      <c r="Z209" s="3">
        <v>0</v>
      </c>
      <c r="AA209" s="3">
        <v>0</v>
      </c>
    </row>
    <row r="210" spans="1:27" x14ac:dyDescent="0.2">
      <c r="A210">
        <f t="shared" si="6"/>
        <v>1</v>
      </c>
      <c r="B210">
        <f t="shared" si="7"/>
        <v>4</v>
      </c>
      <c r="C210" s="1">
        <v>46040</v>
      </c>
      <c r="D210" t="s">
        <v>25</v>
      </c>
      <c r="E210" t="s">
        <v>26</v>
      </c>
      <c r="F210" t="s">
        <v>53</v>
      </c>
      <c r="G210" t="s">
        <v>54</v>
      </c>
      <c r="H210" t="s">
        <v>29</v>
      </c>
      <c r="I210" t="s">
        <v>30</v>
      </c>
      <c r="J210" t="s">
        <v>47</v>
      </c>
      <c r="K210" t="s">
        <v>42</v>
      </c>
      <c r="L210" t="s">
        <v>236</v>
      </c>
      <c r="M210" s="4">
        <v>1</v>
      </c>
      <c r="N210" s="4">
        <v>1</v>
      </c>
      <c r="O210" s="2">
        <v>1</v>
      </c>
      <c r="P210" s="3">
        <v>0.6</v>
      </c>
      <c r="Q210" s="3">
        <v>0.6</v>
      </c>
      <c r="R210" s="3">
        <v>0</v>
      </c>
      <c r="S210" s="2"/>
      <c r="T210" s="5">
        <v>0</v>
      </c>
      <c r="U210" s="4">
        <v>0</v>
      </c>
      <c r="V210" s="4">
        <v>0</v>
      </c>
      <c r="W210" s="2">
        <v>0</v>
      </c>
      <c r="X210" s="4">
        <v>0</v>
      </c>
      <c r="Y210" s="4">
        <v>0</v>
      </c>
      <c r="Z210" s="3">
        <v>0</v>
      </c>
      <c r="AA210" s="3">
        <v>0</v>
      </c>
    </row>
    <row r="211" spans="1:27" x14ac:dyDescent="0.2">
      <c r="A211">
        <f t="shared" si="6"/>
        <v>1</v>
      </c>
      <c r="B211">
        <f t="shared" si="7"/>
        <v>2</v>
      </c>
      <c r="C211" s="1">
        <v>46030</v>
      </c>
      <c r="D211" t="s">
        <v>25</v>
      </c>
      <c r="E211" t="s">
        <v>26</v>
      </c>
      <c r="F211" t="s">
        <v>53</v>
      </c>
      <c r="G211" t="s">
        <v>54</v>
      </c>
      <c r="H211" t="s">
        <v>29</v>
      </c>
      <c r="I211" t="s">
        <v>30</v>
      </c>
      <c r="J211" t="s">
        <v>47</v>
      </c>
      <c r="K211" t="s">
        <v>42</v>
      </c>
      <c r="L211" t="s">
        <v>237</v>
      </c>
      <c r="M211" s="4">
        <v>3</v>
      </c>
      <c r="N211" s="4">
        <v>1</v>
      </c>
      <c r="O211" s="2">
        <v>0.33333333333333331</v>
      </c>
      <c r="P211" s="3">
        <v>0.99</v>
      </c>
      <c r="Q211" s="3">
        <v>0.99</v>
      </c>
      <c r="R211" s="3">
        <v>0</v>
      </c>
      <c r="S211" s="2"/>
      <c r="T211" s="5">
        <v>0</v>
      </c>
      <c r="U211" s="4">
        <v>0</v>
      </c>
      <c r="V211" s="4">
        <v>0</v>
      </c>
      <c r="W211" s="2">
        <v>0</v>
      </c>
      <c r="X211" s="4">
        <v>0</v>
      </c>
      <c r="Y211" s="4">
        <v>0</v>
      </c>
      <c r="Z211" s="3">
        <v>0</v>
      </c>
      <c r="AA211" s="3">
        <v>0</v>
      </c>
    </row>
    <row r="212" spans="1:27" x14ac:dyDescent="0.2">
      <c r="A212">
        <f t="shared" si="6"/>
        <v>1</v>
      </c>
      <c r="B212">
        <f t="shared" si="7"/>
        <v>1</v>
      </c>
      <c r="C212" s="1">
        <v>46025</v>
      </c>
      <c r="D212" t="s">
        <v>25</v>
      </c>
      <c r="E212" t="s">
        <v>26</v>
      </c>
      <c r="F212" t="s">
        <v>53</v>
      </c>
      <c r="G212" t="s">
        <v>54</v>
      </c>
      <c r="H212" t="s">
        <v>29</v>
      </c>
      <c r="I212" t="s">
        <v>30</v>
      </c>
      <c r="J212" t="s">
        <v>47</v>
      </c>
      <c r="K212" t="s">
        <v>42</v>
      </c>
      <c r="L212" t="s">
        <v>238</v>
      </c>
      <c r="M212" s="4">
        <v>2</v>
      </c>
      <c r="N212" s="4">
        <v>1</v>
      </c>
      <c r="O212" s="2">
        <v>0.5</v>
      </c>
      <c r="P212" s="3">
        <v>1.37</v>
      </c>
      <c r="Q212" s="3">
        <v>1.37</v>
      </c>
      <c r="R212" s="3">
        <v>7.83</v>
      </c>
      <c r="S212" s="2">
        <v>0.17496807151979568</v>
      </c>
      <c r="T212" s="5">
        <v>5.7153284671532845</v>
      </c>
      <c r="U212" s="4">
        <v>1</v>
      </c>
      <c r="V212" s="4">
        <v>1</v>
      </c>
      <c r="W212" s="2">
        <v>1</v>
      </c>
      <c r="X212" s="4">
        <v>1</v>
      </c>
      <c r="Y212" s="4">
        <v>0</v>
      </c>
      <c r="Z212" s="3">
        <v>7.83</v>
      </c>
      <c r="AA212" s="3">
        <v>0</v>
      </c>
    </row>
    <row r="213" spans="1:27" x14ac:dyDescent="0.2">
      <c r="A213">
        <f t="shared" si="6"/>
        <v>1</v>
      </c>
      <c r="B213">
        <f t="shared" si="7"/>
        <v>3</v>
      </c>
      <c r="C213" s="1">
        <v>46033</v>
      </c>
      <c r="D213" t="s">
        <v>25</v>
      </c>
      <c r="E213" t="s">
        <v>26</v>
      </c>
      <c r="F213" t="s">
        <v>34</v>
      </c>
      <c r="G213" t="s">
        <v>28</v>
      </c>
      <c r="H213" t="s">
        <v>29</v>
      </c>
      <c r="I213" t="s">
        <v>30</v>
      </c>
      <c r="J213" t="s">
        <v>239</v>
      </c>
      <c r="K213" t="s">
        <v>32</v>
      </c>
      <c r="L213" t="s">
        <v>240</v>
      </c>
      <c r="M213" s="4">
        <v>12</v>
      </c>
      <c r="N213" s="4">
        <v>1</v>
      </c>
      <c r="O213" s="2">
        <v>8.3333333333333315E-2</v>
      </c>
      <c r="P213" s="3">
        <v>1.31</v>
      </c>
      <c r="Q213" s="3">
        <v>1.31</v>
      </c>
      <c r="R213" s="3">
        <v>0</v>
      </c>
      <c r="S213" s="2"/>
      <c r="T213" s="5">
        <v>0</v>
      </c>
      <c r="U213" s="4">
        <v>0</v>
      </c>
      <c r="V213" s="4">
        <v>0</v>
      </c>
      <c r="W213" s="2">
        <v>0</v>
      </c>
      <c r="X213" s="4">
        <v>0</v>
      </c>
      <c r="Y213" s="4">
        <v>0</v>
      </c>
      <c r="Z213" s="3">
        <v>0</v>
      </c>
      <c r="AA213" s="3">
        <v>0</v>
      </c>
    </row>
    <row r="214" spans="1:27" x14ac:dyDescent="0.2">
      <c r="A214">
        <f t="shared" si="6"/>
        <v>1</v>
      </c>
      <c r="B214">
        <f t="shared" si="7"/>
        <v>3</v>
      </c>
      <c r="C214" s="1">
        <v>46035</v>
      </c>
      <c r="D214" t="s">
        <v>25</v>
      </c>
      <c r="E214" t="s">
        <v>26</v>
      </c>
      <c r="F214" t="s">
        <v>27</v>
      </c>
      <c r="G214" t="s">
        <v>28</v>
      </c>
      <c r="H214" t="s">
        <v>29</v>
      </c>
      <c r="I214" t="s">
        <v>30</v>
      </c>
      <c r="J214" t="s">
        <v>101</v>
      </c>
      <c r="K214" t="s">
        <v>32</v>
      </c>
      <c r="L214" t="s">
        <v>241</v>
      </c>
      <c r="M214" s="4">
        <v>3</v>
      </c>
      <c r="N214" s="4">
        <v>1</v>
      </c>
      <c r="O214" s="2">
        <v>0.33333333333333331</v>
      </c>
      <c r="P214" s="3">
        <v>0.21</v>
      </c>
      <c r="Q214" s="3">
        <v>0.21</v>
      </c>
      <c r="R214" s="3">
        <v>0</v>
      </c>
      <c r="S214" s="2"/>
      <c r="T214" s="5">
        <v>0</v>
      </c>
      <c r="U214" s="4">
        <v>0</v>
      </c>
      <c r="V214" s="4">
        <v>0</v>
      </c>
      <c r="W214" s="2">
        <v>0</v>
      </c>
      <c r="X214" s="4">
        <v>0</v>
      </c>
      <c r="Y214" s="4">
        <v>0</v>
      </c>
      <c r="Z214" s="3">
        <v>0</v>
      </c>
      <c r="AA214" s="3">
        <v>0</v>
      </c>
    </row>
    <row r="215" spans="1:27" x14ac:dyDescent="0.2">
      <c r="A215">
        <f t="shared" si="6"/>
        <v>1</v>
      </c>
      <c r="B215">
        <f t="shared" si="7"/>
        <v>2</v>
      </c>
      <c r="C215" s="1">
        <v>46029</v>
      </c>
      <c r="D215" t="s">
        <v>25</v>
      </c>
      <c r="E215" t="s">
        <v>26</v>
      </c>
      <c r="F215" t="s">
        <v>27</v>
      </c>
      <c r="G215" t="s">
        <v>124</v>
      </c>
      <c r="H215" t="s">
        <v>29</v>
      </c>
      <c r="I215" t="s">
        <v>30</v>
      </c>
      <c r="J215" t="s">
        <v>242</v>
      </c>
      <c r="K215" t="s">
        <v>87</v>
      </c>
      <c r="L215" t="s">
        <v>242</v>
      </c>
      <c r="M215" s="4">
        <v>2</v>
      </c>
      <c r="N215" s="4">
        <v>1</v>
      </c>
      <c r="O215" s="2">
        <v>0.5</v>
      </c>
      <c r="P215" s="3">
        <v>0.2</v>
      </c>
      <c r="Q215" s="3">
        <v>0.2</v>
      </c>
      <c r="R215" s="3">
        <v>0</v>
      </c>
      <c r="S215" s="2"/>
      <c r="T215" s="5">
        <v>0</v>
      </c>
      <c r="U215" s="4">
        <v>0</v>
      </c>
      <c r="V215" s="4">
        <v>0</v>
      </c>
      <c r="W215" s="2">
        <v>0</v>
      </c>
      <c r="X215" s="4">
        <v>0</v>
      </c>
      <c r="Y215" s="4">
        <v>0</v>
      </c>
      <c r="Z215" s="3">
        <v>0</v>
      </c>
      <c r="AA215" s="3">
        <v>0</v>
      </c>
    </row>
    <row r="216" spans="1:27" x14ac:dyDescent="0.2">
      <c r="A216">
        <f t="shared" si="6"/>
        <v>1</v>
      </c>
      <c r="B216">
        <f t="shared" si="7"/>
        <v>3</v>
      </c>
      <c r="C216" s="1">
        <v>46033</v>
      </c>
      <c r="D216" t="s">
        <v>25</v>
      </c>
      <c r="E216" t="s">
        <v>26</v>
      </c>
      <c r="F216" t="s">
        <v>27</v>
      </c>
      <c r="G216" t="s">
        <v>124</v>
      </c>
      <c r="H216" t="s">
        <v>29</v>
      </c>
      <c r="I216" t="s">
        <v>30</v>
      </c>
      <c r="J216" t="s">
        <v>242</v>
      </c>
      <c r="K216" t="s">
        <v>87</v>
      </c>
      <c r="L216" t="s">
        <v>242</v>
      </c>
      <c r="M216" s="4">
        <v>9</v>
      </c>
      <c r="N216" s="4">
        <v>1</v>
      </c>
      <c r="O216" s="2">
        <v>0.1111111111111111</v>
      </c>
      <c r="P216" s="3">
        <v>0.2</v>
      </c>
      <c r="Q216" s="3">
        <v>0.2</v>
      </c>
      <c r="R216" s="3">
        <v>0</v>
      </c>
      <c r="S216" s="2"/>
      <c r="T216" s="5">
        <v>0</v>
      </c>
      <c r="U216" s="4">
        <v>0</v>
      </c>
      <c r="V216" s="4">
        <v>0</v>
      </c>
      <c r="W216" s="2">
        <v>0</v>
      </c>
      <c r="X216" s="4">
        <v>0</v>
      </c>
      <c r="Y216" s="4">
        <v>0</v>
      </c>
      <c r="Z216" s="3">
        <v>0</v>
      </c>
      <c r="AA216" s="3">
        <v>0</v>
      </c>
    </row>
    <row r="217" spans="1:27" x14ac:dyDescent="0.2">
      <c r="A217">
        <f t="shared" si="6"/>
        <v>1</v>
      </c>
      <c r="B217">
        <f t="shared" si="7"/>
        <v>2</v>
      </c>
      <c r="C217" s="1">
        <v>46030</v>
      </c>
      <c r="D217" t="s">
        <v>25</v>
      </c>
      <c r="E217" t="s">
        <v>26</v>
      </c>
      <c r="F217" t="s">
        <v>27</v>
      </c>
      <c r="G217" t="s">
        <v>28</v>
      </c>
      <c r="H217" t="s">
        <v>29</v>
      </c>
      <c r="I217" t="s">
        <v>30</v>
      </c>
      <c r="J217" t="s">
        <v>243</v>
      </c>
      <c r="K217" t="s">
        <v>32</v>
      </c>
      <c r="L217" t="s">
        <v>244</v>
      </c>
      <c r="M217" s="4">
        <v>2</v>
      </c>
      <c r="N217" s="4">
        <v>1</v>
      </c>
      <c r="O217" s="2">
        <v>0.5</v>
      </c>
      <c r="P217" s="3">
        <v>0.4</v>
      </c>
      <c r="Q217" s="3">
        <v>0.4</v>
      </c>
      <c r="R217" s="3">
        <v>0</v>
      </c>
      <c r="S217" s="2"/>
      <c r="T217" s="5">
        <v>0</v>
      </c>
      <c r="U217" s="4">
        <v>0</v>
      </c>
      <c r="V217" s="4">
        <v>0</v>
      </c>
      <c r="W217" s="2">
        <v>0</v>
      </c>
      <c r="X217" s="4">
        <v>0</v>
      </c>
      <c r="Y217" s="4">
        <v>0</v>
      </c>
      <c r="Z217" s="3">
        <v>0</v>
      </c>
      <c r="AA217" s="3">
        <v>0</v>
      </c>
    </row>
    <row r="218" spans="1:27" x14ac:dyDescent="0.2">
      <c r="A218">
        <f t="shared" si="6"/>
        <v>1</v>
      </c>
      <c r="B218">
        <f t="shared" si="7"/>
        <v>2</v>
      </c>
      <c r="C218" s="1">
        <v>46029</v>
      </c>
      <c r="D218" t="s">
        <v>25</v>
      </c>
      <c r="E218" t="s">
        <v>26</v>
      </c>
      <c r="F218" t="s">
        <v>27</v>
      </c>
      <c r="G218" t="s">
        <v>28</v>
      </c>
      <c r="H218" t="s">
        <v>29</v>
      </c>
      <c r="I218" t="s">
        <v>30</v>
      </c>
      <c r="J218" t="s">
        <v>154</v>
      </c>
      <c r="K218" t="s">
        <v>32</v>
      </c>
      <c r="L218" t="s">
        <v>245</v>
      </c>
      <c r="M218" s="4">
        <v>1</v>
      </c>
      <c r="N218" s="4">
        <v>1</v>
      </c>
      <c r="O218" s="2">
        <v>1</v>
      </c>
      <c r="P218" s="3">
        <v>0.2</v>
      </c>
      <c r="Q218" s="3">
        <v>0.2</v>
      </c>
      <c r="R218" s="3">
        <v>0</v>
      </c>
      <c r="S218" s="2"/>
      <c r="T218" s="5">
        <v>0</v>
      </c>
      <c r="U218" s="4">
        <v>0</v>
      </c>
      <c r="V218" s="4">
        <v>0</v>
      </c>
      <c r="W218" s="2">
        <v>0</v>
      </c>
      <c r="X218" s="4">
        <v>0</v>
      </c>
      <c r="Y218" s="4">
        <v>0</v>
      </c>
      <c r="Z218" s="3">
        <v>0</v>
      </c>
      <c r="AA218" s="3">
        <v>0</v>
      </c>
    </row>
    <row r="219" spans="1:27" x14ac:dyDescent="0.2">
      <c r="A219">
        <f t="shared" si="6"/>
        <v>1</v>
      </c>
      <c r="B219">
        <f t="shared" si="7"/>
        <v>3</v>
      </c>
      <c r="C219" s="1">
        <v>46036</v>
      </c>
      <c r="D219" t="s">
        <v>25</v>
      </c>
      <c r="E219" t="s">
        <v>26</v>
      </c>
      <c r="F219" t="s">
        <v>34</v>
      </c>
      <c r="G219" t="s">
        <v>28</v>
      </c>
      <c r="H219" t="s">
        <v>29</v>
      </c>
      <c r="I219" t="s">
        <v>30</v>
      </c>
      <c r="J219" t="s">
        <v>133</v>
      </c>
      <c r="K219" t="s">
        <v>32</v>
      </c>
      <c r="L219" t="s">
        <v>246</v>
      </c>
      <c r="M219" s="4">
        <v>1</v>
      </c>
      <c r="N219" s="4">
        <v>1</v>
      </c>
      <c r="O219" s="2">
        <v>1</v>
      </c>
      <c r="P219" s="3">
        <v>1.38</v>
      </c>
      <c r="Q219" s="3">
        <v>1.38</v>
      </c>
      <c r="R219" s="3">
        <v>0</v>
      </c>
      <c r="S219" s="2"/>
      <c r="T219" s="5">
        <v>0</v>
      </c>
      <c r="U219" s="4">
        <v>0</v>
      </c>
      <c r="V219" s="4">
        <v>0</v>
      </c>
      <c r="W219" s="2">
        <v>0</v>
      </c>
      <c r="X219" s="4">
        <v>0</v>
      </c>
      <c r="Y219" s="4">
        <v>0</v>
      </c>
      <c r="Z219" s="3">
        <v>0</v>
      </c>
      <c r="AA219" s="3">
        <v>0</v>
      </c>
    </row>
    <row r="220" spans="1:27" x14ac:dyDescent="0.2">
      <c r="A220">
        <f t="shared" si="6"/>
        <v>1</v>
      </c>
      <c r="B220">
        <f t="shared" si="7"/>
        <v>3</v>
      </c>
      <c r="C220" s="1">
        <v>46035</v>
      </c>
      <c r="D220" t="s">
        <v>25</v>
      </c>
      <c r="E220" t="s">
        <v>26</v>
      </c>
      <c r="F220" t="s">
        <v>61</v>
      </c>
      <c r="G220" t="s">
        <v>62</v>
      </c>
      <c r="H220" t="s">
        <v>29</v>
      </c>
      <c r="I220" t="s">
        <v>30</v>
      </c>
      <c r="J220" t="s">
        <v>95</v>
      </c>
      <c r="K220" t="s">
        <v>42</v>
      </c>
      <c r="L220" t="s">
        <v>247</v>
      </c>
      <c r="M220" s="4">
        <v>1</v>
      </c>
      <c r="N220" s="4">
        <v>1</v>
      </c>
      <c r="O220" s="2">
        <v>1</v>
      </c>
      <c r="P220" s="3">
        <v>0.97</v>
      </c>
      <c r="Q220" s="3">
        <v>0.97</v>
      </c>
      <c r="R220" s="3">
        <v>0</v>
      </c>
      <c r="S220" s="2"/>
      <c r="T220" s="5">
        <v>0</v>
      </c>
      <c r="U220" s="4">
        <v>0</v>
      </c>
      <c r="V220" s="4">
        <v>0</v>
      </c>
      <c r="W220" s="2">
        <v>0</v>
      </c>
      <c r="X220" s="4">
        <v>0</v>
      </c>
      <c r="Y220" s="4">
        <v>0</v>
      </c>
      <c r="Z220" s="3">
        <v>0</v>
      </c>
      <c r="AA220" s="3">
        <v>0</v>
      </c>
    </row>
    <row r="221" spans="1:27" x14ac:dyDescent="0.2">
      <c r="A221">
        <f t="shared" si="6"/>
        <v>1</v>
      </c>
      <c r="B221">
        <f t="shared" si="7"/>
        <v>4</v>
      </c>
      <c r="C221" s="1">
        <v>46042</v>
      </c>
      <c r="D221" t="s">
        <v>25</v>
      </c>
      <c r="E221" t="s">
        <v>26</v>
      </c>
      <c r="F221" t="s">
        <v>34</v>
      </c>
      <c r="G221" t="s">
        <v>28</v>
      </c>
      <c r="H221" t="s">
        <v>29</v>
      </c>
      <c r="I221" t="s">
        <v>30</v>
      </c>
      <c r="J221" t="s">
        <v>144</v>
      </c>
      <c r="K221" t="s">
        <v>32</v>
      </c>
      <c r="L221" t="s">
        <v>248</v>
      </c>
      <c r="M221" s="4">
        <v>3</v>
      </c>
      <c r="N221" s="4">
        <v>1</v>
      </c>
      <c r="O221" s="2">
        <v>0.33333333333333331</v>
      </c>
      <c r="P221" s="3">
        <v>1.02</v>
      </c>
      <c r="Q221" s="3">
        <v>1.02</v>
      </c>
      <c r="R221" s="3">
        <v>0</v>
      </c>
      <c r="S221" s="2"/>
      <c r="T221" s="5">
        <v>0</v>
      </c>
      <c r="U221" s="4">
        <v>0</v>
      </c>
      <c r="V221" s="4">
        <v>0</v>
      </c>
      <c r="W221" s="2">
        <v>0</v>
      </c>
      <c r="X221" s="4">
        <v>0</v>
      </c>
      <c r="Y221" s="4">
        <v>0</v>
      </c>
      <c r="Z221" s="3">
        <v>0</v>
      </c>
      <c r="AA221" s="3">
        <v>0</v>
      </c>
    </row>
    <row r="222" spans="1:27" x14ac:dyDescent="0.2">
      <c r="A222">
        <f t="shared" si="6"/>
        <v>1</v>
      </c>
      <c r="B222">
        <f t="shared" si="7"/>
        <v>4</v>
      </c>
      <c r="C222" s="1">
        <v>46040</v>
      </c>
      <c r="D222" t="s">
        <v>25</v>
      </c>
      <c r="E222" t="s">
        <v>26</v>
      </c>
      <c r="F222" t="s">
        <v>112</v>
      </c>
      <c r="G222" t="s">
        <v>62</v>
      </c>
      <c r="H222" t="s">
        <v>29</v>
      </c>
      <c r="I222" t="s">
        <v>30</v>
      </c>
      <c r="J222" t="s">
        <v>173</v>
      </c>
      <c r="K222" t="s">
        <v>32</v>
      </c>
      <c r="L222" t="s">
        <v>249</v>
      </c>
      <c r="M222" s="4">
        <v>3</v>
      </c>
      <c r="N222" s="4">
        <v>1</v>
      </c>
      <c r="O222" s="2">
        <v>0.33333333333333331</v>
      </c>
      <c r="P222" s="3">
        <v>0.52</v>
      </c>
      <c r="Q222" s="3">
        <v>0.52</v>
      </c>
      <c r="R222" s="3">
        <v>0</v>
      </c>
      <c r="S222" s="2"/>
      <c r="T222" s="5">
        <v>0</v>
      </c>
      <c r="U222" s="4">
        <v>0</v>
      </c>
      <c r="V222" s="4">
        <v>0</v>
      </c>
      <c r="W222" s="2">
        <v>0</v>
      </c>
      <c r="X222" s="4">
        <v>0</v>
      </c>
      <c r="Y222" s="4">
        <v>0</v>
      </c>
      <c r="Z222" s="3">
        <v>0</v>
      </c>
      <c r="AA222" s="3">
        <v>0</v>
      </c>
    </row>
    <row r="223" spans="1:27" x14ac:dyDescent="0.2">
      <c r="A223">
        <f t="shared" si="6"/>
        <v>1</v>
      </c>
      <c r="B223">
        <f t="shared" si="7"/>
        <v>3</v>
      </c>
      <c r="C223" s="1">
        <v>46039</v>
      </c>
      <c r="D223" t="s">
        <v>25</v>
      </c>
      <c r="E223" t="s">
        <v>26</v>
      </c>
      <c r="F223" t="s">
        <v>61</v>
      </c>
      <c r="G223" t="s">
        <v>62</v>
      </c>
      <c r="H223" t="s">
        <v>29</v>
      </c>
      <c r="I223" t="s">
        <v>30</v>
      </c>
      <c r="J223" t="s">
        <v>95</v>
      </c>
      <c r="K223" t="s">
        <v>42</v>
      </c>
      <c r="L223" t="s">
        <v>250</v>
      </c>
      <c r="M223" s="4">
        <v>1</v>
      </c>
      <c r="N223" s="4">
        <v>1</v>
      </c>
      <c r="O223" s="2">
        <v>1</v>
      </c>
      <c r="P223" s="3">
        <v>0.93</v>
      </c>
      <c r="Q223" s="3">
        <v>0.93</v>
      </c>
      <c r="R223" s="3">
        <v>0</v>
      </c>
      <c r="S223" s="2"/>
      <c r="T223" s="5">
        <v>0</v>
      </c>
      <c r="U223" s="4">
        <v>0</v>
      </c>
      <c r="V223" s="4">
        <v>0</v>
      </c>
      <c r="W223" s="2">
        <v>0</v>
      </c>
      <c r="X223" s="4">
        <v>0</v>
      </c>
      <c r="Y223" s="4">
        <v>0</v>
      </c>
      <c r="Z223" s="3">
        <v>0</v>
      </c>
      <c r="AA223" s="3">
        <v>0</v>
      </c>
    </row>
    <row r="224" spans="1:27" x14ac:dyDescent="0.2">
      <c r="A224">
        <f t="shared" si="6"/>
        <v>1</v>
      </c>
      <c r="B224">
        <f t="shared" si="7"/>
        <v>1</v>
      </c>
      <c r="C224" s="1">
        <v>46025</v>
      </c>
      <c r="D224" t="s">
        <v>25</v>
      </c>
      <c r="E224" t="s">
        <v>26</v>
      </c>
      <c r="F224" t="s">
        <v>49</v>
      </c>
      <c r="G224" t="s">
        <v>50</v>
      </c>
      <c r="H224" t="s">
        <v>29</v>
      </c>
      <c r="I224" t="s">
        <v>30</v>
      </c>
      <c r="J224" t="s">
        <v>95</v>
      </c>
      <c r="K224" t="s">
        <v>42</v>
      </c>
      <c r="L224" t="s">
        <v>251</v>
      </c>
      <c r="M224" s="4">
        <v>1</v>
      </c>
      <c r="N224" s="4">
        <v>1</v>
      </c>
      <c r="O224" s="2">
        <v>1</v>
      </c>
      <c r="P224" s="3">
        <v>0.48</v>
      </c>
      <c r="Q224" s="3">
        <v>0.48</v>
      </c>
      <c r="R224" s="3">
        <v>0</v>
      </c>
      <c r="S224" s="2"/>
      <c r="T224" s="5">
        <v>0</v>
      </c>
      <c r="U224" s="4">
        <v>0</v>
      </c>
      <c r="V224" s="4">
        <v>0</v>
      </c>
      <c r="W224" s="2">
        <v>0</v>
      </c>
      <c r="X224" s="4">
        <v>0</v>
      </c>
      <c r="Y224" s="4">
        <v>0</v>
      </c>
      <c r="Z224" s="3">
        <v>0</v>
      </c>
      <c r="AA224" s="3">
        <v>0</v>
      </c>
    </row>
    <row r="225" spans="1:27" x14ac:dyDescent="0.2">
      <c r="A225">
        <f t="shared" si="6"/>
        <v>1</v>
      </c>
      <c r="B225">
        <f t="shared" si="7"/>
        <v>2</v>
      </c>
      <c r="C225" s="1">
        <v>46032</v>
      </c>
      <c r="D225" t="s">
        <v>25</v>
      </c>
      <c r="E225" t="s">
        <v>26</v>
      </c>
      <c r="F225" t="s">
        <v>27</v>
      </c>
      <c r="G225" t="s">
        <v>28</v>
      </c>
      <c r="H225" t="s">
        <v>29</v>
      </c>
      <c r="I225" t="s">
        <v>30</v>
      </c>
      <c r="J225" t="s">
        <v>50</v>
      </c>
      <c r="K225" t="s">
        <v>32</v>
      </c>
      <c r="L225" t="s">
        <v>252</v>
      </c>
      <c r="M225" s="4">
        <v>1</v>
      </c>
      <c r="N225" s="4">
        <v>1</v>
      </c>
      <c r="O225" s="2">
        <v>1</v>
      </c>
      <c r="P225" s="3">
        <v>0.21</v>
      </c>
      <c r="Q225" s="3">
        <v>0.21</v>
      </c>
      <c r="R225" s="3">
        <v>0</v>
      </c>
      <c r="S225" s="2"/>
      <c r="T225" s="5">
        <v>0</v>
      </c>
      <c r="U225" s="4">
        <v>0</v>
      </c>
      <c r="V225" s="4">
        <v>0</v>
      </c>
      <c r="W225" s="2">
        <v>0</v>
      </c>
      <c r="X225" s="4">
        <v>0</v>
      </c>
      <c r="Y225" s="4">
        <v>0</v>
      </c>
      <c r="Z225" s="3">
        <v>0</v>
      </c>
      <c r="AA225" s="3">
        <v>0</v>
      </c>
    </row>
    <row r="226" spans="1:27" x14ac:dyDescent="0.2">
      <c r="A226">
        <f t="shared" si="6"/>
        <v>1</v>
      </c>
      <c r="B226">
        <f t="shared" si="7"/>
        <v>3</v>
      </c>
      <c r="C226" s="1">
        <v>46037</v>
      </c>
      <c r="D226" t="s">
        <v>25</v>
      </c>
      <c r="E226" t="s">
        <v>26</v>
      </c>
      <c r="F226" t="s">
        <v>27</v>
      </c>
      <c r="G226" t="s">
        <v>28</v>
      </c>
      <c r="H226" t="s">
        <v>29</v>
      </c>
      <c r="I226" t="s">
        <v>30</v>
      </c>
      <c r="J226" t="s">
        <v>253</v>
      </c>
      <c r="K226" t="s">
        <v>32</v>
      </c>
      <c r="L226" t="s">
        <v>254</v>
      </c>
      <c r="M226" s="4">
        <v>1</v>
      </c>
      <c r="N226" s="4">
        <v>1</v>
      </c>
      <c r="O226" s="2">
        <v>1</v>
      </c>
      <c r="P226" s="3">
        <v>0.21</v>
      </c>
      <c r="Q226" s="3">
        <v>0.21</v>
      </c>
      <c r="R226" s="3">
        <v>0</v>
      </c>
      <c r="S226" s="2"/>
      <c r="T226" s="5">
        <v>0</v>
      </c>
      <c r="U226" s="4">
        <v>0</v>
      </c>
      <c r="V226" s="4">
        <v>0</v>
      </c>
      <c r="W226" s="2">
        <v>0</v>
      </c>
      <c r="X226" s="4">
        <v>0</v>
      </c>
      <c r="Y226" s="4">
        <v>0</v>
      </c>
      <c r="Z226" s="3">
        <v>0</v>
      </c>
      <c r="AA226" s="3">
        <v>0</v>
      </c>
    </row>
    <row r="227" spans="1:27" x14ac:dyDescent="0.2">
      <c r="A227">
        <f t="shared" si="6"/>
        <v>1</v>
      </c>
      <c r="B227">
        <f t="shared" si="7"/>
        <v>2</v>
      </c>
      <c r="C227" s="1">
        <v>46028</v>
      </c>
      <c r="D227" t="s">
        <v>25</v>
      </c>
      <c r="E227" t="s">
        <v>26</v>
      </c>
      <c r="F227" t="s">
        <v>49</v>
      </c>
      <c r="G227" t="s">
        <v>50</v>
      </c>
      <c r="H227" t="s">
        <v>29</v>
      </c>
      <c r="I227" t="s">
        <v>30</v>
      </c>
      <c r="J227" t="s">
        <v>95</v>
      </c>
      <c r="K227" t="s">
        <v>42</v>
      </c>
      <c r="L227" t="s">
        <v>255</v>
      </c>
      <c r="M227" s="4">
        <v>2</v>
      </c>
      <c r="N227" s="4">
        <v>1</v>
      </c>
      <c r="O227" s="2">
        <v>0.5</v>
      </c>
      <c r="P227" s="3">
        <v>0.54</v>
      </c>
      <c r="Q227" s="3">
        <v>0.54</v>
      </c>
      <c r="R227" s="3">
        <v>0</v>
      </c>
      <c r="S227" s="2"/>
      <c r="T227" s="5">
        <v>0</v>
      </c>
      <c r="U227" s="4">
        <v>0</v>
      </c>
      <c r="V227" s="4">
        <v>0</v>
      </c>
      <c r="W227" s="2">
        <v>0</v>
      </c>
      <c r="X227" s="4">
        <v>0</v>
      </c>
      <c r="Y227" s="4">
        <v>0</v>
      </c>
      <c r="Z227" s="3">
        <v>0</v>
      </c>
      <c r="AA227" s="3">
        <v>0</v>
      </c>
    </row>
    <row r="228" spans="1:27" x14ac:dyDescent="0.2">
      <c r="A228">
        <f t="shared" si="6"/>
        <v>1</v>
      </c>
      <c r="B228">
        <f t="shared" si="7"/>
        <v>3</v>
      </c>
      <c r="C228" s="1">
        <v>46039</v>
      </c>
      <c r="D228" t="s">
        <v>25</v>
      </c>
      <c r="E228" t="s">
        <v>26</v>
      </c>
      <c r="F228" t="s">
        <v>49</v>
      </c>
      <c r="G228" t="s">
        <v>50</v>
      </c>
      <c r="H228" t="s">
        <v>29</v>
      </c>
      <c r="I228" t="s">
        <v>30</v>
      </c>
      <c r="J228" t="s">
        <v>47</v>
      </c>
      <c r="K228" t="s">
        <v>42</v>
      </c>
      <c r="L228" t="s">
        <v>256</v>
      </c>
      <c r="M228" s="4">
        <v>1</v>
      </c>
      <c r="N228" s="4">
        <v>1</v>
      </c>
      <c r="O228" s="2">
        <v>1</v>
      </c>
      <c r="P228" s="3">
        <v>0.56999999999999995</v>
      </c>
      <c r="Q228" s="3">
        <v>0.56999999999999995</v>
      </c>
      <c r="R228" s="3">
        <v>0</v>
      </c>
      <c r="S228" s="2"/>
      <c r="T228" s="5">
        <v>0</v>
      </c>
      <c r="U228" s="4">
        <v>0</v>
      </c>
      <c r="V228" s="4">
        <v>0</v>
      </c>
      <c r="W228" s="2">
        <v>0</v>
      </c>
      <c r="X228" s="4">
        <v>0</v>
      </c>
      <c r="Y228" s="4">
        <v>0</v>
      </c>
      <c r="Z228" s="3">
        <v>0</v>
      </c>
      <c r="AA228" s="3">
        <v>0</v>
      </c>
    </row>
    <row r="229" spans="1:27" x14ac:dyDescent="0.2">
      <c r="A229">
        <f t="shared" si="6"/>
        <v>1</v>
      </c>
      <c r="B229">
        <f t="shared" si="7"/>
        <v>2</v>
      </c>
      <c r="C229" s="1">
        <v>46028</v>
      </c>
      <c r="D229" t="s">
        <v>25</v>
      </c>
      <c r="E229" t="s">
        <v>26</v>
      </c>
      <c r="F229" t="s">
        <v>34</v>
      </c>
      <c r="G229" t="s">
        <v>28</v>
      </c>
      <c r="H229" t="s">
        <v>29</v>
      </c>
      <c r="I229" t="s">
        <v>30</v>
      </c>
      <c r="J229" t="s">
        <v>257</v>
      </c>
      <c r="K229" t="s">
        <v>32</v>
      </c>
      <c r="L229" t="s">
        <v>257</v>
      </c>
      <c r="M229" s="4">
        <v>1</v>
      </c>
      <c r="N229" s="4">
        <v>1</v>
      </c>
      <c r="O229" s="2">
        <v>1</v>
      </c>
      <c r="P229" s="3">
        <v>0.76</v>
      </c>
      <c r="Q229" s="3">
        <v>0.76</v>
      </c>
      <c r="R229" s="3">
        <v>0</v>
      </c>
      <c r="S229" s="2"/>
      <c r="T229" s="5">
        <v>0</v>
      </c>
      <c r="U229" s="4">
        <v>0</v>
      </c>
      <c r="V229" s="4">
        <v>0</v>
      </c>
      <c r="W229" s="2">
        <v>0</v>
      </c>
      <c r="X229" s="4">
        <v>0</v>
      </c>
      <c r="Y229" s="4">
        <v>0</v>
      </c>
      <c r="Z229" s="3">
        <v>0</v>
      </c>
      <c r="AA229" s="3">
        <v>0</v>
      </c>
    </row>
    <row r="230" spans="1:27" x14ac:dyDescent="0.2">
      <c r="A230">
        <f t="shared" si="6"/>
        <v>1</v>
      </c>
      <c r="B230">
        <f t="shared" si="7"/>
        <v>4</v>
      </c>
      <c r="C230" s="1">
        <v>46041</v>
      </c>
      <c r="D230" t="s">
        <v>25</v>
      </c>
      <c r="E230" t="s">
        <v>26</v>
      </c>
      <c r="F230" t="s">
        <v>27</v>
      </c>
      <c r="G230" t="s">
        <v>28</v>
      </c>
      <c r="H230" t="s">
        <v>29</v>
      </c>
      <c r="I230" t="s">
        <v>30</v>
      </c>
      <c r="J230" t="s">
        <v>37</v>
      </c>
      <c r="K230" t="s">
        <v>32</v>
      </c>
      <c r="L230" t="s">
        <v>258</v>
      </c>
      <c r="M230" s="4">
        <v>1</v>
      </c>
      <c r="N230" s="4">
        <v>1</v>
      </c>
      <c r="O230" s="2">
        <v>1</v>
      </c>
      <c r="P230" s="3">
        <v>0.21</v>
      </c>
      <c r="Q230" s="3">
        <v>0.21</v>
      </c>
      <c r="R230" s="3">
        <v>0</v>
      </c>
      <c r="S230" s="2"/>
      <c r="T230" s="5">
        <v>0</v>
      </c>
      <c r="U230" s="4">
        <v>0</v>
      </c>
      <c r="V230" s="4">
        <v>0</v>
      </c>
      <c r="W230" s="2">
        <v>0</v>
      </c>
      <c r="X230" s="4">
        <v>0</v>
      </c>
      <c r="Y230" s="4">
        <v>0</v>
      </c>
      <c r="Z230" s="3">
        <v>0</v>
      </c>
      <c r="AA230" s="3">
        <v>0</v>
      </c>
    </row>
    <row r="231" spans="1:27" x14ac:dyDescent="0.2">
      <c r="A231">
        <f t="shared" si="6"/>
        <v>1</v>
      </c>
      <c r="B231">
        <f t="shared" si="7"/>
        <v>1</v>
      </c>
      <c r="C231" s="1">
        <v>46025</v>
      </c>
      <c r="D231" t="s">
        <v>25</v>
      </c>
      <c r="E231" t="s">
        <v>26</v>
      </c>
      <c r="F231" t="s">
        <v>27</v>
      </c>
      <c r="G231" t="s">
        <v>28</v>
      </c>
      <c r="H231" t="s">
        <v>29</v>
      </c>
      <c r="I231" t="s">
        <v>30</v>
      </c>
      <c r="J231" t="s">
        <v>253</v>
      </c>
      <c r="K231" t="s">
        <v>32</v>
      </c>
      <c r="L231" t="s">
        <v>259</v>
      </c>
      <c r="M231" s="4">
        <v>1</v>
      </c>
      <c r="N231" s="4">
        <v>1</v>
      </c>
      <c r="O231" s="2">
        <v>1</v>
      </c>
      <c r="P231" s="3">
        <v>0.21</v>
      </c>
      <c r="Q231" s="3">
        <v>0.21</v>
      </c>
      <c r="R231" s="3">
        <v>0</v>
      </c>
      <c r="S231" s="2"/>
      <c r="T231" s="5">
        <v>0</v>
      </c>
      <c r="U231" s="4">
        <v>0</v>
      </c>
      <c r="V231" s="4">
        <v>0</v>
      </c>
      <c r="W231" s="2">
        <v>0</v>
      </c>
      <c r="X231" s="4">
        <v>0</v>
      </c>
      <c r="Y231" s="4">
        <v>0</v>
      </c>
      <c r="Z231" s="3">
        <v>0</v>
      </c>
      <c r="AA231" s="3">
        <v>0</v>
      </c>
    </row>
    <row r="232" spans="1:27" x14ac:dyDescent="0.2">
      <c r="A232">
        <f t="shared" si="6"/>
        <v>1</v>
      </c>
      <c r="B232">
        <f t="shared" si="7"/>
        <v>1</v>
      </c>
      <c r="C232" s="1">
        <v>46023</v>
      </c>
      <c r="D232" t="s">
        <v>25</v>
      </c>
      <c r="E232" t="s">
        <v>26</v>
      </c>
      <c r="F232" t="s">
        <v>49</v>
      </c>
      <c r="G232" t="s">
        <v>50</v>
      </c>
      <c r="H232" t="s">
        <v>29</v>
      </c>
      <c r="I232" t="s">
        <v>30</v>
      </c>
      <c r="J232" t="s">
        <v>95</v>
      </c>
      <c r="K232" t="s">
        <v>42</v>
      </c>
      <c r="L232" t="s">
        <v>260</v>
      </c>
      <c r="M232" s="4">
        <v>1</v>
      </c>
      <c r="N232" s="4">
        <v>1</v>
      </c>
      <c r="O232" s="2">
        <v>1</v>
      </c>
      <c r="P232" s="3">
        <v>0.57999999999999996</v>
      </c>
      <c r="Q232" s="3">
        <v>0.57999999999999996</v>
      </c>
      <c r="R232" s="3">
        <v>17.09</v>
      </c>
      <c r="S232" s="2">
        <v>3.3937975424224692E-2</v>
      </c>
      <c r="T232" s="5">
        <v>29.465517241379313</v>
      </c>
      <c r="U232" s="4">
        <v>1</v>
      </c>
      <c r="V232" s="4">
        <v>1</v>
      </c>
      <c r="W232" s="2">
        <v>1</v>
      </c>
      <c r="X232" s="4">
        <v>1</v>
      </c>
      <c r="Y232" s="4">
        <v>0</v>
      </c>
      <c r="Z232" s="3">
        <v>17.09</v>
      </c>
      <c r="AA232" s="3">
        <v>0</v>
      </c>
    </row>
    <row r="233" spans="1:27" x14ac:dyDescent="0.2">
      <c r="A233">
        <f t="shared" si="6"/>
        <v>1</v>
      </c>
      <c r="B233">
        <f t="shared" si="7"/>
        <v>1</v>
      </c>
      <c r="C233" s="1">
        <v>46023</v>
      </c>
      <c r="D233" t="s">
        <v>25</v>
      </c>
      <c r="E233" t="s">
        <v>26</v>
      </c>
      <c r="F233" t="s">
        <v>49</v>
      </c>
      <c r="G233" t="s">
        <v>50</v>
      </c>
      <c r="H233" t="s">
        <v>29</v>
      </c>
      <c r="I233" t="s">
        <v>30</v>
      </c>
      <c r="J233" t="s">
        <v>95</v>
      </c>
      <c r="K233" t="s">
        <v>42</v>
      </c>
      <c r="L233" t="s">
        <v>261</v>
      </c>
      <c r="M233" s="4">
        <v>1</v>
      </c>
      <c r="N233" s="4">
        <v>1</v>
      </c>
      <c r="O233" s="2">
        <v>1</v>
      </c>
      <c r="P233" s="3">
        <v>0.48</v>
      </c>
      <c r="Q233" s="3">
        <v>0.48</v>
      </c>
      <c r="R233" s="3">
        <v>0</v>
      </c>
      <c r="S233" s="2"/>
      <c r="T233" s="5">
        <v>0</v>
      </c>
      <c r="U233" s="4">
        <v>0</v>
      </c>
      <c r="V233" s="4">
        <v>0</v>
      </c>
      <c r="W233" s="2">
        <v>0</v>
      </c>
      <c r="X233" s="4">
        <v>0</v>
      </c>
      <c r="Y233" s="4">
        <v>0</v>
      </c>
      <c r="Z233" s="3">
        <v>0</v>
      </c>
      <c r="AA233" s="3">
        <v>0</v>
      </c>
    </row>
    <row r="234" spans="1:27" x14ac:dyDescent="0.2">
      <c r="A234">
        <f t="shared" si="6"/>
        <v>1</v>
      </c>
      <c r="B234">
        <f t="shared" si="7"/>
        <v>4</v>
      </c>
      <c r="C234" s="1">
        <v>46042</v>
      </c>
      <c r="D234" t="s">
        <v>25</v>
      </c>
      <c r="E234" t="s">
        <v>26</v>
      </c>
      <c r="F234" t="s">
        <v>27</v>
      </c>
      <c r="G234" t="s">
        <v>28</v>
      </c>
      <c r="H234" t="s">
        <v>29</v>
      </c>
      <c r="I234" t="s">
        <v>30</v>
      </c>
      <c r="J234" t="s">
        <v>44</v>
      </c>
      <c r="K234" t="s">
        <v>32</v>
      </c>
      <c r="L234" t="s">
        <v>262</v>
      </c>
      <c r="M234" s="4">
        <v>1</v>
      </c>
      <c r="N234" s="4">
        <v>1</v>
      </c>
      <c r="O234" s="2">
        <v>1</v>
      </c>
      <c r="P234" s="3">
        <v>0.21</v>
      </c>
      <c r="Q234" s="3">
        <v>0.21</v>
      </c>
      <c r="R234" s="3">
        <v>0</v>
      </c>
      <c r="S234" s="2"/>
      <c r="T234" s="5">
        <v>0</v>
      </c>
      <c r="U234" s="4">
        <v>0</v>
      </c>
      <c r="V234" s="4">
        <v>0</v>
      </c>
      <c r="W234" s="2">
        <v>0</v>
      </c>
      <c r="X234" s="4">
        <v>0</v>
      </c>
      <c r="Y234" s="4">
        <v>0</v>
      </c>
      <c r="Z234" s="3">
        <v>0</v>
      </c>
      <c r="AA234" s="3">
        <v>0</v>
      </c>
    </row>
    <row r="235" spans="1:27" x14ac:dyDescent="0.2">
      <c r="A235">
        <f t="shared" si="6"/>
        <v>1</v>
      </c>
      <c r="B235">
        <f t="shared" si="7"/>
        <v>2</v>
      </c>
      <c r="C235" s="1">
        <v>46026</v>
      </c>
      <c r="D235" t="s">
        <v>25</v>
      </c>
      <c r="E235" t="s">
        <v>26</v>
      </c>
      <c r="F235" t="s">
        <v>49</v>
      </c>
      <c r="G235" t="s">
        <v>50</v>
      </c>
      <c r="H235" t="s">
        <v>29</v>
      </c>
      <c r="I235" t="s">
        <v>30</v>
      </c>
      <c r="J235" t="s">
        <v>47</v>
      </c>
      <c r="K235" t="s">
        <v>42</v>
      </c>
      <c r="L235" t="s">
        <v>44</v>
      </c>
      <c r="M235" s="4">
        <v>19</v>
      </c>
      <c r="N235" s="4">
        <v>1</v>
      </c>
      <c r="O235" s="2">
        <v>5.2631578947368418E-2</v>
      </c>
      <c r="P235" s="3">
        <v>0.65</v>
      </c>
      <c r="Q235" s="3">
        <v>0.65</v>
      </c>
      <c r="R235" s="3">
        <v>35.08</v>
      </c>
      <c r="S235" s="2">
        <v>1.8529076396807301E-2</v>
      </c>
      <c r="T235" s="5">
        <v>53.969230769230762</v>
      </c>
      <c r="U235" s="4">
        <v>2</v>
      </c>
      <c r="V235" s="4">
        <v>2</v>
      </c>
      <c r="W235" s="2">
        <v>2</v>
      </c>
      <c r="X235" s="4">
        <v>0</v>
      </c>
      <c r="Y235" s="4">
        <v>2</v>
      </c>
      <c r="Z235" s="3">
        <v>0</v>
      </c>
      <c r="AA235" s="3">
        <v>35.08</v>
      </c>
    </row>
    <row r="236" spans="1:27" x14ac:dyDescent="0.2">
      <c r="A236">
        <f t="shared" si="6"/>
        <v>1</v>
      </c>
      <c r="B236">
        <f t="shared" si="7"/>
        <v>2</v>
      </c>
      <c r="C236" s="1">
        <v>46028</v>
      </c>
      <c r="D236" t="s">
        <v>25</v>
      </c>
      <c r="E236" t="s">
        <v>26</v>
      </c>
      <c r="F236" t="s">
        <v>49</v>
      </c>
      <c r="G236" t="s">
        <v>50</v>
      </c>
      <c r="H236" t="s">
        <v>29</v>
      </c>
      <c r="I236" t="s">
        <v>30</v>
      </c>
      <c r="J236" t="s">
        <v>47</v>
      </c>
      <c r="K236" t="s">
        <v>42</v>
      </c>
      <c r="L236" t="s">
        <v>44</v>
      </c>
      <c r="M236" s="4">
        <v>15</v>
      </c>
      <c r="N236" s="4">
        <v>1</v>
      </c>
      <c r="O236" s="2">
        <v>6.6666666666666666E-2</v>
      </c>
      <c r="P236" s="3">
        <v>0.77</v>
      </c>
      <c r="Q236" s="3">
        <v>0.77</v>
      </c>
      <c r="R236" s="3">
        <v>0</v>
      </c>
      <c r="S236" s="2"/>
      <c r="T236" s="5">
        <v>0</v>
      </c>
      <c r="U236" s="4">
        <v>0</v>
      </c>
      <c r="V236" s="4">
        <v>0</v>
      </c>
      <c r="W236" s="2">
        <v>0</v>
      </c>
      <c r="X236" s="4">
        <v>0</v>
      </c>
      <c r="Y236" s="4">
        <v>0</v>
      </c>
      <c r="Z236" s="3">
        <v>0</v>
      </c>
      <c r="AA236" s="3">
        <v>0</v>
      </c>
    </row>
    <row r="237" spans="1:27" x14ac:dyDescent="0.2">
      <c r="A237">
        <f t="shared" si="6"/>
        <v>1</v>
      </c>
      <c r="B237">
        <f t="shared" si="7"/>
        <v>4</v>
      </c>
      <c r="C237" s="1">
        <v>46040</v>
      </c>
      <c r="D237" t="s">
        <v>25</v>
      </c>
      <c r="E237" t="s">
        <v>26</v>
      </c>
      <c r="F237" t="s">
        <v>49</v>
      </c>
      <c r="G237" t="s">
        <v>50</v>
      </c>
      <c r="H237" t="s">
        <v>29</v>
      </c>
      <c r="I237" t="s">
        <v>30</v>
      </c>
      <c r="J237" t="s">
        <v>47</v>
      </c>
      <c r="K237" t="s">
        <v>42</v>
      </c>
      <c r="L237" t="s">
        <v>44</v>
      </c>
      <c r="M237" s="4">
        <v>12</v>
      </c>
      <c r="N237" s="4">
        <v>2</v>
      </c>
      <c r="O237" s="2">
        <v>0.16666666666666663</v>
      </c>
      <c r="P237" s="3">
        <v>0.49</v>
      </c>
      <c r="Q237" s="3">
        <v>0.98</v>
      </c>
      <c r="R237" s="3">
        <v>0</v>
      </c>
      <c r="S237" s="2"/>
      <c r="T237" s="5">
        <v>0</v>
      </c>
      <c r="U237" s="4">
        <v>0</v>
      </c>
      <c r="V237" s="4">
        <v>0</v>
      </c>
      <c r="W237" s="2">
        <v>0</v>
      </c>
      <c r="X237" s="4">
        <v>0</v>
      </c>
      <c r="Y237" s="4">
        <v>0</v>
      </c>
      <c r="Z237" s="3">
        <v>0</v>
      </c>
      <c r="AA237" s="3">
        <v>0</v>
      </c>
    </row>
    <row r="238" spans="1:27" x14ac:dyDescent="0.2">
      <c r="A238">
        <f t="shared" si="6"/>
        <v>1</v>
      </c>
      <c r="B238">
        <f t="shared" si="7"/>
        <v>1</v>
      </c>
      <c r="C238" s="1">
        <v>46024</v>
      </c>
      <c r="D238" t="s">
        <v>25</v>
      </c>
      <c r="E238" t="s">
        <v>26</v>
      </c>
      <c r="F238" t="s">
        <v>27</v>
      </c>
      <c r="G238" t="s">
        <v>124</v>
      </c>
      <c r="H238" t="s">
        <v>29</v>
      </c>
      <c r="I238" t="s">
        <v>30</v>
      </c>
      <c r="J238" t="s">
        <v>44</v>
      </c>
      <c r="K238" t="s">
        <v>87</v>
      </c>
      <c r="L238" t="s">
        <v>44</v>
      </c>
      <c r="M238" s="4">
        <v>26</v>
      </c>
      <c r="N238" s="4">
        <v>1</v>
      </c>
      <c r="O238" s="2">
        <v>3.8461538461538464E-2</v>
      </c>
      <c r="P238" s="3">
        <v>0.2</v>
      </c>
      <c r="Q238" s="3">
        <v>0.2</v>
      </c>
      <c r="R238" s="3">
        <v>0</v>
      </c>
      <c r="S238" s="2"/>
      <c r="T238" s="5">
        <v>0</v>
      </c>
      <c r="U238" s="4">
        <v>0</v>
      </c>
      <c r="V238" s="4">
        <v>0</v>
      </c>
      <c r="W238" s="2">
        <v>0</v>
      </c>
      <c r="X238" s="4">
        <v>0</v>
      </c>
      <c r="Y238" s="4">
        <v>0</v>
      </c>
      <c r="Z238" s="3">
        <v>0</v>
      </c>
      <c r="AA238" s="3">
        <v>0</v>
      </c>
    </row>
    <row r="239" spans="1:27" x14ac:dyDescent="0.2">
      <c r="A239">
        <f t="shared" si="6"/>
        <v>1</v>
      </c>
      <c r="B239">
        <f t="shared" si="7"/>
        <v>2</v>
      </c>
      <c r="C239" s="1">
        <v>46028</v>
      </c>
      <c r="D239" t="s">
        <v>25</v>
      </c>
      <c r="E239" t="s">
        <v>26</v>
      </c>
      <c r="F239" t="s">
        <v>27</v>
      </c>
      <c r="G239" t="s">
        <v>124</v>
      </c>
      <c r="H239" t="s">
        <v>29</v>
      </c>
      <c r="I239" t="s">
        <v>30</v>
      </c>
      <c r="J239" t="s">
        <v>44</v>
      </c>
      <c r="K239" t="s">
        <v>87</v>
      </c>
      <c r="L239" t="s">
        <v>44</v>
      </c>
      <c r="M239" s="4">
        <v>10</v>
      </c>
      <c r="N239" s="4">
        <v>1</v>
      </c>
      <c r="O239" s="2">
        <v>0.1</v>
      </c>
      <c r="P239" s="3">
        <v>0.2</v>
      </c>
      <c r="Q239" s="3">
        <v>0.2</v>
      </c>
      <c r="R239" s="3">
        <v>0</v>
      </c>
      <c r="S239" s="2"/>
      <c r="T239" s="5">
        <v>0</v>
      </c>
      <c r="U239" s="4">
        <v>0</v>
      </c>
      <c r="V239" s="4">
        <v>0</v>
      </c>
      <c r="W239" s="2">
        <v>0</v>
      </c>
      <c r="X239" s="4">
        <v>0</v>
      </c>
      <c r="Y239" s="4">
        <v>0</v>
      </c>
      <c r="Z239" s="3">
        <v>0</v>
      </c>
      <c r="AA239" s="3">
        <v>0</v>
      </c>
    </row>
    <row r="240" spans="1:27" x14ac:dyDescent="0.2">
      <c r="A240">
        <f t="shared" si="6"/>
        <v>1</v>
      </c>
      <c r="B240">
        <f t="shared" si="7"/>
        <v>3</v>
      </c>
      <c r="C240" s="1">
        <v>46037</v>
      </c>
      <c r="D240" t="s">
        <v>25</v>
      </c>
      <c r="E240" t="s">
        <v>26</v>
      </c>
      <c r="F240" t="s">
        <v>39</v>
      </c>
      <c r="G240" t="s">
        <v>40</v>
      </c>
      <c r="H240" t="s">
        <v>29</v>
      </c>
      <c r="I240" t="s">
        <v>30</v>
      </c>
      <c r="J240" t="s">
        <v>78</v>
      </c>
      <c r="K240" t="s">
        <v>42</v>
      </c>
      <c r="L240" t="s">
        <v>44</v>
      </c>
      <c r="M240" s="4">
        <v>2</v>
      </c>
      <c r="N240" s="4">
        <v>1</v>
      </c>
      <c r="O240" s="2">
        <v>0.5</v>
      </c>
      <c r="P240" s="3">
        <v>0.53</v>
      </c>
      <c r="Q240" s="3">
        <v>0.53</v>
      </c>
      <c r="R240" s="3">
        <v>0</v>
      </c>
      <c r="S240" s="2"/>
      <c r="T240" s="5">
        <v>0</v>
      </c>
      <c r="U240" s="4">
        <v>0</v>
      </c>
      <c r="V240" s="4">
        <v>0</v>
      </c>
      <c r="W240" s="2">
        <v>0</v>
      </c>
      <c r="X240" s="4">
        <v>0</v>
      </c>
      <c r="Y240" s="4">
        <v>0</v>
      </c>
      <c r="Z240" s="3">
        <v>0</v>
      </c>
      <c r="AA240" s="3">
        <v>0</v>
      </c>
    </row>
    <row r="241" spans="1:27" x14ac:dyDescent="0.2">
      <c r="A241">
        <f t="shared" si="6"/>
        <v>1</v>
      </c>
      <c r="B241">
        <f t="shared" si="7"/>
        <v>2</v>
      </c>
      <c r="C241" s="1">
        <v>46031</v>
      </c>
      <c r="D241" t="s">
        <v>25</v>
      </c>
      <c r="E241" t="s">
        <v>26</v>
      </c>
      <c r="F241" t="s">
        <v>34</v>
      </c>
      <c r="G241" t="s">
        <v>28</v>
      </c>
      <c r="H241" t="s">
        <v>29</v>
      </c>
      <c r="I241" t="s">
        <v>30</v>
      </c>
      <c r="J241" t="s">
        <v>44</v>
      </c>
      <c r="K241" t="s">
        <v>32</v>
      </c>
      <c r="L241" t="s">
        <v>44</v>
      </c>
      <c r="M241" s="4">
        <v>16</v>
      </c>
      <c r="N241" s="4">
        <v>1</v>
      </c>
      <c r="O241" s="2">
        <v>6.25E-2</v>
      </c>
      <c r="P241" s="3">
        <v>1.22</v>
      </c>
      <c r="Q241" s="3">
        <v>1.22</v>
      </c>
      <c r="R241" s="3">
        <v>0</v>
      </c>
      <c r="S241" s="2"/>
      <c r="T241" s="5">
        <v>0</v>
      </c>
      <c r="U241" s="4">
        <v>0</v>
      </c>
      <c r="V241" s="4">
        <v>0</v>
      </c>
      <c r="W241" s="2">
        <v>0</v>
      </c>
      <c r="X241" s="4">
        <v>0</v>
      </c>
      <c r="Y241" s="4">
        <v>0</v>
      </c>
      <c r="Z241" s="3">
        <v>0</v>
      </c>
      <c r="AA241" s="3">
        <v>0</v>
      </c>
    </row>
    <row r="242" spans="1:27" x14ac:dyDescent="0.2">
      <c r="A242">
        <f t="shared" si="6"/>
        <v>1</v>
      </c>
      <c r="B242">
        <f t="shared" si="7"/>
        <v>3</v>
      </c>
      <c r="C242" s="1">
        <v>46038</v>
      </c>
      <c r="D242" t="s">
        <v>25</v>
      </c>
      <c r="E242" t="s">
        <v>26</v>
      </c>
      <c r="F242" t="s">
        <v>39</v>
      </c>
      <c r="G242" t="s">
        <v>40</v>
      </c>
      <c r="H242" t="s">
        <v>29</v>
      </c>
      <c r="I242" t="s">
        <v>30</v>
      </c>
      <c r="J242" t="s">
        <v>41</v>
      </c>
      <c r="K242" t="s">
        <v>42</v>
      </c>
      <c r="L242" t="s">
        <v>263</v>
      </c>
      <c r="M242" s="4">
        <v>2</v>
      </c>
      <c r="N242" s="4">
        <v>1</v>
      </c>
      <c r="O242" s="2">
        <v>0.5</v>
      </c>
      <c r="P242" s="3">
        <v>0.56999999999999995</v>
      </c>
      <c r="Q242" s="3">
        <v>0.56999999999999995</v>
      </c>
      <c r="R242" s="3">
        <v>0</v>
      </c>
      <c r="S242" s="2"/>
      <c r="T242" s="5">
        <v>0</v>
      </c>
      <c r="U242" s="4">
        <v>0</v>
      </c>
      <c r="V242" s="4">
        <v>0</v>
      </c>
      <c r="W242" s="2">
        <v>0</v>
      </c>
      <c r="X242" s="4">
        <v>0</v>
      </c>
      <c r="Y242" s="4">
        <v>0</v>
      </c>
      <c r="Z242" s="3">
        <v>0</v>
      </c>
      <c r="AA242" s="3">
        <v>0</v>
      </c>
    </row>
    <row r="243" spans="1:27" x14ac:dyDescent="0.2">
      <c r="A243">
        <f t="shared" si="6"/>
        <v>1</v>
      </c>
      <c r="B243">
        <f t="shared" si="7"/>
        <v>3</v>
      </c>
      <c r="C243" s="1">
        <v>46039</v>
      </c>
      <c r="D243" t="s">
        <v>25</v>
      </c>
      <c r="E243" t="s">
        <v>26</v>
      </c>
      <c r="F243" t="s">
        <v>27</v>
      </c>
      <c r="G243" t="s">
        <v>28</v>
      </c>
      <c r="H243" t="s">
        <v>29</v>
      </c>
      <c r="I243" t="s">
        <v>30</v>
      </c>
      <c r="J243" t="s">
        <v>44</v>
      </c>
      <c r="K243" t="s">
        <v>32</v>
      </c>
      <c r="L243" t="s">
        <v>263</v>
      </c>
      <c r="M243" s="4">
        <v>3</v>
      </c>
      <c r="N243" s="4">
        <v>1</v>
      </c>
      <c r="O243" s="2">
        <v>0.33333333333333331</v>
      </c>
      <c r="P243" s="3">
        <v>0.21</v>
      </c>
      <c r="Q243" s="3">
        <v>0.21</v>
      </c>
      <c r="R243" s="3">
        <v>0</v>
      </c>
      <c r="S243" s="2"/>
      <c r="T243" s="5">
        <v>0</v>
      </c>
      <c r="U243" s="4">
        <v>0</v>
      </c>
      <c r="V243" s="4">
        <v>0</v>
      </c>
      <c r="W243" s="2">
        <v>0</v>
      </c>
      <c r="X243" s="4">
        <v>0</v>
      </c>
      <c r="Y243" s="4">
        <v>0</v>
      </c>
      <c r="Z243" s="3">
        <v>0</v>
      </c>
      <c r="AA243" s="3">
        <v>0</v>
      </c>
    </row>
    <row r="244" spans="1:27" x14ac:dyDescent="0.2">
      <c r="A244">
        <f t="shared" si="6"/>
        <v>1</v>
      </c>
      <c r="B244">
        <f t="shared" si="7"/>
        <v>4</v>
      </c>
      <c r="C244" s="1">
        <v>46042</v>
      </c>
      <c r="D244" t="s">
        <v>25</v>
      </c>
      <c r="E244" t="s">
        <v>26</v>
      </c>
      <c r="F244" t="s">
        <v>27</v>
      </c>
      <c r="G244" t="s">
        <v>28</v>
      </c>
      <c r="H244" t="s">
        <v>29</v>
      </c>
      <c r="I244" t="s">
        <v>30</v>
      </c>
      <c r="J244" t="s">
        <v>133</v>
      </c>
      <c r="K244" t="s">
        <v>32</v>
      </c>
      <c r="L244" t="s">
        <v>264</v>
      </c>
      <c r="M244" s="4">
        <v>2</v>
      </c>
      <c r="N244" s="4">
        <v>1</v>
      </c>
      <c r="O244" s="2">
        <v>0.5</v>
      </c>
      <c r="P244" s="3">
        <v>0.21</v>
      </c>
      <c r="Q244" s="3">
        <v>0.21</v>
      </c>
      <c r="R244" s="3">
        <v>0</v>
      </c>
      <c r="S244" s="2"/>
      <c r="T244" s="5">
        <v>0</v>
      </c>
      <c r="U244" s="4">
        <v>0</v>
      </c>
      <c r="V244" s="4">
        <v>0</v>
      </c>
      <c r="W244" s="2">
        <v>0</v>
      </c>
      <c r="X244" s="4">
        <v>0</v>
      </c>
      <c r="Y244" s="4">
        <v>0</v>
      </c>
      <c r="Z244" s="3">
        <v>0</v>
      </c>
      <c r="AA244" s="3">
        <v>0</v>
      </c>
    </row>
    <row r="245" spans="1:27" x14ac:dyDescent="0.2">
      <c r="A245">
        <f t="shared" si="6"/>
        <v>1</v>
      </c>
      <c r="B245">
        <f t="shared" si="7"/>
        <v>2</v>
      </c>
      <c r="C245" s="1">
        <v>46030</v>
      </c>
      <c r="D245" t="s">
        <v>25</v>
      </c>
      <c r="E245" t="s">
        <v>26</v>
      </c>
      <c r="F245" t="s">
        <v>27</v>
      </c>
      <c r="G245" t="s">
        <v>28</v>
      </c>
      <c r="H245" t="s">
        <v>29</v>
      </c>
      <c r="I245" t="s">
        <v>30</v>
      </c>
      <c r="J245" t="s">
        <v>101</v>
      </c>
      <c r="K245" t="s">
        <v>32</v>
      </c>
      <c r="L245" t="s">
        <v>265</v>
      </c>
      <c r="M245" s="4">
        <v>1</v>
      </c>
      <c r="N245" s="4">
        <v>1</v>
      </c>
      <c r="O245" s="2">
        <v>1</v>
      </c>
      <c r="P245" s="3">
        <v>0.21</v>
      </c>
      <c r="Q245" s="3">
        <v>0.21</v>
      </c>
      <c r="R245" s="3">
        <v>0</v>
      </c>
      <c r="S245" s="2"/>
      <c r="T245" s="5">
        <v>0</v>
      </c>
      <c r="U245" s="4">
        <v>0</v>
      </c>
      <c r="V245" s="4">
        <v>0</v>
      </c>
      <c r="W245" s="2">
        <v>0</v>
      </c>
      <c r="X245" s="4">
        <v>0</v>
      </c>
      <c r="Y245" s="4">
        <v>0</v>
      </c>
      <c r="Z245" s="3">
        <v>0</v>
      </c>
      <c r="AA245" s="3">
        <v>0</v>
      </c>
    </row>
    <row r="246" spans="1:27" x14ac:dyDescent="0.2">
      <c r="A246">
        <f t="shared" si="6"/>
        <v>1</v>
      </c>
      <c r="B246">
        <f t="shared" si="7"/>
        <v>2</v>
      </c>
      <c r="C246" s="1">
        <v>46026</v>
      </c>
      <c r="D246" t="s">
        <v>25</v>
      </c>
      <c r="E246" t="s">
        <v>26</v>
      </c>
      <c r="F246" t="s">
        <v>34</v>
      </c>
      <c r="G246" t="s">
        <v>28</v>
      </c>
      <c r="H246" t="s">
        <v>29</v>
      </c>
      <c r="I246" t="s">
        <v>30</v>
      </c>
      <c r="J246" t="s">
        <v>50</v>
      </c>
      <c r="K246" t="s">
        <v>32</v>
      </c>
      <c r="L246" t="s">
        <v>266</v>
      </c>
      <c r="M246" s="4">
        <v>2</v>
      </c>
      <c r="N246" s="4">
        <v>1</v>
      </c>
      <c r="O246" s="2">
        <v>0.5</v>
      </c>
      <c r="P246" s="3">
        <v>0.7</v>
      </c>
      <c r="Q246" s="3">
        <v>0.7</v>
      </c>
      <c r="R246" s="3">
        <v>0</v>
      </c>
      <c r="S246" s="2"/>
      <c r="T246" s="5">
        <v>0</v>
      </c>
      <c r="U246" s="4">
        <v>0</v>
      </c>
      <c r="V246" s="4">
        <v>0</v>
      </c>
      <c r="W246" s="2">
        <v>0</v>
      </c>
      <c r="X246" s="4">
        <v>0</v>
      </c>
      <c r="Y246" s="4">
        <v>0</v>
      </c>
      <c r="Z246" s="3">
        <v>0</v>
      </c>
      <c r="AA246" s="3">
        <v>0</v>
      </c>
    </row>
    <row r="247" spans="1:27" x14ac:dyDescent="0.2">
      <c r="A247">
        <f t="shared" si="6"/>
        <v>1</v>
      </c>
      <c r="B247">
        <f t="shared" si="7"/>
        <v>2</v>
      </c>
      <c r="C247" s="1">
        <v>46027</v>
      </c>
      <c r="D247" t="s">
        <v>25</v>
      </c>
      <c r="E247" t="s">
        <v>26</v>
      </c>
      <c r="F247" t="s">
        <v>27</v>
      </c>
      <c r="G247" t="s">
        <v>124</v>
      </c>
      <c r="H247" t="s">
        <v>29</v>
      </c>
      <c r="I247" t="s">
        <v>30</v>
      </c>
      <c r="J247" t="s">
        <v>119</v>
      </c>
      <c r="K247" t="s">
        <v>267</v>
      </c>
      <c r="L247" t="s">
        <v>119</v>
      </c>
      <c r="M247" s="4">
        <v>26</v>
      </c>
      <c r="N247" s="4">
        <v>1</v>
      </c>
      <c r="O247" s="2">
        <v>3.8461538461538464E-2</v>
      </c>
      <c r="P247" s="3">
        <v>0.2</v>
      </c>
      <c r="Q247" s="3">
        <v>0.2</v>
      </c>
      <c r="R247" s="3">
        <v>0</v>
      </c>
      <c r="S247" s="2"/>
      <c r="T247" s="5">
        <v>0</v>
      </c>
      <c r="U247" s="4">
        <v>0</v>
      </c>
      <c r="V247" s="4">
        <v>0</v>
      </c>
      <c r="W247" s="2">
        <v>0</v>
      </c>
      <c r="X247" s="4">
        <v>0</v>
      </c>
      <c r="Y247" s="4">
        <v>0</v>
      </c>
      <c r="Z247" s="3">
        <v>0</v>
      </c>
      <c r="AA247" s="3">
        <v>0</v>
      </c>
    </row>
    <row r="248" spans="1:27" x14ac:dyDescent="0.2">
      <c r="A248">
        <f t="shared" si="6"/>
        <v>1</v>
      </c>
      <c r="B248">
        <f t="shared" si="7"/>
        <v>2</v>
      </c>
      <c r="C248" s="1">
        <v>46028</v>
      </c>
      <c r="D248" t="s">
        <v>25</v>
      </c>
      <c r="E248" t="s">
        <v>26</v>
      </c>
      <c r="F248" t="s">
        <v>27</v>
      </c>
      <c r="G248" t="s">
        <v>124</v>
      </c>
      <c r="H248" t="s">
        <v>29</v>
      </c>
      <c r="I248" t="s">
        <v>30</v>
      </c>
      <c r="J248" t="s">
        <v>119</v>
      </c>
      <c r="K248" t="s">
        <v>267</v>
      </c>
      <c r="L248" t="s">
        <v>119</v>
      </c>
      <c r="M248" s="4">
        <v>12</v>
      </c>
      <c r="N248" s="4">
        <v>1</v>
      </c>
      <c r="O248" s="2">
        <v>8.3333333333333315E-2</v>
      </c>
      <c r="P248" s="3">
        <v>0.2</v>
      </c>
      <c r="Q248" s="3">
        <v>0.2</v>
      </c>
      <c r="R248" s="3">
        <v>0</v>
      </c>
      <c r="S248" s="2"/>
      <c r="T248" s="5">
        <v>0</v>
      </c>
      <c r="U248" s="4">
        <v>0</v>
      </c>
      <c r="V248" s="4">
        <v>0</v>
      </c>
      <c r="W248" s="2">
        <v>0</v>
      </c>
      <c r="X248" s="4">
        <v>0</v>
      </c>
      <c r="Y248" s="4">
        <v>0</v>
      </c>
      <c r="Z248" s="3">
        <v>0</v>
      </c>
      <c r="AA248" s="3">
        <v>0</v>
      </c>
    </row>
    <row r="249" spans="1:27" x14ac:dyDescent="0.2">
      <c r="A249">
        <f t="shared" si="6"/>
        <v>1</v>
      </c>
      <c r="B249">
        <f t="shared" si="7"/>
        <v>2</v>
      </c>
      <c r="C249" s="1">
        <v>46032</v>
      </c>
      <c r="D249" t="s">
        <v>25</v>
      </c>
      <c r="E249" t="s">
        <v>26</v>
      </c>
      <c r="F249" t="s">
        <v>27</v>
      </c>
      <c r="G249" t="s">
        <v>124</v>
      </c>
      <c r="H249" t="s">
        <v>29</v>
      </c>
      <c r="I249" t="s">
        <v>30</v>
      </c>
      <c r="J249" t="s">
        <v>119</v>
      </c>
      <c r="K249" t="s">
        <v>267</v>
      </c>
      <c r="L249" t="s">
        <v>119</v>
      </c>
      <c r="M249" s="4">
        <v>4</v>
      </c>
      <c r="N249" s="4">
        <v>1</v>
      </c>
      <c r="O249" s="2">
        <v>0.25</v>
      </c>
      <c r="P249" s="3">
        <v>0.2</v>
      </c>
      <c r="Q249" s="3">
        <v>0.2</v>
      </c>
      <c r="R249" s="3">
        <v>0</v>
      </c>
      <c r="S249" s="2"/>
      <c r="T249" s="5">
        <v>0</v>
      </c>
      <c r="U249" s="4">
        <v>0</v>
      </c>
      <c r="V249" s="4">
        <v>0</v>
      </c>
      <c r="W249" s="2">
        <v>0</v>
      </c>
      <c r="X249" s="4">
        <v>0</v>
      </c>
      <c r="Y249" s="4">
        <v>0</v>
      </c>
      <c r="Z249" s="3">
        <v>0</v>
      </c>
      <c r="AA249" s="3">
        <v>0</v>
      </c>
    </row>
    <row r="250" spans="1:27" x14ac:dyDescent="0.2">
      <c r="A250">
        <f t="shared" si="6"/>
        <v>1</v>
      </c>
      <c r="B250">
        <f t="shared" si="7"/>
        <v>3</v>
      </c>
      <c r="C250" s="1">
        <v>46035</v>
      </c>
      <c r="D250" t="s">
        <v>25</v>
      </c>
      <c r="E250" t="s">
        <v>26</v>
      </c>
      <c r="F250" t="s">
        <v>27</v>
      </c>
      <c r="G250" t="s">
        <v>124</v>
      </c>
      <c r="H250" t="s">
        <v>29</v>
      </c>
      <c r="I250" t="s">
        <v>30</v>
      </c>
      <c r="J250" t="s">
        <v>119</v>
      </c>
      <c r="K250" t="s">
        <v>267</v>
      </c>
      <c r="L250" t="s">
        <v>119</v>
      </c>
      <c r="M250" s="4">
        <v>22</v>
      </c>
      <c r="N250" s="4">
        <v>1</v>
      </c>
      <c r="O250" s="2">
        <v>4.5454545454545463E-2</v>
      </c>
      <c r="P250" s="3">
        <v>0.2</v>
      </c>
      <c r="Q250" s="3">
        <v>0.2</v>
      </c>
      <c r="R250" s="3">
        <v>0</v>
      </c>
      <c r="S250" s="2"/>
      <c r="T250" s="5">
        <v>0</v>
      </c>
      <c r="U250" s="4">
        <v>0</v>
      </c>
      <c r="V250" s="4">
        <v>0</v>
      </c>
      <c r="W250" s="2">
        <v>0</v>
      </c>
      <c r="X250" s="4">
        <v>0</v>
      </c>
      <c r="Y250" s="4">
        <v>0</v>
      </c>
      <c r="Z250" s="3">
        <v>0</v>
      </c>
      <c r="AA250" s="3">
        <v>0</v>
      </c>
    </row>
    <row r="251" spans="1:27" x14ac:dyDescent="0.2">
      <c r="A251">
        <f t="shared" si="6"/>
        <v>1</v>
      </c>
      <c r="B251">
        <f t="shared" si="7"/>
        <v>3</v>
      </c>
      <c r="C251" s="1">
        <v>46038</v>
      </c>
      <c r="D251" t="s">
        <v>25</v>
      </c>
      <c r="E251" t="s">
        <v>26</v>
      </c>
      <c r="F251" t="s">
        <v>27</v>
      </c>
      <c r="G251" t="s">
        <v>28</v>
      </c>
      <c r="H251" t="s">
        <v>29</v>
      </c>
      <c r="I251" t="s">
        <v>30</v>
      </c>
      <c r="J251" t="s">
        <v>243</v>
      </c>
      <c r="K251" t="s">
        <v>32</v>
      </c>
      <c r="L251" t="s">
        <v>243</v>
      </c>
      <c r="M251" s="4">
        <v>1</v>
      </c>
      <c r="N251" s="4">
        <v>1</v>
      </c>
      <c r="O251" s="2">
        <v>1</v>
      </c>
      <c r="P251" s="3">
        <v>0.2</v>
      </c>
      <c r="Q251" s="3">
        <v>0.2</v>
      </c>
      <c r="R251" s="3">
        <v>0</v>
      </c>
      <c r="S251" s="2"/>
      <c r="T251" s="5">
        <v>0</v>
      </c>
      <c r="U251" s="4">
        <v>0</v>
      </c>
      <c r="V251" s="4">
        <v>0</v>
      </c>
      <c r="W251" s="2">
        <v>0</v>
      </c>
      <c r="X251" s="4">
        <v>0</v>
      </c>
      <c r="Y251" s="4">
        <v>0</v>
      </c>
      <c r="Z251" s="3">
        <v>0</v>
      </c>
      <c r="AA251" s="3">
        <v>0</v>
      </c>
    </row>
    <row r="252" spans="1:27" x14ac:dyDescent="0.2">
      <c r="A252">
        <f t="shared" si="6"/>
        <v>1</v>
      </c>
      <c r="B252">
        <f t="shared" si="7"/>
        <v>4</v>
      </c>
      <c r="C252" s="1">
        <v>46041</v>
      </c>
      <c r="D252" t="s">
        <v>25</v>
      </c>
      <c r="E252" t="s">
        <v>26</v>
      </c>
      <c r="F252" t="s">
        <v>27</v>
      </c>
      <c r="G252" t="s">
        <v>28</v>
      </c>
      <c r="H252" t="s">
        <v>29</v>
      </c>
      <c r="I252" t="s">
        <v>30</v>
      </c>
      <c r="J252" t="s">
        <v>44</v>
      </c>
      <c r="K252" t="s">
        <v>32</v>
      </c>
      <c r="L252" t="s">
        <v>268</v>
      </c>
      <c r="M252" s="4">
        <v>1</v>
      </c>
      <c r="N252" s="4">
        <v>1</v>
      </c>
      <c r="O252" s="2">
        <v>1</v>
      </c>
      <c r="P252" s="3">
        <v>0.2</v>
      </c>
      <c r="Q252" s="3">
        <v>0.2</v>
      </c>
      <c r="R252" s="3">
        <v>0</v>
      </c>
      <c r="S252" s="2"/>
      <c r="T252" s="5">
        <v>0</v>
      </c>
      <c r="U252" s="4">
        <v>0</v>
      </c>
      <c r="V252" s="4">
        <v>0</v>
      </c>
      <c r="W252" s="2">
        <v>0</v>
      </c>
      <c r="X252" s="4">
        <v>0</v>
      </c>
      <c r="Y252" s="4">
        <v>0</v>
      </c>
      <c r="Z252" s="3">
        <v>0</v>
      </c>
      <c r="AA252" s="3">
        <v>0</v>
      </c>
    </row>
    <row r="253" spans="1:27" x14ac:dyDescent="0.2">
      <c r="A253">
        <f t="shared" si="6"/>
        <v>1</v>
      </c>
      <c r="B253">
        <f t="shared" si="7"/>
        <v>4</v>
      </c>
      <c r="C253" s="1">
        <v>46042</v>
      </c>
      <c r="D253" t="s">
        <v>25</v>
      </c>
      <c r="E253" t="s">
        <v>26</v>
      </c>
      <c r="F253" t="s">
        <v>49</v>
      </c>
      <c r="G253" t="s">
        <v>50</v>
      </c>
      <c r="H253" t="s">
        <v>29</v>
      </c>
      <c r="I253" t="s">
        <v>30</v>
      </c>
      <c r="J253" t="s">
        <v>95</v>
      </c>
      <c r="K253" t="s">
        <v>42</v>
      </c>
      <c r="L253" t="s">
        <v>269</v>
      </c>
      <c r="M253" s="4">
        <v>2</v>
      </c>
      <c r="N253" s="4">
        <v>1</v>
      </c>
      <c r="O253" s="2">
        <v>0.5</v>
      </c>
      <c r="P253" s="3">
        <v>0.53</v>
      </c>
      <c r="Q253" s="3">
        <v>0.53</v>
      </c>
      <c r="R253" s="3">
        <v>0</v>
      </c>
      <c r="S253" s="2"/>
      <c r="T253" s="5">
        <v>0</v>
      </c>
      <c r="U253" s="4">
        <v>0</v>
      </c>
      <c r="V253" s="4">
        <v>0</v>
      </c>
      <c r="W253" s="2">
        <v>0</v>
      </c>
      <c r="X253" s="4">
        <v>0</v>
      </c>
      <c r="Y253" s="4">
        <v>0</v>
      </c>
      <c r="Z253" s="3">
        <v>0</v>
      </c>
      <c r="AA253" s="3">
        <v>0</v>
      </c>
    </row>
    <row r="254" spans="1:27" x14ac:dyDescent="0.2">
      <c r="A254">
        <f t="shared" si="6"/>
        <v>1</v>
      </c>
      <c r="B254">
        <f t="shared" si="7"/>
        <v>1</v>
      </c>
      <c r="C254" s="1">
        <v>46023</v>
      </c>
      <c r="D254" t="s">
        <v>25</v>
      </c>
      <c r="E254" t="s">
        <v>26</v>
      </c>
      <c r="F254" t="s">
        <v>27</v>
      </c>
      <c r="G254" t="s">
        <v>28</v>
      </c>
      <c r="H254" t="s">
        <v>29</v>
      </c>
      <c r="I254" t="s">
        <v>30</v>
      </c>
      <c r="J254" t="s">
        <v>119</v>
      </c>
      <c r="K254" t="s">
        <v>32</v>
      </c>
      <c r="L254" t="s">
        <v>270</v>
      </c>
      <c r="M254" s="4">
        <v>1</v>
      </c>
      <c r="N254" s="4">
        <v>1</v>
      </c>
      <c r="O254" s="2">
        <v>1</v>
      </c>
      <c r="P254" s="3">
        <v>0.17</v>
      </c>
      <c r="Q254" s="3">
        <v>0.17</v>
      </c>
      <c r="R254" s="3">
        <v>0</v>
      </c>
      <c r="S254" s="2"/>
      <c r="T254" s="5">
        <v>0</v>
      </c>
      <c r="U254" s="4">
        <v>0</v>
      </c>
      <c r="V254" s="4">
        <v>0</v>
      </c>
      <c r="W254" s="2">
        <v>0</v>
      </c>
      <c r="X254" s="4">
        <v>0</v>
      </c>
      <c r="Y254" s="4">
        <v>0</v>
      </c>
      <c r="Z254" s="3">
        <v>0</v>
      </c>
      <c r="AA254" s="3">
        <v>0</v>
      </c>
    </row>
    <row r="255" spans="1:27" x14ac:dyDescent="0.2">
      <c r="A255">
        <f t="shared" si="6"/>
        <v>1</v>
      </c>
      <c r="B255">
        <f t="shared" si="7"/>
        <v>3</v>
      </c>
      <c r="C255" s="1">
        <v>46038</v>
      </c>
      <c r="D255" t="s">
        <v>25</v>
      </c>
      <c r="E255" t="s">
        <v>26</v>
      </c>
      <c r="F255" t="s">
        <v>49</v>
      </c>
      <c r="G255" t="s">
        <v>50</v>
      </c>
      <c r="H255" t="s">
        <v>29</v>
      </c>
      <c r="I255" t="s">
        <v>30</v>
      </c>
      <c r="J255" t="s">
        <v>95</v>
      </c>
      <c r="K255" t="s">
        <v>42</v>
      </c>
      <c r="L255" t="s">
        <v>271</v>
      </c>
      <c r="M255" s="4">
        <v>1</v>
      </c>
      <c r="N255" s="4">
        <v>1</v>
      </c>
      <c r="O255" s="2">
        <v>1</v>
      </c>
      <c r="P255" s="3">
        <v>0.46</v>
      </c>
      <c r="Q255" s="3">
        <v>0.46</v>
      </c>
      <c r="R255" s="3">
        <v>0</v>
      </c>
      <c r="S255" s="2"/>
      <c r="T255" s="5">
        <v>0</v>
      </c>
      <c r="U255" s="4">
        <v>0</v>
      </c>
      <c r="V255" s="4">
        <v>0</v>
      </c>
      <c r="W255" s="2">
        <v>0</v>
      </c>
      <c r="X255" s="4">
        <v>0</v>
      </c>
      <c r="Y255" s="4">
        <v>0</v>
      </c>
      <c r="Z255" s="3">
        <v>0</v>
      </c>
      <c r="AA255" s="3">
        <v>0</v>
      </c>
    </row>
    <row r="256" spans="1:27" x14ac:dyDescent="0.2">
      <c r="A256">
        <f t="shared" si="6"/>
        <v>1</v>
      </c>
      <c r="B256">
        <f t="shared" si="7"/>
        <v>2</v>
      </c>
      <c r="C256" s="1">
        <v>46032</v>
      </c>
      <c r="D256" t="s">
        <v>25</v>
      </c>
      <c r="E256" t="s">
        <v>26</v>
      </c>
      <c r="F256" t="s">
        <v>49</v>
      </c>
      <c r="G256" t="s">
        <v>50</v>
      </c>
      <c r="H256" t="s">
        <v>29</v>
      </c>
      <c r="I256" t="s">
        <v>30</v>
      </c>
      <c r="J256" t="s">
        <v>47</v>
      </c>
      <c r="K256" t="s">
        <v>42</v>
      </c>
      <c r="L256" t="s">
        <v>31</v>
      </c>
      <c r="M256" s="4">
        <v>11</v>
      </c>
      <c r="N256" s="4">
        <v>1</v>
      </c>
      <c r="O256" s="2">
        <v>9.0909090909090925E-2</v>
      </c>
      <c r="P256" s="3">
        <v>0.75</v>
      </c>
      <c r="Q256" s="3">
        <v>0.75</v>
      </c>
      <c r="R256" s="3">
        <v>0</v>
      </c>
      <c r="S256" s="2"/>
      <c r="T256" s="5">
        <v>0</v>
      </c>
      <c r="U256" s="4">
        <v>0</v>
      </c>
      <c r="V256" s="4">
        <v>0</v>
      </c>
      <c r="W256" s="2">
        <v>0</v>
      </c>
      <c r="X256" s="4">
        <v>0</v>
      </c>
      <c r="Y256" s="4">
        <v>0</v>
      </c>
      <c r="Z256" s="3">
        <v>0</v>
      </c>
      <c r="AA256" s="3">
        <v>0</v>
      </c>
    </row>
    <row r="257" spans="1:27" x14ac:dyDescent="0.2">
      <c r="A257">
        <f t="shared" si="6"/>
        <v>1</v>
      </c>
      <c r="B257">
        <f t="shared" si="7"/>
        <v>4</v>
      </c>
      <c r="C257" s="1">
        <v>46041</v>
      </c>
      <c r="D257" t="s">
        <v>25</v>
      </c>
      <c r="E257" t="s">
        <v>26</v>
      </c>
      <c r="F257" t="s">
        <v>27</v>
      </c>
      <c r="G257" t="s">
        <v>28</v>
      </c>
      <c r="H257" t="s">
        <v>29</v>
      </c>
      <c r="I257" t="s">
        <v>30</v>
      </c>
      <c r="J257" t="s">
        <v>31</v>
      </c>
      <c r="K257" t="s">
        <v>32</v>
      </c>
      <c r="L257" t="s">
        <v>31</v>
      </c>
      <c r="M257" s="4">
        <v>12</v>
      </c>
      <c r="N257" s="4">
        <v>1</v>
      </c>
      <c r="O257" s="2">
        <v>8.3333333333333315E-2</v>
      </c>
      <c r="P257" s="3">
        <v>0.21</v>
      </c>
      <c r="Q257" s="3">
        <v>0.21</v>
      </c>
      <c r="R257" s="3">
        <v>0</v>
      </c>
      <c r="S257" s="2"/>
      <c r="T257" s="5">
        <v>0</v>
      </c>
      <c r="U257" s="4">
        <v>0</v>
      </c>
      <c r="V257" s="4">
        <v>0</v>
      </c>
      <c r="W257" s="2">
        <v>0</v>
      </c>
      <c r="X257" s="4">
        <v>0</v>
      </c>
      <c r="Y257" s="4">
        <v>0</v>
      </c>
      <c r="Z257" s="3">
        <v>0</v>
      </c>
      <c r="AA257" s="3">
        <v>0</v>
      </c>
    </row>
    <row r="258" spans="1:27" x14ac:dyDescent="0.2">
      <c r="A258">
        <f t="shared" si="6"/>
        <v>1</v>
      </c>
      <c r="B258">
        <f t="shared" si="7"/>
        <v>2</v>
      </c>
      <c r="C258" s="1">
        <v>46026</v>
      </c>
      <c r="D258" t="s">
        <v>25</v>
      </c>
      <c r="E258" t="s">
        <v>26</v>
      </c>
      <c r="F258" t="s">
        <v>27</v>
      </c>
      <c r="G258" t="s">
        <v>124</v>
      </c>
      <c r="H258" t="s">
        <v>29</v>
      </c>
      <c r="I258" t="s">
        <v>30</v>
      </c>
      <c r="J258" t="s">
        <v>31</v>
      </c>
      <c r="K258" t="s">
        <v>87</v>
      </c>
      <c r="L258" t="s">
        <v>31</v>
      </c>
      <c r="M258" s="4">
        <v>17</v>
      </c>
      <c r="N258" s="4">
        <v>1</v>
      </c>
      <c r="O258" s="2">
        <v>5.8823529411764698E-2</v>
      </c>
      <c r="P258" s="3">
        <v>0.2</v>
      </c>
      <c r="Q258" s="3">
        <v>0.2</v>
      </c>
      <c r="R258" s="3">
        <v>0</v>
      </c>
      <c r="S258" s="2"/>
      <c r="T258" s="5">
        <v>0</v>
      </c>
      <c r="U258" s="4">
        <v>0</v>
      </c>
      <c r="V258" s="4">
        <v>0</v>
      </c>
      <c r="W258" s="2">
        <v>0</v>
      </c>
      <c r="X258" s="4">
        <v>0</v>
      </c>
      <c r="Y258" s="4">
        <v>0</v>
      </c>
      <c r="Z258" s="3">
        <v>0</v>
      </c>
      <c r="AA258" s="3">
        <v>0</v>
      </c>
    </row>
    <row r="259" spans="1:27" x14ac:dyDescent="0.2">
      <c r="A259">
        <f t="shared" ref="A259:A322" si="8">MONTH(C259)</f>
        <v>1</v>
      </c>
      <c r="B259">
        <f t="shared" ref="B259:B322" si="9">WEEKNUM(C259,1)</f>
        <v>2</v>
      </c>
      <c r="C259" s="1">
        <v>46027</v>
      </c>
      <c r="D259" t="s">
        <v>25</v>
      </c>
      <c r="E259" t="s">
        <v>26</v>
      </c>
      <c r="F259" t="s">
        <v>27</v>
      </c>
      <c r="G259" t="s">
        <v>124</v>
      </c>
      <c r="H259" t="s">
        <v>29</v>
      </c>
      <c r="I259" t="s">
        <v>30</v>
      </c>
      <c r="J259" t="s">
        <v>31</v>
      </c>
      <c r="K259" t="s">
        <v>87</v>
      </c>
      <c r="L259" t="s">
        <v>31</v>
      </c>
      <c r="M259" s="4">
        <v>26</v>
      </c>
      <c r="N259" s="4">
        <v>1</v>
      </c>
      <c r="O259" s="2">
        <v>3.8461538461538464E-2</v>
      </c>
      <c r="P259" s="3">
        <v>0.2</v>
      </c>
      <c r="Q259" s="3">
        <v>0.2</v>
      </c>
      <c r="R259" s="3">
        <v>0</v>
      </c>
      <c r="S259" s="2"/>
      <c r="T259" s="5">
        <v>0</v>
      </c>
      <c r="U259" s="4">
        <v>0</v>
      </c>
      <c r="V259" s="4">
        <v>0</v>
      </c>
      <c r="W259" s="2">
        <v>0</v>
      </c>
      <c r="X259" s="4">
        <v>0</v>
      </c>
      <c r="Y259" s="4">
        <v>0</v>
      </c>
      <c r="Z259" s="3">
        <v>0</v>
      </c>
      <c r="AA259" s="3">
        <v>0</v>
      </c>
    </row>
    <row r="260" spans="1:27" x14ac:dyDescent="0.2">
      <c r="A260">
        <f t="shared" si="8"/>
        <v>1</v>
      </c>
      <c r="B260">
        <f t="shared" si="9"/>
        <v>4</v>
      </c>
      <c r="C260" s="1">
        <v>46043</v>
      </c>
      <c r="D260" t="s">
        <v>25</v>
      </c>
      <c r="E260" t="s">
        <v>26</v>
      </c>
      <c r="F260" t="s">
        <v>27</v>
      </c>
      <c r="G260" t="s">
        <v>124</v>
      </c>
      <c r="H260" t="s">
        <v>29</v>
      </c>
      <c r="I260" t="s">
        <v>30</v>
      </c>
      <c r="J260" t="s">
        <v>31</v>
      </c>
      <c r="K260" t="s">
        <v>87</v>
      </c>
      <c r="L260" t="s">
        <v>31</v>
      </c>
      <c r="M260" s="4">
        <v>8</v>
      </c>
      <c r="N260" s="4">
        <v>1</v>
      </c>
      <c r="O260" s="2">
        <v>0.125</v>
      </c>
      <c r="P260" s="3">
        <v>0.2</v>
      </c>
      <c r="Q260" s="3">
        <v>0.2</v>
      </c>
      <c r="R260" s="3">
        <v>17.09</v>
      </c>
      <c r="S260" s="2">
        <v>1.1702750146284377E-2</v>
      </c>
      <c r="T260" s="5">
        <v>85.449999999999989</v>
      </c>
      <c r="U260" s="4">
        <v>1</v>
      </c>
      <c r="V260" s="4">
        <v>1</v>
      </c>
      <c r="W260" s="2">
        <v>1</v>
      </c>
      <c r="X260" s="4">
        <v>0</v>
      </c>
      <c r="Y260" s="4">
        <v>1</v>
      </c>
      <c r="Z260" s="3">
        <v>0</v>
      </c>
      <c r="AA260" s="3">
        <v>17.09</v>
      </c>
    </row>
    <row r="261" spans="1:27" x14ac:dyDescent="0.2">
      <c r="A261">
        <f t="shared" si="8"/>
        <v>1</v>
      </c>
      <c r="B261">
        <f t="shared" si="9"/>
        <v>2</v>
      </c>
      <c r="C261" s="1">
        <v>46031</v>
      </c>
      <c r="D261" t="s">
        <v>25</v>
      </c>
      <c r="E261" t="s">
        <v>26</v>
      </c>
      <c r="F261" t="s">
        <v>34</v>
      </c>
      <c r="G261" t="s">
        <v>28</v>
      </c>
      <c r="H261" t="s">
        <v>29</v>
      </c>
      <c r="I261" t="s">
        <v>30</v>
      </c>
      <c r="J261" t="s">
        <v>239</v>
      </c>
      <c r="K261" t="s">
        <v>32</v>
      </c>
      <c r="L261" t="s">
        <v>31</v>
      </c>
      <c r="M261" s="4">
        <v>26</v>
      </c>
      <c r="N261" s="4">
        <v>1</v>
      </c>
      <c r="O261" s="2">
        <v>3.8461538461538464E-2</v>
      </c>
      <c r="P261" s="3">
        <v>1.31</v>
      </c>
      <c r="Q261" s="3">
        <v>1.31</v>
      </c>
      <c r="R261" s="3">
        <v>0</v>
      </c>
      <c r="S261" s="2"/>
      <c r="T261" s="5">
        <v>0</v>
      </c>
      <c r="U261" s="4">
        <v>0</v>
      </c>
      <c r="V261" s="4">
        <v>0</v>
      </c>
      <c r="W261" s="2">
        <v>0</v>
      </c>
      <c r="X261" s="4">
        <v>0</v>
      </c>
      <c r="Y261" s="4">
        <v>0</v>
      </c>
      <c r="Z261" s="3">
        <v>0</v>
      </c>
      <c r="AA261" s="3">
        <v>0</v>
      </c>
    </row>
    <row r="262" spans="1:27" x14ac:dyDescent="0.2">
      <c r="A262">
        <f t="shared" si="8"/>
        <v>1</v>
      </c>
      <c r="B262">
        <f t="shared" si="9"/>
        <v>3</v>
      </c>
      <c r="C262" s="1">
        <v>46036</v>
      </c>
      <c r="D262" t="s">
        <v>25</v>
      </c>
      <c r="E262" t="s">
        <v>26</v>
      </c>
      <c r="F262" t="s">
        <v>34</v>
      </c>
      <c r="G262" t="s">
        <v>28</v>
      </c>
      <c r="H262" t="s">
        <v>29</v>
      </c>
      <c r="I262" t="s">
        <v>30</v>
      </c>
      <c r="J262" t="s">
        <v>239</v>
      </c>
      <c r="K262" t="s">
        <v>32</v>
      </c>
      <c r="L262" t="s">
        <v>31</v>
      </c>
      <c r="M262" s="4">
        <v>61</v>
      </c>
      <c r="N262" s="4">
        <v>1</v>
      </c>
      <c r="O262" s="2">
        <v>1.6393442622950821E-2</v>
      </c>
      <c r="P262" s="3">
        <v>1.38</v>
      </c>
      <c r="Q262" s="3">
        <v>1.38</v>
      </c>
      <c r="R262" s="3">
        <v>0</v>
      </c>
      <c r="S262" s="2"/>
      <c r="T262" s="5">
        <v>0</v>
      </c>
      <c r="U262" s="4">
        <v>0</v>
      </c>
      <c r="V262" s="4">
        <v>0</v>
      </c>
      <c r="W262" s="2">
        <v>0</v>
      </c>
      <c r="X262" s="4">
        <v>0</v>
      </c>
      <c r="Y262" s="4">
        <v>0</v>
      </c>
      <c r="Z262" s="3">
        <v>0</v>
      </c>
      <c r="AA262" s="3">
        <v>0</v>
      </c>
    </row>
    <row r="263" spans="1:27" x14ac:dyDescent="0.2">
      <c r="A263">
        <f t="shared" si="8"/>
        <v>1</v>
      </c>
      <c r="B263">
        <f t="shared" si="9"/>
        <v>3</v>
      </c>
      <c r="C263" s="1">
        <v>46038</v>
      </c>
      <c r="D263" t="s">
        <v>25</v>
      </c>
      <c r="E263" t="s">
        <v>26</v>
      </c>
      <c r="F263" t="s">
        <v>34</v>
      </c>
      <c r="G263" t="s">
        <v>28</v>
      </c>
      <c r="H263" t="s">
        <v>29</v>
      </c>
      <c r="I263" t="s">
        <v>30</v>
      </c>
      <c r="J263" t="s">
        <v>239</v>
      </c>
      <c r="K263" t="s">
        <v>32</v>
      </c>
      <c r="L263" t="s">
        <v>31</v>
      </c>
      <c r="M263" s="4">
        <v>141</v>
      </c>
      <c r="N263" s="4">
        <v>1</v>
      </c>
      <c r="O263" s="2">
        <v>7.0921985815602844E-3</v>
      </c>
      <c r="P263" s="3">
        <v>1.1499999999999999</v>
      </c>
      <c r="Q263" s="3">
        <v>1.1499999999999999</v>
      </c>
      <c r="R263" s="3">
        <v>0</v>
      </c>
      <c r="S263" s="2"/>
      <c r="T263" s="5">
        <v>0</v>
      </c>
      <c r="U263" s="4">
        <v>0</v>
      </c>
      <c r="V263" s="4">
        <v>0</v>
      </c>
      <c r="W263" s="2">
        <v>0</v>
      </c>
      <c r="X263" s="4">
        <v>0</v>
      </c>
      <c r="Y263" s="4">
        <v>0</v>
      </c>
      <c r="Z263" s="3">
        <v>0</v>
      </c>
      <c r="AA263" s="3">
        <v>0</v>
      </c>
    </row>
    <row r="264" spans="1:27" x14ac:dyDescent="0.2">
      <c r="A264">
        <f t="shared" si="8"/>
        <v>1</v>
      </c>
      <c r="B264">
        <f t="shared" si="9"/>
        <v>4</v>
      </c>
      <c r="C264" s="1">
        <v>46040</v>
      </c>
      <c r="D264" t="s">
        <v>25</v>
      </c>
      <c r="E264" t="s">
        <v>26</v>
      </c>
      <c r="F264" t="s">
        <v>34</v>
      </c>
      <c r="G264" t="s">
        <v>28</v>
      </c>
      <c r="H264" t="s">
        <v>29</v>
      </c>
      <c r="I264" t="s">
        <v>30</v>
      </c>
      <c r="J264" t="s">
        <v>239</v>
      </c>
      <c r="K264" t="s">
        <v>32</v>
      </c>
      <c r="L264" t="s">
        <v>31</v>
      </c>
      <c r="M264" s="4">
        <v>22</v>
      </c>
      <c r="N264" s="4">
        <v>1</v>
      </c>
      <c r="O264" s="2">
        <v>4.5454545454545463E-2</v>
      </c>
      <c r="P264" s="3">
        <v>1.1499999999999999</v>
      </c>
      <c r="Q264" s="3">
        <v>1.1499999999999999</v>
      </c>
      <c r="R264" s="3">
        <v>0</v>
      </c>
      <c r="S264" s="2"/>
      <c r="T264" s="5">
        <v>0</v>
      </c>
      <c r="U264" s="4">
        <v>0</v>
      </c>
      <c r="V264" s="4">
        <v>0</v>
      </c>
      <c r="W264" s="2">
        <v>0</v>
      </c>
      <c r="X264" s="4">
        <v>0</v>
      </c>
      <c r="Y264" s="4">
        <v>0</v>
      </c>
      <c r="Z264" s="3">
        <v>0</v>
      </c>
      <c r="AA264" s="3">
        <v>0</v>
      </c>
    </row>
    <row r="265" spans="1:27" x14ac:dyDescent="0.2">
      <c r="A265">
        <f t="shared" si="8"/>
        <v>1</v>
      </c>
      <c r="B265">
        <f t="shared" si="9"/>
        <v>4</v>
      </c>
      <c r="C265" s="1">
        <v>46043</v>
      </c>
      <c r="D265" t="s">
        <v>25</v>
      </c>
      <c r="E265" t="s">
        <v>26</v>
      </c>
      <c r="F265" t="s">
        <v>49</v>
      </c>
      <c r="G265" t="s">
        <v>50</v>
      </c>
      <c r="H265" t="s">
        <v>29</v>
      </c>
      <c r="I265" t="s">
        <v>30</v>
      </c>
      <c r="J265" t="s">
        <v>47</v>
      </c>
      <c r="K265" t="s">
        <v>42</v>
      </c>
      <c r="L265" t="s">
        <v>272</v>
      </c>
      <c r="M265" s="4">
        <v>13</v>
      </c>
      <c r="N265" s="4">
        <v>1</v>
      </c>
      <c r="O265" s="2">
        <v>7.6923076923076927E-2</v>
      </c>
      <c r="P265" s="3">
        <v>0.68</v>
      </c>
      <c r="Q265" s="3">
        <v>0.68</v>
      </c>
      <c r="R265" s="3">
        <v>0</v>
      </c>
      <c r="S265" s="2"/>
      <c r="T265" s="5">
        <v>0</v>
      </c>
      <c r="U265" s="4">
        <v>0</v>
      </c>
      <c r="V265" s="4">
        <v>0</v>
      </c>
      <c r="W265" s="2">
        <v>0</v>
      </c>
      <c r="X265" s="4">
        <v>0</v>
      </c>
      <c r="Y265" s="4">
        <v>0</v>
      </c>
      <c r="Z265" s="3">
        <v>0</v>
      </c>
      <c r="AA265" s="3">
        <v>0</v>
      </c>
    </row>
    <row r="266" spans="1:27" x14ac:dyDescent="0.2">
      <c r="A266">
        <f t="shared" si="8"/>
        <v>1</v>
      </c>
      <c r="B266">
        <f t="shared" si="9"/>
        <v>3</v>
      </c>
      <c r="C266" s="1">
        <v>46033</v>
      </c>
      <c r="D266" t="s">
        <v>25</v>
      </c>
      <c r="E266" t="s">
        <v>26</v>
      </c>
      <c r="F266" t="s">
        <v>27</v>
      </c>
      <c r="G266" t="s">
        <v>124</v>
      </c>
      <c r="H266" t="s">
        <v>29</v>
      </c>
      <c r="I266" t="s">
        <v>30</v>
      </c>
      <c r="J266" t="s">
        <v>31</v>
      </c>
      <c r="K266" t="s">
        <v>87</v>
      </c>
      <c r="L266" t="s">
        <v>272</v>
      </c>
      <c r="M266" s="4">
        <v>4</v>
      </c>
      <c r="N266" s="4">
        <v>1</v>
      </c>
      <c r="O266" s="2">
        <v>0.25</v>
      </c>
      <c r="P266" s="3">
        <v>0.2</v>
      </c>
      <c r="Q266" s="3">
        <v>0.2</v>
      </c>
      <c r="R266" s="3">
        <v>0</v>
      </c>
      <c r="S266" s="2"/>
      <c r="T266" s="5">
        <v>0</v>
      </c>
      <c r="U266" s="4">
        <v>0</v>
      </c>
      <c r="V266" s="4">
        <v>0</v>
      </c>
      <c r="W266" s="2">
        <v>0</v>
      </c>
      <c r="X266" s="4">
        <v>0</v>
      </c>
      <c r="Y266" s="4">
        <v>0</v>
      </c>
      <c r="Z266" s="3">
        <v>0</v>
      </c>
      <c r="AA266" s="3">
        <v>0</v>
      </c>
    </row>
    <row r="267" spans="1:27" x14ac:dyDescent="0.2">
      <c r="A267">
        <f t="shared" si="8"/>
        <v>1</v>
      </c>
      <c r="B267">
        <f t="shared" si="9"/>
        <v>3</v>
      </c>
      <c r="C267" s="1">
        <v>46034</v>
      </c>
      <c r="D267" t="s">
        <v>25</v>
      </c>
      <c r="E267" t="s">
        <v>26</v>
      </c>
      <c r="F267" t="s">
        <v>34</v>
      </c>
      <c r="G267" t="s">
        <v>28</v>
      </c>
      <c r="H267" t="s">
        <v>29</v>
      </c>
      <c r="I267" t="s">
        <v>30</v>
      </c>
      <c r="J267" t="s">
        <v>239</v>
      </c>
      <c r="K267" t="s">
        <v>32</v>
      </c>
      <c r="L267" t="s">
        <v>272</v>
      </c>
      <c r="M267" s="4">
        <v>21</v>
      </c>
      <c r="N267" s="4">
        <v>1</v>
      </c>
      <c r="O267" s="2">
        <v>4.7619047619047623E-2</v>
      </c>
      <c r="P267" s="3">
        <v>1.25</v>
      </c>
      <c r="Q267" s="3">
        <v>1.25</v>
      </c>
      <c r="R267" s="3">
        <v>0</v>
      </c>
      <c r="S267" s="2"/>
      <c r="T267" s="5">
        <v>0</v>
      </c>
      <c r="U267" s="4">
        <v>0</v>
      </c>
      <c r="V267" s="4">
        <v>0</v>
      </c>
      <c r="W267" s="2">
        <v>0</v>
      </c>
      <c r="X267" s="4">
        <v>0</v>
      </c>
      <c r="Y267" s="4">
        <v>0</v>
      </c>
      <c r="Z267" s="3">
        <v>0</v>
      </c>
      <c r="AA267" s="3">
        <v>0</v>
      </c>
    </row>
    <row r="268" spans="1:27" x14ac:dyDescent="0.2">
      <c r="A268">
        <f t="shared" si="8"/>
        <v>1</v>
      </c>
      <c r="B268">
        <f t="shared" si="9"/>
        <v>4</v>
      </c>
      <c r="C268" s="1">
        <v>46040</v>
      </c>
      <c r="D268" t="s">
        <v>25</v>
      </c>
      <c r="E268" t="s">
        <v>26</v>
      </c>
      <c r="F268" t="s">
        <v>34</v>
      </c>
      <c r="G268" t="s">
        <v>28</v>
      </c>
      <c r="H268" t="s">
        <v>29</v>
      </c>
      <c r="I268" t="s">
        <v>30</v>
      </c>
      <c r="J268" t="s">
        <v>239</v>
      </c>
      <c r="K268" t="s">
        <v>32</v>
      </c>
      <c r="L268" t="s">
        <v>272</v>
      </c>
      <c r="M268" s="4">
        <v>19</v>
      </c>
      <c r="N268" s="4">
        <v>1</v>
      </c>
      <c r="O268" s="2">
        <v>5.2631578947368418E-2</v>
      </c>
      <c r="P268" s="3">
        <v>1.1499999999999999</v>
      </c>
      <c r="Q268" s="3">
        <v>1.1499999999999999</v>
      </c>
      <c r="R268" s="3">
        <v>17.09</v>
      </c>
      <c r="S268" s="2">
        <v>6.7290813341135167E-2</v>
      </c>
      <c r="T268" s="5">
        <v>14.860869565217392</v>
      </c>
      <c r="U268" s="4">
        <v>1</v>
      </c>
      <c r="V268" s="4">
        <v>1</v>
      </c>
      <c r="W268" s="2">
        <v>1</v>
      </c>
      <c r="X268" s="4">
        <v>1</v>
      </c>
      <c r="Y268" s="4">
        <v>0</v>
      </c>
      <c r="Z268" s="3">
        <v>17.09</v>
      </c>
      <c r="AA268" s="3">
        <v>0</v>
      </c>
    </row>
    <row r="269" spans="1:27" x14ac:dyDescent="0.2">
      <c r="A269">
        <f t="shared" si="8"/>
        <v>1</v>
      </c>
      <c r="B269">
        <f t="shared" si="9"/>
        <v>2</v>
      </c>
      <c r="C269" s="1">
        <v>46031</v>
      </c>
      <c r="D269" t="s">
        <v>25</v>
      </c>
      <c r="E269" t="s">
        <v>26</v>
      </c>
      <c r="F269" t="s">
        <v>34</v>
      </c>
      <c r="G269" t="s">
        <v>273</v>
      </c>
      <c r="H269" t="s">
        <v>29</v>
      </c>
      <c r="I269" t="s">
        <v>30</v>
      </c>
      <c r="J269" t="s">
        <v>272</v>
      </c>
      <c r="K269" t="s">
        <v>267</v>
      </c>
      <c r="L269" t="s">
        <v>272</v>
      </c>
      <c r="M269" s="4">
        <v>16</v>
      </c>
      <c r="N269" s="4">
        <v>1</v>
      </c>
      <c r="O269" s="2">
        <v>6.25E-2</v>
      </c>
      <c r="P269" s="3">
        <v>0.53</v>
      </c>
      <c r="Q269" s="3">
        <v>0.53</v>
      </c>
      <c r="R269" s="3">
        <v>0</v>
      </c>
      <c r="S269" s="2"/>
      <c r="T269" s="5">
        <v>0</v>
      </c>
      <c r="U269" s="4">
        <v>0</v>
      </c>
      <c r="V269" s="4">
        <v>0</v>
      </c>
      <c r="W269" s="2">
        <v>0</v>
      </c>
      <c r="X269" s="4">
        <v>0</v>
      </c>
      <c r="Y269" s="4">
        <v>0</v>
      </c>
      <c r="Z269" s="3">
        <v>0</v>
      </c>
      <c r="AA269" s="3">
        <v>0</v>
      </c>
    </row>
    <row r="270" spans="1:27" x14ac:dyDescent="0.2">
      <c r="A270">
        <f t="shared" si="8"/>
        <v>1</v>
      </c>
      <c r="B270">
        <f t="shared" si="9"/>
        <v>3</v>
      </c>
      <c r="C270" s="1">
        <v>46034</v>
      </c>
      <c r="D270" t="s">
        <v>25</v>
      </c>
      <c r="E270" t="s">
        <v>26</v>
      </c>
      <c r="F270" t="s">
        <v>27</v>
      </c>
      <c r="G270" t="s">
        <v>124</v>
      </c>
      <c r="H270" t="s">
        <v>29</v>
      </c>
      <c r="I270" t="s">
        <v>30</v>
      </c>
      <c r="J270" t="s">
        <v>31</v>
      </c>
      <c r="K270" t="s">
        <v>87</v>
      </c>
      <c r="L270" t="s">
        <v>274</v>
      </c>
      <c r="M270" s="4">
        <v>1</v>
      </c>
      <c r="N270" s="4">
        <v>1</v>
      </c>
      <c r="O270" s="2">
        <v>1</v>
      </c>
      <c r="P270" s="3">
        <v>0.4</v>
      </c>
      <c r="Q270" s="3">
        <v>0.4</v>
      </c>
      <c r="R270" s="3">
        <v>0</v>
      </c>
      <c r="S270" s="2"/>
      <c r="T270" s="5">
        <v>0</v>
      </c>
      <c r="U270" s="4">
        <v>0</v>
      </c>
      <c r="V270" s="4">
        <v>0</v>
      </c>
      <c r="W270" s="2">
        <v>0</v>
      </c>
      <c r="X270" s="4">
        <v>0</v>
      </c>
      <c r="Y270" s="4">
        <v>0</v>
      </c>
      <c r="Z270" s="3">
        <v>0</v>
      </c>
      <c r="AA270" s="3">
        <v>0</v>
      </c>
    </row>
    <row r="271" spans="1:27" x14ac:dyDescent="0.2">
      <c r="A271">
        <f t="shared" si="8"/>
        <v>1</v>
      </c>
      <c r="B271">
        <f t="shared" si="9"/>
        <v>3</v>
      </c>
      <c r="C271" s="1">
        <v>46035</v>
      </c>
      <c r="D271" t="s">
        <v>25</v>
      </c>
      <c r="E271" t="s">
        <v>26</v>
      </c>
      <c r="F271" t="s">
        <v>27</v>
      </c>
      <c r="G271" t="s">
        <v>28</v>
      </c>
      <c r="H271" t="s">
        <v>29</v>
      </c>
      <c r="I271" t="s">
        <v>30</v>
      </c>
      <c r="J271" t="s">
        <v>50</v>
      </c>
      <c r="K271" t="s">
        <v>32</v>
      </c>
      <c r="L271" t="s">
        <v>275</v>
      </c>
      <c r="M271" s="4">
        <v>1</v>
      </c>
      <c r="N271" s="4">
        <v>1</v>
      </c>
      <c r="O271" s="2">
        <v>1</v>
      </c>
      <c r="P271" s="3">
        <v>0.21</v>
      </c>
      <c r="Q271" s="3">
        <v>0.21</v>
      </c>
      <c r="R271" s="3">
        <v>0</v>
      </c>
      <c r="S271" s="2"/>
      <c r="T271" s="5">
        <v>0</v>
      </c>
      <c r="U271" s="4">
        <v>0</v>
      </c>
      <c r="V271" s="4">
        <v>0</v>
      </c>
      <c r="W271" s="2">
        <v>0</v>
      </c>
      <c r="X271" s="4">
        <v>0</v>
      </c>
      <c r="Y271" s="4">
        <v>0</v>
      </c>
      <c r="Z271" s="3">
        <v>0</v>
      </c>
      <c r="AA271" s="3">
        <v>0</v>
      </c>
    </row>
    <row r="272" spans="1:27" x14ac:dyDescent="0.2">
      <c r="A272">
        <f t="shared" si="8"/>
        <v>1</v>
      </c>
      <c r="B272">
        <f t="shared" si="9"/>
        <v>4</v>
      </c>
      <c r="C272" s="1">
        <v>46041</v>
      </c>
      <c r="D272" t="s">
        <v>25</v>
      </c>
      <c r="E272" t="s">
        <v>26</v>
      </c>
      <c r="F272" t="s">
        <v>49</v>
      </c>
      <c r="G272" t="s">
        <v>50</v>
      </c>
      <c r="H272" t="s">
        <v>29</v>
      </c>
      <c r="I272" t="s">
        <v>30</v>
      </c>
      <c r="J272" t="s">
        <v>47</v>
      </c>
      <c r="K272" t="s">
        <v>42</v>
      </c>
      <c r="L272" t="s">
        <v>276</v>
      </c>
      <c r="M272" s="4">
        <v>3</v>
      </c>
      <c r="N272" s="4">
        <v>1</v>
      </c>
      <c r="O272" s="2">
        <v>0.33333333333333331</v>
      </c>
      <c r="P272" s="3">
        <v>0.81</v>
      </c>
      <c r="Q272" s="3">
        <v>0.81</v>
      </c>
      <c r="R272" s="3">
        <v>0</v>
      </c>
      <c r="S272" s="2"/>
      <c r="T272" s="5">
        <v>0</v>
      </c>
      <c r="U272" s="4">
        <v>0</v>
      </c>
      <c r="V272" s="4">
        <v>0</v>
      </c>
      <c r="W272" s="2">
        <v>0</v>
      </c>
      <c r="X272" s="4">
        <v>0</v>
      </c>
      <c r="Y272" s="4">
        <v>0</v>
      </c>
      <c r="Z272" s="3">
        <v>0</v>
      </c>
      <c r="AA272" s="3">
        <v>0</v>
      </c>
    </row>
    <row r="273" spans="1:27" x14ac:dyDescent="0.2">
      <c r="A273">
        <f t="shared" si="8"/>
        <v>1</v>
      </c>
      <c r="B273">
        <f t="shared" si="9"/>
        <v>3</v>
      </c>
      <c r="C273" s="1">
        <v>46033</v>
      </c>
      <c r="D273" t="s">
        <v>25</v>
      </c>
      <c r="E273" t="s">
        <v>26</v>
      </c>
      <c r="F273" t="s">
        <v>49</v>
      </c>
      <c r="G273" t="s">
        <v>50</v>
      </c>
      <c r="H273" t="s">
        <v>29</v>
      </c>
      <c r="I273" t="s">
        <v>30</v>
      </c>
      <c r="J273" t="s">
        <v>95</v>
      </c>
      <c r="K273" t="s">
        <v>42</v>
      </c>
      <c r="L273" t="s">
        <v>277</v>
      </c>
      <c r="M273" s="4">
        <v>1</v>
      </c>
      <c r="N273" s="4">
        <v>1</v>
      </c>
      <c r="O273" s="2">
        <v>1</v>
      </c>
      <c r="P273" s="3">
        <v>0.54</v>
      </c>
      <c r="Q273" s="3">
        <v>0.54</v>
      </c>
      <c r="R273" s="3">
        <v>0</v>
      </c>
      <c r="S273" s="2"/>
      <c r="T273" s="5">
        <v>0</v>
      </c>
      <c r="U273" s="4">
        <v>0</v>
      </c>
      <c r="V273" s="4">
        <v>0</v>
      </c>
      <c r="W273" s="2">
        <v>0</v>
      </c>
      <c r="X273" s="4">
        <v>0</v>
      </c>
      <c r="Y273" s="4">
        <v>0</v>
      </c>
      <c r="Z273" s="3">
        <v>0</v>
      </c>
      <c r="AA273" s="3">
        <v>0</v>
      </c>
    </row>
    <row r="274" spans="1:27" x14ac:dyDescent="0.2">
      <c r="A274">
        <f t="shared" si="8"/>
        <v>1</v>
      </c>
      <c r="B274">
        <f t="shared" si="9"/>
        <v>4</v>
      </c>
      <c r="C274" s="1">
        <v>46041</v>
      </c>
      <c r="D274" t="s">
        <v>25</v>
      </c>
      <c r="E274" t="s">
        <v>26</v>
      </c>
      <c r="F274" t="s">
        <v>49</v>
      </c>
      <c r="G274" t="s">
        <v>50</v>
      </c>
      <c r="H274" t="s">
        <v>29</v>
      </c>
      <c r="I274" t="s">
        <v>30</v>
      </c>
      <c r="J274" t="s">
        <v>95</v>
      </c>
      <c r="K274" t="s">
        <v>42</v>
      </c>
      <c r="L274" t="s">
        <v>278</v>
      </c>
      <c r="M274" s="4">
        <v>3</v>
      </c>
      <c r="N274" s="4">
        <v>1</v>
      </c>
      <c r="O274" s="2">
        <v>0.33333333333333331</v>
      </c>
      <c r="P274" s="3">
        <v>0.6</v>
      </c>
      <c r="Q274" s="3">
        <v>0.6</v>
      </c>
      <c r="R274" s="3">
        <v>0</v>
      </c>
      <c r="S274" s="2"/>
      <c r="T274" s="5">
        <v>0</v>
      </c>
      <c r="U274" s="4">
        <v>0</v>
      </c>
      <c r="V274" s="4">
        <v>0</v>
      </c>
      <c r="W274" s="2">
        <v>0</v>
      </c>
      <c r="X274" s="4">
        <v>0</v>
      </c>
      <c r="Y274" s="4">
        <v>0</v>
      </c>
      <c r="Z274" s="3">
        <v>0</v>
      </c>
      <c r="AA274" s="3">
        <v>0</v>
      </c>
    </row>
    <row r="275" spans="1:27" x14ac:dyDescent="0.2">
      <c r="A275">
        <f t="shared" si="8"/>
        <v>1</v>
      </c>
      <c r="B275">
        <f t="shared" si="9"/>
        <v>3</v>
      </c>
      <c r="C275" s="1">
        <v>46035</v>
      </c>
      <c r="D275" t="s">
        <v>25</v>
      </c>
      <c r="E275" t="s">
        <v>26</v>
      </c>
      <c r="F275" t="s">
        <v>49</v>
      </c>
      <c r="G275" t="s">
        <v>50</v>
      </c>
      <c r="H275" t="s">
        <v>29</v>
      </c>
      <c r="I275" t="s">
        <v>30</v>
      </c>
      <c r="J275" t="s">
        <v>47</v>
      </c>
      <c r="K275" t="s">
        <v>42</v>
      </c>
      <c r="L275" t="s">
        <v>101</v>
      </c>
      <c r="M275" s="4">
        <v>5</v>
      </c>
      <c r="N275" s="4">
        <v>1</v>
      </c>
      <c r="O275" s="2">
        <v>0.2</v>
      </c>
      <c r="P275" s="3">
        <v>0.48</v>
      </c>
      <c r="Q275" s="3">
        <v>0.48</v>
      </c>
      <c r="R275" s="3">
        <v>0</v>
      </c>
      <c r="S275" s="2"/>
      <c r="T275" s="5">
        <v>0</v>
      </c>
      <c r="U275" s="4">
        <v>0</v>
      </c>
      <c r="V275" s="4">
        <v>0</v>
      </c>
      <c r="W275" s="2">
        <v>0</v>
      </c>
      <c r="X275" s="4">
        <v>0</v>
      </c>
      <c r="Y275" s="4">
        <v>0</v>
      </c>
      <c r="Z275" s="3">
        <v>0</v>
      </c>
      <c r="AA275" s="3">
        <v>0</v>
      </c>
    </row>
    <row r="276" spans="1:27" x14ac:dyDescent="0.2">
      <c r="A276">
        <f t="shared" si="8"/>
        <v>1</v>
      </c>
      <c r="B276">
        <f t="shared" si="9"/>
        <v>4</v>
      </c>
      <c r="C276" s="1">
        <v>46041</v>
      </c>
      <c r="D276" t="s">
        <v>25</v>
      </c>
      <c r="E276" t="s">
        <v>26</v>
      </c>
      <c r="F276" t="s">
        <v>49</v>
      </c>
      <c r="G276" t="s">
        <v>50</v>
      </c>
      <c r="H276" t="s">
        <v>29</v>
      </c>
      <c r="I276" t="s">
        <v>30</v>
      </c>
      <c r="J276" t="s">
        <v>47</v>
      </c>
      <c r="K276" t="s">
        <v>42</v>
      </c>
      <c r="L276" t="s">
        <v>101</v>
      </c>
      <c r="M276" s="4">
        <v>33</v>
      </c>
      <c r="N276" s="4">
        <v>1</v>
      </c>
      <c r="O276" s="2">
        <v>3.0303030303030304E-2</v>
      </c>
      <c r="P276" s="3">
        <v>0.49</v>
      </c>
      <c r="Q276" s="3">
        <v>0.49</v>
      </c>
      <c r="R276" s="3">
        <v>0</v>
      </c>
      <c r="S276" s="2"/>
      <c r="T276" s="5">
        <v>0</v>
      </c>
      <c r="U276" s="4">
        <v>0</v>
      </c>
      <c r="V276" s="4">
        <v>0</v>
      </c>
      <c r="W276" s="2">
        <v>0</v>
      </c>
      <c r="X276" s="4">
        <v>0</v>
      </c>
      <c r="Y276" s="4">
        <v>0</v>
      </c>
      <c r="Z276" s="3">
        <v>0</v>
      </c>
      <c r="AA276" s="3">
        <v>0</v>
      </c>
    </row>
    <row r="277" spans="1:27" x14ac:dyDescent="0.2">
      <c r="A277">
        <f t="shared" si="8"/>
        <v>1</v>
      </c>
      <c r="B277">
        <f t="shared" si="9"/>
        <v>4</v>
      </c>
      <c r="C277" s="1">
        <v>46042</v>
      </c>
      <c r="D277" t="s">
        <v>25</v>
      </c>
      <c r="E277" t="s">
        <v>26</v>
      </c>
      <c r="F277" t="s">
        <v>49</v>
      </c>
      <c r="G277" t="s">
        <v>50</v>
      </c>
      <c r="H277" t="s">
        <v>29</v>
      </c>
      <c r="I277" t="s">
        <v>30</v>
      </c>
      <c r="J277" t="s">
        <v>47</v>
      </c>
      <c r="K277" t="s">
        <v>42</v>
      </c>
      <c r="L277" t="s">
        <v>101</v>
      </c>
      <c r="M277" s="4">
        <v>12</v>
      </c>
      <c r="N277" s="4">
        <v>1</v>
      </c>
      <c r="O277" s="2">
        <v>8.3333333333333315E-2</v>
      </c>
      <c r="P277" s="3">
        <v>0.81</v>
      </c>
      <c r="Q277" s="3">
        <v>0.81</v>
      </c>
      <c r="R277" s="3">
        <v>0</v>
      </c>
      <c r="S277" s="2"/>
      <c r="T277" s="5">
        <v>0</v>
      </c>
      <c r="U277" s="4">
        <v>0</v>
      </c>
      <c r="V277" s="4">
        <v>0</v>
      </c>
      <c r="W277" s="2">
        <v>0</v>
      </c>
      <c r="X277" s="4">
        <v>0</v>
      </c>
      <c r="Y277" s="4">
        <v>0</v>
      </c>
      <c r="Z277" s="3">
        <v>0</v>
      </c>
      <c r="AA277" s="3">
        <v>0</v>
      </c>
    </row>
    <row r="278" spans="1:27" x14ac:dyDescent="0.2">
      <c r="A278">
        <f t="shared" si="8"/>
        <v>1</v>
      </c>
      <c r="B278">
        <f t="shared" si="9"/>
        <v>3</v>
      </c>
      <c r="C278" s="1">
        <v>46035</v>
      </c>
      <c r="D278" t="s">
        <v>25</v>
      </c>
      <c r="E278" t="s">
        <v>26</v>
      </c>
      <c r="F278" t="s">
        <v>49</v>
      </c>
      <c r="G278" t="s">
        <v>50</v>
      </c>
      <c r="H278" t="s">
        <v>29</v>
      </c>
      <c r="I278" t="s">
        <v>30</v>
      </c>
      <c r="J278" t="s">
        <v>51</v>
      </c>
      <c r="K278" t="s">
        <v>42</v>
      </c>
      <c r="L278" t="s">
        <v>101</v>
      </c>
      <c r="M278" s="4">
        <v>5</v>
      </c>
      <c r="N278" s="4">
        <v>1</v>
      </c>
      <c r="O278" s="2">
        <v>0.2</v>
      </c>
      <c r="P278" s="3">
        <v>0.5</v>
      </c>
      <c r="Q278" s="3">
        <v>0.5</v>
      </c>
      <c r="R278" s="3">
        <v>0</v>
      </c>
      <c r="S278" s="2"/>
      <c r="T278" s="5">
        <v>0</v>
      </c>
      <c r="U278" s="4">
        <v>0</v>
      </c>
      <c r="V278" s="4">
        <v>0</v>
      </c>
      <c r="W278" s="2">
        <v>0</v>
      </c>
      <c r="X278" s="4">
        <v>0</v>
      </c>
      <c r="Y278" s="4">
        <v>0</v>
      </c>
      <c r="Z278" s="3">
        <v>0</v>
      </c>
      <c r="AA278" s="3">
        <v>0</v>
      </c>
    </row>
    <row r="279" spans="1:27" x14ac:dyDescent="0.2">
      <c r="A279">
        <f t="shared" si="8"/>
        <v>1</v>
      </c>
      <c r="B279">
        <f t="shared" si="9"/>
        <v>2</v>
      </c>
      <c r="C279" s="1">
        <v>46030</v>
      </c>
      <c r="D279" t="s">
        <v>25</v>
      </c>
      <c r="E279" t="s">
        <v>26</v>
      </c>
      <c r="F279" t="s">
        <v>34</v>
      </c>
      <c r="G279" t="s">
        <v>273</v>
      </c>
      <c r="H279" t="s">
        <v>29</v>
      </c>
      <c r="I279" t="s">
        <v>30</v>
      </c>
      <c r="J279" t="s">
        <v>101</v>
      </c>
      <c r="K279" t="s">
        <v>267</v>
      </c>
      <c r="L279" t="s">
        <v>101</v>
      </c>
      <c r="M279" s="4">
        <v>21</v>
      </c>
      <c r="N279" s="4">
        <v>1</v>
      </c>
      <c r="O279" s="2">
        <v>4.7619047619047623E-2</v>
      </c>
      <c r="P279" s="3">
        <v>1.1499999999999999</v>
      </c>
      <c r="Q279" s="3">
        <v>1.1499999999999999</v>
      </c>
      <c r="R279" s="3">
        <v>0</v>
      </c>
      <c r="S279" s="2"/>
      <c r="T279" s="5">
        <v>0</v>
      </c>
      <c r="U279" s="4">
        <v>0</v>
      </c>
      <c r="V279" s="4">
        <v>0</v>
      </c>
      <c r="W279" s="2">
        <v>0</v>
      </c>
      <c r="X279" s="4">
        <v>0</v>
      </c>
      <c r="Y279" s="4">
        <v>0</v>
      </c>
      <c r="Z279" s="3">
        <v>0</v>
      </c>
      <c r="AA279" s="3">
        <v>0</v>
      </c>
    </row>
    <row r="280" spans="1:27" x14ac:dyDescent="0.2">
      <c r="A280">
        <f t="shared" si="8"/>
        <v>1</v>
      </c>
      <c r="B280">
        <f t="shared" si="9"/>
        <v>3</v>
      </c>
      <c r="C280" s="1">
        <v>46037</v>
      </c>
      <c r="D280" t="s">
        <v>25</v>
      </c>
      <c r="E280" t="s">
        <v>26</v>
      </c>
      <c r="F280" t="s">
        <v>34</v>
      </c>
      <c r="G280" t="s">
        <v>273</v>
      </c>
      <c r="H280" t="s">
        <v>29</v>
      </c>
      <c r="I280" t="s">
        <v>30</v>
      </c>
      <c r="J280" t="s">
        <v>101</v>
      </c>
      <c r="K280" t="s">
        <v>267</v>
      </c>
      <c r="L280" t="s">
        <v>101</v>
      </c>
      <c r="M280" s="4">
        <v>33</v>
      </c>
      <c r="N280" s="4">
        <v>1</v>
      </c>
      <c r="O280" s="2">
        <v>3.0303030303030304E-2</v>
      </c>
      <c r="P280" s="3">
        <v>1.3</v>
      </c>
      <c r="Q280" s="3">
        <v>1.3</v>
      </c>
      <c r="R280" s="3">
        <v>0</v>
      </c>
      <c r="S280" s="2"/>
      <c r="T280" s="5">
        <v>0</v>
      </c>
      <c r="U280" s="4">
        <v>0</v>
      </c>
      <c r="V280" s="4">
        <v>0</v>
      </c>
      <c r="W280" s="2">
        <v>0</v>
      </c>
      <c r="X280" s="4">
        <v>0</v>
      </c>
      <c r="Y280" s="4">
        <v>0</v>
      </c>
      <c r="Z280" s="3">
        <v>0</v>
      </c>
      <c r="AA280" s="3">
        <v>0</v>
      </c>
    </row>
    <row r="281" spans="1:27" x14ac:dyDescent="0.2">
      <c r="A281">
        <f t="shared" si="8"/>
        <v>1</v>
      </c>
      <c r="B281">
        <f t="shared" si="9"/>
        <v>3</v>
      </c>
      <c r="C281" s="1">
        <v>46034</v>
      </c>
      <c r="D281" t="s">
        <v>25</v>
      </c>
      <c r="E281" t="s">
        <v>26</v>
      </c>
      <c r="F281" t="s">
        <v>27</v>
      </c>
      <c r="G281" t="s">
        <v>124</v>
      </c>
      <c r="H281" t="s">
        <v>29</v>
      </c>
      <c r="I281" t="s">
        <v>30</v>
      </c>
      <c r="J281" t="s">
        <v>101</v>
      </c>
      <c r="K281" t="s">
        <v>87</v>
      </c>
      <c r="L281" t="s">
        <v>101</v>
      </c>
      <c r="M281" s="4">
        <v>10</v>
      </c>
      <c r="N281" s="4">
        <v>1</v>
      </c>
      <c r="O281" s="2">
        <v>0.1</v>
      </c>
      <c r="P281" s="3">
        <v>0.2</v>
      </c>
      <c r="Q281" s="3">
        <v>0.2</v>
      </c>
      <c r="R281" s="3">
        <v>0</v>
      </c>
      <c r="S281" s="2"/>
      <c r="T281" s="5">
        <v>0</v>
      </c>
      <c r="U281" s="4">
        <v>0</v>
      </c>
      <c r="V281" s="4">
        <v>0</v>
      </c>
      <c r="W281" s="2">
        <v>0</v>
      </c>
      <c r="X281" s="4">
        <v>0</v>
      </c>
      <c r="Y281" s="4">
        <v>0</v>
      </c>
      <c r="Z281" s="3">
        <v>0</v>
      </c>
      <c r="AA281" s="3">
        <v>0</v>
      </c>
    </row>
    <row r="282" spans="1:27" x14ac:dyDescent="0.2">
      <c r="A282">
        <f t="shared" si="8"/>
        <v>1</v>
      </c>
      <c r="B282">
        <f t="shared" si="9"/>
        <v>3</v>
      </c>
      <c r="C282" s="1">
        <v>46036</v>
      </c>
      <c r="D282" t="s">
        <v>25</v>
      </c>
      <c r="E282" t="s">
        <v>26</v>
      </c>
      <c r="F282" t="s">
        <v>27</v>
      </c>
      <c r="G282" t="s">
        <v>124</v>
      </c>
      <c r="H282" t="s">
        <v>29</v>
      </c>
      <c r="I282" t="s">
        <v>30</v>
      </c>
      <c r="J282" t="s">
        <v>101</v>
      </c>
      <c r="K282" t="s">
        <v>87</v>
      </c>
      <c r="L282" t="s">
        <v>101</v>
      </c>
      <c r="M282" s="4">
        <v>11</v>
      </c>
      <c r="N282" s="4">
        <v>1</v>
      </c>
      <c r="O282" s="2">
        <v>9.0909090909090925E-2</v>
      </c>
      <c r="P282" s="3">
        <v>0.21</v>
      </c>
      <c r="Q282" s="3">
        <v>0.21</v>
      </c>
      <c r="R282" s="3">
        <v>0</v>
      </c>
      <c r="S282" s="2"/>
      <c r="T282" s="5">
        <v>0</v>
      </c>
      <c r="U282" s="4">
        <v>0</v>
      </c>
      <c r="V282" s="4">
        <v>0</v>
      </c>
      <c r="W282" s="2">
        <v>0</v>
      </c>
      <c r="X282" s="4">
        <v>0</v>
      </c>
      <c r="Y282" s="4">
        <v>0</v>
      </c>
      <c r="Z282" s="3">
        <v>0</v>
      </c>
      <c r="AA282" s="3">
        <v>0</v>
      </c>
    </row>
    <row r="283" spans="1:27" x14ac:dyDescent="0.2">
      <c r="A283">
        <f t="shared" si="8"/>
        <v>1</v>
      </c>
      <c r="B283">
        <f t="shared" si="9"/>
        <v>3</v>
      </c>
      <c r="C283" s="1">
        <v>46038</v>
      </c>
      <c r="D283" t="s">
        <v>25</v>
      </c>
      <c r="E283" t="s">
        <v>26</v>
      </c>
      <c r="F283" t="s">
        <v>27</v>
      </c>
      <c r="G283" t="s">
        <v>124</v>
      </c>
      <c r="H283" t="s">
        <v>29</v>
      </c>
      <c r="I283" t="s">
        <v>30</v>
      </c>
      <c r="J283" t="s">
        <v>101</v>
      </c>
      <c r="K283" t="s">
        <v>87</v>
      </c>
      <c r="L283" t="s">
        <v>101</v>
      </c>
      <c r="M283" s="4">
        <v>20</v>
      </c>
      <c r="N283" s="4">
        <v>1</v>
      </c>
      <c r="O283" s="2">
        <v>0.05</v>
      </c>
      <c r="P283" s="3">
        <v>0.2</v>
      </c>
      <c r="Q283" s="3">
        <v>0.2</v>
      </c>
      <c r="R283" s="3">
        <v>0</v>
      </c>
      <c r="S283" s="2"/>
      <c r="T283" s="5">
        <v>0</v>
      </c>
      <c r="U283" s="4">
        <v>0</v>
      </c>
      <c r="V283" s="4">
        <v>0</v>
      </c>
      <c r="W283" s="2">
        <v>0</v>
      </c>
      <c r="X283" s="4">
        <v>0</v>
      </c>
      <c r="Y283" s="4">
        <v>0</v>
      </c>
      <c r="Z283" s="3">
        <v>0</v>
      </c>
      <c r="AA283" s="3">
        <v>0</v>
      </c>
    </row>
    <row r="284" spans="1:27" x14ac:dyDescent="0.2">
      <c r="A284">
        <f t="shared" si="8"/>
        <v>1</v>
      </c>
      <c r="B284">
        <f t="shared" si="9"/>
        <v>2</v>
      </c>
      <c r="C284" s="1">
        <v>46029</v>
      </c>
      <c r="D284" t="s">
        <v>25</v>
      </c>
      <c r="E284" t="s">
        <v>26</v>
      </c>
      <c r="F284" t="s">
        <v>27</v>
      </c>
      <c r="G284" t="s">
        <v>124</v>
      </c>
      <c r="H284" t="s">
        <v>29</v>
      </c>
      <c r="I284" t="s">
        <v>30</v>
      </c>
      <c r="J284" t="s">
        <v>101</v>
      </c>
      <c r="K284" t="s">
        <v>267</v>
      </c>
      <c r="L284" t="s">
        <v>101</v>
      </c>
      <c r="M284" s="4">
        <v>22</v>
      </c>
      <c r="N284" s="4">
        <v>1</v>
      </c>
      <c r="O284" s="2">
        <v>4.5454545454545463E-2</v>
      </c>
      <c r="P284" s="3">
        <v>0.2</v>
      </c>
      <c r="Q284" s="3">
        <v>0.2</v>
      </c>
      <c r="R284" s="3">
        <v>0</v>
      </c>
      <c r="S284" s="2"/>
      <c r="T284" s="5">
        <v>0</v>
      </c>
      <c r="U284" s="4">
        <v>0</v>
      </c>
      <c r="V284" s="4">
        <v>0</v>
      </c>
      <c r="W284" s="2">
        <v>0</v>
      </c>
      <c r="X284" s="4">
        <v>0</v>
      </c>
      <c r="Y284" s="4">
        <v>0</v>
      </c>
      <c r="Z284" s="3">
        <v>0</v>
      </c>
      <c r="AA284" s="3">
        <v>0</v>
      </c>
    </row>
    <row r="285" spans="1:27" x14ac:dyDescent="0.2">
      <c r="A285">
        <f t="shared" si="8"/>
        <v>1</v>
      </c>
      <c r="B285">
        <f t="shared" si="9"/>
        <v>2</v>
      </c>
      <c r="C285" s="1">
        <v>46031</v>
      </c>
      <c r="D285" t="s">
        <v>25</v>
      </c>
      <c r="E285" t="s">
        <v>26</v>
      </c>
      <c r="F285" t="s">
        <v>39</v>
      </c>
      <c r="G285" t="s">
        <v>40</v>
      </c>
      <c r="H285" t="s">
        <v>29</v>
      </c>
      <c r="I285" t="s">
        <v>30</v>
      </c>
      <c r="J285" t="s">
        <v>41</v>
      </c>
      <c r="K285" t="s">
        <v>42</v>
      </c>
      <c r="L285" t="s">
        <v>101</v>
      </c>
      <c r="M285" s="4">
        <v>5</v>
      </c>
      <c r="N285" s="4">
        <v>2</v>
      </c>
      <c r="O285" s="2">
        <v>0.4</v>
      </c>
      <c r="P285" s="3">
        <v>0.7</v>
      </c>
      <c r="Q285" s="3">
        <v>1.4</v>
      </c>
      <c r="R285" s="3">
        <v>0</v>
      </c>
      <c r="S285" s="2"/>
      <c r="T285" s="5">
        <v>0</v>
      </c>
      <c r="U285" s="4">
        <v>0</v>
      </c>
      <c r="V285" s="4">
        <v>0</v>
      </c>
      <c r="W285" s="2">
        <v>0</v>
      </c>
      <c r="X285" s="4">
        <v>0</v>
      </c>
      <c r="Y285" s="4">
        <v>0</v>
      </c>
      <c r="Z285" s="3">
        <v>0</v>
      </c>
      <c r="AA285" s="3">
        <v>0</v>
      </c>
    </row>
    <row r="286" spans="1:27" x14ac:dyDescent="0.2">
      <c r="A286">
        <f t="shared" si="8"/>
        <v>1</v>
      </c>
      <c r="B286">
        <f t="shared" si="9"/>
        <v>2</v>
      </c>
      <c r="C286" s="1">
        <v>46032</v>
      </c>
      <c r="D286" t="s">
        <v>25</v>
      </c>
      <c r="E286" t="s">
        <v>26</v>
      </c>
      <c r="F286" t="s">
        <v>39</v>
      </c>
      <c r="G286" t="s">
        <v>40</v>
      </c>
      <c r="H286" t="s">
        <v>29</v>
      </c>
      <c r="I286" t="s">
        <v>30</v>
      </c>
      <c r="J286" t="s">
        <v>41</v>
      </c>
      <c r="K286" t="s">
        <v>42</v>
      </c>
      <c r="L286" t="s">
        <v>101</v>
      </c>
      <c r="M286" s="4">
        <v>22</v>
      </c>
      <c r="N286" s="4">
        <v>2</v>
      </c>
      <c r="O286" s="2">
        <v>9.0909090909090925E-2</v>
      </c>
      <c r="P286" s="3">
        <v>0.7</v>
      </c>
      <c r="Q286" s="3">
        <v>1.4</v>
      </c>
      <c r="R286" s="3">
        <v>0</v>
      </c>
      <c r="S286" s="2"/>
      <c r="T286" s="5">
        <v>0</v>
      </c>
      <c r="U286" s="4">
        <v>0</v>
      </c>
      <c r="V286" s="4">
        <v>0</v>
      </c>
      <c r="W286" s="2">
        <v>0</v>
      </c>
      <c r="X286" s="4">
        <v>0</v>
      </c>
      <c r="Y286" s="4">
        <v>0</v>
      </c>
      <c r="Z286" s="3">
        <v>0</v>
      </c>
      <c r="AA286" s="3">
        <v>0</v>
      </c>
    </row>
    <row r="287" spans="1:27" x14ac:dyDescent="0.2">
      <c r="A287">
        <f t="shared" si="8"/>
        <v>1</v>
      </c>
      <c r="B287">
        <f t="shared" si="9"/>
        <v>3</v>
      </c>
      <c r="C287" s="1">
        <v>46035</v>
      </c>
      <c r="D287" t="s">
        <v>25</v>
      </c>
      <c r="E287" t="s">
        <v>26</v>
      </c>
      <c r="F287" t="s">
        <v>27</v>
      </c>
      <c r="G287" t="s">
        <v>28</v>
      </c>
      <c r="H287" t="s">
        <v>29</v>
      </c>
      <c r="I287" t="s">
        <v>30</v>
      </c>
      <c r="J287" t="s">
        <v>44</v>
      </c>
      <c r="K287" t="s">
        <v>32</v>
      </c>
      <c r="L287" t="s">
        <v>101</v>
      </c>
      <c r="M287" s="4">
        <v>9</v>
      </c>
      <c r="N287" s="4">
        <v>1</v>
      </c>
      <c r="O287" s="2">
        <v>0.1111111111111111</v>
      </c>
      <c r="P287" s="3">
        <v>0.2</v>
      </c>
      <c r="Q287" s="3">
        <v>0.2</v>
      </c>
      <c r="R287" s="3">
        <v>0</v>
      </c>
      <c r="S287" s="2"/>
      <c r="T287" s="5">
        <v>0</v>
      </c>
      <c r="U287" s="4">
        <v>0</v>
      </c>
      <c r="V287" s="4">
        <v>0</v>
      </c>
      <c r="W287" s="2">
        <v>0</v>
      </c>
      <c r="X287" s="4">
        <v>0</v>
      </c>
      <c r="Y287" s="4">
        <v>0</v>
      </c>
      <c r="Z287" s="3">
        <v>0</v>
      </c>
      <c r="AA287" s="3">
        <v>0</v>
      </c>
    </row>
    <row r="288" spans="1:27" x14ac:dyDescent="0.2">
      <c r="A288">
        <f t="shared" si="8"/>
        <v>1</v>
      </c>
      <c r="B288">
        <f t="shared" si="9"/>
        <v>3</v>
      </c>
      <c r="C288" s="1">
        <v>46033</v>
      </c>
      <c r="D288" t="s">
        <v>25</v>
      </c>
      <c r="E288" t="s">
        <v>26</v>
      </c>
      <c r="F288" t="s">
        <v>34</v>
      </c>
      <c r="G288" t="s">
        <v>28</v>
      </c>
      <c r="H288" t="s">
        <v>29</v>
      </c>
      <c r="I288" t="s">
        <v>30</v>
      </c>
      <c r="J288" t="s">
        <v>99</v>
      </c>
      <c r="K288" t="s">
        <v>32</v>
      </c>
      <c r="L288" t="s">
        <v>101</v>
      </c>
      <c r="M288" s="4">
        <v>10</v>
      </c>
      <c r="N288" s="4">
        <v>1</v>
      </c>
      <c r="O288" s="2">
        <v>0.1</v>
      </c>
      <c r="P288" s="3">
        <v>1.73</v>
      </c>
      <c r="Q288" s="3">
        <v>1.73</v>
      </c>
      <c r="R288" s="3">
        <v>0</v>
      </c>
      <c r="S288" s="2"/>
      <c r="T288" s="5">
        <v>0</v>
      </c>
      <c r="U288" s="4">
        <v>0</v>
      </c>
      <c r="V288" s="4">
        <v>0</v>
      </c>
      <c r="W288" s="2">
        <v>0</v>
      </c>
      <c r="X288" s="4">
        <v>0</v>
      </c>
      <c r="Y288" s="4">
        <v>0</v>
      </c>
      <c r="Z288" s="3">
        <v>0</v>
      </c>
      <c r="AA288" s="3">
        <v>0</v>
      </c>
    </row>
    <row r="289" spans="1:27" x14ac:dyDescent="0.2">
      <c r="A289">
        <f t="shared" si="8"/>
        <v>1</v>
      </c>
      <c r="B289">
        <f t="shared" si="9"/>
        <v>2</v>
      </c>
      <c r="C289" s="1">
        <v>46026</v>
      </c>
      <c r="D289" t="s">
        <v>25</v>
      </c>
      <c r="E289" t="s">
        <v>26</v>
      </c>
      <c r="F289" t="s">
        <v>49</v>
      </c>
      <c r="G289" t="s">
        <v>50</v>
      </c>
      <c r="H289" t="s">
        <v>29</v>
      </c>
      <c r="I289" t="s">
        <v>30</v>
      </c>
      <c r="J289" t="s">
        <v>47</v>
      </c>
      <c r="K289" t="s">
        <v>42</v>
      </c>
      <c r="L289" t="s">
        <v>99</v>
      </c>
      <c r="M289" s="4">
        <v>34</v>
      </c>
      <c r="N289" s="4">
        <v>1</v>
      </c>
      <c r="O289" s="2">
        <v>2.9411764705882349E-2</v>
      </c>
      <c r="P289" s="3">
        <v>0.65</v>
      </c>
      <c r="Q289" s="3">
        <v>0.65</v>
      </c>
      <c r="R289" s="3">
        <v>35.979999999999997</v>
      </c>
      <c r="S289" s="2">
        <v>1.8065591995553087E-2</v>
      </c>
      <c r="T289" s="5">
        <v>55.353846153846149</v>
      </c>
      <c r="U289" s="4">
        <v>1</v>
      </c>
      <c r="V289" s="4">
        <v>2</v>
      </c>
      <c r="W289" s="2">
        <v>1</v>
      </c>
      <c r="X289" s="4">
        <v>0</v>
      </c>
      <c r="Y289" s="4">
        <v>2</v>
      </c>
      <c r="Z289" s="3">
        <v>0</v>
      </c>
      <c r="AA289" s="3">
        <v>35.979999999999997</v>
      </c>
    </row>
    <row r="290" spans="1:27" x14ac:dyDescent="0.2">
      <c r="A290">
        <f t="shared" si="8"/>
        <v>1</v>
      </c>
      <c r="B290">
        <f t="shared" si="9"/>
        <v>3</v>
      </c>
      <c r="C290" s="1">
        <v>46037</v>
      </c>
      <c r="D290" t="s">
        <v>25</v>
      </c>
      <c r="E290" t="s">
        <v>26</v>
      </c>
      <c r="F290" t="s">
        <v>49</v>
      </c>
      <c r="G290" t="s">
        <v>50</v>
      </c>
      <c r="H290" t="s">
        <v>29</v>
      </c>
      <c r="I290" t="s">
        <v>30</v>
      </c>
      <c r="J290" t="s">
        <v>47</v>
      </c>
      <c r="K290" t="s">
        <v>42</v>
      </c>
      <c r="L290" t="s">
        <v>99</v>
      </c>
      <c r="M290" s="4">
        <v>1</v>
      </c>
      <c r="N290" s="4">
        <v>1</v>
      </c>
      <c r="O290" s="2">
        <v>1</v>
      </c>
      <c r="P290" s="3">
        <v>0.46</v>
      </c>
      <c r="Q290" s="3">
        <v>0.46</v>
      </c>
      <c r="R290" s="3">
        <v>17.09</v>
      </c>
      <c r="S290" s="2">
        <v>2.6916325336454067E-2</v>
      </c>
      <c r="T290" s="5">
        <v>37.152173913043477</v>
      </c>
      <c r="U290" s="4">
        <v>1</v>
      </c>
      <c r="V290" s="4">
        <v>1</v>
      </c>
      <c r="W290" s="2">
        <v>1</v>
      </c>
      <c r="X290" s="4">
        <v>1</v>
      </c>
      <c r="Y290" s="4">
        <v>0</v>
      </c>
      <c r="Z290" s="3">
        <v>17.09</v>
      </c>
      <c r="AA290" s="3">
        <v>0</v>
      </c>
    </row>
    <row r="291" spans="1:27" x14ac:dyDescent="0.2">
      <c r="A291">
        <f t="shared" si="8"/>
        <v>1</v>
      </c>
      <c r="B291">
        <f t="shared" si="9"/>
        <v>2</v>
      </c>
      <c r="C291" s="1">
        <v>46027</v>
      </c>
      <c r="D291" t="s">
        <v>25</v>
      </c>
      <c r="E291" t="s">
        <v>26</v>
      </c>
      <c r="F291" t="s">
        <v>34</v>
      </c>
      <c r="G291" t="s">
        <v>28</v>
      </c>
      <c r="H291" t="s">
        <v>29</v>
      </c>
      <c r="I291" t="s">
        <v>30</v>
      </c>
      <c r="J291" t="s">
        <v>99</v>
      </c>
      <c r="K291" t="s">
        <v>32</v>
      </c>
      <c r="L291" t="s">
        <v>99</v>
      </c>
      <c r="M291" s="4">
        <v>21</v>
      </c>
      <c r="N291" s="4">
        <v>1</v>
      </c>
      <c r="O291" s="2">
        <v>4.7619047619047623E-2</v>
      </c>
      <c r="P291" s="3">
        <v>1.33</v>
      </c>
      <c r="Q291" s="3">
        <v>1.33</v>
      </c>
      <c r="R291" s="3">
        <v>17.989999999999998</v>
      </c>
      <c r="S291" s="2">
        <v>7.3929961089494178E-2</v>
      </c>
      <c r="T291" s="5">
        <v>13.526315789473683</v>
      </c>
      <c r="U291" s="4">
        <v>1</v>
      </c>
      <c r="V291" s="4">
        <v>1</v>
      </c>
      <c r="W291" s="2">
        <v>1</v>
      </c>
      <c r="X291" s="4">
        <v>1</v>
      </c>
      <c r="Y291" s="4">
        <v>0</v>
      </c>
      <c r="Z291" s="3">
        <v>17.989999999999998</v>
      </c>
      <c r="AA291" s="3">
        <v>0</v>
      </c>
    </row>
    <row r="292" spans="1:27" x14ac:dyDescent="0.2">
      <c r="A292">
        <f t="shared" si="8"/>
        <v>1</v>
      </c>
      <c r="B292">
        <f t="shared" si="9"/>
        <v>2</v>
      </c>
      <c r="C292" s="1">
        <v>46028</v>
      </c>
      <c r="D292" t="s">
        <v>25</v>
      </c>
      <c r="E292" t="s">
        <v>26</v>
      </c>
      <c r="F292" t="s">
        <v>27</v>
      </c>
      <c r="G292" t="s">
        <v>28</v>
      </c>
      <c r="H292" t="s">
        <v>29</v>
      </c>
      <c r="I292" t="s">
        <v>30</v>
      </c>
      <c r="J292" t="s">
        <v>99</v>
      </c>
      <c r="K292" t="s">
        <v>32</v>
      </c>
      <c r="L292" t="s">
        <v>99</v>
      </c>
      <c r="M292" s="4">
        <v>2</v>
      </c>
      <c r="N292" s="4">
        <v>1</v>
      </c>
      <c r="O292" s="2">
        <v>0.5</v>
      </c>
      <c r="P292" s="3">
        <v>0.2</v>
      </c>
      <c r="Q292" s="3">
        <v>0.2</v>
      </c>
      <c r="R292" s="3">
        <v>0</v>
      </c>
      <c r="S292" s="2"/>
      <c r="T292" s="5">
        <v>0</v>
      </c>
      <c r="U292" s="4">
        <v>0</v>
      </c>
      <c r="V292" s="4">
        <v>0</v>
      </c>
      <c r="W292" s="2">
        <v>0</v>
      </c>
      <c r="X292" s="4">
        <v>0</v>
      </c>
      <c r="Y292" s="4">
        <v>0</v>
      </c>
      <c r="Z292" s="3">
        <v>0</v>
      </c>
      <c r="AA292" s="3">
        <v>0</v>
      </c>
    </row>
    <row r="293" spans="1:27" x14ac:dyDescent="0.2">
      <c r="A293">
        <f t="shared" si="8"/>
        <v>1</v>
      </c>
      <c r="B293">
        <f t="shared" si="9"/>
        <v>3</v>
      </c>
      <c r="C293" s="1">
        <v>46038</v>
      </c>
      <c r="D293" t="s">
        <v>25</v>
      </c>
      <c r="E293" t="s">
        <v>26</v>
      </c>
      <c r="F293" t="s">
        <v>34</v>
      </c>
      <c r="G293" t="s">
        <v>28</v>
      </c>
      <c r="H293" t="s">
        <v>29</v>
      </c>
      <c r="I293" t="s">
        <v>30</v>
      </c>
      <c r="J293" t="s">
        <v>44</v>
      </c>
      <c r="K293" t="s">
        <v>32</v>
      </c>
      <c r="L293" t="s">
        <v>99</v>
      </c>
      <c r="M293" s="4">
        <v>14</v>
      </c>
      <c r="N293" s="4">
        <v>1</v>
      </c>
      <c r="O293" s="2">
        <v>7.1428571428571425E-2</v>
      </c>
      <c r="P293" s="3">
        <v>1.04</v>
      </c>
      <c r="Q293" s="3">
        <v>1.04</v>
      </c>
      <c r="R293" s="3">
        <v>0</v>
      </c>
      <c r="S293" s="2"/>
      <c r="T293" s="5">
        <v>0</v>
      </c>
      <c r="U293" s="4">
        <v>0</v>
      </c>
      <c r="V293" s="4">
        <v>0</v>
      </c>
      <c r="W293" s="2">
        <v>0</v>
      </c>
      <c r="X293" s="4">
        <v>0</v>
      </c>
      <c r="Y293" s="4">
        <v>0</v>
      </c>
      <c r="Z293" s="3">
        <v>0</v>
      </c>
      <c r="AA293" s="3">
        <v>0</v>
      </c>
    </row>
    <row r="294" spans="1:27" x14ac:dyDescent="0.2">
      <c r="A294">
        <f t="shared" si="8"/>
        <v>1</v>
      </c>
      <c r="B294">
        <f t="shared" si="9"/>
        <v>2</v>
      </c>
      <c r="C294" s="1">
        <v>46028</v>
      </c>
      <c r="D294" t="s">
        <v>25</v>
      </c>
      <c r="E294" t="s">
        <v>26</v>
      </c>
      <c r="F294" t="s">
        <v>34</v>
      </c>
      <c r="G294" t="s">
        <v>273</v>
      </c>
      <c r="H294" t="s">
        <v>29</v>
      </c>
      <c r="I294" t="s">
        <v>30</v>
      </c>
      <c r="J294" t="s">
        <v>99</v>
      </c>
      <c r="K294" t="s">
        <v>267</v>
      </c>
      <c r="L294" t="s">
        <v>99</v>
      </c>
      <c r="M294" s="4">
        <v>211</v>
      </c>
      <c r="N294" s="4">
        <v>1</v>
      </c>
      <c r="O294" s="2">
        <v>4.7393364928909956E-3</v>
      </c>
      <c r="P294" s="3">
        <v>1.07</v>
      </c>
      <c r="Q294" s="3">
        <v>1.07</v>
      </c>
      <c r="R294" s="3">
        <v>0</v>
      </c>
      <c r="S294" s="2"/>
      <c r="T294" s="5">
        <v>0</v>
      </c>
      <c r="U294" s="4">
        <v>0</v>
      </c>
      <c r="V294" s="4">
        <v>0</v>
      </c>
      <c r="W294" s="2">
        <v>0</v>
      </c>
      <c r="X294" s="4">
        <v>0</v>
      </c>
      <c r="Y294" s="4">
        <v>0</v>
      </c>
      <c r="Z294" s="3">
        <v>0</v>
      </c>
      <c r="AA294" s="3">
        <v>0</v>
      </c>
    </row>
    <row r="295" spans="1:27" x14ac:dyDescent="0.2">
      <c r="A295">
        <f t="shared" si="8"/>
        <v>1</v>
      </c>
      <c r="B295">
        <f t="shared" si="9"/>
        <v>2</v>
      </c>
      <c r="C295" s="1">
        <v>46029</v>
      </c>
      <c r="D295" t="s">
        <v>25</v>
      </c>
      <c r="E295" t="s">
        <v>26</v>
      </c>
      <c r="F295" t="s">
        <v>34</v>
      </c>
      <c r="G295" t="s">
        <v>273</v>
      </c>
      <c r="H295" t="s">
        <v>29</v>
      </c>
      <c r="I295" t="s">
        <v>30</v>
      </c>
      <c r="J295" t="s">
        <v>99</v>
      </c>
      <c r="K295" t="s">
        <v>267</v>
      </c>
      <c r="L295" t="s">
        <v>99</v>
      </c>
      <c r="M295" s="4">
        <v>53</v>
      </c>
      <c r="N295" s="4">
        <v>2</v>
      </c>
      <c r="O295" s="2">
        <v>3.7735849056603772E-2</v>
      </c>
      <c r="P295" s="3">
        <v>0.99</v>
      </c>
      <c r="Q295" s="3">
        <v>1.98</v>
      </c>
      <c r="R295" s="3">
        <v>0</v>
      </c>
      <c r="S295" s="2"/>
      <c r="T295" s="5">
        <v>0</v>
      </c>
      <c r="U295" s="4">
        <v>0</v>
      </c>
      <c r="V295" s="4">
        <v>0</v>
      </c>
      <c r="W295" s="2">
        <v>0</v>
      </c>
      <c r="X295" s="4">
        <v>0</v>
      </c>
      <c r="Y295" s="4">
        <v>0</v>
      </c>
      <c r="Z295" s="3">
        <v>0</v>
      </c>
      <c r="AA295" s="3">
        <v>0</v>
      </c>
    </row>
    <row r="296" spans="1:27" x14ac:dyDescent="0.2">
      <c r="A296">
        <f t="shared" si="8"/>
        <v>1</v>
      </c>
      <c r="B296">
        <f t="shared" si="9"/>
        <v>4</v>
      </c>
      <c r="C296" s="1">
        <v>46043</v>
      </c>
      <c r="D296" t="s">
        <v>25</v>
      </c>
      <c r="E296" t="s">
        <v>26</v>
      </c>
      <c r="F296" t="s">
        <v>34</v>
      </c>
      <c r="G296" t="s">
        <v>273</v>
      </c>
      <c r="H296" t="s">
        <v>29</v>
      </c>
      <c r="I296" t="s">
        <v>30</v>
      </c>
      <c r="J296" t="s">
        <v>99</v>
      </c>
      <c r="K296" t="s">
        <v>267</v>
      </c>
      <c r="L296" t="s">
        <v>99</v>
      </c>
      <c r="M296" s="4">
        <v>43</v>
      </c>
      <c r="N296" s="4">
        <v>1</v>
      </c>
      <c r="O296" s="2">
        <v>2.3255813953488372E-2</v>
      </c>
      <c r="P296" s="3">
        <v>1.06</v>
      </c>
      <c r="Q296" s="3">
        <v>1.06</v>
      </c>
      <c r="R296" s="3">
        <v>0</v>
      </c>
      <c r="S296" s="2"/>
      <c r="T296" s="5">
        <v>0</v>
      </c>
      <c r="U296" s="4">
        <v>0</v>
      </c>
      <c r="V296" s="4">
        <v>0</v>
      </c>
      <c r="W296" s="2">
        <v>0</v>
      </c>
      <c r="X296" s="4">
        <v>0</v>
      </c>
      <c r="Y296" s="4">
        <v>0</v>
      </c>
      <c r="Z296" s="3">
        <v>0</v>
      </c>
      <c r="AA296" s="3">
        <v>0</v>
      </c>
    </row>
    <row r="297" spans="1:27" x14ac:dyDescent="0.2">
      <c r="A297">
        <f t="shared" si="8"/>
        <v>1</v>
      </c>
      <c r="B297">
        <f t="shared" si="9"/>
        <v>3</v>
      </c>
      <c r="C297" s="1">
        <v>46037</v>
      </c>
      <c r="D297" t="s">
        <v>25</v>
      </c>
      <c r="E297" t="s">
        <v>26</v>
      </c>
      <c r="F297" t="s">
        <v>34</v>
      </c>
      <c r="G297" t="s">
        <v>28</v>
      </c>
      <c r="H297" t="s">
        <v>29</v>
      </c>
      <c r="I297" t="s">
        <v>30</v>
      </c>
      <c r="J297" t="s">
        <v>37</v>
      </c>
      <c r="K297" t="s">
        <v>32</v>
      </c>
      <c r="L297" t="s">
        <v>279</v>
      </c>
      <c r="M297" s="4">
        <v>3</v>
      </c>
      <c r="N297" s="4">
        <v>1</v>
      </c>
      <c r="O297" s="2">
        <v>0.33333333333333331</v>
      </c>
      <c r="P297" s="3">
        <v>1.42</v>
      </c>
      <c r="Q297" s="3">
        <v>1.42</v>
      </c>
      <c r="R297" s="3">
        <v>0</v>
      </c>
      <c r="S297" s="2"/>
      <c r="T297" s="5">
        <v>0</v>
      </c>
      <c r="U297" s="4">
        <v>0</v>
      </c>
      <c r="V297" s="4">
        <v>0</v>
      </c>
      <c r="W297" s="2">
        <v>0</v>
      </c>
      <c r="X297" s="4">
        <v>0</v>
      </c>
      <c r="Y297" s="4">
        <v>0</v>
      </c>
      <c r="Z297" s="3">
        <v>0</v>
      </c>
      <c r="AA297" s="3">
        <v>0</v>
      </c>
    </row>
    <row r="298" spans="1:27" x14ac:dyDescent="0.2">
      <c r="A298">
        <f t="shared" si="8"/>
        <v>1</v>
      </c>
      <c r="B298">
        <f t="shared" si="9"/>
        <v>1</v>
      </c>
      <c r="C298" s="1">
        <v>46024</v>
      </c>
      <c r="D298" t="s">
        <v>25</v>
      </c>
      <c r="E298" t="s">
        <v>26</v>
      </c>
      <c r="F298" t="s">
        <v>49</v>
      </c>
      <c r="G298" t="s">
        <v>50</v>
      </c>
      <c r="H298" t="s">
        <v>29</v>
      </c>
      <c r="I298" t="s">
        <v>30</v>
      </c>
      <c r="J298" t="s">
        <v>47</v>
      </c>
      <c r="K298" t="s">
        <v>42</v>
      </c>
      <c r="L298" t="s">
        <v>50</v>
      </c>
      <c r="M298" s="4">
        <v>8</v>
      </c>
      <c r="N298" s="4">
        <v>1</v>
      </c>
      <c r="O298" s="2">
        <v>0.125</v>
      </c>
      <c r="P298" s="3">
        <v>0.67</v>
      </c>
      <c r="Q298" s="3">
        <v>0.67</v>
      </c>
      <c r="R298" s="3">
        <v>0</v>
      </c>
      <c r="S298" s="2"/>
      <c r="T298" s="5">
        <v>0</v>
      </c>
      <c r="U298" s="4">
        <v>0</v>
      </c>
      <c r="V298" s="4">
        <v>0</v>
      </c>
      <c r="W298" s="2">
        <v>0</v>
      </c>
      <c r="X298" s="4">
        <v>0</v>
      </c>
      <c r="Y298" s="4">
        <v>0</v>
      </c>
      <c r="Z298" s="3">
        <v>0</v>
      </c>
      <c r="AA298" s="3">
        <v>0</v>
      </c>
    </row>
    <row r="299" spans="1:27" x14ac:dyDescent="0.2">
      <c r="A299">
        <f t="shared" si="8"/>
        <v>1</v>
      </c>
      <c r="B299">
        <f t="shared" si="9"/>
        <v>2</v>
      </c>
      <c r="C299" s="1">
        <v>46030</v>
      </c>
      <c r="D299" t="s">
        <v>25</v>
      </c>
      <c r="E299" t="s">
        <v>26</v>
      </c>
      <c r="F299" t="s">
        <v>49</v>
      </c>
      <c r="G299" t="s">
        <v>50</v>
      </c>
      <c r="H299" t="s">
        <v>29</v>
      </c>
      <c r="I299" t="s">
        <v>30</v>
      </c>
      <c r="J299" t="s">
        <v>47</v>
      </c>
      <c r="K299" t="s">
        <v>42</v>
      </c>
      <c r="L299" t="s">
        <v>50</v>
      </c>
      <c r="M299" s="4">
        <v>2</v>
      </c>
      <c r="N299" s="4">
        <v>1</v>
      </c>
      <c r="O299" s="2">
        <v>0.5</v>
      </c>
      <c r="P299" s="3">
        <v>0.77</v>
      </c>
      <c r="Q299" s="3">
        <v>0.77</v>
      </c>
      <c r="R299" s="3">
        <v>0</v>
      </c>
      <c r="S299" s="2"/>
      <c r="T299" s="5">
        <v>0</v>
      </c>
      <c r="U299" s="4">
        <v>0</v>
      </c>
      <c r="V299" s="4">
        <v>0</v>
      </c>
      <c r="W299" s="2">
        <v>0</v>
      </c>
      <c r="X299" s="4">
        <v>0</v>
      </c>
      <c r="Y299" s="4">
        <v>0</v>
      </c>
      <c r="Z299" s="3">
        <v>0</v>
      </c>
      <c r="AA299" s="3">
        <v>0</v>
      </c>
    </row>
    <row r="300" spans="1:27" x14ac:dyDescent="0.2">
      <c r="A300">
        <f t="shared" si="8"/>
        <v>1</v>
      </c>
      <c r="B300">
        <f t="shared" si="9"/>
        <v>4</v>
      </c>
      <c r="C300" s="1">
        <v>46042</v>
      </c>
      <c r="D300" t="s">
        <v>25</v>
      </c>
      <c r="E300" t="s">
        <v>26</v>
      </c>
      <c r="F300" t="s">
        <v>39</v>
      </c>
      <c r="G300" t="s">
        <v>40</v>
      </c>
      <c r="H300" t="s">
        <v>29</v>
      </c>
      <c r="I300" t="s">
        <v>30</v>
      </c>
      <c r="J300" t="s">
        <v>58</v>
      </c>
      <c r="K300" t="s">
        <v>42</v>
      </c>
      <c r="L300" t="s">
        <v>50</v>
      </c>
      <c r="M300" s="4">
        <v>12</v>
      </c>
      <c r="N300" s="4">
        <v>1</v>
      </c>
      <c r="O300" s="2">
        <v>8.3333333333333315E-2</v>
      </c>
      <c r="P300" s="3">
        <v>0.64</v>
      </c>
      <c r="Q300" s="3">
        <v>0.64</v>
      </c>
      <c r="R300" s="3">
        <v>0</v>
      </c>
      <c r="S300" s="2"/>
      <c r="T300" s="5">
        <v>0</v>
      </c>
      <c r="U300" s="4">
        <v>0</v>
      </c>
      <c r="V300" s="4">
        <v>0</v>
      </c>
      <c r="W300" s="2">
        <v>0</v>
      </c>
      <c r="X300" s="4">
        <v>0</v>
      </c>
      <c r="Y300" s="4">
        <v>0</v>
      </c>
      <c r="Z300" s="3">
        <v>0</v>
      </c>
      <c r="AA300" s="3">
        <v>0</v>
      </c>
    </row>
    <row r="301" spans="1:27" x14ac:dyDescent="0.2">
      <c r="A301">
        <f t="shared" si="8"/>
        <v>1</v>
      </c>
      <c r="B301">
        <f t="shared" si="9"/>
        <v>3</v>
      </c>
      <c r="C301" s="1">
        <v>46038</v>
      </c>
      <c r="D301" t="s">
        <v>25</v>
      </c>
      <c r="E301" t="s">
        <v>26</v>
      </c>
      <c r="F301" t="s">
        <v>49</v>
      </c>
      <c r="G301" t="s">
        <v>50</v>
      </c>
      <c r="H301" t="s">
        <v>29</v>
      </c>
      <c r="I301" t="s">
        <v>30</v>
      </c>
      <c r="J301" t="s">
        <v>47</v>
      </c>
      <c r="K301" t="s">
        <v>42</v>
      </c>
      <c r="L301" t="s">
        <v>280</v>
      </c>
      <c r="M301" s="4">
        <v>3</v>
      </c>
      <c r="N301" s="4">
        <v>1</v>
      </c>
      <c r="O301" s="2">
        <v>0.33333333333333331</v>
      </c>
      <c r="P301" s="3">
        <v>0.47</v>
      </c>
      <c r="Q301" s="3">
        <v>0.47</v>
      </c>
      <c r="R301" s="3">
        <v>0</v>
      </c>
      <c r="S301" s="2"/>
      <c r="T301" s="5">
        <v>0</v>
      </c>
      <c r="U301" s="4">
        <v>0</v>
      </c>
      <c r="V301" s="4">
        <v>0</v>
      </c>
      <c r="W301" s="2">
        <v>0</v>
      </c>
      <c r="X301" s="4">
        <v>0</v>
      </c>
      <c r="Y301" s="4">
        <v>0</v>
      </c>
      <c r="Z301" s="3">
        <v>0</v>
      </c>
      <c r="AA301" s="3">
        <v>0</v>
      </c>
    </row>
    <row r="302" spans="1:27" x14ac:dyDescent="0.2">
      <c r="A302">
        <f t="shared" si="8"/>
        <v>1</v>
      </c>
      <c r="B302">
        <f t="shared" si="9"/>
        <v>2</v>
      </c>
      <c r="C302" s="1">
        <v>46030</v>
      </c>
      <c r="D302" t="s">
        <v>25</v>
      </c>
      <c r="E302" t="s">
        <v>26</v>
      </c>
      <c r="F302" t="s">
        <v>34</v>
      </c>
      <c r="G302" t="s">
        <v>273</v>
      </c>
      <c r="H302" t="s">
        <v>29</v>
      </c>
      <c r="I302" t="s">
        <v>30</v>
      </c>
      <c r="J302" t="s">
        <v>280</v>
      </c>
      <c r="K302" t="s">
        <v>87</v>
      </c>
      <c r="L302" t="s">
        <v>280</v>
      </c>
      <c r="M302" s="4">
        <v>4</v>
      </c>
      <c r="N302" s="4">
        <v>1</v>
      </c>
      <c r="O302" s="2">
        <v>0.25</v>
      </c>
      <c r="P302" s="3">
        <v>1.53</v>
      </c>
      <c r="Q302" s="3">
        <v>1.53</v>
      </c>
      <c r="R302" s="3">
        <v>0</v>
      </c>
      <c r="S302" s="2"/>
      <c r="T302" s="5">
        <v>0</v>
      </c>
      <c r="U302" s="4">
        <v>0</v>
      </c>
      <c r="V302" s="4">
        <v>0</v>
      </c>
      <c r="W302" s="2">
        <v>0</v>
      </c>
      <c r="X302" s="4">
        <v>0</v>
      </c>
      <c r="Y302" s="4">
        <v>0</v>
      </c>
      <c r="Z302" s="3">
        <v>0</v>
      </c>
      <c r="AA302" s="3">
        <v>0</v>
      </c>
    </row>
    <row r="303" spans="1:27" x14ac:dyDescent="0.2">
      <c r="A303">
        <f t="shared" si="8"/>
        <v>1</v>
      </c>
      <c r="B303">
        <f t="shared" si="9"/>
        <v>2</v>
      </c>
      <c r="C303" s="1">
        <v>46032</v>
      </c>
      <c r="D303" t="s">
        <v>25</v>
      </c>
      <c r="E303" t="s">
        <v>26</v>
      </c>
      <c r="F303" t="s">
        <v>34</v>
      </c>
      <c r="G303" t="s">
        <v>273</v>
      </c>
      <c r="H303" t="s">
        <v>29</v>
      </c>
      <c r="I303" t="s">
        <v>30</v>
      </c>
      <c r="J303" t="s">
        <v>280</v>
      </c>
      <c r="K303" t="s">
        <v>87</v>
      </c>
      <c r="L303" t="s">
        <v>280</v>
      </c>
      <c r="M303" s="4">
        <v>29</v>
      </c>
      <c r="N303" s="4">
        <v>1</v>
      </c>
      <c r="O303" s="2">
        <v>3.4482758620689655E-2</v>
      </c>
      <c r="P303" s="3">
        <v>1.62</v>
      </c>
      <c r="Q303" s="3">
        <v>1.62</v>
      </c>
      <c r="R303" s="3">
        <v>0</v>
      </c>
      <c r="S303" s="2"/>
      <c r="T303" s="5">
        <v>0</v>
      </c>
      <c r="U303" s="4">
        <v>0</v>
      </c>
      <c r="V303" s="4">
        <v>0</v>
      </c>
      <c r="W303" s="2">
        <v>0</v>
      </c>
      <c r="X303" s="4">
        <v>0</v>
      </c>
      <c r="Y303" s="4">
        <v>0</v>
      </c>
      <c r="Z303" s="3">
        <v>0</v>
      </c>
      <c r="AA303" s="3">
        <v>0</v>
      </c>
    </row>
    <row r="304" spans="1:27" x14ac:dyDescent="0.2">
      <c r="A304">
        <f t="shared" si="8"/>
        <v>1</v>
      </c>
      <c r="B304">
        <f t="shared" si="9"/>
        <v>2</v>
      </c>
      <c r="C304" s="1">
        <v>46028</v>
      </c>
      <c r="D304" t="s">
        <v>25</v>
      </c>
      <c r="E304" t="s">
        <v>26</v>
      </c>
      <c r="F304" t="s">
        <v>27</v>
      </c>
      <c r="G304" t="s">
        <v>124</v>
      </c>
      <c r="H304" t="s">
        <v>29</v>
      </c>
      <c r="I304" t="s">
        <v>30</v>
      </c>
      <c r="J304" t="s">
        <v>280</v>
      </c>
      <c r="K304" t="s">
        <v>87</v>
      </c>
      <c r="L304" t="s">
        <v>280</v>
      </c>
      <c r="M304" s="4">
        <v>8</v>
      </c>
      <c r="N304" s="4">
        <v>1</v>
      </c>
      <c r="O304" s="2">
        <v>0.125</v>
      </c>
      <c r="P304" s="3">
        <v>0.2</v>
      </c>
      <c r="Q304" s="3">
        <v>0.2</v>
      </c>
      <c r="R304" s="3">
        <v>0</v>
      </c>
      <c r="S304" s="2"/>
      <c r="T304" s="5">
        <v>0</v>
      </c>
      <c r="U304" s="4">
        <v>0</v>
      </c>
      <c r="V304" s="4">
        <v>0</v>
      </c>
      <c r="W304" s="2">
        <v>0</v>
      </c>
      <c r="X304" s="4">
        <v>0</v>
      </c>
      <c r="Y304" s="4">
        <v>0</v>
      </c>
      <c r="Z304" s="3">
        <v>0</v>
      </c>
      <c r="AA304" s="3">
        <v>0</v>
      </c>
    </row>
    <row r="305" spans="1:27" x14ac:dyDescent="0.2">
      <c r="A305">
        <f t="shared" si="8"/>
        <v>1</v>
      </c>
      <c r="B305">
        <f t="shared" si="9"/>
        <v>2</v>
      </c>
      <c r="C305" s="1">
        <v>46030</v>
      </c>
      <c r="D305" t="s">
        <v>25</v>
      </c>
      <c r="E305" t="s">
        <v>26</v>
      </c>
      <c r="F305" t="s">
        <v>34</v>
      </c>
      <c r="G305" t="s">
        <v>28</v>
      </c>
      <c r="H305" t="s">
        <v>29</v>
      </c>
      <c r="I305" t="s">
        <v>30</v>
      </c>
      <c r="J305" t="s">
        <v>99</v>
      </c>
      <c r="K305" t="s">
        <v>32</v>
      </c>
      <c r="L305" t="s">
        <v>280</v>
      </c>
      <c r="M305" s="4">
        <v>18</v>
      </c>
      <c r="N305" s="4">
        <v>1</v>
      </c>
      <c r="O305" s="2">
        <v>5.5555555555555552E-2</v>
      </c>
      <c r="P305" s="3">
        <v>1.73</v>
      </c>
      <c r="Q305" s="3">
        <v>1.73</v>
      </c>
      <c r="R305" s="3">
        <v>0</v>
      </c>
      <c r="S305" s="2"/>
      <c r="T305" s="5">
        <v>0</v>
      </c>
      <c r="U305" s="4">
        <v>0</v>
      </c>
      <c r="V305" s="4">
        <v>0</v>
      </c>
      <c r="W305" s="2">
        <v>0</v>
      </c>
      <c r="X305" s="4">
        <v>0</v>
      </c>
      <c r="Y305" s="4">
        <v>0</v>
      </c>
      <c r="Z305" s="3">
        <v>0</v>
      </c>
      <c r="AA305" s="3">
        <v>0</v>
      </c>
    </row>
    <row r="306" spans="1:27" x14ac:dyDescent="0.2">
      <c r="A306">
        <f t="shared" si="8"/>
        <v>1</v>
      </c>
      <c r="B306">
        <f t="shared" si="9"/>
        <v>2</v>
      </c>
      <c r="C306" s="1">
        <v>46026</v>
      </c>
      <c r="D306" t="s">
        <v>25</v>
      </c>
      <c r="E306" t="s">
        <v>26</v>
      </c>
      <c r="F306" t="s">
        <v>27</v>
      </c>
      <c r="G306" t="s">
        <v>124</v>
      </c>
      <c r="H306" t="s">
        <v>29</v>
      </c>
      <c r="I306" t="s">
        <v>30</v>
      </c>
      <c r="J306" t="s">
        <v>280</v>
      </c>
      <c r="K306" t="s">
        <v>87</v>
      </c>
      <c r="L306" t="s">
        <v>281</v>
      </c>
      <c r="M306" s="4">
        <v>19</v>
      </c>
      <c r="N306" s="4">
        <v>1</v>
      </c>
      <c r="O306" s="2">
        <v>5.2631578947368418E-2</v>
      </c>
      <c r="P306" s="3">
        <v>0.2</v>
      </c>
      <c r="Q306" s="3">
        <v>0.2</v>
      </c>
      <c r="R306" s="3">
        <v>0</v>
      </c>
      <c r="S306" s="2"/>
      <c r="T306" s="5">
        <v>0</v>
      </c>
      <c r="U306" s="4">
        <v>0</v>
      </c>
      <c r="V306" s="4">
        <v>0</v>
      </c>
      <c r="W306" s="2">
        <v>0</v>
      </c>
      <c r="X306" s="4">
        <v>0</v>
      </c>
      <c r="Y306" s="4">
        <v>0</v>
      </c>
      <c r="Z306" s="3">
        <v>0</v>
      </c>
      <c r="AA306" s="3">
        <v>0</v>
      </c>
    </row>
    <row r="307" spans="1:27" x14ac:dyDescent="0.2">
      <c r="A307">
        <f t="shared" si="8"/>
        <v>1</v>
      </c>
      <c r="B307">
        <f t="shared" si="9"/>
        <v>4</v>
      </c>
      <c r="C307" s="1">
        <v>46041</v>
      </c>
      <c r="D307" t="s">
        <v>25</v>
      </c>
      <c r="E307" t="s">
        <v>26</v>
      </c>
      <c r="F307" t="s">
        <v>27</v>
      </c>
      <c r="G307" t="s">
        <v>124</v>
      </c>
      <c r="H307" t="s">
        <v>29</v>
      </c>
      <c r="I307" t="s">
        <v>30</v>
      </c>
      <c r="J307" t="s">
        <v>280</v>
      </c>
      <c r="K307" t="s">
        <v>87</v>
      </c>
      <c r="L307" t="s">
        <v>281</v>
      </c>
      <c r="M307" s="4">
        <v>3</v>
      </c>
      <c r="N307" s="4">
        <v>1</v>
      </c>
      <c r="O307" s="2">
        <v>0.33333333333333331</v>
      </c>
      <c r="P307" s="3">
        <v>0.2</v>
      </c>
      <c r="Q307" s="3">
        <v>0.2</v>
      </c>
      <c r="R307" s="3">
        <v>0</v>
      </c>
      <c r="S307" s="2"/>
      <c r="T307" s="5">
        <v>0</v>
      </c>
      <c r="U307" s="4">
        <v>0</v>
      </c>
      <c r="V307" s="4">
        <v>0</v>
      </c>
      <c r="W307" s="2">
        <v>0</v>
      </c>
      <c r="X307" s="4">
        <v>0</v>
      </c>
      <c r="Y307" s="4">
        <v>0</v>
      </c>
      <c r="Z307" s="3">
        <v>0</v>
      </c>
      <c r="AA307" s="3">
        <v>0</v>
      </c>
    </row>
    <row r="308" spans="1:27" x14ac:dyDescent="0.2">
      <c r="A308">
        <f t="shared" si="8"/>
        <v>1</v>
      </c>
      <c r="B308">
        <f t="shared" si="9"/>
        <v>3</v>
      </c>
      <c r="C308" s="1">
        <v>46038</v>
      </c>
      <c r="D308" t="s">
        <v>25</v>
      </c>
      <c r="E308" t="s">
        <v>26</v>
      </c>
      <c r="F308" t="s">
        <v>27</v>
      </c>
      <c r="G308" t="s">
        <v>28</v>
      </c>
      <c r="H308" t="s">
        <v>29</v>
      </c>
      <c r="I308" t="s">
        <v>30</v>
      </c>
      <c r="J308" t="s">
        <v>50</v>
      </c>
      <c r="K308" t="s">
        <v>32</v>
      </c>
      <c r="L308" t="s">
        <v>282</v>
      </c>
      <c r="M308" s="4">
        <v>2</v>
      </c>
      <c r="N308" s="4">
        <v>1</v>
      </c>
      <c r="O308" s="2">
        <v>0.5</v>
      </c>
      <c r="P308" s="3">
        <v>0.21</v>
      </c>
      <c r="Q308" s="3">
        <v>0.21</v>
      </c>
      <c r="R308" s="3">
        <v>0</v>
      </c>
      <c r="S308" s="2"/>
      <c r="T308" s="5">
        <v>0</v>
      </c>
      <c r="U308" s="4">
        <v>0</v>
      </c>
      <c r="V308" s="4">
        <v>0</v>
      </c>
      <c r="W308" s="2">
        <v>0</v>
      </c>
      <c r="X308" s="4">
        <v>0</v>
      </c>
      <c r="Y308" s="4">
        <v>0</v>
      </c>
      <c r="Z308" s="3">
        <v>0</v>
      </c>
      <c r="AA308" s="3">
        <v>0</v>
      </c>
    </row>
    <row r="309" spans="1:27" x14ac:dyDescent="0.2">
      <c r="A309">
        <f t="shared" si="8"/>
        <v>1</v>
      </c>
      <c r="B309">
        <f t="shared" si="9"/>
        <v>3</v>
      </c>
      <c r="C309" s="1">
        <v>46034</v>
      </c>
      <c r="D309" t="s">
        <v>25</v>
      </c>
      <c r="E309" t="s">
        <v>26</v>
      </c>
      <c r="F309" t="s">
        <v>27</v>
      </c>
      <c r="G309" t="s">
        <v>28</v>
      </c>
      <c r="H309" t="s">
        <v>29</v>
      </c>
      <c r="I309" t="s">
        <v>30</v>
      </c>
      <c r="J309" t="s">
        <v>50</v>
      </c>
      <c r="K309" t="s">
        <v>32</v>
      </c>
      <c r="L309" t="s">
        <v>283</v>
      </c>
      <c r="M309" s="4">
        <v>2</v>
      </c>
      <c r="N309" s="4">
        <v>2</v>
      </c>
      <c r="O309" s="2">
        <v>1</v>
      </c>
      <c r="P309" s="3">
        <v>0.21</v>
      </c>
      <c r="Q309" s="3">
        <v>0.42</v>
      </c>
      <c r="R309" s="3">
        <v>0</v>
      </c>
      <c r="S309" s="2"/>
      <c r="T309" s="5">
        <v>0</v>
      </c>
      <c r="U309" s="4">
        <v>0</v>
      </c>
      <c r="V309" s="4">
        <v>0</v>
      </c>
      <c r="W309" s="2">
        <v>0</v>
      </c>
      <c r="X309" s="4">
        <v>0</v>
      </c>
      <c r="Y309" s="4">
        <v>0</v>
      </c>
      <c r="Z309" s="3">
        <v>0</v>
      </c>
      <c r="AA309" s="3">
        <v>0</v>
      </c>
    </row>
    <row r="310" spans="1:27" x14ac:dyDescent="0.2">
      <c r="A310">
        <f t="shared" si="8"/>
        <v>1</v>
      </c>
      <c r="B310">
        <f t="shared" si="9"/>
        <v>2</v>
      </c>
      <c r="C310" s="1">
        <v>46027</v>
      </c>
      <c r="D310" t="s">
        <v>25</v>
      </c>
      <c r="E310" t="s">
        <v>26</v>
      </c>
      <c r="F310" t="s">
        <v>49</v>
      </c>
      <c r="G310" t="s">
        <v>50</v>
      </c>
      <c r="H310" t="s">
        <v>29</v>
      </c>
      <c r="I310" t="s">
        <v>30</v>
      </c>
      <c r="J310" t="s">
        <v>47</v>
      </c>
      <c r="K310" t="s">
        <v>42</v>
      </c>
      <c r="L310" t="s">
        <v>284</v>
      </c>
      <c r="M310" s="4">
        <v>4</v>
      </c>
      <c r="N310" s="4">
        <v>1</v>
      </c>
      <c r="O310" s="2">
        <v>0.25</v>
      </c>
      <c r="P310" s="3">
        <v>0.77</v>
      </c>
      <c r="Q310" s="3">
        <v>0.77</v>
      </c>
      <c r="R310" s="3">
        <v>0</v>
      </c>
      <c r="S310" s="2"/>
      <c r="T310" s="5">
        <v>0</v>
      </c>
      <c r="U310" s="4">
        <v>0</v>
      </c>
      <c r="V310" s="4">
        <v>0</v>
      </c>
      <c r="W310" s="2">
        <v>0</v>
      </c>
      <c r="X310" s="4">
        <v>0</v>
      </c>
      <c r="Y310" s="4">
        <v>0</v>
      </c>
      <c r="Z310" s="3">
        <v>0</v>
      </c>
      <c r="AA310" s="3">
        <v>0</v>
      </c>
    </row>
    <row r="311" spans="1:27" x14ac:dyDescent="0.2">
      <c r="A311">
        <f t="shared" si="8"/>
        <v>1</v>
      </c>
      <c r="B311">
        <f t="shared" si="9"/>
        <v>3</v>
      </c>
      <c r="C311" s="1">
        <v>46038</v>
      </c>
      <c r="D311" t="s">
        <v>25</v>
      </c>
      <c r="E311" t="s">
        <v>26</v>
      </c>
      <c r="F311" t="s">
        <v>27</v>
      </c>
      <c r="G311" t="s">
        <v>28</v>
      </c>
      <c r="H311" t="s">
        <v>29</v>
      </c>
      <c r="I311" t="s">
        <v>30</v>
      </c>
      <c r="J311" t="s">
        <v>101</v>
      </c>
      <c r="K311" t="s">
        <v>32</v>
      </c>
      <c r="L311" t="s">
        <v>285</v>
      </c>
      <c r="M311" s="4">
        <v>3</v>
      </c>
      <c r="N311" s="4">
        <v>1</v>
      </c>
      <c r="O311" s="2">
        <v>0.33333333333333331</v>
      </c>
      <c r="P311" s="3">
        <v>0.2</v>
      </c>
      <c r="Q311" s="3">
        <v>0.2</v>
      </c>
      <c r="R311" s="3">
        <v>0</v>
      </c>
      <c r="S311" s="2"/>
      <c r="T311" s="5">
        <v>0</v>
      </c>
      <c r="U311" s="4">
        <v>0</v>
      </c>
      <c r="V311" s="4">
        <v>0</v>
      </c>
      <c r="W311" s="2">
        <v>0</v>
      </c>
      <c r="X311" s="4">
        <v>0</v>
      </c>
      <c r="Y311" s="4">
        <v>0</v>
      </c>
      <c r="Z311" s="3">
        <v>0</v>
      </c>
      <c r="AA311" s="3">
        <v>0</v>
      </c>
    </row>
    <row r="312" spans="1:27" x14ac:dyDescent="0.2">
      <c r="A312">
        <f t="shared" si="8"/>
        <v>1</v>
      </c>
      <c r="B312">
        <f t="shared" si="9"/>
        <v>4</v>
      </c>
      <c r="C312" s="1">
        <v>46040</v>
      </c>
      <c r="D312" t="s">
        <v>25</v>
      </c>
      <c r="E312" t="s">
        <v>26</v>
      </c>
      <c r="F312" t="s">
        <v>49</v>
      </c>
      <c r="G312" t="s">
        <v>50</v>
      </c>
      <c r="H312" t="s">
        <v>29</v>
      </c>
      <c r="I312" t="s">
        <v>30</v>
      </c>
      <c r="J312" t="s">
        <v>95</v>
      </c>
      <c r="K312" t="s">
        <v>42</v>
      </c>
      <c r="L312" t="s">
        <v>286</v>
      </c>
      <c r="M312" s="4">
        <v>1</v>
      </c>
      <c r="N312" s="4">
        <v>1</v>
      </c>
      <c r="O312" s="2">
        <v>1</v>
      </c>
      <c r="P312" s="3">
        <v>0.44</v>
      </c>
      <c r="Q312" s="3">
        <v>0.44</v>
      </c>
      <c r="R312" s="3">
        <v>0</v>
      </c>
      <c r="S312" s="2"/>
      <c r="T312" s="5">
        <v>0</v>
      </c>
      <c r="U312" s="4">
        <v>0</v>
      </c>
      <c r="V312" s="4">
        <v>0</v>
      </c>
      <c r="W312" s="2">
        <v>0</v>
      </c>
      <c r="X312" s="4">
        <v>0</v>
      </c>
      <c r="Y312" s="4">
        <v>0</v>
      </c>
      <c r="Z312" s="3">
        <v>0</v>
      </c>
      <c r="AA312" s="3">
        <v>0</v>
      </c>
    </row>
    <row r="313" spans="1:27" x14ac:dyDescent="0.2">
      <c r="A313">
        <f t="shared" si="8"/>
        <v>1</v>
      </c>
      <c r="B313">
        <f t="shared" si="9"/>
        <v>3</v>
      </c>
      <c r="C313" s="1">
        <v>46039</v>
      </c>
      <c r="D313" t="s">
        <v>25</v>
      </c>
      <c r="E313" t="s">
        <v>26</v>
      </c>
      <c r="F313" t="s">
        <v>61</v>
      </c>
      <c r="G313" t="s">
        <v>62</v>
      </c>
      <c r="H313" t="s">
        <v>29</v>
      </c>
      <c r="I313" t="s">
        <v>30</v>
      </c>
      <c r="J313" t="s">
        <v>95</v>
      </c>
      <c r="K313" t="s">
        <v>42</v>
      </c>
      <c r="L313" t="s">
        <v>287</v>
      </c>
      <c r="M313" s="4">
        <v>1</v>
      </c>
      <c r="N313" s="4">
        <v>1</v>
      </c>
      <c r="O313" s="2">
        <v>1</v>
      </c>
      <c r="P313" s="3">
        <v>0.93</v>
      </c>
      <c r="Q313" s="3">
        <v>0.93</v>
      </c>
      <c r="R313" s="3">
        <v>0</v>
      </c>
      <c r="S313" s="2"/>
      <c r="T313" s="5">
        <v>0</v>
      </c>
      <c r="U313" s="4">
        <v>0</v>
      </c>
      <c r="V313" s="4">
        <v>0</v>
      </c>
      <c r="W313" s="2">
        <v>0</v>
      </c>
      <c r="X313" s="4">
        <v>0</v>
      </c>
      <c r="Y313" s="4">
        <v>0</v>
      </c>
      <c r="Z313" s="3">
        <v>0</v>
      </c>
      <c r="AA313" s="3">
        <v>0</v>
      </c>
    </row>
    <row r="314" spans="1:27" x14ac:dyDescent="0.2">
      <c r="A314">
        <f t="shared" si="8"/>
        <v>1</v>
      </c>
      <c r="B314">
        <f t="shared" si="9"/>
        <v>2</v>
      </c>
      <c r="C314" s="1">
        <v>46031</v>
      </c>
      <c r="D314" t="s">
        <v>25</v>
      </c>
      <c r="E314" t="s">
        <v>26</v>
      </c>
      <c r="F314" t="s">
        <v>27</v>
      </c>
      <c r="G314" t="s">
        <v>28</v>
      </c>
      <c r="H314" t="s">
        <v>29</v>
      </c>
      <c r="I314" t="s">
        <v>30</v>
      </c>
      <c r="J314" t="s">
        <v>156</v>
      </c>
      <c r="K314" t="s">
        <v>32</v>
      </c>
      <c r="L314" t="s">
        <v>288</v>
      </c>
      <c r="M314" s="4">
        <v>1</v>
      </c>
      <c r="N314" s="4">
        <v>1</v>
      </c>
      <c r="O314" s="2">
        <v>1</v>
      </c>
      <c r="P314" s="3">
        <v>0.4</v>
      </c>
      <c r="Q314" s="3">
        <v>0.4</v>
      </c>
      <c r="R314" s="3">
        <v>0</v>
      </c>
      <c r="S314" s="2"/>
      <c r="T314" s="5">
        <v>0</v>
      </c>
      <c r="U314" s="4">
        <v>0</v>
      </c>
      <c r="V314" s="4">
        <v>0</v>
      </c>
      <c r="W314" s="2">
        <v>0</v>
      </c>
      <c r="X314" s="4">
        <v>0</v>
      </c>
      <c r="Y314" s="4">
        <v>0</v>
      </c>
      <c r="Z314" s="3">
        <v>0</v>
      </c>
      <c r="AA314" s="3">
        <v>0</v>
      </c>
    </row>
    <row r="315" spans="1:27" x14ac:dyDescent="0.2">
      <c r="A315">
        <f t="shared" si="8"/>
        <v>1</v>
      </c>
      <c r="B315">
        <f t="shared" si="9"/>
        <v>1</v>
      </c>
      <c r="C315" s="1">
        <v>46023</v>
      </c>
      <c r="D315" t="s">
        <v>25</v>
      </c>
      <c r="E315" t="s">
        <v>26</v>
      </c>
      <c r="F315" t="s">
        <v>84</v>
      </c>
      <c r="G315" t="s">
        <v>85</v>
      </c>
      <c r="H315" t="s">
        <v>29</v>
      </c>
      <c r="I315" t="s">
        <v>30</v>
      </c>
      <c r="J315" t="s">
        <v>289</v>
      </c>
      <c r="K315" t="s">
        <v>87</v>
      </c>
      <c r="L315" t="s">
        <v>289</v>
      </c>
      <c r="M315" s="4">
        <v>193</v>
      </c>
      <c r="N315" s="4">
        <v>1</v>
      </c>
      <c r="O315" s="2">
        <v>5.1813471502590684E-3</v>
      </c>
      <c r="P315" s="3">
        <v>0.04</v>
      </c>
      <c r="Q315" s="3">
        <v>0.04</v>
      </c>
      <c r="R315" s="3">
        <v>0</v>
      </c>
      <c r="S315" s="2"/>
      <c r="T315" s="5">
        <v>0</v>
      </c>
      <c r="U315" s="4">
        <v>0</v>
      </c>
      <c r="V315" s="4">
        <v>0</v>
      </c>
      <c r="W315" s="2">
        <v>0</v>
      </c>
      <c r="X315" s="4">
        <v>0</v>
      </c>
      <c r="Y315" s="4">
        <v>0</v>
      </c>
      <c r="Z315" s="3">
        <v>0</v>
      </c>
      <c r="AA315" s="3">
        <v>0</v>
      </c>
    </row>
    <row r="316" spans="1:27" x14ac:dyDescent="0.2">
      <c r="A316">
        <f t="shared" si="8"/>
        <v>1</v>
      </c>
      <c r="B316">
        <f t="shared" si="9"/>
        <v>1</v>
      </c>
      <c r="C316" s="1">
        <v>46024</v>
      </c>
      <c r="D316" t="s">
        <v>25</v>
      </c>
      <c r="E316" t="s">
        <v>26</v>
      </c>
      <c r="F316" t="s">
        <v>84</v>
      </c>
      <c r="G316" t="s">
        <v>85</v>
      </c>
      <c r="H316" t="s">
        <v>29</v>
      </c>
      <c r="I316" t="s">
        <v>30</v>
      </c>
      <c r="J316" t="s">
        <v>289</v>
      </c>
      <c r="K316" t="s">
        <v>87</v>
      </c>
      <c r="L316" t="s">
        <v>289</v>
      </c>
      <c r="M316" s="4">
        <v>70</v>
      </c>
      <c r="N316" s="4">
        <v>1</v>
      </c>
      <c r="O316" s="2">
        <v>1.4285714285714285E-2</v>
      </c>
      <c r="P316" s="3">
        <v>0.04</v>
      </c>
      <c r="Q316" s="3">
        <v>0.04</v>
      </c>
      <c r="R316" s="3">
        <v>0</v>
      </c>
      <c r="S316" s="2"/>
      <c r="T316" s="5">
        <v>0</v>
      </c>
      <c r="U316" s="4">
        <v>0</v>
      </c>
      <c r="V316" s="4">
        <v>0</v>
      </c>
      <c r="W316" s="2">
        <v>0</v>
      </c>
      <c r="X316" s="4">
        <v>0</v>
      </c>
      <c r="Y316" s="4">
        <v>0</v>
      </c>
      <c r="Z316" s="3">
        <v>0</v>
      </c>
      <c r="AA316" s="3">
        <v>0</v>
      </c>
    </row>
    <row r="317" spans="1:27" x14ac:dyDescent="0.2">
      <c r="A317">
        <f t="shared" si="8"/>
        <v>1</v>
      </c>
      <c r="B317">
        <f t="shared" si="9"/>
        <v>1</v>
      </c>
      <c r="C317" s="1">
        <v>46024</v>
      </c>
      <c r="D317" t="s">
        <v>25</v>
      </c>
      <c r="E317" t="s">
        <v>26</v>
      </c>
      <c r="F317" t="s">
        <v>84</v>
      </c>
      <c r="G317" t="s">
        <v>115</v>
      </c>
      <c r="H317" t="s">
        <v>29</v>
      </c>
      <c r="I317" t="s">
        <v>30</v>
      </c>
      <c r="J317" t="s">
        <v>289</v>
      </c>
      <c r="K317" t="s">
        <v>32</v>
      </c>
      <c r="L317" t="s">
        <v>289</v>
      </c>
      <c r="M317" s="4">
        <v>10</v>
      </c>
      <c r="N317" s="4">
        <v>1</v>
      </c>
      <c r="O317" s="2">
        <v>0.1</v>
      </c>
      <c r="P317" s="3">
        <v>0.45</v>
      </c>
      <c r="Q317" s="3">
        <v>0.45</v>
      </c>
      <c r="R317" s="3">
        <v>0</v>
      </c>
      <c r="S317" s="2"/>
      <c r="T317" s="5">
        <v>0</v>
      </c>
      <c r="U317" s="4">
        <v>0</v>
      </c>
      <c r="V317" s="4">
        <v>0</v>
      </c>
      <c r="W317" s="2">
        <v>0</v>
      </c>
      <c r="X317" s="4">
        <v>0</v>
      </c>
      <c r="Y317" s="4">
        <v>0</v>
      </c>
      <c r="Z317" s="3">
        <v>0</v>
      </c>
      <c r="AA317" s="3">
        <v>0</v>
      </c>
    </row>
    <row r="318" spans="1:27" x14ac:dyDescent="0.2">
      <c r="A318">
        <f t="shared" si="8"/>
        <v>1</v>
      </c>
      <c r="B318">
        <f t="shared" si="9"/>
        <v>1</v>
      </c>
      <c r="C318" s="1">
        <v>46024</v>
      </c>
      <c r="D318" t="s">
        <v>25</v>
      </c>
      <c r="E318" t="s">
        <v>26</v>
      </c>
      <c r="F318" t="s">
        <v>88</v>
      </c>
      <c r="G318" t="s">
        <v>86</v>
      </c>
      <c r="H318" t="s">
        <v>29</v>
      </c>
      <c r="I318" t="s">
        <v>30</v>
      </c>
      <c r="J318" t="s">
        <v>95</v>
      </c>
      <c r="K318" t="s">
        <v>42</v>
      </c>
      <c r="L318" t="s">
        <v>290</v>
      </c>
      <c r="M318" s="4">
        <v>13</v>
      </c>
      <c r="N318" s="4">
        <v>1</v>
      </c>
      <c r="O318" s="2">
        <v>7.6923076923076927E-2</v>
      </c>
      <c r="P318" s="3">
        <v>0.46</v>
      </c>
      <c r="Q318" s="3">
        <v>0.46</v>
      </c>
      <c r="R318" s="3">
        <v>0</v>
      </c>
      <c r="S318" s="2"/>
      <c r="T318" s="5">
        <v>0</v>
      </c>
      <c r="U318" s="4">
        <v>0</v>
      </c>
      <c r="V318" s="4">
        <v>0</v>
      </c>
      <c r="W318" s="2">
        <v>0</v>
      </c>
      <c r="X318" s="4">
        <v>0</v>
      </c>
      <c r="Y318" s="4">
        <v>0</v>
      </c>
      <c r="Z318" s="3">
        <v>0</v>
      </c>
      <c r="AA318" s="3">
        <v>0</v>
      </c>
    </row>
    <row r="319" spans="1:27" x14ac:dyDescent="0.2">
      <c r="A319">
        <f t="shared" si="8"/>
        <v>1</v>
      </c>
      <c r="B319">
        <f t="shared" si="9"/>
        <v>3</v>
      </c>
      <c r="C319" s="1">
        <v>46033</v>
      </c>
      <c r="D319" t="s">
        <v>25</v>
      </c>
      <c r="E319" t="s">
        <v>26</v>
      </c>
      <c r="F319" t="s">
        <v>61</v>
      </c>
      <c r="G319" t="s">
        <v>62</v>
      </c>
      <c r="H319" t="s">
        <v>29</v>
      </c>
      <c r="I319" t="s">
        <v>30</v>
      </c>
      <c r="J319" t="s">
        <v>95</v>
      </c>
      <c r="K319" t="s">
        <v>42</v>
      </c>
      <c r="L319" t="s">
        <v>291</v>
      </c>
      <c r="M319" s="4">
        <v>1</v>
      </c>
      <c r="N319" s="4">
        <v>1</v>
      </c>
      <c r="O319" s="2">
        <v>1</v>
      </c>
      <c r="P319" s="3">
        <v>1.19</v>
      </c>
      <c r="Q319" s="3">
        <v>1.19</v>
      </c>
      <c r="R319" s="3">
        <v>0</v>
      </c>
      <c r="S319" s="2"/>
      <c r="T319" s="5">
        <v>0</v>
      </c>
      <c r="U319" s="4">
        <v>0</v>
      </c>
      <c r="V319" s="4">
        <v>0</v>
      </c>
      <c r="W319" s="2">
        <v>0</v>
      </c>
      <c r="X319" s="4">
        <v>0</v>
      </c>
      <c r="Y319" s="4">
        <v>0</v>
      </c>
      <c r="Z319" s="3">
        <v>0</v>
      </c>
      <c r="AA319" s="3">
        <v>0</v>
      </c>
    </row>
    <row r="320" spans="1:27" x14ac:dyDescent="0.2">
      <c r="A320">
        <f t="shared" si="8"/>
        <v>1</v>
      </c>
      <c r="B320">
        <f t="shared" si="9"/>
        <v>1</v>
      </c>
      <c r="C320" s="1">
        <v>46024</v>
      </c>
      <c r="D320" t="s">
        <v>25</v>
      </c>
      <c r="E320" t="s">
        <v>26</v>
      </c>
      <c r="F320" t="s">
        <v>27</v>
      </c>
      <c r="G320" t="s">
        <v>28</v>
      </c>
      <c r="H320" t="s">
        <v>29</v>
      </c>
      <c r="I320" t="s">
        <v>30</v>
      </c>
      <c r="J320" t="s">
        <v>50</v>
      </c>
      <c r="K320" t="s">
        <v>32</v>
      </c>
      <c r="L320" t="s">
        <v>292</v>
      </c>
      <c r="M320" s="4">
        <v>1</v>
      </c>
      <c r="N320" s="4">
        <v>1</v>
      </c>
      <c r="O320" s="2">
        <v>1</v>
      </c>
      <c r="P320" s="3">
        <v>0.21</v>
      </c>
      <c r="Q320" s="3">
        <v>0.21</v>
      </c>
      <c r="R320" s="3">
        <v>0</v>
      </c>
      <c r="S320" s="2"/>
      <c r="T320" s="5">
        <v>0</v>
      </c>
      <c r="U320" s="4">
        <v>0</v>
      </c>
      <c r="V320" s="4">
        <v>0</v>
      </c>
      <c r="W320" s="2">
        <v>0</v>
      </c>
      <c r="X320" s="4">
        <v>0</v>
      </c>
      <c r="Y320" s="4">
        <v>0</v>
      </c>
      <c r="Z320" s="3">
        <v>0</v>
      </c>
      <c r="AA320" s="3">
        <v>0</v>
      </c>
    </row>
    <row r="321" spans="1:27" x14ac:dyDescent="0.2">
      <c r="A321">
        <f t="shared" si="8"/>
        <v>1</v>
      </c>
      <c r="B321">
        <f t="shared" si="9"/>
        <v>1</v>
      </c>
      <c r="C321" s="1">
        <v>46023</v>
      </c>
      <c r="D321" t="s">
        <v>25</v>
      </c>
      <c r="E321" t="s">
        <v>26</v>
      </c>
      <c r="F321" t="s">
        <v>27</v>
      </c>
      <c r="G321" t="s">
        <v>28</v>
      </c>
      <c r="H321" t="s">
        <v>29</v>
      </c>
      <c r="I321" t="s">
        <v>30</v>
      </c>
      <c r="J321" t="s">
        <v>50</v>
      </c>
      <c r="K321" t="s">
        <v>32</v>
      </c>
      <c r="L321" t="s">
        <v>293</v>
      </c>
      <c r="M321" s="4">
        <v>2</v>
      </c>
      <c r="N321" s="4">
        <v>1</v>
      </c>
      <c r="O321" s="2">
        <v>0.5</v>
      </c>
      <c r="P321" s="3">
        <v>0.2</v>
      </c>
      <c r="Q321" s="3">
        <v>0.2</v>
      </c>
      <c r="R321" s="3">
        <v>0</v>
      </c>
      <c r="S321" s="2"/>
      <c r="T321" s="5">
        <v>0</v>
      </c>
      <c r="U321" s="4">
        <v>0</v>
      </c>
      <c r="V321" s="4">
        <v>0</v>
      </c>
      <c r="W321" s="2">
        <v>0</v>
      </c>
      <c r="X321" s="4">
        <v>0</v>
      </c>
      <c r="Y321" s="4">
        <v>0</v>
      </c>
      <c r="Z321" s="3">
        <v>0</v>
      </c>
      <c r="AA321" s="3">
        <v>0</v>
      </c>
    </row>
    <row r="322" spans="1:27" x14ac:dyDescent="0.2">
      <c r="A322">
        <f t="shared" si="8"/>
        <v>1</v>
      </c>
      <c r="B322">
        <f t="shared" si="9"/>
        <v>1</v>
      </c>
      <c r="C322" s="1">
        <v>46025</v>
      </c>
      <c r="D322" t="s">
        <v>25</v>
      </c>
      <c r="E322" t="s">
        <v>26</v>
      </c>
      <c r="F322" t="s">
        <v>49</v>
      </c>
      <c r="G322" t="s">
        <v>50</v>
      </c>
      <c r="H322" t="s">
        <v>29</v>
      </c>
      <c r="I322" t="s">
        <v>30</v>
      </c>
      <c r="J322" t="s">
        <v>47</v>
      </c>
      <c r="K322" t="s">
        <v>42</v>
      </c>
      <c r="L322" t="s">
        <v>294</v>
      </c>
      <c r="M322" s="4">
        <v>5</v>
      </c>
      <c r="N322" s="4">
        <v>1</v>
      </c>
      <c r="O322" s="2">
        <v>0.2</v>
      </c>
      <c r="P322" s="3">
        <v>0.79</v>
      </c>
      <c r="Q322" s="3">
        <v>0.79</v>
      </c>
      <c r="R322" s="3">
        <v>0</v>
      </c>
      <c r="S322" s="2"/>
      <c r="T322" s="5">
        <v>0</v>
      </c>
      <c r="U322" s="4">
        <v>0</v>
      </c>
      <c r="V322" s="4">
        <v>0</v>
      </c>
      <c r="W322" s="2">
        <v>0</v>
      </c>
      <c r="X322" s="4">
        <v>0</v>
      </c>
      <c r="Y322" s="4">
        <v>0</v>
      </c>
      <c r="Z322" s="3">
        <v>0</v>
      </c>
      <c r="AA322" s="3">
        <v>0</v>
      </c>
    </row>
    <row r="323" spans="1:27" x14ac:dyDescent="0.2">
      <c r="A323">
        <f t="shared" ref="A323:A386" si="10">MONTH(C323)</f>
        <v>1</v>
      </c>
      <c r="B323">
        <f t="shared" ref="B323:B386" si="11">WEEKNUM(C323,1)</f>
        <v>3</v>
      </c>
      <c r="C323" s="1">
        <v>46036</v>
      </c>
      <c r="D323" t="s">
        <v>25</v>
      </c>
      <c r="E323" t="s">
        <v>26</v>
      </c>
      <c r="F323" t="s">
        <v>27</v>
      </c>
      <c r="G323" t="s">
        <v>28</v>
      </c>
      <c r="H323" t="s">
        <v>29</v>
      </c>
      <c r="I323" t="s">
        <v>30</v>
      </c>
      <c r="J323" t="s">
        <v>50</v>
      </c>
      <c r="K323" t="s">
        <v>32</v>
      </c>
      <c r="L323" t="s">
        <v>295</v>
      </c>
      <c r="M323" s="4">
        <v>1</v>
      </c>
      <c r="N323" s="4">
        <v>1</v>
      </c>
      <c r="O323" s="2">
        <v>1</v>
      </c>
      <c r="P323" s="3">
        <v>0.21</v>
      </c>
      <c r="Q323" s="3">
        <v>0.21</v>
      </c>
      <c r="R323" s="3">
        <v>0</v>
      </c>
      <c r="S323" s="2"/>
      <c r="T323" s="5">
        <v>0</v>
      </c>
      <c r="U323" s="4">
        <v>0</v>
      </c>
      <c r="V323" s="4">
        <v>0</v>
      </c>
      <c r="W323" s="2">
        <v>0</v>
      </c>
      <c r="X323" s="4">
        <v>0</v>
      </c>
      <c r="Y323" s="4">
        <v>0</v>
      </c>
      <c r="Z323" s="3">
        <v>0</v>
      </c>
      <c r="AA323" s="3">
        <v>0</v>
      </c>
    </row>
    <row r="324" spans="1:27" x14ac:dyDescent="0.2">
      <c r="A324">
        <f t="shared" si="10"/>
        <v>1</v>
      </c>
      <c r="B324">
        <f t="shared" si="11"/>
        <v>4</v>
      </c>
      <c r="C324" s="1">
        <v>46042</v>
      </c>
      <c r="D324" t="s">
        <v>25</v>
      </c>
      <c r="E324" t="s">
        <v>26</v>
      </c>
      <c r="F324" t="s">
        <v>27</v>
      </c>
      <c r="G324" t="s">
        <v>28</v>
      </c>
      <c r="H324" t="s">
        <v>29</v>
      </c>
      <c r="I324" t="s">
        <v>30</v>
      </c>
      <c r="J324" t="s">
        <v>156</v>
      </c>
      <c r="K324" t="s">
        <v>32</v>
      </c>
      <c r="L324" t="s">
        <v>296</v>
      </c>
      <c r="M324" s="4">
        <v>1</v>
      </c>
      <c r="N324" s="4">
        <v>1</v>
      </c>
      <c r="O324" s="2">
        <v>1</v>
      </c>
      <c r="P324" s="3">
        <v>0.21</v>
      </c>
      <c r="Q324" s="3">
        <v>0.21</v>
      </c>
      <c r="R324" s="3">
        <v>0</v>
      </c>
      <c r="S324" s="2"/>
      <c r="T324" s="5">
        <v>0</v>
      </c>
      <c r="U324" s="4">
        <v>0</v>
      </c>
      <c r="V324" s="4">
        <v>0</v>
      </c>
      <c r="W324" s="2">
        <v>0</v>
      </c>
      <c r="X324" s="4">
        <v>0</v>
      </c>
      <c r="Y324" s="4">
        <v>0</v>
      </c>
      <c r="Z324" s="3">
        <v>0</v>
      </c>
      <c r="AA324" s="3">
        <v>0</v>
      </c>
    </row>
    <row r="325" spans="1:27" x14ac:dyDescent="0.2">
      <c r="A325">
        <f t="shared" si="10"/>
        <v>1</v>
      </c>
      <c r="B325">
        <f t="shared" si="11"/>
        <v>1</v>
      </c>
      <c r="C325" s="1">
        <v>46025</v>
      </c>
      <c r="D325" t="s">
        <v>25</v>
      </c>
      <c r="E325" t="s">
        <v>26</v>
      </c>
      <c r="F325" t="s">
        <v>84</v>
      </c>
      <c r="G325" t="s">
        <v>85</v>
      </c>
      <c r="H325" t="s">
        <v>29</v>
      </c>
      <c r="I325" t="s">
        <v>30</v>
      </c>
      <c r="J325" t="s">
        <v>86</v>
      </c>
      <c r="K325" t="s">
        <v>87</v>
      </c>
      <c r="L325" t="s">
        <v>297</v>
      </c>
      <c r="M325" s="4">
        <v>210</v>
      </c>
      <c r="N325" s="4">
        <v>1</v>
      </c>
      <c r="O325" s="2">
        <v>4.7619047619047623E-3</v>
      </c>
      <c r="P325" s="3">
        <v>0.5</v>
      </c>
      <c r="Q325" s="3">
        <v>0.5</v>
      </c>
      <c r="R325" s="3">
        <v>0</v>
      </c>
      <c r="S325" s="2"/>
      <c r="T325" s="5">
        <v>0</v>
      </c>
      <c r="U325" s="4">
        <v>0</v>
      </c>
      <c r="V325" s="4">
        <v>0</v>
      </c>
      <c r="W325" s="2">
        <v>0</v>
      </c>
      <c r="X325" s="4">
        <v>0</v>
      </c>
      <c r="Y325" s="4">
        <v>0</v>
      </c>
      <c r="Z325" s="3">
        <v>0</v>
      </c>
      <c r="AA325" s="3">
        <v>0</v>
      </c>
    </row>
    <row r="326" spans="1:27" x14ac:dyDescent="0.2">
      <c r="A326">
        <f t="shared" si="10"/>
        <v>1</v>
      </c>
      <c r="B326">
        <f t="shared" si="11"/>
        <v>3</v>
      </c>
      <c r="C326" s="1">
        <v>46034</v>
      </c>
      <c r="D326" t="s">
        <v>25</v>
      </c>
      <c r="E326" t="s">
        <v>26</v>
      </c>
      <c r="F326" t="s">
        <v>27</v>
      </c>
      <c r="G326" t="s">
        <v>28</v>
      </c>
      <c r="H326" t="s">
        <v>29</v>
      </c>
      <c r="I326" t="s">
        <v>30</v>
      </c>
      <c r="J326" t="s">
        <v>50</v>
      </c>
      <c r="K326" t="s">
        <v>32</v>
      </c>
      <c r="L326" t="s">
        <v>298</v>
      </c>
      <c r="M326" s="4">
        <v>5</v>
      </c>
      <c r="N326" s="4">
        <v>1</v>
      </c>
      <c r="O326" s="2">
        <v>0.2</v>
      </c>
      <c r="P326" s="3">
        <v>0.21</v>
      </c>
      <c r="Q326" s="3">
        <v>0.21</v>
      </c>
      <c r="R326" s="3">
        <v>0</v>
      </c>
      <c r="S326" s="2"/>
      <c r="T326" s="5">
        <v>0</v>
      </c>
      <c r="U326" s="4">
        <v>0</v>
      </c>
      <c r="V326" s="4">
        <v>0</v>
      </c>
      <c r="W326" s="2">
        <v>0</v>
      </c>
      <c r="X326" s="4">
        <v>0</v>
      </c>
      <c r="Y326" s="4">
        <v>0</v>
      </c>
      <c r="Z326" s="3">
        <v>0</v>
      </c>
      <c r="AA326" s="3">
        <v>0</v>
      </c>
    </row>
    <row r="327" spans="1:27" x14ac:dyDescent="0.2">
      <c r="A327">
        <f t="shared" si="10"/>
        <v>1</v>
      </c>
      <c r="B327">
        <f t="shared" si="11"/>
        <v>2</v>
      </c>
      <c r="C327" s="1">
        <v>46032</v>
      </c>
      <c r="D327" t="s">
        <v>25</v>
      </c>
      <c r="E327" t="s">
        <v>26</v>
      </c>
      <c r="F327" t="s">
        <v>27</v>
      </c>
      <c r="G327" t="s">
        <v>28</v>
      </c>
      <c r="H327" t="s">
        <v>29</v>
      </c>
      <c r="I327" t="s">
        <v>30</v>
      </c>
      <c r="J327" t="s">
        <v>243</v>
      </c>
      <c r="K327" t="s">
        <v>32</v>
      </c>
      <c r="L327" t="s">
        <v>299</v>
      </c>
      <c r="M327" s="4">
        <v>2</v>
      </c>
      <c r="N327" s="4">
        <v>1</v>
      </c>
      <c r="O327" s="2">
        <v>0.5</v>
      </c>
      <c r="P327" s="3">
        <v>0.21</v>
      </c>
      <c r="Q327" s="3">
        <v>0.21</v>
      </c>
      <c r="R327" s="3">
        <v>0</v>
      </c>
      <c r="S327" s="2"/>
      <c r="T327" s="5">
        <v>0</v>
      </c>
      <c r="U327" s="4">
        <v>0</v>
      </c>
      <c r="V327" s="4">
        <v>0</v>
      </c>
      <c r="W327" s="2">
        <v>0</v>
      </c>
      <c r="X327" s="4">
        <v>0</v>
      </c>
      <c r="Y327" s="4">
        <v>0</v>
      </c>
      <c r="Z327" s="3">
        <v>0</v>
      </c>
      <c r="AA327" s="3">
        <v>0</v>
      </c>
    </row>
    <row r="328" spans="1:27" x14ac:dyDescent="0.2">
      <c r="A328">
        <f t="shared" si="10"/>
        <v>1</v>
      </c>
      <c r="B328">
        <f t="shared" si="11"/>
        <v>2</v>
      </c>
      <c r="C328" s="1">
        <v>46030</v>
      </c>
      <c r="D328" t="s">
        <v>25</v>
      </c>
      <c r="E328" t="s">
        <v>26</v>
      </c>
      <c r="F328" t="s">
        <v>39</v>
      </c>
      <c r="G328" t="s">
        <v>40</v>
      </c>
      <c r="H328" t="s">
        <v>29</v>
      </c>
      <c r="I328" t="s">
        <v>30</v>
      </c>
      <c r="J328" t="s">
        <v>78</v>
      </c>
      <c r="K328" t="s">
        <v>42</v>
      </c>
      <c r="L328" t="s">
        <v>300</v>
      </c>
      <c r="M328" s="4">
        <v>3</v>
      </c>
      <c r="N328" s="4">
        <v>1</v>
      </c>
      <c r="O328" s="2">
        <v>0.33333333333333331</v>
      </c>
      <c r="P328" s="3">
        <v>0.68</v>
      </c>
      <c r="Q328" s="3">
        <v>0.68</v>
      </c>
      <c r="R328" s="3">
        <v>0</v>
      </c>
      <c r="S328" s="2"/>
      <c r="T328" s="5">
        <v>0</v>
      </c>
      <c r="U328" s="4">
        <v>0</v>
      </c>
      <c r="V328" s="4">
        <v>0</v>
      </c>
      <c r="W328" s="2">
        <v>0</v>
      </c>
      <c r="X328" s="4">
        <v>0</v>
      </c>
      <c r="Y328" s="4">
        <v>0</v>
      </c>
      <c r="Z328" s="3">
        <v>0</v>
      </c>
      <c r="AA328" s="3">
        <v>0</v>
      </c>
    </row>
    <row r="329" spans="1:27" x14ac:dyDescent="0.2">
      <c r="A329">
        <f t="shared" si="10"/>
        <v>1</v>
      </c>
      <c r="B329">
        <f t="shared" si="11"/>
        <v>3</v>
      </c>
      <c r="C329" s="1">
        <v>46035</v>
      </c>
      <c r="D329" t="s">
        <v>25</v>
      </c>
      <c r="E329" t="s">
        <v>26</v>
      </c>
      <c r="F329" t="s">
        <v>49</v>
      </c>
      <c r="G329" t="s">
        <v>50</v>
      </c>
      <c r="H329" t="s">
        <v>29</v>
      </c>
      <c r="I329" t="s">
        <v>30</v>
      </c>
      <c r="J329" t="s">
        <v>51</v>
      </c>
      <c r="K329" t="s">
        <v>42</v>
      </c>
      <c r="L329" t="s">
        <v>301</v>
      </c>
      <c r="M329" s="4">
        <v>1</v>
      </c>
      <c r="N329" s="4">
        <v>1</v>
      </c>
      <c r="O329" s="2">
        <v>1</v>
      </c>
      <c r="P329" s="3">
        <v>0.61</v>
      </c>
      <c r="Q329" s="3">
        <v>0.61</v>
      </c>
      <c r="R329" s="3">
        <v>0</v>
      </c>
      <c r="S329" s="2"/>
      <c r="T329" s="5">
        <v>0</v>
      </c>
      <c r="U329" s="4">
        <v>0</v>
      </c>
      <c r="V329" s="4">
        <v>0</v>
      </c>
      <c r="W329" s="2">
        <v>0</v>
      </c>
      <c r="X329" s="4">
        <v>0</v>
      </c>
      <c r="Y329" s="4">
        <v>0</v>
      </c>
      <c r="Z329" s="3">
        <v>0</v>
      </c>
      <c r="AA329" s="3">
        <v>0</v>
      </c>
    </row>
    <row r="330" spans="1:27" x14ac:dyDescent="0.2">
      <c r="A330">
        <f t="shared" si="10"/>
        <v>1</v>
      </c>
      <c r="B330">
        <f t="shared" si="11"/>
        <v>2</v>
      </c>
      <c r="C330" s="1">
        <v>46027</v>
      </c>
      <c r="D330" t="s">
        <v>25</v>
      </c>
      <c r="E330" t="s">
        <v>26</v>
      </c>
      <c r="F330" t="s">
        <v>34</v>
      </c>
      <c r="G330" t="s">
        <v>28</v>
      </c>
      <c r="H330" t="s">
        <v>29</v>
      </c>
      <c r="I330" t="s">
        <v>30</v>
      </c>
      <c r="J330" t="s">
        <v>99</v>
      </c>
      <c r="K330" t="s">
        <v>32</v>
      </c>
      <c r="L330" t="s">
        <v>301</v>
      </c>
      <c r="M330" s="4">
        <v>1</v>
      </c>
      <c r="N330" s="4">
        <v>1</v>
      </c>
      <c r="O330" s="2">
        <v>1</v>
      </c>
      <c r="P330" s="3">
        <v>1.23</v>
      </c>
      <c r="Q330" s="3">
        <v>1.23</v>
      </c>
      <c r="R330" s="3">
        <v>0</v>
      </c>
      <c r="S330" s="2"/>
      <c r="T330" s="5">
        <v>0</v>
      </c>
      <c r="U330" s="4">
        <v>0</v>
      </c>
      <c r="V330" s="4">
        <v>0</v>
      </c>
      <c r="W330" s="2">
        <v>0</v>
      </c>
      <c r="X330" s="4">
        <v>0</v>
      </c>
      <c r="Y330" s="4">
        <v>0</v>
      </c>
      <c r="Z330" s="3">
        <v>0</v>
      </c>
      <c r="AA330" s="3">
        <v>0</v>
      </c>
    </row>
    <row r="331" spans="1:27" x14ac:dyDescent="0.2">
      <c r="A331">
        <f t="shared" si="10"/>
        <v>1</v>
      </c>
      <c r="B331">
        <f t="shared" si="11"/>
        <v>2</v>
      </c>
      <c r="C331" s="1">
        <v>46028</v>
      </c>
      <c r="D331" t="s">
        <v>25</v>
      </c>
      <c r="E331" t="s">
        <v>26</v>
      </c>
      <c r="F331" t="s">
        <v>34</v>
      </c>
      <c r="G331" t="s">
        <v>28</v>
      </c>
      <c r="H331" t="s">
        <v>29</v>
      </c>
      <c r="I331" t="s">
        <v>30</v>
      </c>
      <c r="J331" t="s">
        <v>50</v>
      </c>
      <c r="K331" t="s">
        <v>32</v>
      </c>
      <c r="L331" t="s">
        <v>302</v>
      </c>
      <c r="M331" s="4">
        <v>2</v>
      </c>
      <c r="N331" s="4">
        <v>1</v>
      </c>
      <c r="O331" s="2">
        <v>0.5</v>
      </c>
      <c r="P331" s="3">
        <v>0.7</v>
      </c>
      <c r="Q331" s="3">
        <v>0.7</v>
      </c>
      <c r="R331" s="3">
        <v>0</v>
      </c>
      <c r="S331" s="2"/>
      <c r="T331" s="5">
        <v>0</v>
      </c>
      <c r="U331" s="4">
        <v>0</v>
      </c>
      <c r="V331" s="4">
        <v>0</v>
      </c>
      <c r="W331" s="2">
        <v>0</v>
      </c>
      <c r="X331" s="4">
        <v>0</v>
      </c>
      <c r="Y331" s="4">
        <v>0</v>
      </c>
      <c r="Z331" s="3">
        <v>0</v>
      </c>
      <c r="AA331" s="3">
        <v>0</v>
      </c>
    </row>
    <row r="332" spans="1:27" x14ac:dyDescent="0.2">
      <c r="A332">
        <f t="shared" si="10"/>
        <v>1</v>
      </c>
      <c r="B332">
        <f t="shared" si="11"/>
        <v>3</v>
      </c>
      <c r="C332" s="1">
        <v>46037</v>
      </c>
      <c r="D332" t="s">
        <v>25</v>
      </c>
      <c r="E332" t="s">
        <v>26</v>
      </c>
      <c r="F332" t="s">
        <v>27</v>
      </c>
      <c r="G332" t="s">
        <v>28</v>
      </c>
      <c r="H332" t="s">
        <v>29</v>
      </c>
      <c r="I332" t="s">
        <v>30</v>
      </c>
      <c r="J332" t="s">
        <v>50</v>
      </c>
      <c r="K332" t="s">
        <v>32</v>
      </c>
      <c r="L332" t="s">
        <v>302</v>
      </c>
      <c r="M332" s="4">
        <v>3</v>
      </c>
      <c r="N332" s="4">
        <v>1</v>
      </c>
      <c r="O332" s="2">
        <v>0.33333333333333331</v>
      </c>
      <c r="P332" s="3">
        <v>0.4</v>
      </c>
      <c r="Q332" s="3">
        <v>0.4</v>
      </c>
      <c r="R332" s="3">
        <v>17.09</v>
      </c>
      <c r="S332" s="2">
        <v>2.3405500292568757E-2</v>
      </c>
      <c r="T332" s="5">
        <v>42.724999999999994</v>
      </c>
      <c r="U332" s="4">
        <v>1</v>
      </c>
      <c r="V332" s="4">
        <v>1</v>
      </c>
      <c r="W332" s="2">
        <v>1</v>
      </c>
      <c r="X332" s="4">
        <v>1</v>
      </c>
      <c r="Y332" s="4">
        <v>0</v>
      </c>
      <c r="Z332" s="3">
        <v>17.09</v>
      </c>
      <c r="AA332" s="3">
        <v>0</v>
      </c>
    </row>
    <row r="333" spans="1:27" x14ac:dyDescent="0.2">
      <c r="A333">
        <f t="shared" si="10"/>
        <v>1</v>
      </c>
      <c r="B333">
        <f t="shared" si="11"/>
        <v>2</v>
      </c>
      <c r="C333" s="1">
        <v>46030</v>
      </c>
      <c r="D333" t="s">
        <v>25</v>
      </c>
      <c r="E333" t="s">
        <v>26</v>
      </c>
      <c r="F333" t="s">
        <v>49</v>
      </c>
      <c r="G333" t="s">
        <v>50</v>
      </c>
      <c r="H333" t="s">
        <v>29</v>
      </c>
      <c r="I333" t="s">
        <v>30</v>
      </c>
      <c r="J333" t="s">
        <v>47</v>
      </c>
      <c r="K333" t="s">
        <v>42</v>
      </c>
      <c r="L333" t="s">
        <v>303</v>
      </c>
      <c r="M333" s="4">
        <v>3</v>
      </c>
      <c r="N333" s="4">
        <v>1</v>
      </c>
      <c r="O333" s="2">
        <v>0.33333333333333331</v>
      </c>
      <c r="P333" s="3">
        <v>0.93</v>
      </c>
      <c r="Q333" s="3">
        <v>0.93</v>
      </c>
      <c r="R333" s="3">
        <v>0</v>
      </c>
      <c r="S333" s="2"/>
      <c r="T333" s="5">
        <v>0</v>
      </c>
      <c r="U333" s="4">
        <v>0</v>
      </c>
      <c r="V333" s="4">
        <v>0</v>
      </c>
      <c r="W333" s="2">
        <v>0</v>
      </c>
      <c r="X333" s="4">
        <v>0</v>
      </c>
      <c r="Y333" s="4">
        <v>0</v>
      </c>
      <c r="Z333" s="3">
        <v>0</v>
      </c>
      <c r="AA333" s="3">
        <v>0</v>
      </c>
    </row>
    <row r="334" spans="1:27" x14ac:dyDescent="0.2">
      <c r="A334">
        <f t="shared" si="10"/>
        <v>1</v>
      </c>
      <c r="B334">
        <f t="shared" si="11"/>
        <v>3</v>
      </c>
      <c r="C334" s="1">
        <v>46034</v>
      </c>
      <c r="D334" t="s">
        <v>25</v>
      </c>
      <c r="E334" t="s">
        <v>26</v>
      </c>
      <c r="F334" t="s">
        <v>49</v>
      </c>
      <c r="G334" t="s">
        <v>50</v>
      </c>
      <c r="H334" t="s">
        <v>29</v>
      </c>
      <c r="I334" t="s">
        <v>30</v>
      </c>
      <c r="J334" t="s">
        <v>47</v>
      </c>
      <c r="K334" t="s">
        <v>42</v>
      </c>
      <c r="L334" t="s">
        <v>37</v>
      </c>
      <c r="M334" s="4">
        <v>4</v>
      </c>
      <c r="N334" s="4">
        <v>1</v>
      </c>
      <c r="O334" s="2">
        <v>0.25</v>
      </c>
      <c r="P334" s="3">
        <v>0.53</v>
      </c>
      <c r="Q334" s="3">
        <v>0.53</v>
      </c>
      <c r="R334" s="3">
        <v>0</v>
      </c>
      <c r="S334" s="2"/>
      <c r="T334" s="5">
        <v>0</v>
      </c>
      <c r="U334" s="4">
        <v>0</v>
      </c>
      <c r="V334" s="4">
        <v>0</v>
      </c>
      <c r="W334" s="2">
        <v>0</v>
      </c>
      <c r="X334" s="4">
        <v>0</v>
      </c>
      <c r="Y334" s="4">
        <v>0</v>
      </c>
      <c r="Z334" s="3">
        <v>0</v>
      </c>
      <c r="AA334" s="3">
        <v>0</v>
      </c>
    </row>
    <row r="335" spans="1:27" x14ac:dyDescent="0.2">
      <c r="A335">
        <f t="shared" si="10"/>
        <v>1</v>
      </c>
      <c r="B335">
        <f t="shared" si="11"/>
        <v>4</v>
      </c>
      <c r="C335" s="1">
        <v>46043</v>
      </c>
      <c r="D335" t="s">
        <v>25</v>
      </c>
      <c r="E335" t="s">
        <v>26</v>
      </c>
      <c r="F335" t="s">
        <v>49</v>
      </c>
      <c r="G335" t="s">
        <v>50</v>
      </c>
      <c r="H335" t="s">
        <v>29</v>
      </c>
      <c r="I335" t="s">
        <v>30</v>
      </c>
      <c r="J335" t="s">
        <v>47</v>
      </c>
      <c r="K335" t="s">
        <v>42</v>
      </c>
      <c r="L335" t="s">
        <v>37</v>
      </c>
      <c r="M335" s="4">
        <v>1</v>
      </c>
      <c r="N335" s="4">
        <v>1</v>
      </c>
      <c r="O335" s="2">
        <v>1</v>
      </c>
      <c r="P335" s="3">
        <v>0.68</v>
      </c>
      <c r="Q335" s="3">
        <v>0.68</v>
      </c>
      <c r="R335" s="3">
        <v>0</v>
      </c>
      <c r="S335" s="2"/>
      <c r="T335" s="5">
        <v>0</v>
      </c>
      <c r="U335" s="4">
        <v>0</v>
      </c>
      <c r="V335" s="4">
        <v>0</v>
      </c>
      <c r="W335" s="2">
        <v>0</v>
      </c>
      <c r="X335" s="4">
        <v>0</v>
      </c>
      <c r="Y335" s="4">
        <v>0</v>
      </c>
      <c r="Z335" s="3">
        <v>0</v>
      </c>
      <c r="AA335" s="3">
        <v>0</v>
      </c>
    </row>
    <row r="336" spans="1:27" x14ac:dyDescent="0.2">
      <c r="A336">
        <f t="shared" si="10"/>
        <v>1</v>
      </c>
      <c r="B336">
        <f t="shared" si="11"/>
        <v>1</v>
      </c>
      <c r="C336" s="1">
        <v>46025</v>
      </c>
      <c r="D336" t="s">
        <v>25</v>
      </c>
      <c r="E336" t="s">
        <v>26</v>
      </c>
      <c r="F336" t="s">
        <v>34</v>
      </c>
      <c r="G336" t="s">
        <v>28</v>
      </c>
      <c r="H336" t="s">
        <v>29</v>
      </c>
      <c r="I336" t="s">
        <v>30</v>
      </c>
      <c r="J336" t="s">
        <v>37</v>
      </c>
      <c r="K336" t="s">
        <v>32</v>
      </c>
      <c r="L336" t="s">
        <v>37</v>
      </c>
      <c r="M336" s="4">
        <v>2</v>
      </c>
      <c r="N336" s="4">
        <v>1</v>
      </c>
      <c r="O336" s="2">
        <v>0.5</v>
      </c>
      <c r="P336" s="3">
        <v>0.91</v>
      </c>
      <c r="Q336" s="3">
        <v>0.91</v>
      </c>
      <c r="R336" s="3">
        <v>0</v>
      </c>
      <c r="S336" s="2"/>
      <c r="T336" s="5">
        <v>0</v>
      </c>
      <c r="U336" s="4">
        <v>0</v>
      </c>
      <c r="V336" s="4">
        <v>0</v>
      </c>
      <c r="W336" s="2">
        <v>0</v>
      </c>
      <c r="X336" s="4">
        <v>0</v>
      </c>
      <c r="Y336" s="4">
        <v>0</v>
      </c>
      <c r="Z336" s="3">
        <v>0</v>
      </c>
      <c r="AA336" s="3">
        <v>0</v>
      </c>
    </row>
    <row r="337" spans="1:27" x14ac:dyDescent="0.2">
      <c r="A337">
        <f t="shared" si="10"/>
        <v>1</v>
      </c>
      <c r="B337">
        <f t="shared" si="11"/>
        <v>4</v>
      </c>
      <c r="C337" s="1">
        <v>46040</v>
      </c>
      <c r="D337" t="s">
        <v>25</v>
      </c>
      <c r="E337" t="s">
        <v>26</v>
      </c>
      <c r="F337" t="s">
        <v>34</v>
      </c>
      <c r="G337" t="s">
        <v>28</v>
      </c>
      <c r="H337" t="s">
        <v>29</v>
      </c>
      <c r="I337" t="s">
        <v>30</v>
      </c>
      <c r="J337" t="s">
        <v>133</v>
      </c>
      <c r="K337" t="s">
        <v>32</v>
      </c>
      <c r="L337" t="s">
        <v>37</v>
      </c>
      <c r="M337" s="4">
        <v>12</v>
      </c>
      <c r="N337" s="4">
        <v>1</v>
      </c>
      <c r="O337" s="2">
        <v>8.3333333333333315E-2</v>
      </c>
      <c r="P337" s="3">
        <v>0.1</v>
      </c>
      <c r="Q337" s="3">
        <v>0.1</v>
      </c>
      <c r="R337" s="3">
        <v>0</v>
      </c>
      <c r="S337" s="2"/>
      <c r="T337" s="5">
        <v>0</v>
      </c>
      <c r="U337" s="4">
        <v>0</v>
      </c>
      <c r="V337" s="4">
        <v>0</v>
      </c>
      <c r="W337" s="2">
        <v>0</v>
      </c>
      <c r="X337" s="4">
        <v>0</v>
      </c>
      <c r="Y337" s="4">
        <v>0</v>
      </c>
      <c r="Z337" s="3">
        <v>0</v>
      </c>
      <c r="AA337" s="3">
        <v>0</v>
      </c>
    </row>
    <row r="338" spans="1:27" x14ac:dyDescent="0.2">
      <c r="A338">
        <f t="shared" si="10"/>
        <v>1</v>
      </c>
      <c r="B338">
        <f t="shared" si="11"/>
        <v>3</v>
      </c>
      <c r="C338" s="1">
        <v>46038</v>
      </c>
      <c r="D338" t="s">
        <v>25</v>
      </c>
      <c r="E338" t="s">
        <v>26</v>
      </c>
      <c r="F338" t="s">
        <v>27</v>
      </c>
      <c r="G338" t="s">
        <v>124</v>
      </c>
      <c r="H338" t="s">
        <v>29</v>
      </c>
      <c r="I338" t="s">
        <v>30</v>
      </c>
      <c r="J338" t="s">
        <v>37</v>
      </c>
      <c r="K338" t="s">
        <v>87</v>
      </c>
      <c r="L338" t="s">
        <v>37</v>
      </c>
      <c r="M338" s="4">
        <v>4</v>
      </c>
      <c r="N338" s="4">
        <v>1</v>
      </c>
      <c r="O338" s="2">
        <v>0.25</v>
      </c>
      <c r="P338" s="3">
        <v>0.2</v>
      </c>
      <c r="Q338" s="3">
        <v>0.2</v>
      </c>
      <c r="R338" s="3">
        <v>0</v>
      </c>
      <c r="S338" s="2"/>
      <c r="T338" s="5">
        <v>0</v>
      </c>
      <c r="U338" s="4">
        <v>0</v>
      </c>
      <c r="V338" s="4">
        <v>0</v>
      </c>
      <c r="W338" s="2">
        <v>0</v>
      </c>
      <c r="X338" s="4">
        <v>0</v>
      </c>
      <c r="Y338" s="4">
        <v>0</v>
      </c>
      <c r="Z338" s="3">
        <v>0</v>
      </c>
      <c r="AA338" s="3">
        <v>0</v>
      </c>
    </row>
    <row r="339" spans="1:27" x14ac:dyDescent="0.2">
      <c r="A339">
        <f t="shared" si="10"/>
        <v>1</v>
      </c>
      <c r="B339">
        <f t="shared" si="11"/>
        <v>4</v>
      </c>
      <c r="C339" s="1">
        <v>46041</v>
      </c>
      <c r="D339" t="s">
        <v>25</v>
      </c>
      <c r="E339" t="s">
        <v>26</v>
      </c>
      <c r="F339" t="s">
        <v>27</v>
      </c>
      <c r="G339" t="s">
        <v>28</v>
      </c>
      <c r="H339" t="s">
        <v>29</v>
      </c>
      <c r="I339" t="s">
        <v>30</v>
      </c>
      <c r="J339" t="s">
        <v>37</v>
      </c>
      <c r="K339" t="s">
        <v>32</v>
      </c>
      <c r="L339" t="s">
        <v>37</v>
      </c>
      <c r="M339" s="4">
        <v>6</v>
      </c>
      <c r="N339" s="4">
        <v>1</v>
      </c>
      <c r="O339" s="2">
        <v>0.16666666666666663</v>
      </c>
      <c r="P339" s="3">
        <v>0.17</v>
      </c>
      <c r="Q339" s="3">
        <v>0.17</v>
      </c>
      <c r="R339" s="3">
        <v>0</v>
      </c>
      <c r="S339" s="2"/>
      <c r="T339" s="5">
        <v>0</v>
      </c>
      <c r="U339" s="4">
        <v>0</v>
      </c>
      <c r="V339" s="4">
        <v>0</v>
      </c>
      <c r="W339" s="2">
        <v>0</v>
      </c>
      <c r="X339" s="4">
        <v>0</v>
      </c>
      <c r="Y339" s="4">
        <v>0</v>
      </c>
      <c r="Z339" s="3">
        <v>0</v>
      </c>
      <c r="AA339" s="3">
        <v>0</v>
      </c>
    </row>
    <row r="340" spans="1:27" x14ac:dyDescent="0.2">
      <c r="A340">
        <f t="shared" si="10"/>
        <v>1</v>
      </c>
      <c r="B340">
        <f t="shared" si="11"/>
        <v>4</v>
      </c>
      <c r="C340" s="1">
        <v>46042</v>
      </c>
      <c r="D340" t="s">
        <v>25</v>
      </c>
      <c r="E340" t="s">
        <v>26</v>
      </c>
      <c r="F340" t="s">
        <v>27</v>
      </c>
      <c r="G340" t="s">
        <v>28</v>
      </c>
      <c r="H340" t="s">
        <v>29</v>
      </c>
      <c r="I340" t="s">
        <v>30</v>
      </c>
      <c r="J340" t="s">
        <v>37</v>
      </c>
      <c r="K340" t="s">
        <v>32</v>
      </c>
      <c r="L340" t="s">
        <v>37</v>
      </c>
      <c r="M340" s="4">
        <v>11</v>
      </c>
      <c r="N340" s="4">
        <v>1</v>
      </c>
      <c r="O340" s="2">
        <v>9.0909090909090925E-2</v>
      </c>
      <c r="P340" s="3">
        <v>0.2</v>
      </c>
      <c r="Q340" s="3">
        <v>0.2</v>
      </c>
      <c r="R340" s="3">
        <v>0</v>
      </c>
      <c r="S340" s="2"/>
      <c r="T340" s="5">
        <v>0</v>
      </c>
      <c r="U340" s="4">
        <v>0</v>
      </c>
      <c r="V340" s="4">
        <v>0</v>
      </c>
      <c r="W340" s="2">
        <v>0</v>
      </c>
      <c r="X340" s="4">
        <v>0</v>
      </c>
      <c r="Y340" s="4">
        <v>0</v>
      </c>
      <c r="Z340" s="3">
        <v>0</v>
      </c>
      <c r="AA340" s="3">
        <v>0</v>
      </c>
    </row>
    <row r="341" spans="1:27" x14ac:dyDescent="0.2">
      <c r="A341">
        <f t="shared" si="10"/>
        <v>1</v>
      </c>
      <c r="B341">
        <f t="shared" si="11"/>
        <v>1</v>
      </c>
      <c r="C341" s="1">
        <v>46024</v>
      </c>
      <c r="D341" t="s">
        <v>25</v>
      </c>
      <c r="E341" t="s">
        <v>26</v>
      </c>
      <c r="F341" t="s">
        <v>27</v>
      </c>
      <c r="G341" t="s">
        <v>28</v>
      </c>
      <c r="H341" t="s">
        <v>29</v>
      </c>
      <c r="I341" t="s">
        <v>30</v>
      </c>
      <c r="J341" t="s">
        <v>37</v>
      </c>
      <c r="K341" t="s">
        <v>32</v>
      </c>
      <c r="L341" t="s">
        <v>304</v>
      </c>
      <c r="M341" s="4">
        <v>1</v>
      </c>
      <c r="N341" s="4">
        <v>1</v>
      </c>
      <c r="O341" s="2">
        <v>1</v>
      </c>
      <c r="P341" s="3">
        <v>0.21</v>
      </c>
      <c r="Q341" s="3">
        <v>0.21</v>
      </c>
      <c r="R341" s="3">
        <v>0</v>
      </c>
      <c r="S341" s="2"/>
      <c r="T341" s="5">
        <v>0</v>
      </c>
      <c r="U341" s="4">
        <v>0</v>
      </c>
      <c r="V341" s="4">
        <v>0</v>
      </c>
      <c r="W341" s="2">
        <v>0</v>
      </c>
      <c r="X341" s="4">
        <v>0</v>
      </c>
      <c r="Y341" s="4">
        <v>0</v>
      </c>
      <c r="Z341" s="3">
        <v>0</v>
      </c>
      <c r="AA341" s="3">
        <v>0</v>
      </c>
    </row>
    <row r="342" spans="1:27" x14ac:dyDescent="0.2">
      <c r="A342">
        <f t="shared" si="10"/>
        <v>1</v>
      </c>
      <c r="B342">
        <f t="shared" si="11"/>
        <v>2</v>
      </c>
      <c r="C342" s="1">
        <v>46026</v>
      </c>
      <c r="D342" t="s">
        <v>25</v>
      </c>
      <c r="E342" t="s">
        <v>26</v>
      </c>
      <c r="F342" t="s">
        <v>49</v>
      </c>
      <c r="G342" t="s">
        <v>50</v>
      </c>
      <c r="H342" t="s">
        <v>29</v>
      </c>
      <c r="I342" t="s">
        <v>30</v>
      </c>
      <c r="J342" t="s">
        <v>47</v>
      </c>
      <c r="K342" t="s">
        <v>42</v>
      </c>
      <c r="L342" t="s">
        <v>305</v>
      </c>
      <c r="M342" s="4">
        <v>38</v>
      </c>
      <c r="N342" s="4">
        <v>1</v>
      </c>
      <c r="O342" s="2">
        <v>2.6315789473684209E-2</v>
      </c>
      <c r="P342" s="3">
        <v>0.65</v>
      </c>
      <c r="Q342" s="3">
        <v>0.65</v>
      </c>
      <c r="R342" s="3">
        <v>0</v>
      </c>
      <c r="S342" s="2"/>
      <c r="T342" s="5">
        <v>0</v>
      </c>
      <c r="U342" s="4">
        <v>0</v>
      </c>
      <c r="V342" s="4">
        <v>0</v>
      </c>
      <c r="W342" s="2">
        <v>0</v>
      </c>
      <c r="X342" s="4">
        <v>0</v>
      </c>
      <c r="Y342" s="4">
        <v>0</v>
      </c>
      <c r="Z342" s="3">
        <v>0</v>
      </c>
      <c r="AA342" s="3">
        <v>0</v>
      </c>
    </row>
    <row r="343" spans="1:27" x14ac:dyDescent="0.2">
      <c r="A343">
        <f t="shared" si="10"/>
        <v>1</v>
      </c>
      <c r="B343">
        <f t="shared" si="11"/>
        <v>3</v>
      </c>
      <c r="C343" s="1">
        <v>46036</v>
      </c>
      <c r="D343" t="s">
        <v>25</v>
      </c>
      <c r="E343" t="s">
        <v>26</v>
      </c>
      <c r="F343" t="s">
        <v>49</v>
      </c>
      <c r="G343" t="s">
        <v>50</v>
      </c>
      <c r="H343" t="s">
        <v>29</v>
      </c>
      <c r="I343" t="s">
        <v>30</v>
      </c>
      <c r="J343" t="s">
        <v>47</v>
      </c>
      <c r="K343" t="s">
        <v>42</v>
      </c>
      <c r="L343" t="s">
        <v>305</v>
      </c>
      <c r="M343" s="4">
        <v>25</v>
      </c>
      <c r="N343" s="4">
        <v>1</v>
      </c>
      <c r="O343" s="2">
        <v>0.04</v>
      </c>
      <c r="P343" s="3">
        <v>0.48</v>
      </c>
      <c r="Q343" s="3">
        <v>0.48</v>
      </c>
      <c r="R343" s="3">
        <v>0</v>
      </c>
      <c r="S343" s="2"/>
      <c r="T343" s="5">
        <v>0</v>
      </c>
      <c r="U343" s="4">
        <v>0</v>
      </c>
      <c r="V343" s="4">
        <v>0</v>
      </c>
      <c r="W343" s="2">
        <v>0</v>
      </c>
      <c r="X343" s="4">
        <v>0</v>
      </c>
      <c r="Y343" s="4">
        <v>0</v>
      </c>
      <c r="Z343" s="3">
        <v>0</v>
      </c>
      <c r="AA343" s="3">
        <v>0</v>
      </c>
    </row>
    <row r="344" spans="1:27" x14ac:dyDescent="0.2">
      <c r="A344">
        <f t="shared" si="10"/>
        <v>1</v>
      </c>
      <c r="B344">
        <f t="shared" si="11"/>
        <v>2</v>
      </c>
      <c r="C344" s="1">
        <v>46026</v>
      </c>
      <c r="D344" t="s">
        <v>25</v>
      </c>
      <c r="E344" t="s">
        <v>26</v>
      </c>
      <c r="F344" t="s">
        <v>27</v>
      </c>
      <c r="G344" t="s">
        <v>124</v>
      </c>
      <c r="H344" t="s">
        <v>29</v>
      </c>
      <c r="I344" t="s">
        <v>30</v>
      </c>
      <c r="J344" t="s">
        <v>44</v>
      </c>
      <c r="K344" t="s">
        <v>87</v>
      </c>
      <c r="L344" t="s">
        <v>305</v>
      </c>
      <c r="M344" s="4">
        <v>34</v>
      </c>
      <c r="N344" s="4">
        <v>1</v>
      </c>
      <c r="O344" s="2">
        <v>2.9411764705882349E-2</v>
      </c>
      <c r="P344" s="3">
        <v>0.2</v>
      </c>
      <c r="Q344" s="3">
        <v>0.2</v>
      </c>
      <c r="R344" s="3">
        <v>0</v>
      </c>
      <c r="S344" s="2"/>
      <c r="T344" s="5">
        <v>0</v>
      </c>
      <c r="U344" s="4">
        <v>0</v>
      </c>
      <c r="V344" s="4">
        <v>0</v>
      </c>
      <c r="W344" s="2">
        <v>0</v>
      </c>
      <c r="X344" s="4">
        <v>0</v>
      </c>
      <c r="Y344" s="4">
        <v>0</v>
      </c>
      <c r="Z344" s="3">
        <v>0</v>
      </c>
      <c r="AA344" s="3">
        <v>0</v>
      </c>
    </row>
    <row r="345" spans="1:27" x14ac:dyDescent="0.2">
      <c r="A345">
        <f t="shared" si="10"/>
        <v>1</v>
      </c>
      <c r="B345">
        <f t="shared" si="11"/>
        <v>2</v>
      </c>
      <c r="C345" s="1">
        <v>46027</v>
      </c>
      <c r="D345" t="s">
        <v>25</v>
      </c>
      <c r="E345" t="s">
        <v>26</v>
      </c>
      <c r="F345" t="s">
        <v>27</v>
      </c>
      <c r="G345" t="s">
        <v>124</v>
      </c>
      <c r="H345" t="s">
        <v>29</v>
      </c>
      <c r="I345" t="s">
        <v>30</v>
      </c>
      <c r="J345" t="s">
        <v>44</v>
      </c>
      <c r="K345" t="s">
        <v>87</v>
      </c>
      <c r="L345" t="s">
        <v>305</v>
      </c>
      <c r="M345" s="4">
        <v>28</v>
      </c>
      <c r="N345" s="4">
        <v>1</v>
      </c>
      <c r="O345" s="2">
        <v>3.5714285714285712E-2</v>
      </c>
      <c r="P345" s="3">
        <v>0.2</v>
      </c>
      <c r="Q345" s="3">
        <v>0.2</v>
      </c>
      <c r="R345" s="3">
        <v>0</v>
      </c>
      <c r="S345" s="2"/>
      <c r="T345" s="5">
        <v>0</v>
      </c>
      <c r="U345" s="4">
        <v>0</v>
      </c>
      <c r="V345" s="4">
        <v>0</v>
      </c>
      <c r="W345" s="2">
        <v>0</v>
      </c>
      <c r="X345" s="4">
        <v>0</v>
      </c>
      <c r="Y345" s="4">
        <v>0</v>
      </c>
      <c r="Z345" s="3">
        <v>0</v>
      </c>
      <c r="AA345" s="3">
        <v>0</v>
      </c>
    </row>
    <row r="346" spans="1:27" x14ac:dyDescent="0.2">
      <c r="A346">
        <f t="shared" si="10"/>
        <v>1</v>
      </c>
      <c r="B346">
        <f t="shared" si="11"/>
        <v>3</v>
      </c>
      <c r="C346" s="1">
        <v>46036</v>
      </c>
      <c r="D346" t="s">
        <v>25</v>
      </c>
      <c r="E346" t="s">
        <v>26</v>
      </c>
      <c r="F346" t="s">
        <v>27</v>
      </c>
      <c r="G346" t="s">
        <v>124</v>
      </c>
      <c r="H346" t="s">
        <v>29</v>
      </c>
      <c r="I346" t="s">
        <v>30</v>
      </c>
      <c r="J346" t="s">
        <v>44</v>
      </c>
      <c r="K346" t="s">
        <v>87</v>
      </c>
      <c r="L346" t="s">
        <v>305</v>
      </c>
      <c r="M346" s="4">
        <v>18</v>
      </c>
      <c r="N346" s="4">
        <v>1</v>
      </c>
      <c r="O346" s="2">
        <v>5.5555555555555552E-2</v>
      </c>
      <c r="P346" s="3">
        <v>0.2</v>
      </c>
      <c r="Q346" s="3">
        <v>0.2</v>
      </c>
      <c r="R346" s="3">
        <v>0</v>
      </c>
      <c r="S346" s="2"/>
      <c r="T346" s="5">
        <v>0</v>
      </c>
      <c r="U346" s="4">
        <v>0</v>
      </c>
      <c r="V346" s="4">
        <v>0</v>
      </c>
      <c r="W346" s="2">
        <v>0</v>
      </c>
      <c r="X346" s="4">
        <v>0</v>
      </c>
      <c r="Y346" s="4">
        <v>0</v>
      </c>
      <c r="Z346" s="3">
        <v>0</v>
      </c>
      <c r="AA346" s="3">
        <v>0</v>
      </c>
    </row>
    <row r="347" spans="1:27" x14ac:dyDescent="0.2">
      <c r="A347">
        <f t="shared" si="10"/>
        <v>1</v>
      </c>
      <c r="B347">
        <f t="shared" si="11"/>
        <v>3</v>
      </c>
      <c r="C347" s="1">
        <v>46038</v>
      </c>
      <c r="D347" t="s">
        <v>25</v>
      </c>
      <c r="E347" t="s">
        <v>26</v>
      </c>
      <c r="F347" t="s">
        <v>39</v>
      </c>
      <c r="G347" t="s">
        <v>40</v>
      </c>
      <c r="H347" t="s">
        <v>29</v>
      </c>
      <c r="I347" t="s">
        <v>30</v>
      </c>
      <c r="J347" t="s">
        <v>78</v>
      </c>
      <c r="K347" t="s">
        <v>42</v>
      </c>
      <c r="L347" t="s">
        <v>305</v>
      </c>
      <c r="M347" s="4">
        <v>2</v>
      </c>
      <c r="N347" s="4">
        <v>1</v>
      </c>
      <c r="O347" s="2">
        <v>0.5</v>
      </c>
      <c r="P347" s="3">
        <v>0.52</v>
      </c>
      <c r="Q347" s="3">
        <v>0.52</v>
      </c>
      <c r="R347" s="3">
        <v>0</v>
      </c>
      <c r="S347" s="2"/>
      <c r="T347" s="5">
        <v>0</v>
      </c>
      <c r="U347" s="4">
        <v>0</v>
      </c>
      <c r="V347" s="4">
        <v>0</v>
      </c>
      <c r="W347" s="2">
        <v>0</v>
      </c>
      <c r="X347" s="4">
        <v>0</v>
      </c>
      <c r="Y347" s="4">
        <v>0</v>
      </c>
      <c r="Z347" s="3">
        <v>0</v>
      </c>
      <c r="AA347" s="3">
        <v>0</v>
      </c>
    </row>
    <row r="348" spans="1:27" x14ac:dyDescent="0.2">
      <c r="A348">
        <f t="shared" si="10"/>
        <v>1</v>
      </c>
      <c r="B348">
        <f t="shared" si="11"/>
        <v>2</v>
      </c>
      <c r="C348" s="1">
        <v>46027</v>
      </c>
      <c r="D348" t="s">
        <v>25</v>
      </c>
      <c r="E348" t="s">
        <v>26</v>
      </c>
      <c r="F348" t="s">
        <v>27</v>
      </c>
      <c r="G348" t="s">
        <v>28</v>
      </c>
      <c r="H348" t="s">
        <v>29</v>
      </c>
      <c r="I348" t="s">
        <v>30</v>
      </c>
      <c r="J348" t="s">
        <v>306</v>
      </c>
      <c r="K348" t="s">
        <v>32</v>
      </c>
      <c r="L348" t="s">
        <v>305</v>
      </c>
      <c r="M348" s="4">
        <v>2</v>
      </c>
      <c r="N348" s="4">
        <v>1</v>
      </c>
      <c r="O348" s="2">
        <v>0.5</v>
      </c>
      <c r="P348" s="3">
        <v>0.21</v>
      </c>
      <c r="Q348" s="3">
        <v>0.21</v>
      </c>
      <c r="R348" s="3">
        <v>0</v>
      </c>
      <c r="S348" s="2"/>
      <c r="T348" s="5">
        <v>0</v>
      </c>
      <c r="U348" s="4">
        <v>0</v>
      </c>
      <c r="V348" s="4">
        <v>0</v>
      </c>
      <c r="W348" s="2">
        <v>0</v>
      </c>
      <c r="X348" s="4">
        <v>0</v>
      </c>
      <c r="Y348" s="4">
        <v>0</v>
      </c>
      <c r="Z348" s="3">
        <v>0</v>
      </c>
      <c r="AA348" s="3">
        <v>0</v>
      </c>
    </row>
    <row r="349" spans="1:27" x14ac:dyDescent="0.2">
      <c r="A349">
        <f t="shared" si="10"/>
        <v>1</v>
      </c>
      <c r="B349">
        <f t="shared" si="11"/>
        <v>3</v>
      </c>
      <c r="C349" s="1">
        <v>46039</v>
      </c>
      <c r="D349" t="s">
        <v>25</v>
      </c>
      <c r="E349" t="s">
        <v>26</v>
      </c>
      <c r="F349" t="s">
        <v>34</v>
      </c>
      <c r="G349" t="s">
        <v>28</v>
      </c>
      <c r="H349" t="s">
        <v>29</v>
      </c>
      <c r="I349" t="s">
        <v>30</v>
      </c>
      <c r="J349" t="s">
        <v>37</v>
      </c>
      <c r="K349" t="s">
        <v>32</v>
      </c>
      <c r="L349" t="s">
        <v>305</v>
      </c>
      <c r="M349" s="4">
        <v>45</v>
      </c>
      <c r="N349" s="4">
        <v>1</v>
      </c>
      <c r="O349" s="2">
        <v>2.2222222222222223E-2</v>
      </c>
      <c r="P349" s="3">
        <v>1</v>
      </c>
      <c r="Q349" s="3">
        <v>1</v>
      </c>
      <c r="R349" s="3">
        <v>0</v>
      </c>
      <c r="S349" s="2"/>
      <c r="T349" s="5">
        <v>0</v>
      </c>
      <c r="U349" s="4">
        <v>0</v>
      </c>
      <c r="V349" s="4">
        <v>0</v>
      </c>
      <c r="W349" s="2">
        <v>0</v>
      </c>
      <c r="X349" s="4">
        <v>0</v>
      </c>
      <c r="Y349" s="4">
        <v>0</v>
      </c>
      <c r="Z349" s="3">
        <v>0</v>
      </c>
      <c r="AA349" s="3">
        <v>0</v>
      </c>
    </row>
    <row r="350" spans="1:27" x14ac:dyDescent="0.2">
      <c r="A350">
        <f t="shared" si="10"/>
        <v>1</v>
      </c>
      <c r="B350">
        <f t="shared" si="11"/>
        <v>1</v>
      </c>
      <c r="C350" s="1">
        <v>46024</v>
      </c>
      <c r="D350" t="s">
        <v>25</v>
      </c>
      <c r="E350" t="s">
        <v>26</v>
      </c>
      <c r="F350" t="s">
        <v>34</v>
      </c>
      <c r="G350" t="s">
        <v>273</v>
      </c>
      <c r="H350" t="s">
        <v>29</v>
      </c>
      <c r="I350" t="s">
        <v>30</v>
      </c>
      <c r="J350" t="s">
        <v>37</v>
      </c>
      <c r="K350" t="s">
        <v>87</v>
      </c>
      <c r="L350" t="s">
        <v>305</v>
      </c>
      <c r="M350" s="4">
        <v>434</v>
      </c>
      <c r="N350" s="4">
        <v>2</v>
      </c>
      <c r="O350" s="2">
        <v>4.608294930875576E-3</v>
      </c>
      <c r="P350" s="3">
        <v>1.5349999999999999</v>
      </c>
      <c r="Q350" s="3">
        <v>3.07</v>
      </c>
      <c r="R350" s="3">
        <v>0</v>
      </c>
      <c r="S350" s="2"/>
      <c r="T350" s="5">
        <v>0</v>
      </c>
      <c r="U350" s="4">
        <v>0</v>
      </c>
      <c r="V350" s="4">
        <v>0</v>
      </c>
      <c r="W350" s="2">
        <v>0</v>
      </c>
      <c r="X350" s="4">
        <v>0</v>
      </c>
      <c r="Y350" s="4">
        <v>0</v>
      </c>
      <c r="Z350" s="3">
        <v>0</v>
      </c>
      <c r="AA350" s="3">
        <v>0</v>
      </c>
    </row>
    <row r="351" spans="1:27" x14ac:dyDescent="0.2">
      <c r="A351">
        <f t="shared" si="10"/>
        <v>1</v>
      </c>
      <c r="B351">
        <f t="shared" si="11"/>
        <v>2</v>
      </c>
      <c r="C351" s="1">
        <v>46026</v>
      </c>
      <c r="D351" t="s">
        <v>25</v>
      </c>
      <c r="E351" t="s">
        <v>26</v>
      </c>
      <c r="F351" t="s">
        <v>34</v>
      </c>
      <c r="G351" t="s">
        <v>273</v>
      </c>
      <c r="H351" t="s">
        <v>29</v>
      </c>
      <c r="I351" t="s">
        <v>30</v>
      </c>
      <c r="J351" t="s">
        <v>37</v>
      </c>
      <c r="K351" t="s">
        <v>87</v>
      </c>
      <c r="L351" t="s">
        <v>305</v>
      </c>
      <c r="M351" s="4">
        <v>113</v>
      </c>
      <c r="N351" s="4">
        <v>1</v>
      </c>
      <c r="O351" s="2">
        <v>8.8495575221238937E-3</v>
      </c>
      <c r="P351" s="3">
        <v>1.33</v>
      </c>
      <c r="Q351" s="3">
        <v>1.33</v>
      </c>
      <c r="R351" s="3">
        <v>0</v>
      </c>
      <c r="S351" s="2"/>
      <c r="T351" s="5">
        <v>0</v>
      </c>
      <c r="U351" s="4">
        <v>0</v>
      </c>
      <c r="V351" s="4">
        <v>0</v>
      </c>
      <c r="W351" s="2">
        <v>0</v>
      </c>
      <c r="X351" s="4">
        <v>0</v>
      </c>
      <c r="Y351" s="4">
        <v>0</v>
      </c>
      <c r="Z351" s="3">
        <v>0</v>
      </c>
      <c r="AA351" s="3">
        <v>0</v>
      </c>
    </row>
    <row r="352" spans="1:27" x14ac:dyDescent="0.2">
      <c r="A352">
        <f t="shared" si="10"/>
        <v>1</v>
      </c>
      <c r="B352">
        <f t="shared" si="11"/>
        <v>4</v>
      </c>
      <c r="C352" s="1">
        <v>46043</v>
      </c>
      <c r="D352" t="s">
        <v>25</v>
      </c>
      <c r="E352" t="s">
        <v>26</v>
      </c>
      <c r="F352" t="s">
        <v>34</v>
      </c>
      <c r="G352" t="s">
        <v>273</v>
      </c>
      <c r="H352" t="s">
        <v>29</v>
      </c>
      <c r="I352" t="s">
        <v>30</v>
      </c>
      <c r="J352" t="s">
        <v>37</v>
      </c>
      <c r="K352" t="s">
        <v>87</v>
      </c>
      <c r="L352" t="s">
        <v>305</v>
      </c>
      <c r="M352" s="4">
        <v>25</v>
      </c>
      <c r="N352" s="4">
        <v>1</v>
      </c>
      <c r="O352" s="2">
        <v>0.04</v>
      </c>
      <c r="P352" s="3">
        <v>1.2</v>
      </c>
      <c r="Q352" s="3">
        <v>1.2</v>
      </c>
      <c r="R352" s="3">
        <v>0</v>
      </c>
      <c r="S352" s="2"/>
      <c r="T352" s="5">
        <v>0</v>
      </c>
      <c r="U352" s="4">
        <v>0</v>
      </c>
      <c r="V352" s="4">
        <v>0</v>
      </c>
      <c r="W352" s="2">
        <v>0</v>
      </c>
      <c r="X352" s="4">
        <v>0</v>
      </c>
      <c r="Y352" s="4">
        <v>0</v>
      </c>
      <c r="Z352" s="3">
        <v>0</v>
      </c>
      <c r="AA352" s="3">
        <v>0</v>
      </c>
    </row>
    <row r="353" spans="1:27" x14ac:dyDescent="0.2">
      <c r="A353">
        <f t="shared" si="10"/>
        <v>1</v>
      </c>
      <c r="B353">
        <f t="shared" si="11"/>
        <v>2</v>
      </c>
      <c r="C353" s="1">
        <v>46030</v>
      </c>
      <c r="D353" t="s">
        <v>25</v>
      </c>
      <c r="E353" t="s">
        <v>26</v>
      </c>
      <c r="F353" t="s">
        <v>39</v>
      </c>
      <c r="G353" t="s">
        <v>40</v>
      </c>
      <c r="H353" t="s">
        <v>29</v>
      </c>
      <c r="I353" t="s">
        <v>30</v>
      </c>
      <c r="J353" t="s">
        <v>41</v>
      </c>
      <c r="K353" t="s">
        <v>42</v>
      </c>
      <c r="L353" t="s">
        <v>307</v>
      </c>
      <c r="M353" s="4">
        <v>2</v>
      </c>
      <c r="N353" s="4">
        <v>1</v>
      </c>
      <c r="O353" s="2">
        <v>0.5</v>
      </c>
      <c r="P353" s="3">
        <v>0.7</v>
      </c>
      <c r="Q353" s="3">
        <v>0.7</v>
      </c>
      <c r="R353" s="3">
        <v>0</v>
      </c>
      <c r="S353" s="2"/>
      <c r="T353" s="5">
        <v>0</v>
      </c>
      <c r="U353" s="4">
        <v>0</v>
      </c>
      <c r="V353" s="4">
        <v>0</v>
      </c>
      <c r="W353" s="2">
        <v>0</v>
      </c>
      <c r="X353" s="4">
        <v>0</v>
      </c>
      <c r="Y353" s="4">
        <v>0</v>
      </c>
      <c r="Z353" s="3">
        <v>0</v>
      </c>
      <c r="AA353" s="3">
        <v>0</v>
      </c>
    </row>
    <row r="354" spans="1:27" x14ac:dyDescent="0.2">
      <c r="A354">
        <f t="shared" si="10"/>
        <v>1</v>
      </c>
      <c r="B354">
        <f t="shared" si="11"/>
        <v>1</v>
      </c>
      <c r="C354" s="1">
        <v>46024</v>
      </c>
      <c r="D354" t="s">
        <v>25</v>
      </c>
      <c r="E354" t="s">
        <v>26</v>
      </c>
      <c r="F354" t="s">
        <v>49</v>
      </c>
      <c r="G354" t="s">
        <v>50</v>
      </c>
      <c r="H354" t="s">
        <v>29</v>
      </c>
      <c r="I354" t="s">
        <v>30</v>
      </c>
      <c r="J354" t="s">
        <v>47</v>
      </c>
      <c r="K354" t="s">
        <v>42</v>
      </c>
      <c r="L354" t="s">
        <v>308</v>
      </c>
      <c r="M354" s="4">
        <v>8</v>
      </c>
      <c r="N354" s="4">
        <v>1</v>
      </c>
      <c r="O354" s="2">
        <v>0.125</v>
      </c>
      <c r="P354" s="3">
        <v>0.81</v>
      </c>
      <c r="Q354" s="3">
        <v>0.81</v>
      </c>
      <c r="R354" s="3">
        <v>0</v>
      </c>
      <c r="S354" s="2"/>
      <c r="T354" s="5">
        <v>0</v>
      </c>
      <c r="U354" s="4">
        <v>0</v>
      </c>
      <c r="V354" s="4">
        <v>0</v>
      </c>
      <c r="W354" s="2">
        <v>0</v>
      </c>
      <c r="X354" s="4">
        <v>0</v>
      </c>
      <c r="Y354" s="4">
        <v>0</v>
      </c>
      <c r="Z354" s="3">
        <v>0</v>
      </c>
      <c r="AA354" s="3">
        <v>0</v>
      </c>
    </row>
    <row r="355" spans="1:27" x14ac:dyDescent="0.2">
      <c r="A355">
        <f t="shared" si="10"/>
        <v>1</v>
      </c>
      <c r="B355">
        <f t="shared" si="11"/>
        <v>4</v>
      </c>
      <c r="C355" s="1">
        <v>46041</v>
      </c>
      <c r="D355" t="s">
        <v>25</v>
      </c>
      <c r="E355" t="s">
        <v>26</v>
      </c>
      <c r="F355" t="s">
        <v>34</v>
      </c>
      <c r="G355" t="s">
        <v>28</v>
      </c>
      <c r="H355" t="s">
        <v>29</v>
      </c>
      <c r="I355" t="s">
        <v>30</v>
      </c>
      <c r="J355" t="s">
        <v>239</v>
      </c>
      <c r="K355" t="s">
        <v>32</v>
      </c>
      <c r="L355" t="s">
        <v>308</v>
      </c>
      <c r="M355" s="4">
        <v>2</v>
      </c>
      <c r="N355" s="4">
        <v>1</v>
      </c>
      <c r="O355" s="2">
        <v>0.5</v>
      </c>
      <c r="P355" s="3">
        <v>1.1499999999999999</v>
      </c>
      <c r="Q355" s="3">
        <v>1.1499999999999999</v>
      </c>
      <c r="R355" s="3">
        <v>0</v>
      </c>
      <c r="S355" s="2"/>
      <c r="T355" s="5">
        <v>0</v>
      </c>
      <c r="U355" s="4">
        <v>0</v>
      </c>
      <c r="V355" s="4">
        <v>0</v>
      </c>
      <c r="W355" s="2">
        <v>0</v>
      </c>
      <c r="X355" s="4">
        <v>0</v>
      </c>
      <c r="Y355" s="4">
        <v>0</v>
      </c>
      <c r="Z355" s="3">
        <v>0</v>
      </c>
      <c r="AA355" s="3">
        <v>0</v>
      </c>
    </row>
    <row r="356" spans="1:27" x14ac:dyDescent="0.2">
      <c r="A356">
        <f t="shared" si="10"/>
        <v>1</v>
      </c>
      <c r="B356">
        <f t="shared" si="11"/>
        <v>2</v>
      </c>
      <c r="C356" s="1">
        <v>46028</v>
      </c>
      <c r="D356" t="s">
        <v>25</v>
      </c>
      <c r="E356" t="s">
        <v>26</v>
      </c>
      <c r="F356" t="s">
        <v>49</v>
      </c>
      <c r="G356" t="s">
        <v>50</v>
      </c>
      <c r="H356" t="s">
        <v>29</v>
      </c>
      <c r="I356" t="s">
        <v>30</v>
      </c>
      <c r="J356" t="s">
        <v>47</v>
      </c>
      <c r="K356" t="s">
        <v>42</v>
      </c>
      <c r="L356" t="s">
        <v>306</v>
      </c>
      <c r="M356" s="4">
        <v>17</v>
      </c>
      <c r="N356" s="4">
        <v>1</v>
      </c>
      <c r="O356" s="2">
        <v>5.8823529411764698E-2</v>
      </c>
      <c r="P356" s="3">
        <v>0.77</v>
      </c>
      <c r="Q356" s="3">
        <v>0.77</v>
      </c>
      <c r="R356" s="3">
        <v>0</v>
      </c>
      <c r="S356" s="2"/>
      <c r="T356" s="5">
        <v>0</v>
      </c>
      <c r="U356" s="4">
        <v>0</v>
      </c>
      <c r="V356" s="4">
        <v>0</v>
      </c>
      <c r="W356" s="2">
        <v>0</v>
      </c>
      <c r="X356" s="4">
        <v>0</v>
      </c>
      <c r="Y356" s="4">
        <v>0</v>
      </c>
      <c r="Z356" s="3">
        <v>0</v>
      </c>
      <c r="AA356" s="3">
        <v>0</v>
      </c>
    </row>
    <row r="357" spans="1:27" x14ac:dyDescent="0.2">
      <c r="A357">
        <f t="shared" si="10"/>
        <v>1</v>
      </c>
      <c r="B357">
        <f t="shared" si="11"/>
        <v>3</v>
      </c>
      <c r="C357" s="1">
        <v>46036</v>
      </c>
      <c r="D357" t="s">
        <v>25</v>
      </c>
      <c r="E357" t="s">
        <v>26</v>
      </c>
      <c r="F357" t="s">
        <v>49</v>
      </c>
      <c r="G357" t="s">
        <v>50</v>
      </c>
      <c r="H357" t="s">
        <v>29</v>
      </c>
      <c r="I357" t="s">
        <v>30</v>
      </c>
      <c r="J357" t="s">
        <v>47</v>
      </c>
      <c r="K357" t="s">
        <v>42</v>
      </c>
      <c r="L357" t="s">
        <v>306</v>
      </c>
      <c r="M357" s="4">
        <v>14</v>
      </c>
      <c r="N357" s="4">
        <v>1</v>
      </c>
      <c r="O357" s="2">
        <v>7.1428571428571425E-2</v>
      </c>
      <c r="P357" s="3">
        <v>0.48</v>
      </c>
      <c r="Q357" s="3">
        <v>0.48</v>
      </c>
      <c r="R357" s="3">
        <v>17.09</v>
      </c>
      <c r="S357" s="2">
        <v>2.8086600351082503E-2</v>
      </c>
      <c r="T357" s="5">
        <v>35.604166666666664</v>
      </c>
      <c r="U357" s="4">
        <v>1</v>
      </c>
      <c r="V357" s="4">
        <v>1</v>
      </c>
      <c r="W357" s="2">
        <v>1</v>
      </c>
      <c r="X357" s="4">
        <v>1</v>
      </c>
      <c r="Y357" s="4">
        <v>0</v>
      </c>
      <c r="Z357" s="3">
        <v>17.09</v>
      </c>
      <c r="AA357" s="3">
        <v>0</v>
      </c>
    </row>
    <row r="358" spans="1:27" x14ac:dyDescent="0.2">
      <c r="A358">
        <f t="shared" si="10"/>
        <v>1</v>
      </c>
      <c r="B358">
        <f t="shared" si="11"/>
        <v>3</v>
      </c>
      <c r="C358" s="1">
        <v>46034</v>
      </c>
      <c r="D358" t="s">
        <v>25</v>
      </c>
      <c r="E358" t="s">
        <v>26</v>
      </c>
      <c r="F358" t="s">
        <v>27</v>
      </c>
      <c r="G358" t="s">
        <v>124</v>
      </c>
      <c r="H358" t="s">
        <v>29</v>
      </c>
      <c r="I358" t="s">
        <v>30</v>
      </c>
      <c r="J358" t="s">
        <v>101</v>
      </c>
      <c r="K358" t="s">
        <v>87</v>
      </c>
      <c r="L358" t="s">
        <v>306</v>
      </c>
      <c r="M358" s="4">
        <v>6</v>
      </c>
      <c r="N358" s="4">
        <v>1</v>
      </c>
      <c r="O358" s="2">
        <v>0.16666666666666663</v>
      </c>
      <c r="P358" s="3">
        <v>0.2</v>
      </c>
      <c r="Q358" s="3">
        <v>0.2</v>
      </c>
      <c r="R358" s="3">
        <v>0</v>
      </c>
      <c r="S358" s="2"/>
      <c r="T358" s="5">
        <v>0</v>
      </c>
      <c r="U358" s="4">
        <v>0</v>
      </c>
      <c r="V358" s="4">
        <v>0</v>
      </c>
      <c r="W358" s="2">
        <v>0</v>
      </c>
      <c r="X358" s="4">
        <v>0</v>
      </c>
      <c r="Y358" s="4">
        <v>0</v>
      </c>
      <c r="Z358" s="3">
        <v>0</v>
      </c>
      <c r="AA358" s="3">
        <v>0</v>
      </c>
    </row>
    <row r="359" spans="1:27" x14ac:dyDescent="0.2">
      <c r="A359">
        <f t="shared" si="10"/>
        <v>1</v>
      </c>
      <c r="B359">
        <f t="shared" si="11"/>
        <v>4</v>
      </c>
      <c r="C359" s="1">
        <v>46041</v>
      </c>
      <c r="D359" t="s">
        <v>25</v>
      </c>
      <c r="E359" t="s">
        <v>26</v>
      </c>
      <c r="F359" t="s">
        <v>27</v>
      </c>
      <c r="G359" t="s">
        <v>124</v>
      </c>
      <c r="H359" t="s">
        <v>29</v>
      </c>
      <c r="I359" t="s">
        <v>30</v>
      </c>
      <c r="J359" t="s">
        <v>101</v>
      </c>
      <c r="K359" t="s">
        <v>87</v>
      </c>
      <c r="L359" t="s">
        <v>306</v>
      </c>
      <c r="M359" s="4">
        <v>5</v>
      </c>
      <c r="N359" s="4">
        <v>1</v>
      </c>
      <c r="O359" s="2">
        <v>0.2</v>
      </c>
      <c r="P359" s="3">
        <v>0.2</v>
      </c>
      <c r="Q359" s="3">
        <v>0.2</v>
      </c>
      <c r="R359" s="3">
        <v>0</v>
      </c>
      <c r="S359" s="2"/>
      <c r="T359" s="5">
        <v>0</v>
      </c>
      <c r="U359" s="4">
        <v>0</v>
      </c>
      <c r="V359" s="4">
        <v>0</v>
      </c>
      <c r="W359" s="2">
        <v>0</v>
      </c>
      <c r="X359" s="4">
        <v>0</v>
      </c>
      <c r="Y359" s="4">
        <v>0</v>
      </c>
      <c r="Z359" s="3">
        <v>0</v>
      </c>
      <c r="AA359" s="3">
        <v>0</v>
      </c>
    </row>
    <row r="360" spans="1:27" x14ac:dyDescent="0.2">
      <c r="A360">
        <f t="shared" si="10"/>
        <v>1</v>
      </c>
      <c r="B360">
        <f t="shared" si="11"/>
        <v>2</v>
      </c>
      <c r="C360" s="1">
        <v>46032</v>
      </c>
      <c r="D360" t="s">
        <v>25</v>
      </c>
      <c r="E360" t="s">
        <v>26</v>
      </c>
      <c r="F360" t="s">
        <v>39</v>
      </c>
      <c r="G360" t="s">
        <v>40</v>
      </c>
      <c r="H360" t="s">
        <v>29</v>
      </c>
      <c r="I360" t="s">
        <v>30</v>
      </c>
      <c r="J360" t="s">
        <v>41</v>
      </c>
      <c r="K360" t="s">
        <v>42</v>
      </c>
      <c r="L360" t="s">
        <v>306</v>
      </c>
      <c r="M360" s="4">
        <v>9</v>
      </c>
      <c r="N360" s="4">
        <v>1</v>
      </c>
      <c r="O360" s="2">
        <v>0.1111111111111111</v>
      </c>
      <c r="P360" s="3">
        <v>0.67</v>
      </c>
      <c r="Q360" s="3">
        <v>0.67</v>
      </c>
      <c r="R360" s="3">
        <v>0</v>
      </c>
      <c r="S360" s="2"/>
      <c r="T360" s="5">
        <v>0</v>
      </c>
      <c r="U360" s="4">
        <v>0</v>
      </c>
      <c r="V360" s="4">
        <v>0</v>
      </c>
      <c r="W360" s="2">
        <v>0</v>
      </c>
      <c r="X360" s="4">
        <v>0</v>
      </c>
      <c r="Y360" s="4">
        <v>0</v>
      </c>
      <c r="Z360" s="3">
        <v>0</v>
      </c>
      <c r="AA360" s="3">
        <v>0</v>
      </c>
    </row>
    <row r="361" spans="1:27" x14ac:dyDescent="0.2">
      <c r="A361">
        <f t="shared" si="10"/>
        <v>1</v>
      </c>
      <c r="B361">
        <f t="shared" si="11"/>
        <v>3</v>
      </c>
      <c r="C361" s="1">
        <v>46038</v>
      </c>
      <c r="D361" t="s">
        <v>25</v>
      </c>
      <c r="E361" t="s">
        <v>26</v>
      </c>
      <c r="F361" t="s">
        <v>34</v>
      </c>
      <c r="G361" t="s">
        <v>28</v>
      </c>
      <c r="H361" t="s">
        <v>29</v>
      </c>
      <c r="I361" t="s">
        <v>30</v>
      </c>
      <c r="J361" t="s">
        <v>44</v>
      </c>
      <c r="K361" t="s">
        <v>32</v>
      </c>
      <c r="L361" t="s">
        <v>306</v>
      </c>
      <c r="M361" s="4">
        <v>34</v>
      </c>
      <c r="N361" s="4">
        <v>1</v>
      </c>
      <c r="O361" s="2">
        <v>2.9411764705882349E-2</v>
      </c>
      <c r="P361" s="3">
        <v>0.64</v>
      </c>
      <c r="Q361" s="3">
        <v>0.64</v>
      </c>
      <c r="R361" s="3">
        <v>0</v>
      </c>
      <c r="S361" s="2"/>
      <c r="T361" s="5">
        <v>0</v>
      </c>
      <c r="U361" s="4">
        <v>0</v>
      </c>
      <c r="V361" s="4">
        <v>0</v>
      </c>
      <c r="W361" s="2">
        <v>0</v>
      </c>
      <c r="X361" s="4">
        <v>0</v>
      </c>
      <c r="Y361" s="4">
        <v>0</v>
      </c>
      <c r="Z361" s="3">
        <v>0</v>
      </c>
      <c r="AA361" s="3">
        <v>0</v>
      </c>
    </row>
    <row r="362" spans="1:27" x14ac:dyDescent="0.2">
      <c r="A362">
        <f t="shared" si="10"/>
        <v>1</v>
      </c>
      <c r="B362">
        <f t="shared" si="11"/>
        <v>1</v>
      </c>
      <c r="C362" s="1">
        <v>46023</v>
      </c>
      <c r="D362" t="s">
        <v>25</v>
      </c>
      <c r="E362" t="s">
        <v>26</v>
      </c>
      <c r="F362" t="s">
        <v>34</v>
      </c>
      <c r="G362" t="s">
        <v>28</v>
      </c>
      <c r="H362" t="s">
        <v>29</v>
      </c>
      <c r="I362" t="s">
        <v>30</v>
      </c>
      <c r="J362" t="s">
        <v>37</v>
      </c>
      <c r="K362" t="s">
        <v>32</v>
      </c>
      <c r="L362" t="s">
        <v>306</v>
      </c>
      <c r="M362" s="4">
        <v>101</v>
      </c>
      <c r="N362" s="4">
        <v>1</v>
      </c>
      <c r="O362" s="2">
        <v>9.9009900990099011E-3</v>
      </c>
      <c r="P362" s="3">
        <v>1.08</v>
      </c>
      <c r="Q362" s="3">
        <v>1.08</v>
      </c>
      <c r="R362" s="3">
        <v>0</v>
      </c>
      <c r="S362" s="2"/>
      <c r="T362" s="5">
        <v>0</v>
      </c>
      <c r="U362" s="4">
        <v>0</v>
      </c>
      <c r="V362" s="4">
        <v>0</v>
      </c>
      <c r="W362" s="2">
        <v>0</v>
      </c>
      <c r="X362" s="4">
        <v>0</v>
      </c>
      <c r="Y362" s="4">
        <v>0</v>
      </c>
      <c r="Z362" s="3">
        <v>0</v>
      </c>
      <c r="AA362" s="3">
        <v>0</v>
      </c>
    </row>
    <row r="363" spans="1:27" x14ac:dyDescent="0.2">
      <c r="A363">
        <f t="shared" si="10"/>
        <v>1</v>
      </c>
      <c r="B363">
        <f t="shared" si="11"/>
        <v>4</v>
      </c>
      <c r="C363" s="1">
        <v>46041</v>
      </c>
      <c r="D363" t="s">
        <v>25</v>
      </c>
      <c r="E363" t="s">
        <v>26</v>
      </c>
      <c r="F363" t="s">
        <v>34</v>
      </c>
      <c r="G363" t="s">
        <v>28</v>
      </c>
      <c r="H363" t="s">
        <v>29</v>
      </c>
      <c r="I363" t="s">
        <v>30</v>
      </c>
      <c r="J363" t="s">
        <v>37</v>
      </c>
      <c r="K363" t="s">
        <v>32</v>
      </c>
      <c r="L363" t="s">
        <v>306</v>
      </c>
      <c r="M363" s="4">
        <v>8</v>
      </c>
      <c r="N363" s="4">
        <v>1</v>
      </c>
      <c r="O363" s="2">
        <v>0.125</v>
      </c>
      <c r="P363" s="3">
        <v>0.96</v>
      </c>
      <c r="Q363" s="3">
        <v>0.96</v>
      </c>
      <c r="R363" s="3">
        <v>0</v>
      </c>
      <c r="S363" s="2"/>
      <c r="T363" s="5">
        <v>0</v>
      </c>
      <c r="U363" s="4">
        <v>0</v>
      </c>
      <c r="V363" s="4">
        <v>0</v>
      </c>
      <c r="W363" s="2">
        <v>0</v>
      </c>
      <c r="X363" s="4">
        <v>0</v>
      </c>
      <c r="Y363" s="4">
        <v>0</v>
      </c>
      <c r="Z363" s="3">
        <v>0</v>
      </c>
      <c r="AA363" s="3">
        <v>0</v>
      </c>
    </row>
    <row r="364" spans="1:27" x14ac:dyDescent="0.2">
      <c r="A364">
        <f t="shared" si="10"/>
        <v>1</v>
      </c>
      <c r="B364">
        <f t="shared" si="11"/>
        <v>2</v>
      </c>
      <c r="C364" s="1">
        <v>46030</v>
      </c>
      <c r="D364" t="s">
        <v>25</v>
      </c>
      <c r="E364" t="s">
        <v>26</v>
      </c>
      <c r="F364" t="s">
        <v>49</v>
      </c>
      <c r="G364" t="s">
        <v>50</v>
      </c>
      <c r="H364" t="s">
        <v>29</v>
      </c>
      <c r="I364" t="s">
        <v>30</v>
      </c>
      <c r="J364" t="s">
        <v>47</v>
      </c>
      <c r="K364" t="s">
        <v>42</v>
      </c>
      <c r="L364" t="s">
        <v>309</v>
      </c>
      <c r="M364" s="4">
        <v>1</v>
      </c>
      <c r="N364" s="4">
        <v>1</v>
      </c>
      <c r="O364" s="2">
        <v>1</v>
      </c>
      <c r="P364" s="3">
        <v>0.77</v>
      </c>
      <c r="Q364" s="3">
        <v>0.77</v>
      </c>
      <c r="R364" s="3">
        <v>0</v>
      </c>
      <c r="S364" s="2"/>
      <c r="T364" s="5">
        <v>0</v>
      </c>
      <c r="U364" s="4">
        <v>0</v>
      </c>
      <c r="V364" s="4">
        <v>0</v>
      </c>
      <c r="W364" s="2">
        <v>0</v>
      </c>
      <c r="X364" s="4">
        <v>0</v>
      </c>
      <c r="Y364" s="4">
        <v>0</v>
      </c>
      <c r="Z364" s="3">
        <v>0</v>
      </c>
      <c r="AA364" s="3">
        <v>0</v>
      </c>
    </row>
    <row r="365" spans="1:27" x14ac:dyDescent="0.2">
      <c r="A365">
        <f t="shared" si="10"/>
        <v>1</v>
      </c>
      <c r="B365">
        <f t="shared" si="11"/>
        <v>1</v>
      </c>
      <c r="C365" s="1">
        <v>46024</v>
      </c>
      <c r="D365" t="s">
        <v>25</v>
      </c>
      <c r="E365" t="s">
        <v>26</v>
      </c>
      <c r="F365" t="s">
        <v>27</v>
      </c>
      <c r="G365" t="s">
        <v>28</v>
      </c>
      <c r="H365" t="s">
        <v>29</v>
      </c>
      <c r="I365" t="s">
        <v>30</v>
      </c>
      <c r="J365" t="s">
        <v>306</v>
      </c>
      <c r="K365" t="s">
        <v>32</v>
      </c>
      <c r="L365" t="s">
        <v>310</v>
      </c>
      <c r="M365" s="4">
        <v>2</v>
      </c>
      <c r="N365" s="4">
        <v>1</v>
      </c>
      <c r="O365" s="2">
        <v>0.5</v>
      </c>
      <c r="P365" s="3">
        <v>0.21</v>
      </c>
      <c r="Q365" s="3">
        <v>0.21</v>
      </c>
      <c r="R365" s="3">
        <v>0</v>
      </c>
      <c r="S365" s="2"/>
      <c r="T365" s="5">
        <v>0</v>
      </c>
      <c r="U365" s="4">
        <v>0</v>
      </c>
      <c r="V365" s="4">
        <v>0</v>
      </c>
      <c r="W365" s="2">
        <v>0</v>
      </c>
      <c r="X365" s="4">
        <v>0</v>
      </c>
      <c r="Y365" s="4">
        <v>0</v>
      </c>
      <c r="Z365" s="3">
        <v>0</v>
      </c>
      <c r="AA365" s="3">
        <v>0</v>
      </c>
    </row>
    <row r="366" spans="1:27" x14ac:dyDescent="0.2">
      <c r="A366">
        <f t="shared" si="10"/>
        <v>1</v>
      </c>
      <c r="B366">
        <f t="shared" si="11"/>
        <v>2</v>
      </c>
      <c r="C366" s="1">
        <v>46032</v>
      </c>
      <c r="D366" t="s">
        <v>25</v>
      </c>
      <c r="E366" t="s">
        <v>26</v>
      </c>
      <c r="F366" t="s">
        <v>27</v>
      </c>
      <c r="G366" t="s">
        <v>28</v>
      </c>
      <c r="H366" t="s">
        <v>29</v>
      </c>
      <c r="I366" t="s">
        <v>30</v>
      </c>
      <c r="J366" t="s">
        <v>306</v>
      </c>
      <c r="K366" t="s">
        <v>32</v>
      </c>
      <c r="L366" t="s">
        <v>310</v>
      </c>
      <c r="M366" s="4">
        <v>3</v>
      </c>
      <c r="N366" s="4">
        <v>1</v>
      </c>
      <c r="O366" s="2">
        <v>0.33333333333333331</v>
      </c>
      <c r="P366" s="3">
        <v>0.21</v>
      </c>
      <c r="Q366" s="3">
        <v>0.21</v>
      </c>
      <c r="R366" s="3">
        <v>0</v>
      </c>
      <c r="S366" s="2"/>
      <c r="T366" s="5">
        <v>0</v>
      </c>
      <c r="U366" s="4">
        <v>0</v>
      </c>
      <c r="V366" s="4">
        <v>0</v>
      </c>
      <c r="W366" s="2">
        <v>0</v>
      </c>
      <c r="X366" s="4">
        <v>0</v>
      </c>
      <c r="Y366" s="4">
        <v>0</v>
      </c>
      <c r="Z366" s="3">
        <v>0</v>
      </c>
      <c r="AA366" s="3">
        <v>0</v>
      </c>
    </row>
    <row r="367" spans="1:27" x14ac:dyDescent="0.2">
      <c r="A367">
        <f t="shared" si="10"/>
        <v>1</v>
      </c>
      <c r="B367">
        <f t="shared" si="11"/>
        <v>3</v>
      </c>
      <c r="C367" s="1">
        <v>46033</v>
      </c>
      <c r="D367" t="s">
        <v>25</v>
      </c>
      <c r="E367" t="s">
        <v>26</v>
      </c>
      <c r="F367" t="s">
        <v>27</v>
      </c>
      <c r="G367" t="s">
        <v>124</v>
      </c>
      <c r="H367" t="s">
        <v>29</v>
      </c>
      <c r="I367" t="s">
        <v>30</v>
      </c>
      <c r="J367" t="s">
        <v>311</v>
      </c>
      <c r="K367" t="s">
        <v>87</v>
      </c>
      <c r="L367" t="s">
        <v>311</v>
      </c>
      <c r="M367" s="4">
        <v>7</v>
      </c>
      <c r="N367" s="4">
        <v>1</v>
      </c>
      <c r="O367" s="2">
        <v>0.14285714285714285</v>
      </c>
      <c r="P367" s="3">
        <v>0.2</v>
      </c>
      <c r="Q367" s="3">
        <v>0.2</v>
      </c>
      <c r="R367" s="3">
        <v>17.09</v>
      </c>
      <c r="S367" s="2">
        <v>1.1702750146284377E-2</v>
      </c>
      <c r="T367" s="5">
        <v>85.449999999999989</v>
      </c>
      <c r="U367" s="4">
        <v>1</v>
      </c>
      <c r="V367" s="4">
        <v>1</v>
      </c>
      <c r="W367" s="2">
        <v>1</v>
      </c>
      <c r="X367" s="4">
        <v>1</v>
      </c>
      <c r="Y367" s="4">
        <v>0</v>
      </c>
      <c r="Z367" s="3">
        <v>17.09</v>
      </c>
      <c r="AA367" s="3">
        <v>0</v>
      </c>
    </row>
    <row r="368" spans="1:27" x14ac:dyDescent="0.2">
      <c r="A368">
        <f t="shared" si="10"/>
        <v>1</v>
      </c>
      <c r="B368">
        <f t="shared" si="11"/>
        <v>2</v>
      </c>
      <c r="C368" s="1">
        <v>46031</v>
      </c>
      <c r="D368" t="s">
        <v>25</v>
      </c>
      <c r="E368" t="s">
        <v>26</v>
      </c>
      <c r="F368" t="s">
        <v>49</v>
      </c>
      <c r="G368" t="s">
        <v>50</v>
      </c>
      <c r="H368" t="s">
        <v>29</v>
      </c>
      <c r="I368" t="s">
        <v>30</v>
      </c>
      <c r="J368" t="s">
        <v>47</v>
      </c>
      <c r="K368" t="s">
        <v>42</v>
      </c>
      <c r="L368" t="s">
        <v>312</v>
      </c>
      <c r="M368" s="4">
        <v>1</v>
      </c>
      <c r="N368" s="4">
        <v>1</v>
      </c>
      <c r="O368" s="2">
        <v>1</v>
      </c>
      <c r="P368" s="3">
        <v>0.75</v>
      </c>
      <c r="Q368" s="3">
        <v>0.75</v>
      </c>
      <c r="R368" s="3">
        <v>0</v>
      </c>
      <c r="S368" s="2"/>
      <c r="T368" s="5">
        <v>0</v>
      </c>
      <c r="U368" s="4">
        <v>0</v>
      </c>
      <c r="V368" s="4">
        <v>0</v>
      </c>
      <c r="W368" s="2">
        <v>0</v>
      </c>
      <c r="X368" s="4">
        <v>0</v>
      </c>
      <c r="Y368" s="4">
        <v>0</v>
      </c>
      <c r="Z368" s="3">
        <v>0</v>
      </c>
      <c r="AA368" s="3">
        <v>0</v>
      </c>
    </row>
    <row r="369" spans="1:27" x14ac:dyDescent="0.2">
      <c r="A369">
        <f t="shared" si="10"/>
        <v>1</v>
      </c>
      <c r="B369">
        <f t="shared" si="11"/>
        <v>2</v>
      </c>
      <c r="C369" s="1">
        <v>46031</v>
      </c>
      <c r="D369" t="s">
        <v>25</v>
      </c>
      <c r="E369" t="s">
        <v>26</v>
      </c>
      <c r="F369" t="s">
        <v>49</v>
      </c>
      <c r="G369" t="s">
        <v>50</v>
      </c>
      <c r="H369" t="s">
        <v>29</v>
      </c>
      <c r="I369" t="s">
        <v>30</v>
      </c>
      <c r="J369" t="s">
        <v>95</v>
      </c>
      <c r="K369" t="s">
        <v>42</v>
      </c>
      <c r="L369" t="s">
        <v>313</v>
      </c>
      <c r="M369" s="4">
        <v>1</v>
      </c>
      <c r="N369" s="4">
        <v>1</v>
      </c>
      <c r="O369" s="2">
        <v>1</v>
      </c>
      <c r="P369" s="3">
        <v>0.65</v>
      </c>
      <c r="Q369" s="3">
        <v>0.65</v>
      </c>
      <c r="R369" s="3">
        <v>0</v>
      </c>
      <c r="S369" s="2"/>
      <c r="T369" s="5">
        <v>0</v>
      </c>
      <c r="U369" s="4">
        <v>0</v>
      </c>
      <c r="V369" s="4">
        <v>0</v>
      </c>
      <c r="W369" s="2">
        <v>0</v>
      </c>
      <c r="X369" s="4">
        <v>0</v>
      </c>
      <c r="Y369" s="4">
        <v>0</v>
      </c>
      <c r="Z369" s="3">
        <v>0</v>
      </c>
      <c r="AA369" s="3">
        <v>0</v>
      </c>
    </row>
    <row r="370" spans="1:27" x14ac:dyDescent="0.2">
      <c r="A370">
        <f t="shared" si="10"/>
        <v>1</v>
      </c>
      <c r="B370">
        <f t="shared" si="11"/>
        <v>3</v>
      </c>
      <c r="C370" s="1">
        <v>46035</v>
      </c>
      <c r="D370" t="s">
        <v>25</v>
      </c>
      <c r="E370" t="s">
        <v>26</v>
      </c>
      <c r="F370" t="s">
        <v>27</v>
      </c>
      <c r="G370" t="s">
        <v>28</v>
      </c>
      <c r="H370" t="s">
        <v>29</v>
      </c>
      <c r="I370" t="s">
        <v>30</v>
      </c>
      <c r="J370" t="s">
        <v>119</v>
      </c>
      <c r="K370" t="s">
        <v>32</v>
      </c>
      <c r="L370" t="s">
        <v>314</v>
      </c>
      <c r="M370" s="4">
        <v>2</v>
      </c>
      <c r="N370" s="4">
        <v>1</v>
      </c>
      <c r="O370" s="2">
        <v>0.5</v>
      </c>
      <c r="P370" s="3">
        <v>0.16</v>
      </c>
      <c r="Q370" s="3">
        <v>0.16</v>
      </c>
      <c r="R370" s="3">
        <v>0</v>
      </c>
      <c r="S370" s="2"/>
      <c r="T370" s="5">
        <v>0</v>
      </c>
      <c r="U370" s="4">
        <v>0</v>
      </c>
      <c r="V370" s="4">
        <v>0</v>
      </c>
      <c r="W370" s="2">
        <v>0</v>
      </c>
      <c r="X370" s="4">
        <v>0</v>
      </c>
      <c r="Y370" s="4">
        <v>0</v>
      </c>
      <c r="Z370" s="3">
        <v>0</v>
      </c>
      <c r="AA370" s="3">
        <v>0</v>
      </c>
    </row>
    <row r="371" spans="1:27" x14ac:dyDescent="0.2">
      <c r="A371">
        <f t="shared" si="10"/>
        <v>1</v>
      </c>
      <c r="B371">
        <f t="shared" si="11"/>
        <v>3</v>
      </c>
      <c r="C371" s="1">
        <v>46038</v>
      </c>
      <c r="D371" t="s">
        <v>25</v>
      </c>
      <c r="E371" t="s">
        <v>26</v>
      </c>
      <c r="F371" t="s">
        <v>49</v>
      </c>
      <c r="G371" t="s">
        <v>50</v>
      </c>
      <c r="H371" t="s">
        <v>29</v>
      </c>
      <c r="I371" t="s">
        <v>30</v>
      </c>
      <c r="J371" t="s">
        <v>95</v>
      </c>
      <c r="K371" t="s">
        <v>42</v>
      </c>
      <c r="L371" t="s">
        <v>315</v>
      </c>
      <c r="M371" s="4">
        <v>3</v>
      </c>
      <c r="N371" s="4">
        <v>1</v>
      </c>
      <c r="O371" s="2">
        <v>0.33333333333333331</v>
      </c>
      <c r="P371" s="3">
        <v>0.46</v>
      </c>
      <c r="Q371" s="3">
        <v>0.46</v>
      </c>
      <c r="R371" s="3">
        <v>0</v>
      </c>
      <c r="S371" s="2"/>
      <c r="T371" s="5">
        <v>0</v>
      </c>
      <c r="U371" s="4">
        <v>0</v>
      </c>
      <c r="V371" s="4">
        <v>0</v>
      </c>
      <c r="W371" s="2">
        <v>0</v>
      </c>
      <c r="X371" s="4">
        <v>0</v>
      </c>
      <c r="Y371" s="4">
        <v>0</v>
      </c>
      <c r="Z371" s="3">
        <v>0</v>
      </c>
      <c r="AA371" s="3">
        <v>0</v>
      </c>
    </row>
    <row r="372" spans="1:27" x14ac:dyDescent="0.2">
      <c r="A372">
        <f t="shared" si="10"/>
        <v>1</v>
      </c>
      <c r="B372">
        <f t="shared" si="11"/>
        <v>3</v>
      </c>
      <c r="C372" s="1">
        <v>46039</v>
      </c>
      <c r="D372" t="s">
        <v>25</v>
      </c>
      <c r="E372" t="s">
        <v>26</v>
      </c>
      <c r="F372" t="s">
        <v>27</v>
      </c>
      <c r="G372" t="s">
        <v>28</v>
      </c>
      <c r="H372" t="s">
        <v>29</v>
      </c>
      <c r="I372" t="s">
        <v>30</v>
      </c>
      <c r="J372" t="s">
        <v>133</v>
      </c>
      <c r="K372" t="s">
        <v>32</v>
      </c>
      <c r="L372" t="s">
        <v>316</v>
      </c>
      <c r="M372" s="4">
        <v>1</v>
      </c>
      <c r="N372" s="4">
        <v>1</v>
      </c>
      <c r="O372" s="2">
        <v>1</v>
      </c>
      <c r="P372" s="3">
        <v>0.21</v>
      </c>
      <c r="Q372" s="3">
        <v>0.21</v>
      </c>
      <c r="R372" s="3">
        <v>0</v>
      </c>
      <c r="S372" s="2"/>
      <c r="T372" s="5">
        <v>0</v>
      </c>
      <c r="U372" s="4">
        <v>0</v>
      </c>
      <c r="V372" s="4">
        <v>0</v>
      </c>
      <c r="W372" s="2">
        <v>0</v>
      </c>
      <c r="X372" s="4">
        <v>0</v>
      </c>
      <c r="Y372" s="4">
        <v>0</v>
      </c>
      <c r="Z372" s="3">
        <v>0</v>
      </c>
      <c r="AA372" s="3">
        <v>0</v>
      </c>
    </row>
    <row r="373" spans="1:27" x14ac:dyDescent="0.2">
      <c r="A373">
        <f t="shared" si="10"/>
        <v>1</v>
      </c>
      <c r="B373">
        <f t="shared" si="11"/>
        <v>3</v>
      </c>
      <c r="C373" s="1">
        <v>46036</v>
      </c>
      <c r="D373" t="s">
        <v>25</v>
      </c>
      <c r="E373" t="s">
        <v>26</v>
      </c>
      <c r="F373" t="s">
        <v>49</v>
      </c>
      <c r="G373" t="s">
        <v>50</v>
      </c>
      <c r="H373" t="s">
        <v>29</v>
      </c>
      <c r="I373" t="s">
        <v>30</v>
      </c>
      <c r="J373" t="s">
        <v>95</v>
      </c>
      <c r="K373" t="s">
        <v>42</v>
      </c>
      <c r="L373" t="s">
        <v>317</v>
      </c>
      <c r="M373" s="4">
        <v>1</v>
      </c>
      <c r="N373" s="4">
        <v>1</v>
      </c>
      <c r="O373" s="2">
        <v>1</v>
      </c>
      <c r="P373" s="3">
        <v>0.45</v>
      </c>
      <c r="Q373" s="3">
        <v>0.45</v>
      </c>
      <c r="R373" s="3">
        <v>0</v>
      </c>
      <c r="S373" s="2"/>
      <c r="T373" s="5">
        <v>0</v>
      </c>
      <c r="U373" s="4">
        <v>0</v>
      </c>
      <c r="V373" s="4">
        <v>0</v>
      </c>
      <c r="W373" s="2">
        <v>0</v>
      </c>
      <c r="X373" s="4">
        <v>0</v>
      </c>
      <c r="Y373" s="4">
        <v>0</v>
      </c>
      <c r="Z373" s="3">
        <v>0</v>
      </c>
      <c r="AA373" s="3">
        <v>0</v>
      </c>
    </row>
    <row r="374" spans="1:27" x14ac:dyDescent="0.2">
      <c r="A374">
        <f t="shared" si="10"/>
        <v>1</v>
      </c>
      <c r="B374">
        <f t="shared" si="11"/>
        <v>5</v>
      </c>
      <c r="C374" s="1">
        <v>46049</v>
      </c>
      <c r="D374" t="s">
        <v>25</v>
      </c>
      <c r="E374" t="s">
        <v>26</v>
      </c>
      <c r="F374" t="s">
        <v>27</v>
      </c>
      <c r="G374" t="s">
        <v>124</v>
      </c>
      <c r="H374" t="s">
        <v>29</v>
      </c>
      <c r="I374" t="s">
        <v>30</v>
      </c>
      <c r="J374" t="s">
        <v>31</v>
      </c>
      <c r="K374" t="s">
        <v>87</v>
      </c>
      <c r="L374" t="s">
        <v>33</v>
      </c>
      <c r="M374" s="4">
        <v>11</v>
      </c>
      <c r="N374" s="4">
        <v>2</v>
      </c>
      <c r="O374" s="2">
        <v>0.18181818181818182</v>
      </c>
      <c r="P374" s="3">
        <v>0.2</v>
      </c>
      <c r="Q374" s="3">
        <v>0.4</v>
      </c>
      <c r="R374" s="3">
        <v>0</v>
      </c>
      <c r="S374" s="2"/>
      <c r="T374" s="5">
        <v>0</v>
      </c>
      <c r="U374" s="4">
        <v>0</v>
      </c>
      <c r="V374" s="4">
        <v>0</v>
      </c>
      <c r="W374" s="2">
        <v>0</v>
      </c>
      <c r="X374" s="4">
        <v>0</v>
      </c>
      <c r="Y374" s="4">
        <v>0</v>
      </c>
      <c r="Z374" s="3">
        <v>0</v>
      </c>
      <c r="AA374" s="3">
        <v>0</v>
      </c>
    </row>
    <row r="375" spans="1:27" x14ac:dyDescent="0.2">
      <c r="A375">
        <f t="shared" si="10"/>
        <v>1</v>
      </c>
      <c r="B375">
        <f t="shared" si="11"/>
        <v>4</v>
      </c>
      <c r="C375" s="1">
        <v>46044</v>
      </c>
      <c r="D375" t="s">
        <v>25</v>
      </c>
      <c r="E375" t="s">
        <v>26</v>
      </c>
      <c r="F375" t="s">
        <v>39</v>
      </c>
      <c r="G375" t="s">
        <v>40</v>
      </c>
      <c r="H375" t="s">
        <v>29</v>
      </c>
      <c r="I375" t="s">
        <v>30</v>
      </c>
      <c r="J375" t="s">
        <v>41</v>
      </c>
      <c r="K375" t="s">
        <v>42</v>
      </c>
      <c r="L375" t="s">
        <v>318</v>
      </c>
      <c r="M375" s="4">
        <v>2</v>
      </c>
      <c r="N375" s="4">
        <v>1</v>
      </c>
      <c r="O375" s="2">
        <v>0.5</v>
      </c>
      <c r="P375" s="3">
        <v>0.66</v>
      </c>
      <c r="Q375" s="3">
        <v>0.66</v>
      </c>
      <c r="R375" s="3">
        <v>0</v>
      </c>
      <c r="S375" s="2"/>
      <c r="T375" s="5">
        <v>0</v>
      </c>
      <c r="U375" s="4">
        <v>0</v>
      </c>
      <c r="V375" s="4">
        <v>0</v>
      </c>
      <c r="W375" s="2">
        <v>0</v>
      </c>
      <c r="X375" s="4">
        <v>0</v>
      </c>
      <c r="Y375" s="4">
        <v>0</v>
      </c>
      <c r="Z375" s="3">
        <v>0</v>
      </c>
      <c r="AA375" s="3">
        <v>0</v>
      </c>
    </row>
    <row r="376" spans="1:27" x14ac:dyDescent="0.2">
      <c r="A376">
        <f t="shared" si="10"/>
        <v>1</v>
      </c>
      <c r="B376">
        <f t="shared" si="11"/>
        <v>5</v>
      </c>
      <c r="C376" s="1">
        <v>46048</v>
      </c>
      <c r="D376" t="s">
        <v>25</v>
      </c>
      <c r="E376" t="s">
        <v>26</v>
      </c>
      <c r="F376" t="s">
        <v>61</v>
      </c>
      <c r="G376" t="s">
        <v>62</v>
      </c>
      <c r="H376" t="s">
        <v>29</v>
      </c>
      <c r="I376" t="s">
        <v>30</v>
      </c>
      <c r="J376" t="s">
        <v>95</v>
      </c>
      <c r="K376" t="s">
        <v>42</v>
      </c>
      <c r="L376" t="s">
        <v>319</v>
      </c>
      <c r="M376" s="4">
        <v>1</v>
      </c>
      <c r="N376" s="4">
        <v>1</v>
      </c>
      <c r="O376" s="2">
        <v>1</v>
      </c>
      <c r="P376" s="3">
        <v>1.18</v>
      </c>
      <c r="Q376" s="3">
        <v>1.18</v>
      </c>
      <c r="R376" s="3">
        <v>0</v>
      </c>
      <c r="S376" s="2"/>
      <c r="T376" s="5">
        <v>0</v>
      </c>
      <c r="U376" s="4">
        <v>0</v>
      </c>
      <c r="V376" s="4">
        <v>0</v>
      </c>
      <c r="W376" s="2">
        <v>0</v>
      </c>
      <c r="X376" s="4">
        <v>0</v>
      </c>
      <c r="Y376" s="4">
        <v>0</v>
      </c>
      <c r="Z376" s="3">
        <v>0</v>
      </c>
      <c r="AA376" s="3">
        <v>0</v>
      </c>
    </row>
    <row r="377" spans="1:27" x14ac:dyDescent="0.2">
      <c r="A377">
        <f t="shared" si="10"/>
        <v>1</v>
      </c>
      <c r="B377">
        <f t="shared" si="11"/>
        <v>5</v>
      </c>
      <c r="C377" s="1">
        <v>46048</v>
      </c>
      <c r="D377" t="s">
        <v>25</v>
      </c>
      <c r="E377" t="s">
        <v>26</v>
      </c>
      <c r="F377" t="s">
        <v>112</v>
      </c>
      <c r="G377" t="s">
        <v>62</v>
      </c>
      <c r="H377" t="s">
        <v>29</v>
      </c>
      <c r="I377" t="s">
        <v>30</v>
      </c>
      <c r="J377" t="s">
        <v>173</v>
      </c>
      <c r="K377" t="s">
        <v>32</v>
      </c>
      <c r="L377" t="s">
        <v>320</v>
      </c>
      <c r="M377" s="4">
        <v>1</v>
      </c>
      <c r="N377" s="4">
        <v>1</v>
      </c>
      <c r="O377" s="2">
        <v>1</v>
      </c>
      <c r="P377" s="3">
        <v>0.52</v>
      </c>
      <c r="Q377" s="3">
        <v>0.52</v>
      </c>
      <c r="R377" s="3">
        <v>0</v>
      </c>
      <c r="S377" s="2"/>
      <c r="T377" s="5">
        <v>0</v>
      </c>
      <c r="U377" s="4">
        <v>0</v>
      </c>
      <c r="V377" s="4">
        <v>0</v>
      </c>
      <c r="W377" s="2">
        <v>0</v>
      </c>
      <c r="X377" s="4">
        <v>0</v>
      </c>
      <c r="Y377" s="4">
        <v>0</v>
      </c>
      <c r="Z377" s="3">
        <v>0</v>
      </c>
      <c r="AA377" s="3">
        <v>0</v>
      </c>
    </row>
    <row r="378" spans="1:27" x14ac:dyDescent="0.2">
      <c r="A378">
        <f t="shared" si="10"/>
        <v>1</v>
      </c>
      <c r="B378">
        <f t="shared" si="11"/>
        <v>4</v>
      </c>
      <c r="C378" s="1">
        <v>46046</v>
      </c>
      <c r="D378" t="s">
        <v>25</v>
      </c>
      <c r="E378" t="s">
        <v>26</v>
      </c>
      <c r="F378" t="s">
        <v>61</v>
      </c>
      <c r="G378" t="s">
        <v>62</v>
      </c>
      <c r="H378" t="s">
        <v>29</v>
      </c>
      <c r="I378" t="s">
        <v>30</v>
      </c>
      <c r="J378" t="s">
        <v>47</v>
      </c>
      <c r="K378" t="s">
        <v>42</v>
      </c>
      <c r="L378" t="s">
        <v>321</v>
      </c>
      <c r="M378" s="4">
        <v>1</v>
      </c>
      <c r="N378" s="4">
        <v>1</v>
      </c>
      <c r="O378" s="2">
        <v>1</v>
      </c>
      <c r="P378" s="3">
        <v>1.21</v>
      </c>
      <c r="Q378" s="3">
        <v>1.21</v>
      </c>
      <c r="R378" s="3">
        <v>0</v>
      </c>
      <c r="S378" s="2"/>
      <c r="T378" s="5">
        <v>0</v>
      </c>
      <c r="U378" s="4">
        <v>0</v>
      </c>
      <c r="V378" s="4">
        <v>0</v>
      </c>
      <c r="W378" s="2">
        <v>0</v>
      </c>
      <c r="X378" s="4">
        <v>0</v>
      </c>
      <c r="Y378" s="4">
        <v>0</v>
      </c>
      <c r="Z378" s="3">
        <v>0</v>
      </c>
      <c r="AA378" s="3">
        <v>0</v>
      </c>
    </row>
    <row r="379" spans="1:27" x14ac:dyDescent="0.2">
      <c r="A379">
        <f t="shared" si="10"/>
        <v>1</v>
      </c>
      <c r="B379">
        <f t="shared" si="11"/>
        <v>4</v>
      </c>
      <c r="C379" s="1">
        <v>46046</v>
      </c>
      <c r="D379" t="s">
        <v>25</v>
      </c>
      <c r="E379" t="s">
        <v>26</v>
      </c>
      <c r="F379" t="s">
        <v>49</v>
      </c>
      <c r="G379" t="s">
        <v>50</v>
      </c>
      <c r="H379" t="s">
        <v>29</v>
      </c>
      <c r="I379" t="s">
        <v>30</v>
      </c>
      <c r="J379" t="s">
        <v>51</v>
      </c>
      <c r="K379" t="s">
        <v>42</v>
      </c>
      <c r="L379" t="s">
        <v>52</v>
      </c>
      <c r="M379" s="4">
        <v>8</v>
      </c>
      <c r="N379" s="4">
        <v>1</v>
      </c>
      <c r="O379" s="2">
        <v>0.125</v>
      </c>
      <c r="P379" s="3">
        <v>0.53</v>
      </c>
      <c r="Q379" s="3">
        <v>0.53</v>
      </c>
      <c r="R379" s="3">
        <v>0</v>
      </c>
      <c r="S379" s="2"/>
      <c r="T379" s="5">
        <v>0</v>
      </c>
      <c r="U379" s="4">
        <v>0</v>
      </c>
      <c r="V379" s="4">
        <v>0</v>
      </c>
      <c r="W379" s="2">
        <v>0</v>
      </c>
      <c r="X379" s="4">
        <v>0</v>
      </c>
      <c r="Y379" s="4">
        <v>0</v>
      </c>
      <c r="Z379" s="3">
        <v>0</v>
      </c>
      <c r="AA379" s="3">
        <v>0</v>
      </c>
    </row>
    <row r="380" spans="1:27" x14ac:dyDescent="0.2">
      <c r="A380">
        <f t="shared" si="10"/>
        <v>1</v>
      </c>
      <c r="B380">
        <f t="shared" si="11"/>
        <v>5</v>
      </c>
      <c r="C380" s="1">
        <v>46053</v>
      </c>
      <c r="D380" t="s">
        <v>25</v>
      </c>
      <c r="E380" t="s">
        <v>26</v>
      </c>
      <c r="F380" t="s">
        <v>49</v>
      </c>
      <c r="G380" t="s">
        <v>50</v>
      </c>
      <c r="H380" t="s">
        <v>29</v>
      </c>
      <c r="I380" t="s">
        <v>30</v>
      </c>
      <c r="J380" t="s">
        <v>51</v>
      </c>
      <c r="K380" t="s">
        <v>42</v>
      </c>
      <c r="L380" t="s">
        <v>322</v>
      </c>
      <c r="M380" s="4">
        <v>3</v>
      </c>
      <c r="N380" s="4">
        <v>1</v>
      </c>
      <c r="O380" s="2">
        <v>0.33333333333333331</v>
      </c>
      <c r="P380" s="3">
        <v>0.1</v>
      </c>
      <c r="Q380" s="3">
        <v>0.1</v>
      </c>
      <c r="R380" s="3">
        <v>0</v>
      </c>
      <c r="S380" s="2"/>
      <c r="T380" s="5">
        <v>0</v>
      </c>
      <c r="U380" s="4">
        <v>0</v>
      </c>
      <c r="V380" s="4">
        <v>0</v>
      </c>
      <c r="W380" s="2">
        <v>0</v>
      </c>
      <c r="X380" s="4">
        <v>0</v>
      </c>
      <c r="Y380" s="4">
        <v>0</v>
      </c>
      <c r="Z380" s="3">
        <v>0</v>
      </c>
      <c r="AA380" s="3">
        <v>0</v>
      </c>
    </row>
    <row r="381" spans="1:27" x14ac:dyDescent="0.2">
      <c r="A381">
        <f t="shared" si="10"/>
        <v>1</v>
      </c>
      <c r="B381">
        <f t="shared" si="11"/>
        <v>4</v>
      </c>
      <c r="C381" s="1">
        <v>46046</v>
      </c>
      <c r="D381" t="s">
        <v>25</v>
      </c>
      <c r="E381" t="s">
        <v>26</v>
      </c>
      <c r="F381" t="s">
        <v>39</v>
      </c>
      <c r="G381" t="s">
        <v>40</v>
      </c>
      <c r="H381" t="s">
        <v>29</v>
      </c>
      <c r="I381" t="s">
        <v>30</v>
      </c>
      <c r="J381" t="s">
        <v>58</v>
      </c>
      <c r="K381" t="s">
        <v>42</v>
      </c>
      <c r="L381" t="s">
        <v>59</v>
      </c>
      <c r="M381" s="4">
        <v>56</v>
      </c>
      <c r="N381" s="4">
        <v>1</v>
      </c>
      <c r="O381" s="2">
        <v>1.7857142857142856E-2</v>
      </c>
      <c r="P381" s="3">
        <v>0.71</v>
      </c>
      <c r="Q381" s="3">
        <v>0.71</v>
      </c>
      <c r="R381" s="3">
        <v>0</v>
      </c>
      <c r="S381" s="2"/>
      <c r="T381" s="5">
        <v>0</v>
      </c>
      <c r="U381" s="4">
        <v>0</v>
      </c>
      <c r="V381" s="4">
        <v>0</v>
      </c>
      <c r="W381" s="2">
        <v>0</v>
      </c>
      <c r="X381" s="4">
        <v>0</v>
      </c>
      <c r="Y381" s="4">
        <v>0</v>
      </c>
      <c r="Z381" s="3">
        <v>0</v>
      </c>
      <c r="AA381" s="3">
        <v>0</v>
      </c>
    </row>
    <row r="382" spans="1:27" x14ac:dyDescent="0.2">
      <c r="A382">
        <f t="shared" si="10"/>
        <v>1</v>
      </c>
      <c r="B382">
        <f t="shared" si="11"/>
        <v>5</v>
      </c>
      <c r="C382" s="1">
        <v>46047</v>
      </c>
      <c r="D382" t="s">
        <v>25</v>
      </c>
      <c r="E382" t="s">
        <v>26</v>
      </c>
      <c r="F382" t="s">
        <v>49</v>
      </c>
      <c r="G382" t="s">
        <v>50</v>
      </c>
      <c r="H382" t="s">
        <v>29</v>
      </c>
      <c r="I382" t="s">
        <v>30</v>
      </c>
      <c r="J382" t="s">
        <v>51</v>
      </c>
      <c r="K382" t="s">
        <v>42</v>
      </c>
      <c r="L382" t="s">
        <v>323</v>
      </c>
      <c r="M382" s="4">
        <v>11</v>
      </c>
      <c r="N382" s="4">
        <v>1</v>
      </c>
      <c r="O382" s="2">
        <v>9.0909090909090925E-2</v>
      </c>
      <c r="P382" s="3">
        <v>0.53</v>
      </c>
      <c r="Q382" s="3">
        <v>0.53</v>
      </c>
      <c r="R382" s="3">
        <v>0</v>
      </c>
      <c r="S382" s="2"/>
      <c r="T382" s="5">
        <v>0</v>
      </c>
      <c r="U382" s="4">
        <v>0</v>
      </c>
      <c r="V382" s="4">
        <v>0</v>
      </c>
      <c r="W382" s="2">
        <v>0</v>
      </c>
      <c r="X382" s="4">
        <v>0</v>
      </c>
      <c r="Y382" s="4">
        <v>0</v>
      </c>
      <c r="Z382" s="3">
        <v>0</v>
      </c>
      <c r="AA382" s="3">
        <v>0</v>
      </c>
    </row>
    <row r="383" spans="1:27" x14ac:dyDescent="0.2">
      <c r="A383">
        <f t="shared" si="10"/>
        <v>1</v>
      </c>
      <c r="B383">
        <f t="shared" si="11"/>
        <v>5</v>
      </c>
      <c r="C383" s="1">
        <v>46053</v>
      </c>
      <c r="D383" t="s">
        <v>25</v>
      </c>
      <c r="E383" t="s">
        <v>26</v>
      </c>
      <c r="F383" t="s">
        <v>49</v>
      </c>
      <c r="G383" t="s">
        <v>50</v>
      </c>
      <c r="H383" t="s">
        <v>29</v>
      </c>
      <c r="I383" t="s">
        <v>30</v>
      </c>
      <c r="J383" t="s">
        <v>51</v>
      </c>
      <c r="K383" t="s">
        <v>42</v>
      </c>
      <c r="L383" t="s">
        <v>324</v>
      </c>
      <c r="M383" s="4">
        <v>3</v>
      </c>
      <c r="N383" s="4">
        <v>1</v>
      </c>
      <c r="O383" s="2">
        <v>0.33333333333333331</v>
      </c>
      <c r="P383" s="3">
        <v>0.41</v>
      </c>
      <c r="Q383" s="3">
        <v>0.41</v>
      </c>
      <c r="R383" s="3">
        <v>0</v>
      </c>
      <c r="S383" s="2"/>
      <c r="T383" s="5">
        <v>0</v>
      </c>
      <c r="U383" s="4">
        <v>0</v>
      </c>
      <c r="V383" s="4">
        <v>0</v>
      </c>
      <c r="W383" s="2">
        <v>0</v>
      </c>
      <c r="X383" s="4">
        <v>0</v>
      </c>
      <c r="Y383" s="4">
        <v>0</v>
      </c>
      <c r="Z383" s="3">
        <v>0</v>
      </c>
      <c r="AA383" s="3">
        <v>0</v>
      </c>
    </row>
    <row r="384" spans="1:27" x14ac:dyDescent="0.2">
      <c r="A384">
        <f t="shared" si="10"/>
        <v>1</v>
      </c>
      <c r="B384">
        <f t="shared" si="11"/>
        <v>4</v>
      </c>
      <c r="C384" s="1">
        <v>46045</v>
      </c>
      <c r="D384" t="s">
        <v>25</v>
      </c>
      <c r="E384" t="s">
        <v>26</v>
      </c>
      <c r="F384" t="s">
        <v>49</v>
      </c>
      <c r="G384" t="s">
        <v>50</v>
      </c>
      <c r="H384" t="s">
        <v>29</v>
      </c>
      <c r="I384" t="s">
        <v>30</v>
      </c>
      <c r="J384" t="s">
        <v>51</v>
      </c>
      <c r="K384" t="s">
        <v>42</v>
      </c>
      <c r="L384" t="s">
        <v>325</v>
      </c>
      <c r="M384" s="4">
        <v>7</v>
      </c>
      <c r="N384" s="4">
        <v>1</v>
      </c>
      <c r="O384" s="2">
        <v>0.14285714285714285</v>
      </c>
      <c r="P384" s="3">
        <v>0.53</v>
      </c>
      <c r="Q384" s="3">
        <v>0.53</v>
      </c>
      <c r="R384" s="3">
        <v>0</v>
      </c>
      <c r="S384" s="2"/>
      <c r="T384" s="5">
        <v>0</v>
      </c>
      <c r="U384" s="4">
        <v>0</v>
      </c>
      <c r="V384" s="4">
        <v>0</v>
      </c>
      <c r="W384" s="2">
        <v>0</v>
      </c>
      <c r="X384" s="4">
        <v>0</v>
      </c>
      <c r="Y384" s="4">
        <v>0</v>
      </c>
      <c r="Z384" s="3">
        <v>0</v>
      </c>
      <c r="AA384" s="3">
        <v>0</v>
      </c>
    </row>
    <row r="385" spans="1:27" x14ac:dyDescent="0.2">
      <c r="A385">
        <f t="shared" si="10"/>
        <v>1</v>
      </c>
      <c r="B385">
        <f t="shared" si="11"/>
        <v>5</v>
      </c>
      <c r="C385" s="1">
        <v>46049</v>
      </c>
      <c r="D385" t="s">
        <v>25</v>
      </c>
      <c r="E385" t="s">
        <v>26</v>
      </c>
      <c r="F385" t="s">
        <v>39</v>
      </c>
      <c r="G385" t="s">
        <v>40</v>
      </c>
      <c r="H385" t="s">
        <v>29</v>
      </c>
      <c r="I385" t="s">
        <v>30</v>
      </c>
      <c r="J385" t="s">
        <v>70</v>
      </c>
      <c r="K385" t="s">
        <v>42</v>
      </c>
      <c r="L385" t="s">
        <v>71</v>
      </c>
      <c r="M385" s="4">
        <v>21</v>
      </c>
      <c r="N385" s="4">
        <v>1</v>
      </c>
      <c r="O385" s="2">
        <v>4.7619047619047623E-2</v>
      </c>
      <c r="P385" s="3">
        <v>0.54</v>
      </c>
      <c r="Q385" s="3">
        <v>0.54</v>
      </c>
      <c r="R385" s="3">
        <v>0</v>
      </c>
      <c r="S385" s="2"/>
      <c r="T385" s="5">
        <v>0</v>
      </c>
      <c r="U385" s="4">
        <v>0</v>
      </c>
      <c r="V385" s="4">
        <v>0</v>
      </c>
      <c r="W385" s="2">
        <v>0</v>
      </c>
      <c r="X385" s="4">
        <v>0</v>
      </c>
      <c r="Y385" s="4">
        <v>0</v>
      </c>
      <c r="Z385" s="3">
        <v>0</v>
      </c>
      <c r="AA385" s="3">
        <v>0</v>
      </c>
    </row>
    <row r="386" spans="1:27" x14ac:dyDescent="0.2">
      <c r="A386">
        <f t="shared" si="10"/>
        <v>1</v>
      </c>
      <c r="B386">
        <f t="shared" si="11"/>
        <v>5</v>
      </c>
      <c r="C386" s="1">
        <v>46052</v>
      </c>
      <c r="D386" t="s">
        <v>25</v>
      </c>
      <c r="E386" t="s">
        <v>26</v>
      </c>
      <c r="F386" t="s">
        <v>49</v>
      </c>
      <c r="G386" t="s">
        <v>50</v>
      </c>
      <c r="H386" t="s">
        <v>29</v>
      </c>
      <c r="I386" t="s">
        <v>30</v>
      </c>
      <c r="J386" t="s">
        <v>51</v>
      </c>
      <c r="K386" t="s">
        <v>42</v>
      </c>
      <c r="L386" t="s">
        <v>326</v>
      </c>
      <c r="M386" s="4">
        <v>1</v>
      </c>
      <c r="N386" s="4">
        <v>1</v>
      </c>
      <c r="O386" s="2">
        <v>1</v>
      </c>
      <c r="P386" s="3">
        <v>0.38</v>
      </c>
      <c r="Q386" s="3">
        <v>0.38</v>
      </c>
      <c r="R386" s="3">
        <v>0</v>
      </c>
      <c r="S386" s="2"/>
      <c r="T386" s="5">
        <v>0</v>
      </c>
      <c r="U386" s="4">
        <v>0</v>
      </c>
      <c r="V386" s="4">
        <v>0</v>
      </c>
      <c r="W386" s="2">
        <v>0</v>
      </c>
      <c r="X386" s="4">
        <v>0</v>
      </c>
      <c r="Y386" s="4">
        <v>0</v>
      </c>
      <c r="Z386" s="3">
        <v>0</v>
      </c>
      <c r="AA386" s="3">
        <v>0</v>
      </c>
    </row>
    <row r="387" spans="1:27" x14ac:dyDescent="0.2">
      <c r="A387">
        <f t="shared" ref="A387:A450" si="12">MONTH(C387)</f>
        <v>1</v>
      </c>
      <c r="B387">
        <f t="shared" ref="B387:B450" si="13">WEEKNUM(C387,1)</f>
        <v>4</v>
      </c>
      <c r="C387" s="1">
        <v>46044</v>
      </c>
      <c r="D387" t="s">
        <v>25</v>
      </c>
      <c r="E387" t="s">
        <v>26</v>
      </c>
      <c r="F387" t="s">
        <v>61</v>
      </c>
      <c r="G387" t="s">
        <v>62</v>
      </c>
      <c r="H387" t="s">
        <v>29</v>
      </c>
      <c r="I387" t="s">
        <v>30</v>
      </c>
      <c r="J387" t="s">
        <v>51</v>
      </c>
      <c r="K387" t="s">
        <v>42</v>
      </c>
      <c r="L387" t="s">
        <v>327</v>
      </c>
      <c r="M387" s="4">
        <v>1</v>
      </c>
      <c r="N387" s="4">
        <v>1</v>
      </c>
      <c r="O387" s="2">
        <v>1</v>
      </c>
      <c r="P387" s="3">
        <v>1.17</v>
      </c>
      <c r="Q387" s="3">
        <v>1.17</v>
      </c>
      <c r="R387" s="3">
        <v>0</v>
      </c>
      <c r="S387" s="2"/>
      <c r="T387" s="5">
        <v>0</v>
      </c>
      <c r="U387" s="4">
        <v>0</v>
      </c>
      <c r="V387" s="4">
        <v>0</v>
      </c>
      <c r="W387" s="2">
        <v>0</v>
      </c>
      <c r="X387" s="4">
        <v>0</v>
      </c>
      <c r="Y387" s="4">
        <v>0</v>
      </c>
      <c r="Z387" s="3">
        <v>0</v>
      </c>
      <c r="AA387" s="3">
        <v>0</v>
      </c>
    </row>
    <row r="388" spans="1:27" x14ac:dyDescent="0.2">
      <c r="A388">
        <f t="shared" si="12"/>
        <v>1</v>
      </c>
      <c r="B388">
        <f t="shared" si="13"/>
        <v>4</v>
      </c>
      <c r="C388" s="1">
        <v>46045</v>
      </c>
      <c r="D388" t="s">
        <v>25</v>
      </c>
      <c r="E388" t="s">
        <v>26</v>
      </c>
      <c r="F388" t="s">
        <v>39</v>
      </c>
      <c r="G388" t="s">
        <v>40</v>
      </c>
      <c r="H388" t="s">
        <v>29</v>
      </c>
      <c r="I388" t="s">
        <v>30</v>
      </c>
      <c r="J388" t="s">
        <v>41</v>
      </c>
      <c r="K388" t="s">
        <v>42</v>
      </c>
      <c r="L388" t="s">
        <v>75</v>
      </c>
      <c r="M388" s="4">
        <v>160</v>
      </c>
      <c r="N388" s="4">
        <v>2</v>
      </c>
      <c r="O388" s="2">
        <v>1.2500000000000001E-2</v>
      </c>
      <c r="P388" s="3">
        <v>0.67</v>
      </c>
      <c r="Q388" s="3">
        <v>1.34</v>
      </c>
      <c r="R388" s="3">
        <v>0</v>
      </c>
      <c r="S388" s="2"/>
      <c r="T388" s="5">
        <v>0</v>
      </c>
      <c r="U388" s="4">
        <v>0</v>
      </c>
      <c r="V388" s="4">
        <v>0</v>
      </c>
      <c r="W388" s="2">
        <v>0</v>
      </c>
      <c r="X388" s="4">
        <v>0</v>
      </c>
      <c r="Y388" s="4">
        <v>0</v>
      </c>
      <c r="Z388" s="3">
        <v>0</v>
      </c>
      <c r="AA388" s="3">
        <v>0</v>
      </c>
    </row>
    <row r="389" spans="1:27" x14ac:dyDescent="0.2">
      <c r="A389">
        <f t="shared" si="12"/>
        <v>1</v>
      </c>
      <c r="B389">
        <f t="shared" si="13"/>
        <v>4</v>
      </c>
      <c r="C389" s="1">
        <v>46046</v>
      </c>
      <c r="D389" t="s">
        <v>25</v>
      </c>
      <c r="E389" t="s">
        <v>26</v>
      </c>
      <c r="F389" t="s">
        <v>39</v>
      </c>
      <c r="G389" t="s">
        <v>40</v>
      </c>
      <c r="H389" t="s">
        <v>29</v>
      </c>
      <c r="I389" t="s">
        <v>30</v>
      </c>
      <c r="J389" t="s">
        <v>41</v>
      </c>
      <c r="K389" t="s">
        <v>42</v>
      </c>
      <c r="L389" t="s">
        <v>75</v>
      </c>
      <c r="M389" s="4">
        <v>268</v>
      </c>
      <c r="N389" s="4">
        <v>2</v>
      </c>
      <c r="O389" s="2">
        <v>7.4626865671641781E-3</v>
      </c>
      <c r="P389" s="3">
        <v>0.67</v>
      </c>
      <c r="Q389" s="3">
        <v>1.34</v>
      </c>
      <c r="R389" s="3">
        <v>0</v>
      </c>
      <c r="S389" s="2"/>
      <c r="T389" s="5">
        <v>0</v>
      </c>
      <c r="U389" s="4">
        <v>0</v>
      </c>
      <c r="V389" s="4">
        <v>0</v>
      </c>
      <c r="W389" s="2">
        <v>0</v>
      </c>
      <c r="X389" s="4">
        <v>0</v>
      </c>
      <c r="Y389" s="4">
        <v>0</v>
      </c>
      <c r="Z389" s="3">
        <v>0</v>
      </c>
      <c r="AA389" s="3">
        <v>0</v>
      </c>
    </row>
    <row r="390" spans="1:27" x14ac:dyDescent="0.2">
      <c r="A390">
        <f t="shared" si="12"/>
        <v>1</v>
      </c>
      <c r="B390">
        <f t="shared" si="13"/>
        <v>5</v>
      </c>
      <c r="C390" s="1">
        <v>46048</v>
      </c>
      <c r="D390" t="s">
        <v>25</v>
      </c>
      <c r="E390" t="s">
        <v>26</v>
      </c>
      <c r="F390" t="s">
        <v>39</v>
      </c>
      <c r="G390" t="s">
        <v>40</v>
      </c>
      <c r="H390" t="s">
        <v>29</v>
      </c>
      <c r="I390" t="s">
        <v>30</v>
      </c>
      <c r="J390" t="s">
        <v>41</v>
      </c>
      <c r="K390" t="s">
        <v>42</v>
      </c>
      <c r="L390" t="s">
        <v>75</v>
      </c>
      <c r="M390" s="4">
        <v>54</v>
      </c>
      <c r="N390" s="4">
        <v>1</v>
      </c>
      <c r="O390" s="2">
        <v>1.8518518518518517E-2</v>
      </c>
      <c r="P390" s="3">
        <v>0.67</v>
      </c>
      <c r="Q390" s="3">
        <v>0.67</v>
      </c>
      <c r="R390" s="3">
        <v>0</v>
      </c>
      <c r="S390" s="2"/>
      <c r="T390" s="5">
        <v>0</v>
      </c>
      <c r="U390" s="4">
        <v>0</v>
      </c>
      <c r="V390" s="4">
        <v>0</v>
      </c>
      <c r="W390" s="2">
        <v>0</v>
      </c>
      <c r="X390" s="4">
        <v>0</v>
      </c>
      <c r="Y390" s="4">
        <v>0</v>
      </c>
      <c r="Z390" s="3">
        <v>0</v>
      </c>
      <c r="AA390" s="3">
        <v>0</v>
      </c>
    </row>
    <row r="391" spans="1:27" x14ac:dyDescent="0.2">
      <c r="A391">
        <f t="shared" si="12"/>
        <v>1</v>
      </c>
      <c r="B391">
        <f t="shared" si="13"/>
        <v>5</v>
      </c>
      <c r="C391" s="1">
        <v>46048</v>
      </c>
      <c r="D391" t="s">
        <v>25</v>
      </c>
      <c r="E391" t="s">
        <v>26</v>
      </c>
      <c r="F391" t="s">
        <v>39</v>
      </c>
      <c r="G391" t="s">
        <v>40</v>
      </c>
      <c r="H391" t="s">
        <v>29</v>
      </c>
      <c r="I391" t="s">
        <v>30</v>
      </c>
      <c r="J391" t="s">
        <v>78</v>
      </c>
      <c r="K391" t="s">
        <v>42</v>
      </c>
      <c r="L391" t="s">
        <v>79</v>
      </c>
      <c r="M391" s="4">
        <v>495</v>
      </c>
      <c r="N391" s="4">
        <v>1</v>
      </c>
      <c r="O391" s="2">
        <v>2.0202020202020202E-3</v>
      </c>
      <c r="P391" s="3">
        <v>0.5</v>
      </c>
      <c r="Q391" s="3">
        <v>0.5</v>
      </c>
      <c r="R391" s="3">
        <v>0</v>
      </c>
      <c r="S391" s="2"/>
      <c r="T391" s="5">
        <v>0</v>
      </c>
      <c r="U391" s="4">
        <v>0</v>
      </c>
      <c r="V391" s="4">
        <v>0</v>
      </c>
      <c r="W391" s="2">
        <v>0</v>
      </c>
      <c r="X391" s="4">
        <v>0</v>
      </c>
      <c r="Y391" s="4">
        <v>0</v>
      </c>
      <c r="Z391" s="3">
        <v>0</v>
      </c>
      <c r="AA391" s="3">
        <v>0</v>
      </c>
    </row>
    <row r="392" spans="1:27" x14ac:dyDescent="0.2">
      <c r="A392">
        <f t="shared" si="12"/>
        <v>1</v>
      </c>
      <c r="B392">
        <f t="shared" si="13"/>
        <v>5</v>
      </c>
      <c r="C392" s="1">
        <v>46050</v>
      </c>
      <c r="D392" t="s">
        <v>25</v>
      </c>
      <c r="E392" t="s">
        <v>26</v>
      </c>
      <c r="F392" t="s">
        <v>39</v>
      </c>
      <c r="G392" t="s">
        <v>40</v>
      </c>
      <c r="H392" t="s">
        <v>29</v>
      </c>
      <c r="I392" t="s">
        <v>30</v>
      </c>
      <c r="J392" t="s">
        <v>78</v>
      </c>
      <c r="K392" t="s">
        <v>42</v>
      </c>
      <c r="L392" t="s">
        <v>79</v>
      </c>
      <c r="M392" s="4">
        <v>361</v>
      </c>
      <c r="N392" s="4">
        <v>5</v>
      </c>
      <c r="O392" s="2">
        <v>1.3850415512465374E-2</v>
      </c>
      <c r="P392" s="3">
        <v>0.44800000000000006</v>
      </c>
      <c r="Q392" s="3">
        <v>2.2400000000000002</v>
      </c>
      <c r="R392" s="3">
        <v>0</v>
      </c>
      <c r="S392" s="2"/>
      <c r="T392" s="5">
        <v>0</v>
      </c>
      <c r="U392" s="4">
        <v>0</v>
      </c>
      <c r="V392" s="4">
        <v>0</v>
      </c>
      <c r="W392" s="2">
        <v>0</v>
      </c>
      <c r="X392" s="4">
        <v>0</v>
      </c>
      <c r="Y392" s="4">
        <v>0</v>
      </c>
      <c r="Z392" s="3">
        <v>0</v>
      </c>
      <c r="AA392" s="3">
        <v>0</v>
      </c>
    </row>
    <row r="393" spans="1:27" x14ac:dyDescent="0.2">
      <c r="A393">
        <f t="shared" si="12"/>
        <v>1</v>
      </c>
      <c r="B393">
        <f t="shared" si="13"/>
        <v>5</v>
      </c>
      <c r="C393" s="1">
        <v>46047</v>
      </c>
      <c r="D393" t="s">
        <v>25</v>
      </c>
      <c r="E393" t="s">
        <v>26</v>
      </c>
      <c r="F393" t="s">
        <v>49</v>
      </c>
      <c r="G393" t="s">
        <v>50</v>
      </c>
      <c r="H393" t="s">
        <v>29</v>
      </c>
      <c r="I393" t="s">
        <v>30</v>
      </c>
      <c r="J393" t="s">
        <v>51</v>
      </c>
      <c r="K393" t="s">
        <v>42</v>
      </c>
      <c r="L393" t="s">
        <v>328</v>
      </c>
      <c r="M393" s="4">
        <v>13</v>
      </c>
      <c r="N393" s="4">
        <v>1</v>
      </c>
      <c r="O393" s="2">
        <v>7.6923076923076927E-2</v>
      </c>
      <c r="P393" s="3">
        <v>0.53</v>
      </c>
      <c r="Q393" s="3">
        <v>0.53</v>
      </c>
      <c r="R393" s="3">
        <v>0</v>
      </c>
      <c r="S393" s="2"/>
      <c r="T393" s="5">
        <v>0</v>
      </c>
      <c r="U393" s="4">
        <v>0</v>
      </c>
      <c r="V393" s="4">
        <v>0</v>
      </c>
      <c r="W393" s="2">
        <v>0</v>
      </c>
      <c r="X393" s="4">
        <v>0</v>
      </c>
      <c r="Y393" s="4">
        <v>0</v>
      </c>
      <c r="Z393" s="3">
        <v>0</v>
      </c>
      <c r="AA393" s="3">
        <v>0</v>
      </c>
    </row>
    <row r="394" spans="1:27" x14ac:dyDescent="0.2">
      <c r="A394">
        <f t="shared" si="12"/>
        <v>1</v>
      </c>
      <c r="B394">
        <f t="shared" si="13"/>
        <v>5</v>
      </c>
      <c r="C394" s="1">
        <v>46050</v>
      </c>
      <c r="D394" t="s">
        <v>25</v>
      </c>
      <c r="E394" t="s">
        <v>26</v>
      </c>
      <c r="F394" t="s">
        <v>49</v>
      </c>
      <c r="G394" t="s">
        <v>50</v>
      </c>
      <c r="H394" t="s">
        <v>29</v>
      </c>
      <c r="I394" t="s">
        <v>30</v>
      </c>
      <c r="J394" t="s">
        <v>51</v>
      </c>
      <c r="K394" t="s">
        <v>42</v>
      </c>
      <c r="L394" t="s">
        <v>329</v>
      </c>
      <c r="M394" s="4">
        <v>2</v>
      </c>
      <c r="N394" s="4">
        <v>1</v>
      </c>
      <c r="O394" s="2">
        <v>0.5</v>
      </c>
      <c r="P394" s="3">
        <v>0.43</v>
      </c>
      <c r="Q394" s="3">
        <v>0.43</v>
      </c>
      <c r="R394" s="3">
        <v>0</v>
      </c>
      <c r="S394" s="2"/>
      <c r="T394" s="5">
        <v>0</v>
      </c>
      <c r="U394" s="4">
        <v>0</v>
      </c>
      <c r="V394" s="4">
        <v>0</v>
      </c>
      <c r="W394" s="2">
        <v>0</v>
      </c>
      <c r="X394" s="4">
        <v>0</v>
      </c>
      <c r="Y394" s="4">
        <v>0</v>
      </c>
      <c r="Z394" s="3">
        <v>0</v>
      </c>
      <c r="AA394" s="3">
        <v>0</v>
      </c>
    </row>
    <row r="395" spans="1:27" x14ac:dyDescent="0.2">
      <c r="A395">
        <f t="shared" si="12"/>
        <v>1</v>
      </c>
      <c r="B395">
        <f t="shared" si="13"/>
        <v>4</v>
      </c>
      <c r="C395" s="1">
        <v>46046</v>
      </c>
      <c r="D395" t="s">
        <v>25</v>
      </c>
      <c r="E395" t="s">
        <v>26</v>
      </c>
      <c r="F395" t="s">
        <v>61</v>
      </c>
      <c r="G395" t="s">
        <v>62</v>
      </c>
      <c r="H395" t="s">
        <v>29</v>
      </c>
      <c r="I395" t="s">
        <v>30</v>
      </c>
      <c r="J395" t="s">
        <v>51</v>
      </c>
      <c r="K395" t="s">
        <v>42</v>
      </c>
      <c r="L395" t="s">
        <v>330</v>
      </c>
      <c r="M395" s="4">
        <v>0</v>
      </c>
      <c r="N395" s="4">
        <v>1</v>
      </c>
      <c r="O395" s="2"/>
      <c r="P395" s="3">
        <v>1.17</v>
      </c>
      <c r="Q395" s="3">
        <v>1.17</v>
      </c>
      <c r="R395" s="3">
        <v>0</v>
      </c>
      <c r="S395" s="2"/>
      <c r="T395" s="5">
        <v>0</v>
      </c>
      <c r="U395" s="4">
        <v>0</v>
      </c>
      <c r="V395" s="4">
        <v>0</v>
      </c>
      <c r="W395" s="2">
        <v>0</v>
      </c>
      <c r="X395" s="4">
        <v>0</v>
      </c>
      <c r="Y395" s="4">
        <v>0</v>
      </c>
      <c r="Z395" s="3">
        <v>0</v>
      </c>
      <c r="AA395" s="3">
        <v>0</v>
      </c>
    </row>
    <row r="396" spans="1:27" x14ac:dyDescent="0.2">
      <c r="A396">
        <f t="shared" si="12"/>
        <v>1</v>
      </c>
      <c r="B396">
        <f t="shared" si="13"/>
        <v>4</v>
      </c>
      <c r="C396" s="1">
        <v>46045</v>
      </c>
      <c r="D396" t="s">
        <v>25</v>
      </c>
      <c r="E396" t="s">
        <v>26</v>
      </c>
      <c r="F396" t="s">
        <v>49</v>
      </c>
      <c r="G396" t="s">
        <v>50</v>
      </c>
      <c r="H396" t="s">
        <v>29</v>
      </c>
      <c r="I396" t="s">
        <v>30</v>
      </c>
      <c r="J396" t="s">
        <v>95</v>
      </c>
      <c r="K396" t="s">
        <v>42</v>
      </c>
      <c r="L396" t="s">
        <v>331</v>
      </c>
      <c r="M396" s="4">
        <v>2</v>
      </c>
      <c r="N396" s="4">
        <v>1</v>
      </c>
      <c r="O396" s="2">
        <v>0.5</v>
      </c>
      <c r="P396" s="3">
        <v>0.53</v>
      </c>
      <c r="Q396" s="3">
        <v>0.53</v>
      </c>
      <c r="R396" s="3">
        <v>0</v>
      </c>
      <c r="S396" s="2"/>
      <c r="T396" s="5">
        <v>0</v>
      </c>
      <c r="U396" s="4">
        <v>0</v>
      </c>
      <c r="V396" s="4">
        <v>0</v>
      </c>
      <c r="W396" s="2">
        <v>0</v>
      </c>
      <c r="X396" s="4">
        <v>0</v>
      </c>
      <c r="Y396" s="4">
        <v>0</v>
      </c>
      <c r="Z396" s="3">
        <v>0</v>
      </c>
      <c r="AA396" s="3">
        <v>0</v>
      </c>
    </row>
    <row r="397" spans="1:27" x14ac:dyDescent="0.2">
      <c r="A397">
        <f t="shared" si="12"/>
        <v>1</v>
      </c>
      <c r="B397">
        <f t="shared" si="13"/>
        <v>4</v>
      </c>
      <c r="C397" s="1">
        <v>46044</v>
      </c>
      <c r="D397" t="s">
        <v>25</v>
      </c>
      <c r="E397" t="s">
        <v>26</v>
      </c>
      <c r="F397" t="s">
        <v>49</v>
      </c>
      <c r="G397" t="s">
        <v>50</v>
      </c>
      <c r="H397" t="s">
        <v>29</v>
      </c>
      <c r="I397" t="s">
        <v>30</v>
      </c>
      <c r="J397" t="s">
        <v>95</v>
      </c>
      <c r="K397" t="s">
        <v>42</v>
      </c>
      <c r="L397" t="s">
        <v>332</v>
      </c>
      <c r="M397" s="4">
        <v>1</v>
      </c>
      <c r="N397" s="4">
        <v>1</v>
      </c>
      <c r="O397" s="2">
        <v>1</v>
      </c>
      <c r="P397" s="3">
        <v>0.53</v>
      </c>
      <c r="Q397" s="3">
        <v>0.53</v>
      </c>
      <c r="R397" s="3">
        <v>0</v>
      </c>
      <c r="S397" s="2"/>
      <c r="T397" s="5">
        <v>0</v>
      </c>
      <c r="U397" s="4">
        <v>0</v>
      </c>
      <c r="V397" s="4">
        <v>0</v>
      </c>
      <c r="W397" s="2">
        <v>0</v>
      </c>
      <c r="X397" s="4">
        <v>0</v>
      </c>
      <c r="Y397" s="4">
        <v>0</v>
      </c>
      <c r="Z397" s="3">
        <v>0</v>
      </c>
      <c r="AA397" s="3">
        <v>0</v>
      </c>
    </row>
    <row r="398" spans="1:27" x14ac:dyDescent="0.2">
      <c r="A398">
        <f t="shared" si="12"/>
        <v>1</v>
      </c>
      <c r="B398">
        <f t="shared" si="13"/>
        <v>5</v>
      </c>
      <c r="C398" s="1">
        <v>46049</v>
      </c>
      <c r="D398" t="s">
        <v>25</v>
      </c>
      <c r="E398" t="s">
        <v>26</v>
      </c>
      <c r="F398" t="s">
        <v>39</v>
      </c>
      <c r="G398" t="s">
        <v>40</v>
      </c>
      <c r="H398" t="s">
        <v>29</v>
      </c>
      <c r="I398" t="s">
        <v>30</v>
      </c>
      <c r="J398" t="s">
        <v>70</v>
      </c>
      <c r="K398" t="s">
        <v>42</v>
      </c>
      <c r="L398" t="s">
        <v>102</v>
      </c>
      <c r="M398" s="4">
        <v>2</v>
      </c>
      <c r="N398" s="4">
        <v>1</v>
      </c>
      <c r="O398" s="2">
        <v>0.5</v>
      </c>
      <c r="P398" s="3">
        <v>0.54</v>
      </c>
      <c r="Q398" s="3">
        <v>0.54</v>
      </c>
      <c r="R398" s="3">
        <v>0</v>
      </c>
      <c r="S398" s="2"/>
      <c r="T398" s="5">
        <v>0</v>
      </c>
      <c r="U398" s="4">
        <v>0</v>
      </c>
      <c r="V398" s="4">
        <v>0</v>
      </c>
      <c r="W398" s="2">
        <v>0</v>
      </c>
      <c r="X398" s="4">
        <v>0</v>
      </c>
      <c r="Y398" s="4">
        <v>0</v>
      </c>
      <c r="Z398" s="3">
        <v>0</v>
      </c>
      <c r="AA398" s="3">
        <v>0</v>
      </c>
    </row>
    <row r="399" spans="1:27" x14ac:dyDescent="0.2">
      <c r="A399">
        <f t="shared" si="12"/>
        <v>1</v>
      </c>
      <c r="B399">
        <f t="shared" si="13"/>
        <v>5</v>
      </c>
      <c r="C399" s="1">
        <v>46049</v>
      </c>
      <c r="D399" t="s">
        <v>25</v>
      </c>
      <c r="E399" t="s">
        <v>26</v>
      </c>
      <c r="F399" t="s">
        <v>49</v>
      </c>
      <c r="G399" t="s">
        <v>50</v>
      </c>
      <c r="H399" t="s">
        <v>29</v>
      </c>
      <c r="I399" t="s">
        <v>30</v>
      </c>
      <c r="J399" t="s">
        <v>95</v>
      </c>
      <c r="K399" t="s">
        <v>42</v>
      </c>
      <c r="L399" t="s">
        <v>333</v>
      </c>
      <c r="M399" s="4">
        <v>2</v>
      </c>
      <c r="N399" s="4">
        <v>1</v>
      </c>
      <c r="O399" s="2">
        <v>0.5</v>
      </c>
      <c r="P399" s="3">
        <v>0.32</v>
      </c>
      <c r="Q399" s="3">
        <v>0.32</v>
      </c>
      <c r="R399" s="3">
        <v>0</v>
      </c>
      <c r="S399" s="2"/>
      <c r="T399" s="5">
        <v>0</v>
      </c>
      <c r="U399" s="4">
        <v>0</v>
      </c>
      <c r="V399" s="4">
        <v>0</v>
      </c>
      <c r="W399" s="2">
        <v>0</v>
      </c>
      <c r="X399" s="4">
        <v>0</v>
      </c>
      <c r="Y399" s="4">
        <v>0</v>
      </c>
      <c r="Z399" s="3">
        <v>0</v>
      </c>
      <c r="AA399" s="3">
        <v>0</v>
      </c>
    </row>
    <row r="400" spans="1:27" x14ac:dyDescent="0.2">
      <c r="A400">
        <f t="shared" si="12"/>
        <v>1</v>
      </c>
      <c r="B400">
        <f t="shared" si="13"/>
        <v>5</v>
      </c>
      <c r="C400" s="1">
        <v>46047</v>
      </c>
      <c r="D400" t="s">
        <v>25</v>
      </c>
      <c r="E400" t="s">
        <v>26</v>
      </c>
      <c r="F400" t="s">
        <v>53</v>
      </c>
      <c r="G400" t="s">
        <v>54</v>
      </c>
      <c r="H400" t="s">
        <v>29</v>
      </c>
      <c r="I400" t="s">
        <v>30</v>
      </c>
      <c r="J400" t="s">
        <v>47</v>
      </c>
      <c r="K400" t="s">
        <v>42</v>
      </c>
      <c r="L400" t="s">
        <v>108</v>
      </c>
      <c r="M400" s="4">
        <v>8</v>
      </c>
      <c r="N400" s="4">
        <v>1</v>
      </c>
      <c r="O400" s="2">
        <v>0.125</v>
      </c>
      <c r="P400" s="3">
        <v>0.6</v>
      </c>
      <c r="Q400" s="3">
        <v>0.6</v>
      </c>
      <c r="R400" s="3">
        <v>0</v>
      </c>
      <c r="S400" s="2"/>
      <c r="T400" s="5">
        <v>0</v>
      </c>
      <c r="U400" s="4">
        <v>0</v>
      </c>
      <c r="V400" s="4">
        <v>0</v>
      </c>
      <c r="W400" s="2">
        <v>0</v>
      </c>
      <c r="X400" s="4">
        <v>0</v>
      </c>
      <c r="Y400" s="4">
        <v>0</v>
      </c>
      <c r="Z400" s="3">
        <v>0</v>
      </c>
      <c r="AA400" s="3">
        <v>0</v>
      </c>
    </row>
    <row r="401" spans="1:27" x14ac:dyDescent="0.2">
      <c r="A401">
        <f t="shared" si="12"/>
        <v>1</v>
      </c>
      <c r="B401">
        <f t="shared" si="13"/>
        <v>5</v>
      </c>
      <c r="C401" s="1">
        <v>46053</v>
      </c>
      <c r="D401" t="s">
        <v>25</v>
      </c>
      <c r="E401" t="s">
        <v>26</v>
      </c>
      <c r="F401" t="s">
        <v>53</v>
      </c>
      <c r="G401" t="s">
        <v>54</v>
      </c>
      <c r="H401" t="s">
        <v>29</v>
      </c>
      <c r="I401" t="s">
        <v>30</v>
      </c>
      <c r="J401" t="s">
        <v>47</v>
      </c>
      <c r="K401" t="s">
        <v>42</v>
      </c>
      <c r="L401" t="s">
        <v>109</v>
      </c>
      <c r="M401" s="4">
        <v>11</v>
      </c>
      <c r="N401" s="4">
        <v>1</v>
      </c>
      <c r="O401" s="2">
        <v>9.0909090909090925E-2</v>
      </c>
      <c r="P401" s="3">
        <v>0.6</v>
      </c>
      <c r="Q401" s="3">
        <v>0.6</v>
      </c>
      <c r="R401" s="3">
        <v>0</v>
      </c>
      <c r="S401" s="2"/>
      <c r="T401" s="5">
        <v>0</v>
      </c>
      <c r="U401" s="4">
        <v>0</v>
      </c>
      <c r="V401" s="4">
        <v>0</v>
      </c>
      <c r="W401" s="2">
        <v>0</v>
      </c>
      <c r="X401" s="4">
        <v>0</v>
      </c>
      <c r="Y401" s="4">
        <v>0</v>
      </c>
      <c r="Z401" s="3">
        <v>0</v>
      </c>
      <c r="AA401" s="3">
        <v>0</v>
      </c>
    </row>
    <row r="402" spans="1:27" x14ac:dyDescent="0.2">
      <c r="A402">
        <f t="shared" si="12"/>
        <v>1</v>
      </c>
      <c r="B402">
        <f t="shared" si="13"/>
        <v>5</v>
      </c>
      <c r="C402" s="1">
        <v>46047</v>
      </c>
      <c r="D402" t="s">
        <v>25</v>
      </c>
      <c r="E402" t="s">
        <v>26</v>
      </c>
      <c r="F402" t="s">
        <v>53</v>
      </c>
      <c r="G402" t="s">
        <v>54</v>
      </c>
      <c r="H402" t="s">
        <v>29</v>
      </c>
      <c r="I402" t="s">
        <v>30</v>
      </c>
      <c r="J402" t="s">
        <v>47</v>
      </c>
      <c r="K402" t="s">
        <v>42</v>
      </c>
      <c r="L402" t="s">
        <v>334</v>
      </c>
      <c r="M402" s="4">
        <v>7</v>
      </c>
      <c r="N402" s="4">
        <v>1</v>
      </c>
      <c r="O402" s="2">
        <v>0.14285714285714285</v>
      </c>
      <c r="P402" s="3">
        <v>0.57999999999999996</v>
      </c>
      <c r="Q402" s="3">
        <v>0.57999999999999996</v>
      </c>
      <c r="R402" s="3">
        <v>0</v>
      </c>
      <c r="S402" s="2"/>
      <c r="T402" s="5">
        <v>0</v>
      </c>
      <c r="U402" s="4">
        <v>0</v>
      </c>
      <c r="V402" s="4">
        <v>0</v>
      </c>
      <c r="W402" s="2">
        <v>0</v>
      </c>
      <c r="X402" s="4">
        <v>0</v>
      </c>
      <c r="Y402" s="4">
        <v>0</v>
      </c>
      <c r="Z402" s="3">
        <v>0</v>
      </c>
      <c r="AA402" s="3">
        <v>0</v>
      </c>
    </row>
    <row r="403" spans="1:27" x14ac:dyDescent="0.2">
      <c r="A403">
        <f t="shared" si="12"/>
        <v>1</v>
      </c>
      <c r="B403">
        <f t="shared" si="13"/>
        <v>5</v>
      </c>
      <c r="C403" s="1">
        <v>46048</v>
      </c>
      <c r="D403" t="s">
        <v>25</v>
      </c>
      <c r="E403" t="s">
        <v>26</v>
      </c>
      <c r="F403" t="s">
        <v>49</v>
      </c>
      <c r="G403" t="s">
        <v>50</v>
      </c>
      <c r="H403" t="s">
        <v>29</v>
      </c>
      <c r="I403" t="s">
        <v>30</v>
      </c>
      <c r="J403" t="s">
        <v>51</v>
      </c>
      <c r="K403" t="s">
        <v>42</v>
      </c>
      <c r="L403" t="s">
        <v>335</v>
      </c>
      <c r="M403" s="4">
        <v>6</v>
      </c>
      <c r="N403" s="4">
        <v>1</v>
      </c>
      <c r="O403" s="2">
        <v>0.16666666666666663</v>
      </c>
      <c r="P403" s="3">
        <v>0.48</v>
      </c>
      <c r="Q403" s="3">
        <v>0.48</v>
      </c>
      <c r="R403" s="3">
        <v>0</v>
      </c>
      <c r="S403" s="2"/>
      <c r="T403" s="5">
        <v>0</v>
      </c>
      <c r="U403" s="4">
        <v>0</v>
      </c>
      <c r="V403" s="4">
        <v>0</v>
      </c>
      <c r="W403" s="2">
        <v>0</v>
      </c>
      <c r="X403" s="4">
        <v>0</v>
      </c>
      <c r="Y403" s="4">
        <v>0</v>
      </c>
      <c r="Z403" s="3">
        <v>0</v>
      </c>
      <c r="AA403" s="3">
        <v>0</v>
      </c>
    </row>
    <row r="404" spans="1:27" x14ac:dyDescent="0.2">
      <c r="A404">
        <f t="shared" si="12"/>
        <v>1</v>
      </c>
      <c r="B404">
        <f t="shared" si="13"/>
        <v>5</v>
      </c>
      <c r="C404" s="1">
        <v>46051</v>
      </c>
      <c r="D404" t="s">
        <v>25</v>
      </c>
      <c r="E404" t="s">
        <v>26</v>
      </c>
      <c r="F404" t="s">
        <v>39</v>
      </c>
      <c r="G404" t="s">
        <v>40</v>
      </c>
      <c r="H404" t="s">
        <v>29</v>
      </c>
      <c r="I404" t="s">
        <v>30</v>
      </c>
      <c r="J404" t="s">
        <v>78</v>
      </c>
      <c r="K404" t="s">
        <v>42</v>
      </c>
      <c r="L404" t="s">
        <v>336</v>
      </c>
      <c r="M404" s="4">
        <v>2</v>
      </c>
      <c r="N404" s="4">
        <v>2</v>
      </c>
      <c r="O404" s="2">
        <v>1</v>
      </c>
      <c r="P404" s="3">
        <v>0.52</v>
      </c>
      <c r="Q404" s="3">
        <v>1.04</v>
      </c>
      <c r="R404" s="3">
        <v>17.09</v>
      </c>
      <c r="S404" s="2">
        <v>6.0854300760678763E-2</v>
      </c>
      <c r="T404" s="5">
        <v>16.432692307692307</v>
      </c>
      <c r="U404" s="4">
        <v>1</v>
      </c>
      <c r="V404" s="4">
        <v>1</v>
      </c>
      <c r="W404" s="2">
        <v>0.5</v>
      </c>
      <c r="X404" s="4">
        <v>1</v>
      </c>
      <c r="Y404" s="4">
        <v>0</v>
      </c>
      <c r="Z404" s="3">
        <v>17.09</v>
      </c>
      <c r="AA404" s="3">
        <v>0</v>
      </c>
    </row>
    <row r="405" spans="1:27" x14ac:dyDescent="0.2">
      <c r="A405">
        <f t="shared" si="12"/>
        <v>1</v>
      </c>
      <c r="B405">
        <f t="shared" si="13"/>
        <v>5</v>
      </c>
      <c r="C405" s="1">
        <v>46049</v>
      </c>
      <c r="D405" t="s">
        <v>25</v>
      </c>
      <c r="E405" t="s">
        <v>26</v>
      </c>
      <c r="F405" t="s">
        <v>39</v>
      </c>
      <c r="G405" t="s">
        <v>40</v>
      </c>
      <c r="H405" t="s">
        <v>29</v>
      </c>
      <c r="I405" t="s">
        <v>30</v>
      </c>
      <c r="J405" t="s">
        <v>78</v>
      </c>
      <c r="K405" t="s">
        <v>42</v>
      </c>
      <c r="L405" t="s">
        <v>337</v>
      </c>
      <c r="M405" s="4">
        <v>1</v>
      </c>
      <c r="N405" s="4">
        <v>1</v>
      </c>
      <c r="O405" s="2">
        <v>1</v>
      </c>
      <c r="P405" s="3">
        <v>0.49</v>
      </c>
      <c r="Q405" s="3">
        <v>0.49</v>
      </c>
      <c r="R405" s="3">
        <v>0</v>
      </c>
      <c r="S405" s="2"/>
      <c r="T405" s="5">
        <v>0</v>
      </c>
      <c r="U405" s="4">
        <v>0</v>
      </c>
      <c r="V405" s="4">
        <v>0</v>
      </c>
      <c r="W405" s="2">
        <v>0</v>
      </c>
      <c r="X405" s="4">
        <v>0</v>
      </c>
      <c r="Y405" s="4">
        <v>0</v>
      </c>
      <c r="Z405" s="3">
        <v>0</v>
      </c>
      <c r="AA405" s="3">
        <v>0</v>
      </c>
    </row>
    <row r="406" spans="1:27" x14ac:dyDescent="0.2">
      <c r="A406">
        <f t="shared" si="12"/>
        <v>1</v>
      </c>
      <c r="B406">
        <f t="shared" si="13"/>
        <v>5</v>
      </c>
      <c r="C406" s="1">
        <v>46047</v>
      </c>
      <c r="D406" t="s">
        <v>25</v>
      </c>
      <c r="E406" t="s">
        <v>26</v>
      </c>
      <c r="F406" t="s">
        <v>39</v>
      </c>
      <c r="G406" t="s">
        <v>40</v>
      </c>
      <c r="H406" t="s">
        <v>29</v>
      </c>
      <c r="I406" t="s">
        <v>30</v>
      </c>
      <c r="J406" t="s">
        <v>41</v>
      </c>
      <c r="K406" t="s">
        <v>42</v>
      </c>
      <c r="L406" t="s">
        <v>338</v>
      </c>
      <c r="M406" s="4">
        <v>2</v>
      </c>
      <c r="N406" s="4">
        <v>1</v>
      </c>
      <c r="O406" s="2">
        <v>0.5</v>
      </c>
      <c r="P406" s="3">
        <v>0.73</v>
      </c>
      <c r="Q406" s="3">
        <v>0.73</v>
      </c>
      <c r="R406" s="3">
        <v>0</v>
      </c>
      <c r="S406" s="2"/>
      <c r="T406" s="5">
        <v>0</v>
      </c>
      <c r="U406" s="4">
        <v>0</v>
      </c>
      <c r="V406" s="4">
        <v>0</v>
      </c>
      <c r="W406" s="2">
        <v>0</v>
      </c>
      <c r="X406" s="4">
        <v>0</v>
      </c>
      <c r="Y406" s="4">
        <v>0</v>
      </c>
      <c r="Z406" s="3">
        <v>0</v>
      </c>
      <c r="AA406" s="3">
        <v>0</v>
      </c>
    </row>
    <row r="407" spans="1:27" x14ac:dyDescent="0.2">
      <c r="A407">
        <f t="shared" si="12"/>
        <v>1</v>
      </c>
      <c r="B407">
        <f t="shared" si="13"/>
        <v>5</v>
      </c>
      <c r="C407" s="1">
        <v>46052</v>
      </c>
      <c r="D407" t="s">
        <v>25</v>
      </c>
      <c r="E407" t="s">
        <v>26</v>
      </c>
      <c r="F407" t="s">
        <v>49</v>
      </c>
      <c r="G407" t="s">
        <v>50</v>
      </c>
      <c r="H407" t="s">
        <v>29</v>
      </c>
      <c r="I407" t="s">
        <v>30</v>
      </c>
      <c r="J407" t="s">
        <v>95</v>
      </c>
      <c r="K407" t="s">
        <v>42</v>
      </c>
      <c r="L407" t="s">
        <v>339</v>
      </c>
      <c r="M407" s="4">
        <v>1</v>
      </c>
      <c r="N407" s="4">
        <v>1</v>
      </c>
      <c r="O407" s="2">
        <v>1</v>
      </c>
      <c r="P407" s="3">
        <v>0.48</v>
      </c>
      <c r="Q407" s="3">
        <v>0.48</v>
      </c>
      <c r="R407" s="3">
        <v>0</v>
      </c>
      <c r="S407" s="2"/>
      <c r="T407" s="5">
        <v>0</v>
      </c>
      <c r="U407" s="4">
        <v>0</v>
      </c>
      <c r="V407" s="4">
        <v>0</v>
      </c>
      <c r="W407" s="2">
        <v>0</v>
      </c>
      <c r="X407" s="4">
        <v>0</v>
      </c>
      <c r="Y407" s="4">
        <v>0</v>
      </c>
      <c r="Z407" s="3">
        <v>0</v>
      </c>
      <c r="AA407" s="3">
        <v>0</v>
      </c>
    </row>
    <row r="408" spans="1:27" x14ac:dyDescent="0.2">
      <c r="A408">
        <f t="shared" si="12"/>
        <v>1</v>
      </c>
      <c r="B408">
        <f t="shared" si="13"/>
        <v>5</v>
      </c>
      <c r="C408" s="1">
        <v>46051</v>
      </c>
      <c r="D408" t="s">
        <v>25</v>
      </c>
      <c r="E408" t="s">
        <v>26</v>
      </c>
      <c r="F408" t="s">
        <v>34</v>
      </c>
      <c r="G408" t="s">
        <v>28</v>
      </c>
      <c r="H408" t="s">
        <v>29</v>
      </c>
      <c r="I408" t="s">
        <v>30</v>
      </c>
      <c r="J408" t="s">
        <v>50</v>
      </c>
      <c r="K408" t="s">
        <v>32</v>
      </c>
      <c r="L408" t="s">
        <v>340</v>
      </c>
      <c r="M408" s="4">
        <v>1</v>
      </c>
      <c r="N408" s="4">
        <v>1</v>
      </c>
      <c r="O408" s="2">
        <v>1</v>
      </c>
      <c r="P408" s="3">
        <v>0.65</v>
      </c>
      <c r="Q408" s="3">
        <v>0.65</v>
      </c>
      <c r="R408" s="3">
        <v>0</v>
      </c>
      <c r="S408" s="2"/>
      <c r="T408" s="5">
        <v>0</v>
      </c>
      <c r="U408" s="4">
        <v>0</v>
      </c>
      <c r="V408" s="4">
        <v>0</v>
      </c>
      <c r="W408" s="2">
        <v>0</v>
      </c>
      <c r="X408" s="4">
        <v>0</v>
      </c>
      <c r="Y408" s="4">
        <v>0</v>
      </c>
      <c r="Z408" s="3">
        <v>0</v>
      </c>
      <c r="AA408" s="3">
        <v>0</v>
      </c>
    </row>
    <row r="409" spans="1:27" x14ac:dyDescent="0.2">
      <c r="A409">
        <f t="shared" si="12"/>
        <v>1</v>
      </c>
      <c r="B409">
        <f t="shared" si="13"/>
        <v>4</v>
      </c>
      <c r="C409" s="1">
        <v>46045</v>
      </c>
      <c r="D409" t="s">
        <v>25</v>
      </c>
      <c r="E409" t="s">
        <v>26</v>
      </c>
      <c r="F409" t="s">
        <v>49</v>
      </c>
      <c r="G409" t="s">
        <v>50</v>
      </c>
      <c r="H409" t="s">
        <v>29</v>
      </c>
      <c r="I409" t="s">
        <v>30</v>
      </c>
      <c r="J409" t="s">
        <v>95</v>
      </c>
      <c r="K409" t="s">
        <v>42</v>
      </c>
      <c r="L409" t="s">
        <v>341</v>
      </c>
      <c r="M409" s="4">
        <v>1</v>
      </c>
      <c r="N409" s="4">
        <v>1</v>
      </c>
      <c r="O409" s="2">
        <v>1</v>
      </c>
      <c r="P409" s="3">
        <v>0.64</v>
      </c>
      <c r="Q409" s="3">
        <v>0.64</v>
      </c>
      <c r="R409" s="3">
        <v>0</v>
      </c>
      <c r="S409" s="2"/>
      <c r="T409" s="5">
        <v>0</v>
      </c>
      <c r="U409" s="4">
        <v>0</v>
      </c>
      <c r="V409" s="4">
        <v>0</v>
      </c>
      <c r="W409" s="2">
        <v>0</v>
      </c>
      <c r="X409" s="4">
        <v>0</v>
      </c>
      <c r="Y409" s="4">
        <v>0</v>
      </c>
      <c r="Z409" s="3">
        <v>0</v>
      </c>
      <c r="AA409" s="3">
        <v>0</v>
      </c>
    </row>
    <row r="410" spans="1:27" x14ac:dyDescent="0.2">
      <c r="A410">
        <f t="shared" si="12"/>
        <v>1</v>
      </c>
      <c r="B410">
        <f t="shared" si="13"/>
        <v>5</v>
      </c>
      <c r="C410" s="1">
        <v>46053</v>
      </c>
      <c r="D410" t="s">
        <v>25</v>
      </c>
      <c r="E410" t="s">
        <v>26</v>
      </c>
      <c r="F410" t="s">
        <v>61</v>
      </c>
      <c r="G410" t="s">
        <v>62</v>
      </c>
      <c r="H410" t="s">
        <v>29</v>
      </c>
      <c r="I410" t="s">
        <v>30</v>
      </c>
      <c r="J410" t="s">
        <v>95</v>
      </c>
      <c r="K410" t="s">
        <v>42</v>
      </c>
      <c r="L410" t="s">
        <v>342</v>
      </c>
      <c r="M410" s="4">
        <v>6</v>
      </c>
      <c r="N410" s="4">
        <v>1</v>
      </c>
      <c r="O410" s="2">
        <v>0.16666666666666663</v>
      </c>
      <c r="P410" s="3">
        <v>1.05</v>
      </c>
      <c r="Q410" s="3">
        <v>1.05</v>
      </c>
      <c r="R410" s="3">
        <v>25.73</v>
      </c>
      <c r="S410" s="2">
        <v>4.0808394869801791E-2</v>
      </c>
      <c r="T410" s="5">
        <v>24.504761904761903</v>
      </c>
      <c r="U410" s="4">
        <v>1</v>
      </c>
      <c r="V410" s="4">
        <v>1</v>
      </c>
      <c r="W410" s="2">
        <v>1</v>
      </c>
      <c r="X410" s="4">
        <v>1</v>
      </c>
      <c r="Y410" s="4">
        <v>0</v>
      </c>
      <c r="Z410" s="3">
        <v>25.73</v>
      </c>
      <c r="AA410" s="3">
        <v>0</v>
      </c>
    </row>
    <row r="411" spans="1:27" x14ac:dyDescent="0.2">
      <c r="A411">
        <f t="shared" si="12"/>
        <v>1</v>
      </c>
      <c r="B411">
        <f t="shared" si="13"/>
        <v>4</v>
      </c>
      <c r="C411" s="1">
        <v>46046</v>
      </c>
      <c r="D411" t="s">
        <v>25</v>
      </c>
      <c r="E411" t="s">
        <v>26</v>
      </c>
      <c r="F411" t="s">
        <v>27</v>
      </c>
      <c r="G411" t="s">
        <v>28</v>
      </c>
      <c r="H411" t="s">
        <v>29</v>
      </c>
      <c r="I411" t="s">
        <v>30</v>
      </c>
      <c r="J411" t="s">
        <v>31</v>
      </c>
      <c r="K411" t="s">
        <v>32</v>
      </c>
      <c r="L411" t="s">
        <v>343</v>
      </c>
      <c r="M411" s="4">
        <v>1</v>
      </c>
      <c r="N411" s="4">
        <v>1</v>
      </c>
      <c r="O411" s="2">
        <v>1</v>
      </c>
      <c r="P411" s="3">
        <v>0.21</v>
      </c>
      <c r="Q411" s="3">
        <v>0.21</v>
      </c>
      <c r="R411" s="3">
        <v>0</v>
      </c>
      <c r="S411" s="2"/>
      <c r="T411" s="5">
        <v>0</v>
      </c>
      <c r="U411" s="4">
        <v>0</v>
      </c>
      <c r="V411" s="4">
        <v>0</v>
      </c>
      <c r="W411" s="2">
        <v>0</v>
      </c>
      <c r="X411" s="4">
        <v>0</v>
      </c>
      <c r="Y411" s="4">
        <v>0</v>
      </c>
      <c r="Z411" s="3">
        <v>0</v>
      </c>
      <c r="AA411" s="3">
        <v>0</v>
      </c>
    </row>
    <row r="412" spans="1:27" x14ac:dyDescent="0.2">
      <c r="A412">
        <f t="shared" si="12"/>
        <v>1</v>
      </c>
      <c r="B412">
        <f t="shared" si="13"/>
        <v>5</v>
      </c>
      <c r="C412" s="1">
        <v>46051</v>
      </c>
      <c r="D412" t="s">
        <v>25</v>
      </c>
      <c r="E412" t="s">
        <v>26</v>
      </c>
      <c r="F412" t="s">
        <v>34</v>
      </c>
      <c r="G412" t="s">
        <v>28</v>
      </c>
      <c r="H412" t="s">
        <v>29</v>
      </c>
      <c r="I412" t="s">
        <v>30</v>
      </c>
      <c r="J412" t="s">
        <v>239</v>
      </c>
      <c r="K412" t="s">
        <v>32</v>
      </c>
      <c r="L412" t="s">
        <v>156</v>
      </c>
      <c r="M412" s="4">
        <v>51</v>
      </c>
      <c r="N412" s="4">
        <v>1</v>
      </c>
      <c r="O412" s="2">
        <v>1.9607843137254902E-2</v>
      </c>
      <c r="P412" s="3">
        <v>1.2</v>
      </c>
      <c r="Q412" s="3">
        <v>1.2</v>
      </c>
      <c r="R412" s="3">
        <v>0</v>
      </c>
      <c r="S412" s="2"/>
      <c r="T412" s="5">
        <v>0</v>
      </c>
      <c r="U412" s="4">
        <v>0</v>
      </c>
      <c r="V412" s="4">
        <v>0</v>
      </c>
      <c r="W412" s="2">
        <v>0</v>
      </c>
      <c r="X412" s="4">
        <v>0</v>
      </c>
      <c r="Y412" s="4">
        <v>0</v>
      </c>
      <c r="Z412" s="3">
        <v>0</v>
      </c>
      <c r="AA412" s="3">
        <v>0</v>
      </c>
    </row>
    <row r="413" spans="1:27" x14ac:dyDescent="0.2">
      <c r="A413">
        <f t="shared" si="12"/>
        <v>1</v>
      </c>
      <c r="B413">
        <f t="shared" si="13"/>
        <v>4</v>
      </c>
      <c r="C413" s="1">
        <v>46044</v>
      </c>
      <c r="D413" t="s">
        <v>25</v>
      </c>
      <c r="E413" t="s">
        <v>26</v>
      </c>
      <c r="F413" t="s">
        <v>34</v>
      </c>
      <c r="G413" t="s">
        <v>28</v>
      </c>
      <c r="H413" t="s">
        <v>29</v>
      </c>
      <c r="I413" t="s">
        <v>30</v>
      </c>
      <c r="J413" t="s">
        <v>99</v>
      </c>
      <c r="K413" t="s">
        <v>32</v>
      </c>
      <c r="L413" t="s">
        <v>166</v>
      </c>
      <c r="M413" s="4">
        <v>4</v>
      </c>
      <c r="N413" s="4">
        <v>1</v>
      </c>
      <c r="O413" s="2">
        <v>0.25</v>
      </c>
      <c r="P413" s="3">
        <v>1.19</v>
      </c>
      <c r="Q413" s="3">
        <v>1.19</v>
      </c>
      <c r="R413" s="3">
        <v>0</v>
      </c>
      <c r="S413" s="2"/>
      <c r="T413" s="5">
        <v>0</v>
      </c>
      <c r="U413" s="4">
        <v>0</v>
      </c>
      <c r="V413" s="4">
        <v>0</v>
      </c>
      <c r="W413" s="2">
        <v>0</v>
      </c>
      <c r="X413" s="4">
        <v>0</v>
      </c>
      <c r="Y413" s="4">
        <v>0</v>
      </c>
      <c r="Z413" s="3">
        <v>0</v>
      </c>
      <c r="AA413" s="3">
        <v>0</v>
      </c>
    </row>
    <row r="414" spans="1:27" x14ac:dyDescent="0.2">
      <c r="A414">
        <f t="shared" si="12"/>
        <v>1</v>
      </c>
      <c r="B414">
        <f t="shared" si="13"/>
        <v>4</v>
      </c>
      <c r="C414" s="1">
        <v>46044</v>
      </c>
      <c r="D414" t="s">
        <v>25</v>
      </c>
      <c r="E414" t="s">
        <v>26</v>
      </c>
      <c r="F414" t="s">
        <v>61</v>
      </c>
      <c r="G414" t="s">
        <v>62</v>
      </c>
      <c r="H414" t="s">
        <v>29</v>
      </c>
      <c r="I414" t="s">
        <v>30</v>
      </c>
      <c r="J414" t="s">
        <v>47</v>
      </c>
      <c r="K414" t="s">
        <v>42</v>
      </c>
      <c r="L414" t="s">
        <v>173</v>
      </c>
      <c r="M414" s="4">
        <v>7</v>
      </c>
      <c r="N414" s="4">
        <v>1</v>
      </c>
      <c r="O414" s="2">
        <v>0.14285714285714285</v>
      </c>
      <c r="P414" s="3">
        <v>1.21</v>
      </c>
      <c r="Q414" s="3">
        <v>1.21</v>
      </c>
      <c r="R414" s="3">
        <v>0</v>
      </c>
      <c r="S414" s="2"/>
      <c r="T414" s="5">
        <v>0</v>
      </c>
      <c r="U414" s="4">
        <v>0</v>
      </c>
      <c r="V414" s="4">
        <v>0</v>
      </c>
      <c r="W414" s="2">
        <v>0</v>
      </c>
      <c r="X414" s="4">
        <v>0</v>
      </c>
      <c r="Y414" s="4">
        <v>0</v>
      </c>
      <c r="Z414" s="3">
        <v>0</v>
      </c>
      <c r="AA414" s="3">
        <v>0</v>
      </c>
    </row>
    <row r="415" spans="1:27" x14ac:dyDescent="0.2">
      <c r="A415">
        <f t="shared" si="12"/>
        <v>1</v>
      </c>
      <c r="B415">
        <f t="shared" si="13"/>
        <v>5</v>
      </c>
      <c r="C415" s="1">
        <v>46047</v>
      </c>
      <c r="D415" t="s">
        <v>25</v>
      </c>
      <c r="E415" t="s">
        <v>26</v>
      </c>
      <c r="F415" t="s">
        <v>53</v>
      </c>
      <c r="G415" t="s">
        <v>54</v>
      </c>
      <c r="H415" t="s">
        <v>29</v>
      </c>
      <c r="I415" t="s">
        <v>30</v>
      </c>
      <c r="J415" t="s">
        <v>47</v>
      </c>
      <c r="K415" t="s">
        <v>42</v>
      </c>
      <c r="L415" t="s">
        <v>173</v>
      </c>
      <c r="M415" s="4">
        <v>1</v>
      </c>
      <c r="N415" s="4">
        <v>1</v>
      </c>
      <c r="O415" s="2">
        <v>1</v>
      </c>
      <c r="P415" s="3">
        <v>0.6</v>
      </c>
      <c r="Q415" s="3">
        <v>0.6</v>
      </c>
      <c r="R415" s="3">
        <v>0</v>
      </c>
      <c r="S415" s="2"/>
      <c r="T415" s="5">
        <v>0</v>
      </c>
      <c r="U415" s="4">
        <v>0</v>
      </c>
      <c r="V415" s="4">
        <v>0</v>
      </c>
      <c r="W415" s="2">
        <v>0</v>
      </c>
      <c r="X415" s="4">
        <v>0</v>
      </c>
      <c r="Y415" s="4">
        <v>0</v>
      </c>
      <c r="Z415" s="3">
        <v>0</v>
      </c>
      <c r="AA415" s="3">
        <v>0</v>
      </c>
    </row>
    <row r="416" spans="1:27" x14ac:dyDescent="0.2">
      <c r="A416">
        <f t="shared" si="12"/>
        <v>1</v>
      </c>
      <c r="B416">
        <f t="shared" si="13"/>
        <v>5</v>
      </c>
      <c r="C416" s="1">
        <v>46048</v>
      </c>
      <c r="D416" t="s">
        <v>25</v>
      </c>
      <c r="E416" t="s">
        <v>26</v>
      </c>
      <c r="F416" t="s">
        <v>112</v>
      </c>
      <c r="G416" t="s">
        <v>62</v>
      </c>
      <c r="H416" t="s">
        <v>29</v>
      </c>
      <c r="I416" t="s">
        <v>30</v>
      </c>
      <c r="J416" t="s">
        <v>173</v>
      </c>
      <c r="K416" t="s">
        <v>87</v>
      </c>
      <c r="L416" t="s">
        <v>184</v>
      </c>
      <c r="M416" s="4">
        <v>2</v>
      </c>
      <c r="N416" s="4">
        <v>1</v>
      </c>
      <c r="O416" s="2">
        <v>0.5</v>
      </c>
      <c r="P416" s="3">
        <v>0.52</v>
      </c>
      <c r="Q416" s="3">
        <v>0.52</v>
      </c>
      <c r="R416" s="3">
        <v>0</v>
      </c>
      <c r="S416" s="2"/>
      <c r="T416" s="5">
        <v>0</v>
      </c>
      <c r="U416" s="4">
        <v>0</v>
      </c>
      <c r="V416" s="4">
        <v>0</v>
      </c>
      <c r="W416" s="2">
        <v>0</v>
      </c>
      <c r="X416" s="4">
        <v>0</v>
      </c>
      <c r="Y416" s="4">
        <v>0</v>
      </c>
      <c r="Z416" s="3">
        <v>0</v>
      </c>
      <c r="AA416" s="3">
        <v>0</v>
      </c>
    </row>
    <row r="417" spans="1:27" x14ac:dyDescent="0.2">
      <c r="A417">
        <f t="shared" si="12"/>
        <v>1</v>
      </c>
      <c r="B417">
        <f t="shared" si="13"/>
        <v>4</v>
      </c>
      <c r="C417" s="1">
        <v>46044</v>
      </c>
      <c r="D417" t="s">
        <v>25</v>
      </c>
      <c r="E417" t="s">
        <v>26</v>
      </c>
      <c r="F417" t="s">
        <v>53</v>
      </c>
      <c r="G417" t="s">
        <v>54</v>
      </c>
      <c r="H417" t="s">
        <v>29</v>
      </c>
      <c r="I417" t="s">
        <v>30</v>
      </c>
      <c r="J417" t="s">
        <v>47</v>
      </c>
      <c r="K417" t="s">
        <v>42</v>
      </c>
      <c r="L417" t="s">
        <v>344</v>
      </c>
      <c r="M417" s="4">
        <v>2</v>
      </c>
      <c r="N417" s="4">
        <v>1</v>
      </c>
      <c r="O417" s="2">
        <v>0.5</v>
      </c>
      <c r="P417" s="3">
        <v>0.99</v>
      </c>
      <c r="Q417" s="3">
        <v>0.99</v>
      </c>
      <c r="R417" s="3">
        <v>0</v>
      </c>
      <c r="S417" s="2"/>
      <c r="T417" s="5">
        <v>0</v>
      </c>
      <c r="U417" s="4">
        <v>0</v>
      </c>
      <c r="V417" s="4">
        <v>0</v>
      </c>
      <c r="W417" s="2">
        <v>0</v>
      </c>
      <c r="X417" s="4">
        <v>0</v>
      </c>
      <c r="Y417" s="4">
        <v>0</v>
      </c>
      <c r="Z417" s="3">
        <v>0</v>
      </c>
      <c r="AA417" s="3">
        <v>0</v>
      </c>
    </row>
    <row r="418" spans="1:27" x14ac:dyDescent="0.2">
      <c r="A418">
        <f t="shared" si="12"/>
        <v>1</v>
      </c>
      <c r="B418">
        <f t="shared" si="13"/>
        <v>5</v>
      </c>
      <c r="C418" s="1">
        <v>46048</v>
      </c>
      <c r="D418" t="s">
        <v>25</v>
      </c>
      <c r="E418" t="s">
        <v>26</v>
      </c>
      <c r="F418" t="s">
        <v>112</v>
      </c>
      <c r="G418" t="s">
        <v>62</v>
      </c>
      <c r="H418" t="s">
        <v>29</v>
      </c>
      <c r="I418" t="s">
        <v>30</v>
      </c>
      <c r="J418" t="s">
        <v>173</v>
      </c>
      <c r="K418" t="s">
        <v>32</v>
      </c>
      <c r="L418" t="s">
        <v>345</v>
      </c>
      <c r="M418" s="4">
        <v>3</v>
      </c>
      <c r="N418" s="4">
        <v>1</v>
      </c>
      <c r="O418" s="2">
        <v>0.33333333333333331</v>
      </c>
      <c r="P418" s="3">
        <v>0.52</v>
      </c>
      <c r="Q418" s="3">
        <v>0.52</v>
      </c>
      <c r="R418" s="3">
        <v>0</v>
      </c>
      <c r="S418" s="2"/>
      <c r="T418" s="5">
        <v>0</v>
      </c>
      <c r="U418" s="4">
        <v>0</v>
      </c>
      <c r="V418" s="4">
        <v>0</v>
      </c>
      <c r="W418" s="2">
        <v>0</v>
      </c>
      <c r="X418" s="4">
        <v>0</v>
      </c>
      <c r="Y418" s="4">
        <v>0</v>
      </c>
      <c r="Z418" s="3">
        <v>0</v>
      </c>
      <c r="AA418" s="3">
        <v>0</v>
      </c>
    </row>
    <row r="419" spans="1:27" x14ac:dyDescent="0.2">
      <c r="A419">
        <f t="shared" si="12"/>
        <v>1</v>
      </c>
      <c r="B419">
        <f t="shared" si="13"/>
        <v>4</v>
      </c>
      <c r="C419" s="1">
        <v>46045</v>
      </c>
      <c r="D419" t="s">
        <v>25</v>
      </c>
      <c r="E419" t="s">
        <v>26</v>
      </c>
      <c r="F419" t="s">
        <v>61</v>
      </c>
      <c r="G419" t="s">
        <v>62</v>
      </c>
      <c r="H419" t="s">
        <v>29</v>
      </c>
      <c r="I419" t="s">
        <v>30</v>
      </c>
      <c r="J419" t="s">
        <v>95</v>
      </c>
      <c r="K419" t="s">
        <v>42</v>
      </c>
      <c r="L419" t="s">
        <v>195</v>
      </c>
      <c r="M419" s="4">
        <v>1</v>
      </c>
      <c r="N419" s="4">
        <v>1</v>
      </c>
      <c r="O419" s="2">
        <v>1</v>
      </c>
      <c r="P419" s="3">
        <v>1.21</v>
      </c>
      <c r="Q419" s="3">
        <v>1.21</v>
      </c>
      <c r="R419" s="3">
        <v>0</v>
      </c>
      <c r="S419" s="2"/>
      <c r="T419" s="5">
        <v>0</v>
      </c>
      <c r="U419" s="4">
        <v>0</v>
      </c>
      <c r="V419" s="4">
        <v>0</v>
      </c>
      <c r="W419" s="2">
        <v>0</v>
      </c>
      <c r="X419" s="4">
        <v>0</v>
      </c>
      <c r="Y419" s="4">
        <v>0</v>
      </c>
      <c r="Z419" s="3">
        <v>0</v>
      </c>
      <c r="AA419" s="3">
        <v>0</v>
      </c>
    </row>
    <row r="420" spans="1:27" x14ac:dyDescent="0.2">
      <c r="A420">
        <f t="shared" si="12"/>
        <v>1</v>
      </c>
      <c r="B420">
        <f t="shared" si="13"/>
        <v>5</v>
      </c>
      <c r="C420" s="1">
        <v>46048</v>
      </c>
      <c r="D420" t="s">
        <v>25</v>
      </c>
      <c r="E420" t="s">
        <v>26</v>
      </c>
      <c r="F420" t="s">
        <v>61</v>
      </c>
      <c r="G420" t="s">
        <v>62</v>
      </c>
      <c r="H420" t="s">
        <v>29</v>
      </c>
      <c r="I420" t="s">
        <v>30</v>
      </c>
      <c r="J420" t="s">
        <v>95</v>
      </c>
      <c r="K420" t="s">
        <v>42</v>
      </c>
      <c r="L420" t="s">
        <v>195</v>
      </c>
      <c r="M420" s="4">
        <v>37</v>
      </c>
      <c r="N420" s="4">
        <v>1</v>
      </c>
      <c r="O420" s="2">
        <v>2.7027027027027025E-2</v>
      </c>
      <c r="P420" s="3">
        <v>1.03</v>
      </c>
      <c r="Q420" s="3">
        <v>1.03</v>
      </c>
      <c r="R420" s="3">
        <v>0</v>
      </c>
      <c r="S420" s="2"/>
      <c r="T420" s="5">
        <v>0</v>
      </c>
      <c r="U420" s="4">
        <v>0</v>
      </c>
      <c r="V420" s="4">
        <v>0</v>
      </c>
      <c r="W420" s="2">
        <v>0</v>
      </c>
      <c r="X420" s="4">
        <v>0</v>
      </c>
      <c r="Y420" s="4">
        <v>0</v>
      </c>
      <c r="Z420" s="3">
        <v>0</v>
      </c>
      <c r="AA420" s="3">
        <v>0</v>
      </c>
    </row>
    <row r="421" spans="1:27" x14ac:dyDescent="0.2">
      <c r="A421">
        <f t="shared" si="12"/>
        <v>1</v>
      </c>
      <c r="B421">
        <f t="shared" si="13"/>
        <v>5</v>
      </c>
      <c r="C421" s="1">
        <v>46047</v>
      </c>
      <c r="D421" t="s">
        <v>25</v>
      </c>
      <c r="E421" t="s">
        <v>26</v>
      </c>
      <c r="F421" t="s">
        <v>61</v>
      </c>
      <c r="G421" t="s">
        <v>62</v>
      </c>
      <c r="H421" t="s">
        <v>29</v>
      </c>
      <c r="I421" t="s">
        <v>30</v>
      </c>
      <c r="J421" t="s">
        <v>95</v>
      </c>
      <c r="K421" t="s">
        <v>42</v>
      </c>
      <c r="L421" t="s">
        <v>196</v>
      </c>
      <c r="M421" s="4">
        <v>9</v>
      </c>
      <c r="N421" s="4">
        <v>1</v>
      </c>
      <c r="O421" s="2">
        <v>0.1111111111111111</v>
      </c>
      <c r="P421" s="3">
        <v>1.1200000000000001</v>
      </c>
      <c r="Q421" s="3">
        <v>1.1200000000000001</v>
      </c>
      <c r="R421" s="3">
        <v>0</v>
      </c>
      <c r="S421" s="2"/>
      <c r="T421" s="5">
        <v>0</v>
      </c>
      <c r="U421" s="4">
        <v>0</v>
      </c>
      <c r="V421" s="4">
        <v>0</v>
      </c>
      <c r="W421" s="2">
        <v>0</v>
      </c>
      <c r="X421" s="4">
        <v>0</v>
      </c>
      <c r="Y421" s="4">
        <v>0</v>
      </c>
      <c r="Z421" s="3">
        <v>0</v>
      </c>
      <c r="AA421" s="3">
        <v>0</v>
      </c>
    </row>
    <row r="422" spans="1:27" x14ac:dyDescent="0.2">
      <c r="A422">
        <f t="shared" si="12"/>
        <v>1</v>
      </c>
      <c r="B422">
        <f t="shared" si="13"/>
        <v>5</v>
      </c>
      <c r="C422" s="1">
        <v>46050</v>
      </c>
      <c r="D422" t="s">
        <v>25</v>
      </c>
      <c r="E422" t="s">
        <v>26</v>
      </c>
      <c r="F422" t="s">
        <v>61</v>
      </c>
      <c r="G422" t="s">
        <v>62</v>
      </c>
      <c r="H422" t="s">
        <v>29</v>
      </c>
      <c r="I422" t="s">
        <v>30</v>
      </c>
      <c r="J422" t="s">
        <v>95</v>
      </c>
      <c r="K422" t="s">
        <v>42</v>
      </c>
      <c r="L422" t="s">
        <v>196</v>
      </c>
      <c r="M422" s="4">
        <v>4</v>
      </c>
      <c r="N422" s="4">
        <v>1</v>
      </c>
      <c r="O422" s="2">
        <v>0.25</v>
      </c>
      <c r="P422" s="3">
        <v>1</v>
      </c>
      <c r="Q422" s="3">
        <v>1</v>
      </c>
      <c r="R422" s="3">
        <v>0</v>
      </c>
      <c r="S422" s="2"/>
      <c r="T422" s="5">
        <v>0</v>
      </c>
      <c r="U422" s="4">
        <v>0</v>
      </c>
      <c r="V422" s="4">
        <v>0</v>
      </c>
      <c r="W422" s="2">
        <v>0</v>
      </c>
      <c r="X422" s="4">
        <v>0</v>
      </c>
      <c r="Y422" s="4">
        <v>0</v>
      </c>
      <c r="Z422" s="3">
        <v>0</v>
      </c>
      <c r="AA422" s="3">
        <v>0</v>
      </c>
    </row>
    <row r="423" spans="1:27" x14ac:dyDescent="0.2">
      <c r="A423">
        <f t="shared" si="12"/>
        <v>1</v>
      </c>
      <c r="B423">
        <f t="shared" si="13"/>
        <v>5</v>
      </c>
      <c r="C423" s="1">
        <v>46049</v>
      </c>
      <c r="D423" t="s">
        <v>25</v>
      </c>
      <c r="E423" t="s">
        <v>26</v>
      </c>
      <c r="F423" t="s">
        <v>61</v>
      </c>
      <c r="G423" t="s">
        <v>62</v>
      </c>
      <c r="H423" t="s">
        <v>29</v>
      </c>
      <c r="I423" t="s">
        <v>30</v>
      </c>
      <c r="J423" t="s">
        <v>47</v>
      </c>
      <c r="K423" t="s">
        <v>42</v>
      </c>
      <c r="L423" t="s">
        <v>346</v>
      </c>
      <c r="M423" s="4">
        <v>1</v>
      </c>
      <c r="N423" s="4">
        <v>1</v>
      </c>
      <c r="O423" s="2">
        <v>1</v>
      </c>
      <c r="P423" s="3">
        <v>1.17</v>
      </c>
      <c r="Q423" s="3">
        <v>1.17</v>
      </c>
      <c r="R423" s="3">
        <v>0</v>
      </c>
      <c r="S423" s="2"/>
      <c r="T423" s="5">
        <v>0</v>
      </c>
      <c r="U423" s="4">
        <v>0</v>
      </c>
      <c r="V423" s="4">
        <v>0</v>
      </c>
      <c r="W423" s="2">
        <v>0</v>
      </c>
      <c r="X423" s="4">
        <v>0</v>
      </c>
      <c r="Y423" s="4">
        <v>0</v>
      </c>
      <c r="Z423" s="3">
        <v>0</v>
      </c>
      <c r="AA423" s="3">
        <v>0</v>
      </c>
    </row>
    <row r="424" spans="1:27" x14ac:dyDescent="0.2">
      <c r="A424">
        <f t="shared" si="12"/>
        <v>1</v>
      </c>
      <c r="B424">
        <f t="shared" si="13"/>
        <v>5</v>
      </c>
      <c r="C424" s="1">
        <v>46047</v>
      </c>
      <c r="D424" t="s">
        <v>25</v>
      </c>
      <c r="E424" t="s">
        <v>26</v>
      </c>
      <c r="F424" t="s">
        <v>61</v>
      </c>
      <c r="G424" t="s">
        <v>62</v>
      </c>
      <c r="H424" t="s">
        <v>29</v>
      </c>
      <c r="I424" t="s">
        <v>30</v>
      </c>
      <c r="J424" t="s">
        <v>95</v>
      </c>
      <c r="K424" t="s">
        <v>42</v>
      </c>
      <c r="L424" t="s">
        <v>347</v>
      </c>
      <c r="M424" s="4">
        <v>1</v>
      </c>
      <c r="N424" s="4">
        <v>1</v>
      </c>
      <c r="O424" s="2">
        <v>1</v>
      </c>
      <c r="P424" s="3">
        <v>1.21</v>
      </c>
      <c r="Q424" s="3">
        <v>1.21</v>
      </c>
      <c r="R424" s="3">
        <v>0</v>
      </c>
      <c r="S424" s="2"/>
      <c r="T424" s="5">
        <v>0</v>
      </c>
      <c r="U424" s="4">
        <v>0</v>
      </c>
      <c r="V424" s="4">
        <v>0</v>
      </c>
      <c r="W424" s="2">
        <v>0</v>
      </c>
      <c r="X424" s="4">
        <v>0</v>
      </c>
      <c r="Y424" s="4">
        <v>0</v>
      </c>
      <c r="Z424" s="3">
        <v>0</v>
      </c>
      <c r="AA424" s="3">
        <v>0</v>
      </c>
    </row>
    <row r="425" spans="1:27" x14ac:dyDescent="0.2">
      <c r="A425">
        <f t="shared" si="12"/>
        <v>1</v>
      </c>
      <c r="B425">
        <f t="shared" si="13"/>
        <v>5</v>
      </c>
      <c r="C425" s="1">
        <v>46049</v>
      </c>
      <c r="D425" t="s">
        <v>25</v>
      </c>
      <c r="E425" t="s">
        <v>26</v>
      </c>
      <c r="F425" t="s">
        <v>61</v>
      </c>
      <c r="G425" t="s">
        <v>62</v>
      </c>
      <c r="H425" t="s">
        <v>29</v>
      </c>
      <c r="I425" t="s">
        <v>30</v>
      </c>
      <c r="J425" t="s">
        <v>47</v>
      </c>
      <c r="K425" t="s">
        <v>42</v>
      </c>
      <c r="L425" t="s">
        <v>348</v>
      </c>
      <c r="M425" s="4">
        <v>1</v>
      </c>
      <c r="N425" s="4">
        <v>1</v>
      </c>
      <c r="O425" s="2">
        <v>1</v>
      </c>
      <c r="P425" s="3">
        <v>1.17</v>
      </c>
      <c r="Q425" s="3">
        <v>1.17</v>
      </c>
      <c r="R425" s="3">
        <v>0</v>
      </c>
      <c r="S425" s="2"/>
      <c r="T425" s="5">
        <v>0</v>
      </c>
      <c r="U425" s="4">
        <v>0</v>
      </c>
      <c r="V425" s="4">
        <v>0</v>
      </c>
      <c r="W425" s="2">
        <v>0</v>
      </c>
      <c r="X425" s="4">
        <v>0</v>
      </c>
      <c r="Y425" s="4">
        <v>0</v>
      </c>
      <c r="Z425" s="3">
        <v>0</v>
      </c>
      <c r="AA425" s="3">
        <v>0</v>
      </c>
    </row>
    <row r="426" spans="1:27" x14ac:dyDescent="0.2">
      <c r="A426">
        <f t="shared" si="12"/>
        <v>1</v>
      </c>
      <c r="B426">
        <f t="shared" si="13"/>
        <v>4</v>
      </c>
      <c r="C426" s="1">
        <v>46046</v>
      </c>
      <c r="D426" t="s">
        <v>25</v>
      </c>
      <c r="E426" t="s">
        <v>26</v>
      </c>
      <c r="F426" t="s">
        <v>49</v>
      </c>
      <c r="G426" t="s">
        <v>50</v>
      </c>
      <c r="H426" t="s">
        <v>29</v>
      </c>
      <c r="I426" t="s">
        <v>30</v>
      </c>
      <c r="J426" t="s">
        <v>95</v>
      </c>
      <c r="K426" t="s">
        <v>42</v>
      </c>
      <c r="L426" t="s">
        <v>349</v>
      </c>
      <c r="M426" s="4">
        <v>2</v>
      </c>
      <c r="N426" s="4">
        <v>1</v>
      </c>
      <c r="O426" s="2">
        <v>0.5</v>
      </c>
      <c r="P426" s="3">
        <v>0.53</v>
      </c>
      <c r="Q426" s="3">
        <v>0.53</v>
      </c>
      <c r="R426" s="3">
        <v>0</v>
      </c>
      <c r="S426" s="2"/>
      <c r="T426" s="5">
        <v>0</v>
      </c>
      <c r="U426" s="4">
        <v>0</v>
      </c>
      <c r="V426" s="4">
        <v>0</v>
      </c>
      <c r="W426" s="2">
        <v>0</v>
      </c>
      <c r="X426" s="4">
        <v>0</v>
      </c>
      <c r="Y426" s="4">
        <v>0</v>
      </c>
      <c r="Z426" s="3">
        <v>0</v>
      </c>
      <c r="AA426" s="3">
        <v>0</v>
      </c>
    </row>
    <row r="427" spans="1:27" x14ac:dyDescent="0.2">
      <c r="A427">
        <f t="shared" si="12"/>
        <v>1</v>
      </c>
      <c r="B427">
        <f t="shared" si="13"/>
        <v>5</v>
      </c>
      <c r="C427" s="1">
        <v>46050</v>
      </c>
      <c r="D427" t="s">
        <v>25</v>
      </c>
      <c r="E427" t="s">
        <v>26</v>
      </c>
      <c r="F427" t="s">
        <v>49</v>
      </c>
      <c r="G427" t="s">
        <v>50</v>
      </c>
      <c r="H427" t="s">
        <v>29</v>
      </c>
      <c r="I427" t="s">
        <v>30</v>
      </c>
      <c r="J427" t="s">
        <v>95</v>
      </c>
      <c r="K427" t="s">
        <v>42</v>
      </c>
      <c r="L427" t="s">
        <v>350</v>
      </c>
      <c r="M427" s="4">
        <v>1</v>
      </c>
      <c r="N427" s="4">
        <v>1</v>
      </c>
      <c r="O427" s="2">
        <v>1</v>
      </c>
      <c r="P427" s="3">
        <v>0.37</v>
      </c>
      <c r="Q427" s="3">
        <v>0.37</v>
      </c>
      <c r="R427" s="3">
        <v>0</v>
      </c>
      <c r="S427" s="2"/>
      <c r="T427" s="5">
        <v>0</v>
      </c>
      <c r="U427" s="4">
        <v>0</v>
      </c>
      <c r="V427" s="4">
        <v>0</v>
      </c>
      <c r="W427" s="2">
        <v>0</v>
      </c>
      <c r="X427" s="4">
        <v>0</v>
      </c>
      <c r="Y427" s="4">
        <v>0</v>
      </c>
      <c r="Z427" s="3">
        <v>0</v>
      </c>
      <c r="AA427" s="3">
        <v>0</v>
      </c>
    </row>
    <row r="428" spans="1:27" x14ac:dyDescent="0.2">
      <c r="A428">
        <f t="shared" si="12"/>
        <v>1</v>
      </c>
      <c r="B428">
        <f t="shared" si="13"/>
        <v>5</v>
      </c>
      <c r="C428" s="1">
        <v>46048</v>
      </c>
      <c r="D428" t="s">
        <v>25</v>
      </c>
      <c r="E428" t="s">
        <v>26</v>
      </c>
      <c r="F428" t="s">
        <v>49</v>
      </c>
      <c r="G428" t="s">
        <v>50</v>
      </c>
      <c r="H428" t="s">
        <v>29</v>
      </c>
      <c r="I428" t="s">
        <v>30</v>
      </c>
      <c r="J428" t="s">
        <v>95</v>
      </c>
      <c r="K428" t="s">
        <v>42</v>
      </c>
      <c r="L428" t="s">
        <v>351</v>
      </c>
      <c r="M428" s="4">
        <v>2</v>
      </c>
      <c r="N428" s="4">
        <v>1</v>
      </c>
      <c r="O428" s="2">
        <v>0.5</v>
      </c>
      <c r="P428" s="3">
        <v>0</v>
      </c>
      <c r="Q428" s="3">
        <v>0</v>
      </c>
      <c r="R428" s="3">
        <v>0</v>
      </c>
      <c r="S428" s="2"/>
      <c r="T428" s="5"/>
      <c r="U428" s="4">
        <v>0</v>
      </c>
      <c r="V428" s="4">
        <v>0</v>
      </c>
      <c r="W428" s="2">
        <v>0</v>
      </c>
      <c r="X428" s="4">
        <v>0</v>
      </c>
      <c r="Y428" s="4">
        <v>0</v>
      </c>
      <c r="Z428" s="3">
        <v>0</v>
      </c>
      <c r="AA428" s="3">
        <v>0</v>
      </c>
    </row>
    <row r="429" spans="1:27" x14ac:dyDescent="0.2">
      <c r="A429">
        <f t="shared" si="12"/>
        <v>1</v>
      </c>
      <c r="B429">
        <f t="shared" si="13"/>
        <v>5</v>
      </c>
      <c r="C429" s="1">
        <v>46050</v>
      </c>
      <c r="D429" t="s">
        <v>25</v>
      </c>
      <c r="E429" t="s">
        <v>26</v>
      </c>
      <c r="F429" t="s">
        <v>49</v>
      </c>
      <c r="G429" t="s">
        <v>50</v>
      </c>
      <c r="H429" t="s">
        <v>29</v>
      </c>
      <c r="I429" t="s">
        <v>30</v>
      </c>
      <c r="J429" t="s">
        <v>51</v>
      </c>
      <c r="K429" t="s">
        <v>42</v>
      </c>
      <c r="L429" t="s">
        <v>352</v>
      </c>
      <c r="M429" s="4">
        <v>3</v>
      </c>
      <c r="N429" s="4">
        <v>1</v>
      </c>
      <c r="O429" s="2">
        <v>0.33333333333333331</v>
      </c>
      <c r="P429" s="3">
        <v>0.52</v>
      </c>
      <c r="Q429" s="3">
        <v>0.52</v>
      </c>
      <c r="R429" s="3">
        <v>0</v>
      </c>
      <c r="S429" s="2"/>
      <c r="T429" s="5">
        <v>0</v>
      </c>
      <c r="U429" s="4">
        <v>0</v>
      </c>
      <c r="V429" s="4">
        <v>0</v>
      </c>
      <c r="W429" s="2">
        <v>0</v>
      </c>
      <c r="X429" s="4">
        <v>0</v>
      </c>
      <c r="Y429" s="4">
        <v>0</v>
      </c>
      <c r="Z429" s="3">
        <v>0</v>
      </c>
      <c r="AA429" s="3">
        <v>0</v>
      </c>
    </row>
    <row r="430" spans="1:27" x14ac:dyDescent="0.2">
      <c r="A430">
        <f t="shared" si="12"/>
        <v>1</v>
      </c>
      <c r="B430">
        <f t="shared" si="13"/>
        <v>5</v>
      </c>
      <c r="C430" s="1">
        <v>46048</v>
      </c>
      <c r="D430" t="s">
        <v>25</v>
      </c>
      <c r="E430" t="s">
        <v>26</v>
      </c>
      <c r="F430" t="s">
        <v>49</v>
      </c>
      <c r="G430" t="s">
        <v>50</v>
      </c>
      <c r="H430" t="s">
        <v>29</v>
      </c>
      <c r="I430" t="s">
        <v>30</v>
      </c>
      <c r="J430" t="s">
        <v>51</v>
      </c>
      <c r="K430" t="s">
        <v>42</v>
      </c>
      <c r="L430" t="s">
        <v>353</v>
      </c>
      <c r="M430" s="4">
        <v>2</v>
      </c>
      <c r="N430" s="4">
        <v>1</v>
      </c>
      <c r="O430" s="2">
        <v>0.5</v>
      </c>
      <c r="P430" s="3">
        <v>0.48</v>
      </c>
      <c r="Q430" s="3">
        <v>0.48</v>
      </c>
      <c r="R430" s="3">
        <v>0</v>
      </c>
      <c r="S430" s="2"/>
      <c r="T430" s="5">
        <v>0</v>
      </c>
      <c r="U430" s="4">
        <v>0</v>
      </c>
      <c r="V430" s="4">
        <v>0</v>
      </c>
      <c r="W430" s="2">
        <v>0</v>
      </c>
      <c r="X430" s="4">
        <v>0</v>
      </c>
      <c r="Y430" s="4">
        <v>0</v>
      </c>
      <c r="Z430" s="3">
        <v>0</v>
      </c>
      <c r="AA430" s="3">
        <v>0</v>
      </c>
    </row>
    <row r="431" spans="1:27" x14ac:dyDescent="0.2">
      <c r="A431">
        <f t="shared" si="12"/>
        <v>1</v>
      </c>
      <c r="B431">
        <f t="shared" si="13"/>
        <v>5</v>
      </c>
      <c r="C431" s="1">
        <v>46051</v>
      </c>
      <c r="D431" t="s">
        <v>25</v>
      </c>
      <c r="E431" t="s">
        <v>26</v>
      </c>
      <c r="F431" t="s">
        <v>61</v>
      </c>
      <c r="G431" t="s">
        <v>62</v>
      </c>
      <c r="H431" t="s">
        <v>29</v>
      </c>
      <c r="I431" t="s">
        <v>30</v>
      </c>
      <c r="J431" t="s">
        <v>47</v>
      </c>
      <c r="K431" t="s">
        <v>42</v>
      </c>
      <c r="L431" t="s">
        <v>354</v>
      </c>
      <c r="M431" s="4">
        <v>9</v>
      </c>
      <c r="N431" s="4">
        <v>1</v>
      </c>
      <c r="O431" s="2">
        <v>0.1111111111111111</v>
      </c>
      <c r="P431" s="3">
        <v>1.23</v>
      </c>
      <c r="Q431" s="3">
        <v>1.23</v>
      </c>
      <c r="R431" s="3">
        <v>0</v>
      </c>
      <c r="S431" s="2"/>
      <c r="T431" s="5">
        <v>0</v>
      </c>
      <c r="U431" s="4">
        <v>0</v>
      </c>
      <c r="V431" s="4">
        <v>0</v>
      </c>
      <c r="W431" s="2">
        <v>0</v>
      </c>
      <c r="X431" s="4">
        <v>0</v>
      </c>
      <c r="Y431" s="4">
        <v>0</v>
      </c>
      <c r="Z431" s="3">
        <v>0</v>
      </c>
      <c r="AA431" s="3">
        <v>0</v>
      </c>
    </row>
    <row r="432" spans="1:27" x14ac:dyDescent="0.2">
      <c r="A432">
        <f t="shared" si="12"/>
        <v>1</v>
      </c>
      <c r="B432">
        <f t="shared" si="13"/>
        <v>5</v>
      </c>
      <c r="C432" s="1">
        <v>46051</v>
      </c>
      <c r="D432" t="s">
        <v>25</v>
      </c>
      <c r="E432" t="s">
        <v>26</v>
      </c>
      <c r="F432" t="s">
        <v>61</v>
      </c>
      <c r="G432" t="s">
        <v>62</v>
      </c>
      <c r="H432" t="s">
        <v>29</v>
      </c>
      <c r="I432" t="s">
        <v>30</v>
      </c>
      <c r="J432" t="s">
        <v>47</v>
      </c>
      <c r="K432" t="s">
        <v>42</v>
      </c>
      <c r="L432" t="s">
        <v>355</v>
      </c>
      <c r="M432" s="4">
        <v>1</v>
      </c>
      <c r="N432" s="4">
        <v>1</v>
      </c>
      <c r="O432" s="2">
        <v>1</v>
      </c>
      <c r="P432" s="3">
        <v>1.0900000000000001</v>
      </c>
      <c r="Q432" s="3">
        <v>1.0900000000000001</v>
      </c>
      <c r="R432" s="3">
        <v>0</v>
      </c>
      <c r="S432" s="2"/>
      <c r="T432" s="5">
        <v>0</v>
      </c>
      <c r="U432" s="4">
        <v>0</v>
      </c>
      <c r="V432" s="4">
        <v>0</v>
      </c>
      <c r="W432" s="2">
        <v>0</v>
      </c>
      <c r="X432" s="4">
        <v>0</v>
      </c>
      <c r="Y432" s="4">
        <v>0</v>
      </c>
      <c r="Z432" s="3">
        <v>0</v>
      </c>
      <c r="AA432" s="3">
        <v>0</v>
      </c>
    </row>
    <row r="433" spans="1:27" x14ac:dyDescent="0.2">
      <c r="A433">
        <f t="shared" si="12"/>
        <v>1</v>
      </c>
      <c r="B433">
        <f t="shared" si="13"/>
        <v>4</v>
      </c>
      <c r="C433" s="1">
        <v>46045</v>
      </c>
      <c r="D433" t="s">
        <v>25</v>
      </c>
      <c r="E433" t="s">
        <v>26</v>
      </c>
      <c r="F433" t="s">
        <v>61</v>
      </c>
      <c r="G433" t="s">
        <v>62</v>
      </c>
      <c r="H433" t="s">
        <v>29</v>
      </c>
      <c r="I433" t="s">
        <v>30</v>
      </c>
      <c r="J433" t="s">
        <v>95</v>
      </c>
      <c r="K433" t="s">
        <v>42</v>
      </c>
      <c r="L433" t="s">
        <v>356</v>
      </c>
      <c r="M433" s="4">
        <v>1</v>
      </c>
      <c r="N433" s="4">
        <v>1</v>
      </c>
      <c r="O433" s="2">
        <v>1</v>
      </c>
      <c r="P433" s="3">
        <v>1.21</v>
      </c>
      <c r="Q433" s="3">
        <v>1.21</v>
      </c>
      <c r="R433" s="3">
        <v>0</v>
      </c>
      <c r="S433" s="2"/>
      <c r="T433" s="5">
        <v>0</v>
      </c>
      <c r="U433" s="4">
        <v>0</v>
      </c>
      <c r="V433" s="4">
        <v>0</v>
      </c>
      <c r="W433" s="2">
        <v>0</v>
      </c>
      <c r="X433" s="4">
        <v>0</v>
      </c>
      <c r="Y433" s="4">
        <v>0</v>
      </c>
      <c r="Z433" s="3">
        <v>0</v>
      </c>
      <c r="AA433" s="3">
        <v>0</v>
      </c>
    </row>
    <row r="434" spans="1:27" x14ac:dyDescent="0.2">
      <c r="A434">
        <f t="shared" si="12"/>
        <v>1</v>
      </c>
      <c r="B434">
        <f t="shared" si="13"/>
        <v>5</v>
      </c>
      <c r="C434" s="1">
        <v>46050</v>
      </c>
      <c r="D434" t="s">
        <v>25</v>
      </c>
      <c r="E434" t="s">
        <v>26</v>
      </c>
      <c r="F434" t="s">
        <v>45</v>
      </c>
      <c r="G434" t="s">
        <v>46</v>
      </c>
      <c r="H434" t="s">
        <v>29</v>
      </c>
      <c r="I434" t="s">
        <v>30</v>
      </c>
      <c r="J434" t="s">
        <v>47</v>
      </c>
      <c r="K434" t="s">
        <v>42</v>
      </c>
      <c r="L434" t="s">
        <v>357</v>
      </c>
      <c r="M434" s="4">
        <v>4</v>
      </c>
      <c r="N434" s="4">
        <v>1</v>
      </c>
      <c r="O434" s="2">
        <v>0.25</v>
      </c>
      <c r="P434" s="3">
        <v>0.39</v>
      </c>
      <c r="Q434" s="3">
        <v>0.39</v>
      </c>
      <c r="R434" s="3">
        <v>0</v>
      </c>
      <c r="S434" s="2"/>
      <c r="T434" s="5">
        <v>0</v>
      </c>
      <c r="U434" s="4">
        <v>0</v>
      </c>
      <c r="V434" s="4">
        <v>0</v>
      </c>
      <c r="W434" s="2">
        <v>0</v>
      </c>
      <c r="X434" s="4">
        <v>0</v>
      </c>
      <c r="Y434" s="4">
        <v>0</v>
      </c>
      <c r="Z434" s="3">
        <v>0</v>
      </c>
      <c r="AA434" s="3">
        <v>0</v>
      </c>
    </row>
    <row r="435" spans="1:27" x14ac:dyDescent="0.2">
      <c r="A435">
        <f t="shared" si="12"/>
        <v>1</v>
      </c>
      <c r="B435">
        <f t="shared" si="13"/>
        <v>5</v>
      </c>
      <c r="C435" s="1">
        <v>46047</v>
      </c>
      <c r="D435" t="s">
        <v>25</v>
      </c>
      <c r="E435" t="s">
        <v>26</v>
      </c>
      <c r="F435" t="s">
        <v>53</v>
      </c>
      <c r="G435" t="s">
        <v>54</v>
      </c>
      <c r="H435" t="s">
        <v>29</v>
      </c>
      <c r="I435" t="s">
        <v>30</v>
      </c>
      <c r="J435" t="s">
        <v>95</v>
      </c>
      <c r="K435" t="s">
        <v>42</v>
      </c>
      <c r="L435" t="s">
        <v>358</v>
      </c>
      <c r="M435" s="4">
        <v>1</v>
      </c>
      <c r="N435" s="4">
        <v>1</v>
      </c>
      <c r="O435" s="2">
        <v>1</v>
      </c>
      <c r="P435" s="3">
        <v>1</v>
      </c>
      <c r="Q435" s="3">
        <v>1</v>
      </c>
      <c r="R435" s="3">
        <v>0</v>
      </c>
      <c r="S435" s="2"/>
      <c r="T435" s="5">
        <v>0</v>
      </c>
      <c r="U435" s="4">
        <v>0</v>
      </c>
      <c r="V435" s="4">
        <v>0</v>
      </c>
      <c r="W435" s="2">
        <v>0</v>
      </c>
      <c r="X435" s="4">
        <v>0</v>
      </c>
      <c r="Y435" s="4">
        <v>0</v>
      </c>
      <c r="Z435" s="3">
        <v>0</v>
      </c>
      <c r="AA435" s="3">
        <v>0</v>
      </c>
    </row>
    <row r="436" spans="1:27" x14ac:dyDescent="0.2">
      <c r="A436">
        <f t="shared" si="12"/>
        <v>1</v>
      </c>
      <c r="B436">
        <f t="shared" si="13"/>
        <v>5</v>
      </c>
      <c r="C436" s="1">
        <v>46052</v>
      </c>
      <c r="D436" t="s">
        <v>25</v>
      </c>
      <c r="E436" t="s">
        <v>26</v>
      </c>
      <c r="F436" t="s">
        <v>61</v>
      </c>
      <c r="G436" t="s">
        <v>62</v>
      </c>
      <c r="H436" t="s">
        <v>29</v>
      </c>
      <c r="I436" t="s">
        <v>30</v>
      </c>
      <c r="J436" t="s">
        <v>95</v>
      </c>
      <c r="K436" t="s">
        <v>42</v>
      </c>
      <c r="L436" t="s">
        <v>359</v>
      </c>
      <c r="M436" s="4">
        <v>129</v>
      </c>
      <c r="N436" s="4">
        <v>1</v>
      </c>
      <c r="O436" s="2">
        <v>7.7519379844961239E-3</v>
      </c>
      <c r="P436" s="3">
        <v>1.04</v>
      </c>
      <c r="Q436" s="3">
        <v>1.04</v>
      </c>
      <c r="R436" s="3">
        <v>0</v>
      </c>
      <c r="S436" s="2"/>
      <c r="T436" s="5">
        <v>0</v>
      </c>
      <c r="U436" s="4">
        <v>0</v>
      </c>
      <c r="V436" s="4">
        <v>0</v>
      </c>
      <c r="W436" s="2">
        <v>0</v>
      </c>
      <c r="X436" s="4">
        <v>0</v>
      </c>
      <c r="Y436" s="4">
        <v>0</v>
      </c>
      <c r="Z436" s="3">
        <v>0</v>
      </c>
      <c r="AA436" s="3">
        <v>0</v>
      </c>
    </row>
    <row r="437" spans="1:27" x14ac:dyDescent="0.2">
      <c r="A437">
        <f t="shared" si="12"/>
        <v>1</v>
      </c>
      <c r="B437">
        <f t="shared" si="13"/>
        <v>5</v>
      </c>
      <c r="C437" s="1">
        <v>46047</v>
      </c>
      <c r="D437" t="s">
        <v>25</v>
      </c>
      <c r="E437" t="s">
        <v>26</v>
      </c>
      <c r="F437" t="s">
        <v>49</v>
      </c>
      <c r="G437" t="s">
        <v>50</v>
      </c>
      <c r="H437" t="s">
        <v>29</v>
      </c>
      <c r="I437" t="s">
        <v>30</v>
      </c>
      <c r="J437" t="s">
        <v>47</v>
      </c>
      <c r="K437" t="s">
        <v>42</v>
      </c>
      <c r="L437" t="s">
        <v>360</v>
      </c>
      <c r="M437" s="4">
        <v>2</v>
      </c>
      <c r="N437" s="4">
        <v>1</v>
      </c>
      <c r="O437" s="2">
        <v>0.5</v>
      </c>
      <c r="P437" s="3">
        <v>0.65</v>
      </c>
      <c r="Q437" s="3">
        <v>0.65</v>
      </c>
      <c r="R437" s="3">
        <v>0</v>
      </c>
      <c r="S437" s="2"/>
      <c r="T437" s="5">
        <v>0</v>
      </c>
      <c r="U437" s="4">
        <v>0</v>
      </c>
      <c r="V437" s="4">
        <v>0</v>
      </c>
      <c r="W437" s="2">
        <v>0</v>
      </c>
      <c r="X437" s="4">
        <v>0</v>
      </c>
      <c r="Y437" s="4">
        <v>0</v>
      </c>
      <c r="Z437" s="3">
        <v>0</v>
      </c>
      <c r="AA437" s="3">
        <v>0</v>
      </c>
    </row>
    <row r="438" spans="1:27" x14ac:dyDescent="0.2">
      <c r="A438">
        <f t="shared" si="12"/>
        <v>1</v>
      </c>
      <c r="B438">
        <f t="shared" si="13"/>
        <v>5</v>
      </c>
      <c r="C438" s="1">
        <v>46053</v>
      </c>
      <c r="D438" t="s">
        <v>25</v>
      </c>
      <c r="E438" t="s">
        <v>26</v>
      </c>
      <c r="F438" t="s">
        <v>49</v>
      </c>
      <c r="G438" t="s">
        <v>50</v>
      </c>
      <c r="H438" t="s">
        <v>29</v>
      </c>
      <c r="I438" t="s">
        <v>30</v>
      </c>
      <c r="J438" t="s">
        <v>95</v>
      </c>
      <c r="K438" t="s">
        <v>42</v>
      </c>
      <c r="L438" t="s">
        <v>361</v>
      </c>
      <c r="M438" s="4">
        <v>2</v>
      </c>
      <c r="N438" s="4">
        <v>1</v>
      </c>
      <c r="O438" s="2">
        <v>0.5</v>
      </c>
      <c r="P438" s="3">
        <v>0.4</v>
      </c>
      <c r="Q438" s="3">
        <v>0.4</v>
      </c>
      <c r="R438" s="3">
        <v>0</v>
      </c>
      <c r="S438" s="2"/>
      <c r="T438" s="5">
        <v>0</v>
      </c>
      <c r="U438" s="4">
        <v>0</v>
      </c>
      <c r="V438" s="4">
        <v>0</v>
      </c>
      <c r="W438" s="2">
        <v>0</v>
      </c>
      <c r="X438" s="4">
        <v>0</v>
      </c>
      <c r="Y438" s="4">
        <v>0</v>
      </c>
      <c r="Z438" s="3">
        <v>0</v>
      </c>
      <c r="AA438" s="3">
        <v>0</v>
      </c>
    </row>
    <row r="439" spans="1:27" x14ac:dyDescent="0.2">
      <c r="A439">
        <f t="shared" si="12"/>
        <v>1</v>
      </c>
      <c r="B439">
        <f t="shared" si="13"/>
        <v>5</v>
      </c>
      <c r="C439" s="1">
        <v>46051</v>
      </c>
      <c r="D439" t="s">
        <v>25</v>
      </c>
      <c r="E439" t="s">
        <v>26</v>
      </c>
      <c r="F439" t="s">
        <v>27</v>
      </c>
      <c r="G439" t="s">
        <v>28</v>
      </c>
      <c r="H439" t="s">
        <v>29</v>
      </c>
      <c r="I439" t="s">
        <v>30</v>
      </c>
      <c r="J439" t="s">
        <v>50</v>
      </c>
      <c r="K439" t="s">
        <v>32</v>
      </c>
      <c r="L439" t="s">
        <v>362</v>
      </c>
      <c r="M439" s="4">
        <v>2</v>
      </c>
      <c r="N439" s="4">
        <v>1</v>
      </c>
      <c r="O439" s="2">
        <v>0.5</v>
      </c>
      <c r="P439" s="3">
        <v>0.21</v>
      </c>
      <c r="Q439" s="3">
        <v>0.21</v>
      </c>
      <c r="R439" s="3">
        <v>0</v>
      </c>
      <c r="S439" s="2"/>
      <c r="T439" s="5">
        <v>0</v>
      </c>
      <c r="U439" s="4">
        <v>0</v>
      </c>
      <c r="V439" s="4">
        <v>0</v>
      </c>
      <c r="W439" s="2">
        <v>0</v>
      </c>
      <c r="X439" s="4">
        <v>0</v>
      </c>
      <c r="Y439" s="4">
        <v>0</v>
      </c>
      <c r="Z439" s="3">
        <v>0</v>
      </c>
      <c r="AA439" s="3">
        <v>0</v>
      </c>
    </row>
    <row r="440" spans="1:27" x14ac:dyDescent="0.2">
      <c r="A440">
        <f t="shared" si="12"/>
        <v>1</v>
      </c>
      <c r="B440">
        <f t="shared" si="13"/>
        <v>5</v>
      </c>
      <c r="C440" s="1">
        <v>46053</v>
      </c>
      <c r="D440" t="s">
        <v>25</v>
      </c>
      <c r="E440" t="s">
        <v>26</v>
      </c>
      <c r="F440" t="s">
        <v>61</v>
      </c>
      <c r="G440" t="s">
        <v>62</v>
      </c>
      <c r="H440" t="s">
        <v>29</v>
      </c>
      <c r="I440" t="s">
        <v>30</v>
      </c>
      <c r="J440" t="s">
        <v>95</v>
      </c>
      <c r="K440" t="s">
        <v>42</v>
      </c>
      <c r="L440" t="s">
        <v>363</v>
      </c>
      <c r="M440" s="4">
        <v>1</v>
      </c>
      <c r="N440" s="4">
        <v>1</v>
      </c>
      <c r="O440" s="2">
        <v>1</v>
      </c>
      <c r="P440" s="3">
        <v>1.07</v>
      </c>
      <c r="Q440" s="3">
        <v>1.07</v>
      </c>
      <c r="R440" s="3">
        <v>0</v>
      </c>
      <c r="S440" s="2"/>
      <c r="T440" s="5">
        <v>0</v>
      </c>
      <c r="U440" s="4">
        <v>0</v>
      </c>
      <c r="V440" s="4">
        <v>0</v>
      </c>
      <c r="W440" s="2">
        <v>0</v>
      </c>
      <c r="X440" s="4">
        <v>0</v>
      </c>
      <c r="Y440" s="4">
        <v>0</v>
      </c>
      <c r="Z440" s="3">
        <v>0</v>
      </c>
      <c r="AA440" s="3">
        <v>0</v>
      </c>
    </row>
    <row r="441" spans="1:27" x14ac:dyDescent="0.2">
      <c r="A441">
        <f t="shared" si="12"/>
        <v>1</v>
      </c>
      <c r="B441">
        <f t="shared" si="13"/>
        <v>5</v>
      </c>
      <c r="C441" s="1">
        <v>46047</v>
      </c>
      <c r="D441" t="s">
        <v>25</v>
      </c>
      <c r="E441" t="s">
        <v>26</v>
      </c>
      <c r="F441" t="s">
        <v>39</v>
      </c>
      <c r="G441" t="s">
        <v>40</v>
      </c>
      <c r="H441" t="s">
        <v>29</v>
      </c>
      <c r="I441" t="s">
        <v>30</v>
      </c>
      <c r="J441" t="s">
        <v>41</v>
      </c>
      <c r="K441" t="s">
        <v>42</v>
      </c>
      <c r="L441" t="s">
        <v>364</v>
      </c>
      <c r="M441" s="4">
        <v>1</v>
      </c>
      <c r="N441" s="4">
        <v>1</v>
      </c>
      <c r="O441" s="2">
        <v>1</v>
      </c>
      <c r="P441" s="3">
        <v>0.81</v>
      </c>
      <c r="Q441" s="3">
        <v>0.81</v>
      </c>
      <c r="R441" s="3">
        <v>0</v>
      </c>
      <c r="S441" s="2"/>
      <c r="T441" s="5">
        <v>0</v>
      </c>
      <c r="U441" s="4">
        <v>0</v>
      </c>
      <c r="V441" s="4">
        <v>0</v>
      </c>
      <c r="W441" s="2">
        <v>0</v>
      </c>
      <c r="X441" s="4">
        <v>0</v>
      </c>
      <c r="Y441" s="4">
        <v>0</v>
      </c>
      <c r="Z441" s="3">
        <v>0</v>
      </c>
      <c r="AA441" s="3">
        <v>0</v>
      </c>
    </row>
    <row r="442" spans="1:27" x14ac:dyDescent="0.2">
      <c r="A442">
        <f t="shared" si="12"/>
        <v>1</v>
      </c>
      <c r="B442">
        <f t="shared" si="13"/>
        <v>5</v>
      </c>
      <c r="C442" s="1">
        <v>46047</v>
      </c>
      <c r="D442" t="s">
        <v>25</v>
      </c>
      <c r="E442" t="s">
        <v>26</v>
      </c>
      <c r="F442" t="s">
        <v>49</v>
      </c>
      <c r="G442" t="s">
        <v>50</v>
      </c>
      <c r="H442" t="s">
        <v>29</v>
      </c>
      <c r="I442" t="s">
        <v>30</v>
      </c>
      <c r="J442" t="s">
        <v>95</v>
      </c>
      <c r="K442" t="s">
        <v>42</v>
      </c>
      <c r="L442" t="s">
        <v>365</v>
      </c>
      <c r="M442" s="4">
        <v>1</v>
      </c>
      <c r="N442" s="4">
        <v>1</v>
      </c>
      <c r="O442" s="2">
        <v>1</v>
      </c>
      <c r="P442" s="3">
        <v>0.28000000000000003</v>
      </c>
      <c r="Q442" s="3">
        <v>0.28000000000000003</v>
      </c>
      <c r="R442" s="3">
        <v>0</v>
      </c>
      <c r="S442" s="2"/>
      <c r="T442" s="5">
        <v>0</v>
      </c>
      <c r="U442" s="4">
        <v>0</v>
      </c>
      <c r="V442" s="4">
        <v>0</v>
      </c>
      <c r="W442" s="2">
        <v>0</v>
      </c>
      <c r="X442" s="4">
        <v>0</v>
      </c>
      <c r="Y442" s="4">
        <v>0</v>
      </c>
      <c r="Z442" s="3">
        <v>0</v>
      </c>
      <c r="AA442" s="3">
        <v>0</v>
      </c>
    </row>
    <row r="443" spans="1:27" x14ac:dyDescent="0.2">
      <c r="A443">
        <f t="shared" si="12"/>
        <v>1</v>
      </c>
      <c r="B443">
        <f t="shared" si="13"/>
        <v>4</v>
      </c>
      <c r="C443" s="1">
        <v>46046</v>
      </c>
      <c r="D443" t="s">
        <v>25</v>
      </c>
      <c r="E443" t="s">
        <v>26</v>
      </c>
      <c r="F443" t="s">
        <v>39</v>
      </c>
      <c r="G443" t="s">
        <v>40</v>
      </c>
      <c r="H443" t="s">
        <v>29</v>
      </c>
      <c r="I443" t="s">
        <v>30</v>
      </c>
      <c r="J443" t="s">
        <v>70</v>
      </c>
      <c r="K443" t="s">
        <v>42</v>
      </c>
      <c r="L443" t="s">
        <v>366</v>
      </c>
      <c r="M443" s="4">
        <v>1</v>
      </c>
      <c r="N443" s="4">
        <v>1</v>
      </c>
      <c r="O443" s="2">
        <v>1</v>
      </c>
      <c r="P443" s="3">
        <v>0.46</v>
      </c>
      <c r="Q443" s="3">
        <v>0.46</v>
      </c>
      <c r="R443" s="3">
        <v>0</v>
      </c>
      <c r="S443" s="2"/>
      <c r="T443" s="5">
        <v>0</v>
      </c>
      <c r="U443" s="4">
        <v>0</v>
      </c>
      <c r="V443" s="4">
        <v>0</v>
      </c>
      <c r="W443" s="2">
        <v>0</v>
      </c>
      <c r="X443" s="4">
        <v>0</v>
      </c>
      <c r="Y443" s="4">
        <v>0</v>
      </c>
      <c r="Z443" s="3">
        <v>0</v>
      </c>
      <c r="AA443" s="3">
        <v>0</v>
      </c>
    </row>
    <row r="444" spans="1:27" x14ac:dyDescent="0.2">
      <c r="A444">
        <f t="shared" si="12"/>
        <v>1</v>
      </c>
      <c r="B444">
        <f t="shared" si="13"/>
        <v>5</v>
      </c>
      <c r="C444" s="1">
        <v>46053</v>
      </c>
      <c r="D444" t="s">
        <v>25</v>
      </c>
      <c r="E444" t="s">
        <v>26</v>
      </c>
      <c r="F444" t="s">
        <v>34</v>
      </c>
      <c r="G444" t="s">
        <v>28</v>
      </c>
      <c r="H444" t="s">
        <v>29</v>
      </c>
      <c r="I444" t="s">
        <v>30</v>
      </c>
      <c r="J444" t="s">
        <v>99</v>
      </c>
      <c r="K444" t="s">
        <v>32</v>
      </c>
      <c r="L444" t="s">
        <v>367</v>
      </c>
      <c r="M444" s="4">
        <v>1</v>
      </c>
      <c r="N444" s="4">
        <v>1</v>
      </c>
      <c r="O444" s="2">
        <v>1</v>
      </c>
      <c r="P444" s="3">
        <v>1.29</v>
      </c>
      <c r="Q444" s="3">
        <v>1.29</v>
      </c>
      <c r="R444" s="3">
        <v>0</v>
      </c>
      <c r="S444" s="2"/>
      <c r="T444" s="5">
        <v>0</v>
      </c>
      <c r="U444" s="4">
        <v>0</v>
      </c>
      <c r="V444" s="4">
        <v>0</v>
      </c>
      <c r="W444" s="2">
        <v>0</v>
      </c>
      <c r="X444" s="4">
        <v>0</v>
      </c>
      <c r="Y444" s="4">
        <v>0</v>
      </c>
      <c r="Z444" s="3">
        <v>0</v>
      </c>
      <c r="AA444" s="3">
        <v>0</v>
      </c>
    </row>
    <row r="445" spans="1:27" x14ac:dyDescent="0.2">
      <c r="A445">
        <f t="shared" si="12"/>
        <v>1</v>
      </c>
      <c r="B445">
        <f t="shared" si="13"/>
        <v>4</v>
      </c>
      <c r="C445" s="1">
        <v>46046</v>
      </c>
      <c r="D445" t="s">
        <v>25</v>
      </c>
      <c r="E445" t="s">
        <v>26</v>
      </c>
      <c r="F445" t="s">
        <v>49</v>
      </c>
      <c r="G445" t="s">
        <v>50</v>
      </c>
      <c r="H445" t="s">
        <v>29</v>
      </c>
      <c r="I445" t="s">
        <v>30</v>
      </c>
      <c r="J445" t="s">
        <v>47</v>
      </c>
      <c r="K445" t="s">
        <v>42</v>
      </c>
      <c r="L445" t="s">
        <v>44</v>
      </c>
      <c r="M445" s="4">
        <v>23</v>
      </c>
      <c r="N445" s="4">
        <v>1</v>
      </c>
      <c r="O445" s="2">
        <v>4.3478260869565216E-2</v>
      </c>
      <c r="P445" s="3">
        <v>0.68</v>
      </c>
      <c r="Q445" s="3">
        <v>0.68</v>
      </c>
      <c r="R445" s="3">
        <v>0</v>
      </c>
      <c r="S445" s="2"/>
      <c r="T445" s="5">
        <v>0</v>
      </c>
      <c r="U445" s="4">
        <v>0</v>
      </c>
      <c r="V445" s="4">
        <v>0</v>
      </c>
      <c r="W445" s="2">
        <v>0</v>
      </c>
      <c r="X445" s="4">
        <v>0</v>
      </c>
      <c r="Y445" s="4">
        <v>0</v>
      </c>
      <c r="Z445" s="3">
        <v>0</v>
      </c>
      <c r="AA445" s="3">
        <v>0</v>
      </c>
    </row>
    <row r="446" spans="1:27" x14ac:dyDescent="0.2">
      <c r="A446">
        <f t="shared" si="12"/>
        <v>1</v>
      </c>
      <c r="B446">
        <f t="shared" si="13"/>
        <v>5</v>
      </c>
      <c r="C446" s="1">
        <v>46052</v>
      </c>
      <c r="D446" t="s">
        <v>25</v>
      </c>
      <c r="E446" t="s">
        <v>26</v>
      </c>
      <c r="F446" t="s">
        <v>49</v>
      </c>
      <c r="G446" t="s">
        <v>50</v>
      </c>
      <c r="H446" t="s">
        <v>29</v>
      </c>
      <c r="I446" t="s">
        <v>30</v>
      </c>
      <c r="J446" t="s">
        <v>47</v>
      </c>
      <c r="K446" t="s">
        <v>42</v>
      </c>
      <c r="L446" t="s">
        <v>44</v>
      </c>
      <c r="M446" s="4">
        <v>34</v>
      </c>
      <c r="N446" s="4">
        <v>1</v>
      </c>
      <c r="O446" s="2">
        <v>2.9411764705882349E-2</v>
      </c>
      <c r="P446" s="3">
        <v>0.54</v>
      </c>
      <c r="Q446" s="3">
        <v>0.54</v>
      </c>
      <c r="R446" s="3">
        <v>0</v>
      </c>
      <c r="S446" s="2"/>
      <c r="T446" s="5">
        <v>0</v>
      </c>
      <c r="U446" s="4">
        <v>0</v>
      </c>
      <c r="V446" s="4">
        <v>0</v>
      </c>
      <c r="W446" s="2">
        <v>0</v>
      </c>
      <c r="X446" s="4">
        <v>0</v>
      </c>
      <c r="Y446" s="4">
        <v>0</v>
      </c>
      <c r="Z446" s="3">
        <v>0</v>
      </c>
      <c r="AA446" s="3">
        <v>0</v>
      </c>
    </row>
    <row r="447" spans="1:27" x14ac:dyDescent="0.2">
      <c r="A447">
        <f t="shared" si="12"/>
        <v>1</v>
      </c>
      <c r="B447">
        <f t="shared" si="13"/>
        <v>4</v>
      </c>
      <c r="C447" s="1">
        <v>46045</v>
      </c>
      <c r="D447" t="s">
        <v>25</v>
      </c>
      <c r="E447" t="s">
        <v>26</v>
      </c>
      <c r="F447" t="s">
        <v>34</v>
      </c>
      <c r="G447" t="s">
        <v>28</v>
      </c>
      <c r="H447" t="s">
        <v>29</v>
      </c>
      <c r="I447" t="s">
        <v>30</v>
      </c>
      <c r="J447" t="s">
        <v>44</v>
      </c>
      <c r="K447" t="s">
        <v>32</v>
      </c>
      <c r="L447" t="s">
        <v>44</v>
      </c>
      <c r="M447" s="4">
        <v>39</v>
      </c>
      <c r="N447" s="4">
        <v>1</v>
      </c>
      <c r="O447" s="2">
        <v>2.564102564102564E-2</v>
      </c>
      <c r="P447" s="3">
        <v>0.9</v>
      </c>
      <c r="Q447" s="3">
        <v>0.9</v>
      </c>
      <c r="R447" s="3">
        <v>0</v>
      </c>
      <c r="S447" s="2"/>
      <c r="T447" s="5">
        <v>0</v>
      </c>
      <c r="U447" s="4">
        <v>0</v>
      </c>
      <c r="V447" s="4">
        <v>0</v>
      </c>
      <c r="W447" s="2">
        <v>0</v>
      </c>
      <c r="X447" s="4">
        <v>0</v>
      </c>
      <c r="Y447" s="4">
        <v>0</v>
      </c>
      <c r="Z447" s="3">
        <v>0</v>
      </c>
      <c r="AA447" s="3">
        <v>0</v>
      </c>
    </row>
    <row r="448" spans="1:27" x14ac:dyDescent="0.2">
      <c r="A448">
        <f t="shared" si="12"/>
        <v>1</v>
      </c>
      <c r="B448">
        <f t="shared" si="13"/>
        <v>5</v>
      </c>
      <c r="C448" s="1">
        <v>46048</v>
      </c>
      <c r="D448" t="s">
        <v>25</v>
      </c>
      <c r="E448" t="s">
        <v>26</v>
      </c>
      <c r="F448" t="s">
        <v>49</v>
      </c>
      <c r="G448" t="s">
        <v>50</v>
      </c>
      <c r="H448" t="s">
        <v>29</v>
      </c>
      <c r="I448" t="s">
        <v>30</v>
      </c>
      <c r="J448" t="s">
        <v>95</v>
      </c>
      <c r="K448" t="s">
        <v>42</v>
      </c>
      <c r="L448" t="s">
        <v>368</v>
      </c>
      <c r="M448" s="4">
        <v>2</v>
      </c>
      <c r="N448" s="4">
        <v>1</v>
      </c>
      <c r="O448" s="2">
        <v>0.5</v>
      </c>
      <c r="P448" s="3">
        <v>0.35</v>
      </c>
      <c r="Q448" s="3">
        <v>0.35</v>
      </c>
      <c r="R448" s="3">
        <v>0</v>
      </c>
      <c r="S448" s="2"/>
      <c r="T448" s="5">
        <v>0</v>
      </c>
      <c r="U448" s="4">
        <v>0</v>
      </c>
      <c r="V448" s="4">
        <v>0</v>
      </c>
      <c r="W448" s="2">
        <v>0</v>
      </c>
      <c r="X448" s="4">
        <v>0</v>
      </c>
      <c r="Y448" s="4">
        <v>0</v>
      </c>
      <c r="Z448" s="3">
        <v>0</v>
      </c>
      <c r="AA448" s="3">
        <v>0</v>
      </c>
    </row>
    <row r="449" spans="1:27" x14ac:dyDescent="0.2">
      <c r="A449">
        <f t="shared" si="12"/>
        <v>1</v>
      </c>
      <c r="B449">
        <f t="shared" si="13"/>
        <v>5</v>
      </c>
      <c r="C449" s="1">
        <v>46050</v>
      </c>
      <c r="D449" t="s">
        <v>25</v>
      </c>
      <c r="E449" t="s">
        <v>26</v>
      </c>
      <c r="F449" t="s">
        <v>34</v>
      </c>
      <c r="G449" t="s">
        <v>28</v>
      </c>
      <c r="H449" t="s">
        <v>29</v>
      </c>
      <c r="I449" t="s">
        <v>30</v>
      </c>
      <c r="J449" t="s">
        <v>44</v>
      </c>
      <c r="K449" t="s">
        <v>32</v>
      </c>
      <c r="L449" t="s">
        <v>369</v>
      </c>
      <c r="M449" s="4">
        <v>12</v>
      </c>
      <c r="N449" s="4">
        <v>1</v>
      </c>
      <c r="O449" s="2">
        <v>8.3333333333333315E-2</v>
      </c>
      <c r="P449" s="3">
        <v>0.7</v>
      </c>
      <c r="Q449" s="3">
        <v>0.7</v>
      </c>
      <c r="R449" s="3">
        <v>0</v>
      </c>
      <c r="S449" s="2"/>
      <c r="T449" s="5">
        <v>0</v>
      </c>
      <c r="U449" s="4">
        <v>0</v>
      </c>
      <c r="V449" s="4">
        <v>0</v>
      </c>
      <c r="W449" s="2">
        <v>0</v>
      </c>
      <c r="X449" s="4">
        <v>0</v>
      </c>
      <c r="Y449" s="4">
        <v>0</v>
      </c>
      <c r="Z449" s="3">
        <v>0</v>
      </c>
      <c r="AA449" s="3">
        <v>0</v>
      </c>
    </row>
    <row r="450" spans="1:27" x14ac:dyDescent="0.2">
      <c r="A450">
        <f t="shared" si="12"/>
        <v>1</v>
      </c>
      <c r="B450">
        <f t="shared" si="13"/>
        <v>4</v>
      </c>
      <c r="C450" s="1">
        <v>46046</v>
      </c>
      <c r="D450" t="s">
        <v>25</v>
      </c>
      <c r="E450" t="s">
        <v>26</v>
      </c>
      <c r="F450" t="s">
        <v>27</v>
      </c>
      <c r="G450" t="s">
        <v>28</v>
      </c>
      <c r="H450" t="s">
        <v>29</v>
      </c>
      <c r="I450" t="s">
        <v>30</v>
      </c>
      <c r="J450" t="s">
        <v>119</v>
      </c>
      <c r="K450" t="s">
        <v>32</v>
      </c>
      <c r="L450" t="s">
        <v>119</v>
      </c>
      <c r="M450" s="4">
        <v>2</v>
      </c>
      <c r="N450" s="4">
        <v>1</v>
      </c>
      <c r="O450" s="2">
        <v>0.5</v>
      </c>
      <c r="P450" s="3">
        <v>0.15</v>
      </c>
      <c r="Q450" s="3">
        <v>0.15</v>
      </c>
      <c r="R450" s="3">
        <v>0</v>
      </c>
      <c r="S450" s="2"/>
      <c r="T450" s="5">
        <v>0</v>
      </c>
      <c r="U450" s="4">
        <v>0</v>
      </c>
      <c r="V450" s="4">
        <v>0</v>
      </c>
      <c r="W450" s="2">
        <v>0</v>
      </c>
      <c r="X450" s="4">
        <v>0</v>
      </c>
      <c r="Y450" s="4">
        <v>0</v>
      </c>
      <c r="Z450" s="3">
        <v>0</v>
      </c>
      <c r="AA450" s="3">
        <v>0</v>
      </c>
    </row>
    <row r="451" spans="1:27" x14ac:dyDescent="0.2">
      <c r="A451">
        <f t="shared" ref="A451:A514" si="14">MONTH(C451)</f>
        <v>1</v>
      </c>
      <c r="B451">
        <f t="shared" ref="B451:B514" si="15">WEEKNUM(C451,1)</f>
        <v>5</v>
      </c>
      <c r="C451" s="1">
        <v>46049</v>
      </c>
      <c r="D451" t="s">
        <v>25</v>
      </c>
      <c r="E451" t="s">
        <v>26</v>
      </c>
      <c r="F451" t="s">
        <v>49</v>
      </c>
      <c r="G451" t="s">
        <v>50</v>
      </c>
      <c r="H451" t="s">
        <v>29</v>
      </c>
      <c r="I451" t="s">
        <v>30</v>
      </c>
      <c r="J451" t="s">
        <v>47</v>
      </c>
      <c r="K451" t="s">
        <v>42</v>
      </c>
      <c r="L451" t="s">
        <v>370</v>
      </c>
      <c r="M451" s="4">
        <v>2</v>
      </c>
      <c r="N451" s="4">
        <v>1</v>
      </c>
      <c r="O451" s="2">
        <v>0.5</v>
      </c>
      <c r="P451" s="3">
        <v>0.76</v>
      </c>
      <c r="Q451" s="3">
        <v>0.76</v>
      </c>
      <c r="R451" s="3">
        <v>0</v>
      </c>
      <c r="S451" s="2"/>
      <c r="T451" s="5">
        <v>0</v>
      </c>
      <c r="U451" s="4">
        <v>0</v>
      </c>
      <c r="V451" s="4">
        <v>0</v>
      </c>
      <c r="W451" s="2">
        <v>0</v>
      </c>
      <c r="X451" s="4">
        <v>0</v>
      </c>
      <c r="Y451" s="4">
        <v>0</v>
      </c>
      <c r="Z451" s="3">
        <v>0</v>
      </c>
      <c r="AA451" s="3">
        <v>0</v>
      </c>
    </row>
    <row r="452" spans="1:27" x14ac:dyDescent="0.2">
      <c r="A452">
        <f t="shared" si="14"/>
        <v>1</v>
      </c>
      <c r="B452">
        <f t="shared" si="15"/>
        <v>5</v>
      </c>
      <c r="C452" s="1">
        <v>46051</v>
      </c>
      <c r="D452" t="s">
        <v>25</v>
      </c>
      <c r="E452" t="s">
        <v>26</v>
      </c>
      <c r="F452" t="s">
        <v>39</v>
      </c>
      <c r="G452" t="s">
        <v>40</v>
      </c>
      <c r="H452" t="s">
        <v>29</v>
      </c>
      <c r="I452" t="s">
        <v>30</v>
      </c>
      <c r="J452" t="s">
        <v>78</v>
      </c>
      <c r="K452" t="s">
        <v>42</v>
      </c>
      <c r="L452" t="s">
        <v>371</v>
      </c>
      <c r="M452" s="4">
        <v>2</v>
      </c>
      <c r="N452" s="4">
        <v>1</v>
      </c>
      <c r="O452" s="2">
        <v>0.5</v>
      </c>
      <c r="P452" s="3">
        <v>0.52</v>
      </c>
      <c r="Q452" s="3">
        <v>0.52</v>
      </c>
      <c r="R452" s="3">
        <v>0</v>
      </c>
      <c r="S452" s="2"/>
      <c r="T452" s="5">
        <v>0</v>
      </c>
      <c r="U452" s="4">
        <v>0</v>
      </c>
      <c r="V452" s="4">
        <v>0</v>
      </c>
      <c r="W452" s="2">
        <v>0</v>
      </c>
      <c r="X452" s="4">
        <v>0</v>
      </c>
      <c r="Y452" s="4">
        <v>0</v>
      </c>
      <c r="Z452" s="3">
        <v>0</v>
      </c>
      <c r="AA452" s="3">
        <v>0</v>
      </c>
    </row>
    <row r="453" spans="1:27" x14ac:dyDescent="0.2">
      <c r="A453">
        <f t="shared" si="14"/>
        <v>1</v>
      </c>
      <c r="B453">
        <f t="shared" si="15"/>
        <v>5</v>
      </c>
      <c r="C453" s="1">
        <v>46050</v>
      </c>
      <c r="D453" t="s">
        <v>25</v>
      </c>
      <c r="E453" t="s">
        <v>26</v>
      </c>
      <c r="F453" t="s">
        <v>49</v>
      </c>
      <c r="G453" t="s">
        <v>50</v>
      </c>
      <c r="H453" t="s">
        <v>29</v>
      </c>
      <c r="I453" t="s">
        <v>30</v>
      </c>
      <c r="J453" t="s">
        <v>51</v>
      </c>
      <c r="K453" t="s">
        <v>42</v>
      </c>
      <c r="L453" t="s">
        <v>372</v>
      </c>
      <c r="M453" s="4">
        <v>6</v>
      </c>
      <c r="N453" s="4">
        <v>1</v>
      </c>
      <c r="O453" s="2">
        <v>0.16666666666666663</v>
      </c>
      <c r="P453" s="3">
        <v>0.43</v>
      </c>
      <c r="Q453" s="3">
        <v>0.43</v>
      </c>
      <c r="R453" s="3">
        <v>0</v>
      </c>
      <c r="S453" s="2"/>
      <c r="T453" s="5">
        <v>0</v>
      </c>
      <c r="U453" s="4">
        <v>0</v>
      </c>
      <c r="V453" s="4">
        <v>0</v>
      </c>
      <c r="W453" s="2">
        <v>0</v>
      </c>
      <c r="X453" s="4">
        <v>0</v>
      </c>
      <c r="Y453" s="4">
        <v>0</v>
      </c>
      <c r="Z453" s="3">
        <v>0</v>
      </c>
      <c r="AA453" s="3">
        <v>0</v>
      </c>
    </row>
    <row r="454" spans="1:27" x14ac:dyDescent="0.2">
      <c r="A454">
        <f t="shared" si="14"/>
        <v>1</v>
      </c>
      <c r="B454">
        <f t="shared" si="15"/>
        <v>5</v>
      </c>
      <c r="C454" s="1">
        <v>46053</v>
      </c>
      <c r="D454" t="s">
        <v>25</v>
      </c>
      <c r="E454" t="s">
        <v>26</v>
      </c>
      <c r="F454" t="s">
        <v>39</v>
      </c>
      <c r="G454" t="s">
        <v>40</v>
      </c>
      <c r="H454" t="s">
        <v>29</v>
      </c>
      <c r="I454" t="s">
        <v>30</v>
      </c>
      <c r="J454" t="s">
        <v>41</v>
      </c>
      <c r="K454" t="s">
        <v>42</v>
      </c>
      <c r="L454" t="s">
        <v>373</v>
      </c>
      <c r="M454" s="4">
        <v>1</v>
      </c>
      <c r="N454" s="4">
        <v>1</v>
      </c>
      <c r="O454" s="2">
        <v>1</v>
      </c>
      <c r="P454" s="3">
        <v>0.49</v>
      </c>
      <c r="Q454" s="3">
        <v>0.49</v>
      </c>
      <c r="R454" s="3">
        <v>0</v>
      </c>
      <c r="S454" s="2"/>
      <c r="T454" s="5">
        <v>0</v>
      </c>
      <c r="U454" s="4">
        <v>0</v>
      </c>
      <c r="V454" s="4">
        <v>0</v>
      </c>
      <c r="W454" s="2">
        <v>0</v>
      </c>
      <c r="X454" s="4">
        <v>0</v>
      </c>
      <c r="Y454" s="4">
        <v>0</v>
      </c>
      <c r="Z454" s="3">
        <v>0</v>
      </c>
      <c r="AA454" s="3">
        <v>0</v>
      </c>
    </row>
    <row r="455" spans="1:27" x14ac:dyDescent="0.2">
      <c r="A455">
        <f t="shared" si="14"/>
        <v>1</v>
      </c>
      <c r="B455">
        <f t="shared" si="15"/>
        <v>5</v>
      </c>
      <c r="C455" s="1">
        <v>46048</v>
      </c>
      <c r="D455" t="s">
        <v>25</v>
      </c>
      <c r="E455" t="s">
        <v>26</v>
      </c>
      <c r="F455" t="s">
        <v>49</v>
      </c>
      <c r="G455" t="s">
        <v>50</v>
      </c>
      <c r="H455" t="s">
        <v>29</v>
      </c>
      <c r="I455" t="s">
        <v>30</v>
      </c>
      <c r="J455" t="s">
        <v>95</v>
      </c>
      <c r="K455" t="s">
        <v>42</v>
      </c>
      <c r="L455" t="s">
        <v>271</v>
      </c>
      <c r="M455" s="4">
        <v>1</v>
      </c>
      <c r="N455" s="4">
        <v>1</v>
      </c>
      <c r="O455" s="2">
        <v>1</v>
      </c>
      <c r="P455" s="3">
        <v>0.35</v>
      </c>
      <c r="Q455" s="3">
        <v>0.35</v>
      </c>
      <c r="R455" s="3">
        <v>17.09</v>
      </c>
      <c r="S455" s="2">
        <v>2.0479812755997657E-2</v>
      </c>
      <c r="T455" s="5">
        <v>48.828571428571429</v>
      </c>
      <c r="U455" s="4">
        <v>1</v>
      </c>
      <c r="V455" s="4">
        <v>1</v>
      </c>
      <c r="W455" s="2">
        <v>1</v>
      </c>
      <c r="X455" s="4">
        <v>1</v>
      </c>
      <c r="Y455" s="4">
        <v>0</v>
      </c>
      <c r="Z455" s="3">
        <v>17.09</v>
      </c>
      <c r="AA455" s="3">
        <v>0</v>
      </c>
    </row>
    <row r="456" spans="1:27" x14ac:dyDescent="0.2">
      <c r="A456">
        <f t="shared" si="14"/>
        <v>1</v>
      </c>
      <c r="B456">
        <f t="shared" si="15"/>
        <v>5</v>
      </c>
      <c r="C456" s="1">
        <v>46051</v>
      </c>
      <c r="D456" t="s">
        <v>25</v>
      </c>
      <c r="E456" t="s">
        <v>26</v>
      </c>
      <c r="F456" t="s">
        <v>49</v>
      </c>
      <c r="G456" t="s">
        <v>50</v>
      </c>
      <c r="H456" t="s">
        <v>29</v>
      </c>
      <c r="I456" t="s">
        <v>30</v>
      </c>
      <c r="J456" t="s">
        <v>47</v>
      </c>
      <c r="K456" t="s">
        <v>42</v>
      </c>
      <c r="L456" t="s">
        <v>374</v>
      </c>
      <c r="M456" s="4">
        <v>1</v>
      </c>
      <c r="N456" s="4">
        <v>1</v>
      </c>
      <c r="O456" s="2">
        <v>1</v>
      </c>
      <c r="P456" s="3">
        <v>0.55000000000000004</v>
      </c>
      <c r="Q456" s="3">
        <v>0.55000000000000004</v>
      </c>
      <c r="R456" s="3">
        <v>0</v>
      </c>
      <c r="S456" s="2"/>
      <c r="T456" s="5">
        <v>0</v>
      </c>
      <c r="U456" s="4">
        <v>0</v>
      </c>
      <c r="V456" s="4">
        <v>0</v>
      </c>
      <c r="W456" s="2">
        <v>0</v>
      </c>
      <c r="X456" s="4">
        <v>0</v>
      </c>
      <c r="Y456" s="4">
        <v>0</v>
      </c>
      <c r="Z456" s="3">
        <v>0</v>
      </c>
      <c r="AA456" s="3">
        <v>0</v>
      </c>
    </row>
    <row r="457" spans="1:27" x14ac:dyDescent="0.2">
      <c r="A457">
        <f t="shared" si="14"/>
        <v>1</v>
      </c>
      <c r="B457">
        <f t="shared" si="15"/>
        <v>5</v>
      </c>
      <c r="C457" s="1">
        <v>46051</v>
      </c>
      <c r="D457" t="s">
        <v>25</v>
      </c>
      <c r="E457" t="s">
        <v>26</v>
      </c>
      <c r="F457" t="s">
        <v>34</v>
      </c>
      <c r="G457" t="s">
        <v>28</v>
      </c>
      <c r="H457" t="s">
        <v>29</v>
      </c>
      <c r="I457" t="s">
        <v>30</v>
      </c>
      <c r="J457" t="s">
        <v>35</v>
      </c>
      <c r="K457" t="s">
        <v>32</v>
      </c>
      <c r="L457" t="s">
        <v>375</v>
      </c>
      <c r="M457" s="4">
        <v>1</v>
      </c>
      <c r="N457" s="4">
        <v>1</v>
      </c>
      <c r="O457" s="2">
        <v>1</v>
      </c>
      <c r="P457" s="3">
        <v>0.95</v>
      </c>
      <c r="Q457" s="3">
        <v>0.95</v>
      </c>
      <c r="R457" s="3">
        <v>0</v>
      </c>
      <c r="S457" s="2"/>
      <c r="T457" s="5">
        <v>0</v>
      </c>
      <c r="U457" s="4">
        <v>0</v>
      </c>
      <c r="V457" s="4">
        <v>0</v>
      </c>
      <c r="W457" s="2">
        <v>0</v>
      </c>
      <c r="X457" s="4">
        <v>0</v>
      </c>
      <c r="Y457" s="4">
        <v>0</v>
      </c>
      <c r="Z457" s="3">
        <v>0</v>
      </c>
      <c r="AA457" s="3">
        <v>0</v>
      </c>
    </row>
    <row r="458" spans="1:27" x14ac:dyDescent="0.2">
      <c r="A458">
        <f t="shared" si="14"/>
        <v>1</v>
      </c>
      <c r="B458">
        <f t="shared" si="15"/>
        <v>4</v>
      </c>
      <c r="C458" s="1">
        <v>46044</v>
      </c>
      <c r="D458" t="s">
        <v>25</v>
      </c>
      <c r="E458" t="s">
        <v>26</v>
      </c>
      <c r="F458" t="s">
        <v>49</v>
      </c>
      <c r="G458" t="s">
        <v>50</v>
      </c>
      <c r="H458" t="s">
        <v>29</v>
      </c>
      <c r="I458" t="s">
        <v>30</v>
      </c>
      <c r="J458" t="s">
        <v>47</v>
      </c>
      <c r="K458" t="s">
        <v>42</v>
      </c>
      <c r="L458" t="s">
        <v>31</v>
      </c>
      <c r="M458" s="4">
        <v>24</v>
      </c>
      <c r="N458" s="4">
        <v>1</v>
      </c>
      <c r="O458" s="2">
        <v>4.1666666666666657E-2</v>
      </c>
      <c r="P458" s="3">
        <v>0.68</v>
      </c>
      <c r="Q458" s="3">
        <v>0.68</v>
      </c>
      <c r="R458" s="3">
        <v>17.09</v>
      </c>
      <c r="S458" s="2">
        <v>3.9789350497366885E-2</v>
      </c>
      <c r="T458" s="5">
        <v>25.132352941176467</v>
      </c>
      <c r="U458" s="4">
        <v>1</v>
      </c>
      <c r="V458" s="4">
        <v>1</v>
      </c>
      <c r="W458" s="2">
        <v>1</v>
      </c>
      <c r="X458" s="4">
        <v>0</v>
      </c>
      <c r="Y458" s="4">
        <v>1</v>
      </c>
      <c r="Z458" s="3">
        <v>0</v>
      </c>
      <c r="AA458" s="3">
        <v>17.09</v>
      </c>
    </row>
    <row r="459" spans="1:27" x14ac:dyDescent="0.2">
      <c r="A459">
        <f t="shared" si="14"/>
        <v>1</v>
      </c>
      <c r="B459">
        <f t="shared" si="15"/>
        <v>5</v>
      </c>
      <c r="C459" s="1">
        <v>46049</v>
      </c>
      <c r="D459" t="s">
        <v>25</v>
      </c>
      <c r="E459" t="s">
        <v>26</v>
      </c>
      <c r="F459" t="s">
        <v>49</v>
      </c>
      <c r="G459" t="s">
        <v>50</v>
      </c>
      <c r="H459" t="s">
        <v>29</v>
      </c>
      <c r="I459" t="s">
        <v>30</v>
      </c>
      <c r="J459" t="s">
        <v>47</v>
      </c>
      <c r="K459" t="s">
        <v>42</v>
      </c>
      <c r="L459" t="s">
        <v>31</v>
      </c>
      <c r="M459" s="4">
        <v>37</v>
      </c>
      <c r="N459" s="4">
        <v>1</v>
      </c>
      <c r="O459" s="2">
        <v>2.7027027027027025E-2</v>
      </c>
      <c r="P459" s="3">
        <v>0.63</v>
      </c>
      <c r="Q459" s="3">
        <v>0.63</v>
      </c>
      <c r="R459" s="3">
        <v>0</v>
      </c>
      <c r="S459" s="2"/>
      <c r="T459" s="5">
        <v>0</v>
      </c>
      <c r="U459" s="4">
        <v>0</v>
      </c>
      <c r="V459" s="4">
        <v>0</v>
      </c>
      <c r="W459" s="2">
        <v>0</v>
      </c>
      <c r="X459" s="4">
        <v>0</v>
      </c>
      <c r="Y459" s="4">
        <v>0</v>
      </c>
      <c r="Z459" s="3">
        <v>0</v>
      </c>
      <c r="AA459" s="3">
        <v>0</v>
      </c>
    </row>
    <row r="460" spans="1:27" x14ac:dyDescent="0.2">
      <c r="A460">
        <f t="shared" si="14"/>
        <v>1</v>
      </c>
      <c r="B460">
        <f t="shared" si="15"/>
        <v>5</v>
      </c>
      <c r="C460" s="1">
        <v>46050</v>
      </c>
      <c r="D460" t="s">
        <v>25</v>
      </c>
      <c r="E460" t="s">
        <v>26</v>
      </c>
      <c r="F460" t="s">
        <v>49</v>
      </c>
      <c r="G460" t="s">
        <v>50</v>
      </c>
      <c r="H460" t="s">
        <v>29</v>
      </c>
      <c r="I460" t="s">
        <v>30</v>
      </c>
      <c r="J460" t="s">
        <v>47</v>
      </c>
      <c r="K460" t="s">
        <v>42</v>
      </c>
      <c r="L460" t="s">
        <v>31</v>
      </c>
      <c r="M460" s="4">
        <v>50</v>
      </c>
      <c r="N460" s="4">
        <v>1</v>
      </c>
      <c r="O460" s="2">
        <v>0.02</v>
      </c>
      <c r="P460" s="3">
        <v>0.57999999999999996</v>
      </c>
      <c r="Q460" s="3">
        <v>0.57999999999999996</v>
      </c>
      <c r="R460" s="3">
        <v>0</v>
      </c>
      <c r="S460" s="2"/>
      <c r="T460" s="5">
        <v>0</v>
      </c>
      <c r="U460" s="4">
        <v>0</v>
      </c>
      <c r="V460" s="4">
        <v>0</v>
      </c>
      <c r="W460" s="2">
        <v>0</v>
      </c>
      <c r="X460" s="4">
        <v>0</v>
      </c>
      <c r="Y460" s="4">
        <v>0</v>
      </c>
      <c r="Z460" s="3">
        <v>0</v>
      </c>
      <c r="AA460" s="3">
        <v>0</v>
      </c>
    </row>
    <row r="461" spans="1:27" x14ac:dyDescent="0.2">
      <c r="A461">
        <f t="shared" si="14"/>
        <v>1</v>
      </c>
      <c r="B461">
        <f t="shared" si="15"/>
        <v>5</v>
      </c>
      <c r="C461" s="1">
        <v>46052</v>
      </c>
      <c r="D461" t="s">
        <v>25</v>
      </c>
      <c r="E461" t="s">
        <v>26</v>
      </c>
      <c r="F461" t="s">
        <v>27</v>
      </c>
      <c r="G461" t="s">
        <v>124</v>
      </c>
      <c r="H461" t="s">
        <v>29</v>
      </c>
      <c r="I461" t="s">
        <v>30</v>
      </c>
      <c r="J461" t="s">
        <v>31</v>
      </c>
      <c r="K461" t="s">
        <v>87</v>
      </c>
      <c r="L461" t="s">
        <v>31</v>
      </c>
      <c r="M461" s="4">
        <v>18</v>
      </c>
      <c r="N461" s="4">
        <v>1</v>
      </c>
      <c r="O461" s="2">
        <v>5.5555555555555552E-2</v>
      </c>
      <c r="P461" s="3">
        <v>0.2</v>
      </c>
      <c r="Q461" s="3">
        <v>0.2</v>
      </c>
      <c r="R461" s="3">
        <v>0</v>
      </c>
      <c r="S461" s="2"/>
      <c r="T461" s="5">
        <v>0</v>
      </c>
      <c r="U461" s="4">
        <v>0</v>
      </c>
      <c r="V461" s="4">
        <v>0</v>
      </c>
      <c r="W461" s="2">
        <v>0</v>
      </c>
      <c r="X461" s="4">
        <v>0</v>
      </c>
      <c r="Y461" s="4">
        <v>0</v>
      </c>
      <c r="Z461" s="3">
        <v>0</v>
      </c>
      <c r="AA461" s="3">
        <v>0</v>
      </c>
    </row>
    <row r="462" spans="1:27" x14ac:dyDescent="0.2">
      <c r="A462">
        <f t="shared" si="14"/>
        <v>1</v>
      </c>
      <c r="B462">
        <f t="shared" si="15"/>
        <v>5</v>
      </c>
      <c r="C462" s="1">
        <v>46053</v>
      </c>
      <c r="D462" t="s">
        <v>25</v>
      </c>
      <c r="E462" t="s">
        <v>26</v>
      </c>
      <c r="F462" t="s">
        <v>27</v>
      </c>
      <c r="G462" t="s">
        <v>124</v>
      </c>
      <c r="H462" t="s">
        <v>29</v>
      </c>
      <c r="I462" t="s">
        <v>30</v>
      </c>
      <c r="J462" t="s">
        <v>31</v>
      </c>
      <c r="K462" t="s">
        <v>87</v>
      </c>
      <c r="L462" t="s">
        <v>31</v>
      </c>
      <c r="M462" s="4">
        <v>26</v>
      </c>
      <c r="N462" s="4">
        <v>1</v>
      </c>
      <c r="O462" s="2">
        <v>3.8461538461538464E-2</v>
      </c>
      <c r="P462" s="3">
        <v>0.2</v>
      </c>
      <c r="Q462" s="3">
        <v>0.2</v>
      </c>
      <c r="R462" s="3">
        <v>0</v>
      </c>
      <c r="S462" s="2"/>
      <c r="T462" s="5">
        <v>0</v>
      </c>
      <c r="U462" s="4">
        <v>0</v>
      </c>
      <c r="V462" s="4">
        <v>0</v>
      </c>
      <c r="W462" s="2">
        <v>0</v>
      </c>
      <c r="X462" s="4">
        <v>0</v>
      </c>
      <c r="Y462" s="4">
        <v>0</v>
      </c>
      <c r="Z462" s="3">
        <v>0</v>
      </c>
      <c r="AA462" s="3">
        <v>0</v>
      </c>
    </row>
    <row r="463" spans="1:27" x14ac:dyDescent="0.2">
      <c r="A463">
        <f t="shared" si="14"/>
        <v>1</v>
      </c>
      <c r="B463">
        <f t="shared" si="15"/>
        <v>5</v>
      </c>
      <c r="C463" s="1">
        <v>46047</v>
      </c>
      <c r="D463" t="s">
        <v>25</v>
      </c>
      <c r="E463" t="s">
        <v>26</v>
      </c>
      <c r="F463" t="s">
        <v>34</v>
      </c>
      <c r="G463" t="s">
        <v>28</v>
      </c>
      <c r="H463" t="s">
        <v>29</v>
      </c>
      <c r="I463" t="s">
        <v>30</v>
      </c>
      <c r="J463" t="s">
        <v>144</v>
      </c>
      <c r="K463" t="s">
        <v>32</v>
      </c>
      <c r="L463" t="s">
        <v>31</v>
      </c>
      <c r="M463" s="4">
        <v>23</v>
      </c>
      <c r="N463" s="4">
        <v>1</v>
      </c>
      <c r="O463" s="2">
        <v>4.3478260869565216E-2</v>
      </c>
      <c r="P463" s="3">
        <v>1.02</v>
      </c>
      <c r="Q463" s="3">
        <v>1.02</v>
      </c>
      <c r="R463" s="3">
        <v>0</v>
      </c>
      <c r="S463" s="2"/>
      <c r="T463" s="5">
        <v>0</v>
      </c>
      <c r="U463" s="4">
        <v>0</v>
      </c>
      <c r="V463" s="4">
        <v>0</v>
      </c>
      <c r="W463" s="2">
        <v>0</v>
      </c>
      <c r="X463" s="4">
        <v>0</v>
      </c>
      <c r="Y463" s="4">
        <v>0</v>
      </c>
      <c r="Z463" s="3">
        <v>0</v>
      </c>
      <c r="AA463" s="3">
        <v>0</v>
      </c>
    </row>
    <row r="464" spans="1:27" x14ac:dyDescent="0.2">
      <c r="A464">
        <f t="shared" si="14"/>
        <v>1</v>
      </c>
      <c r="B464">
        <f t="shared" si="15"/>
        <v>5</v>
      </c>
      <c r="C464" s="1">
        <v>46053</v>
      </c>
      <c r="D464" t="s">
        <v>25</v>
      </c>
      <c r="E464" t="s">
        <v>26</v>
      </c>
      <c r="F464" t="s">
        <v>34</v>
      </c>
      <c r="G464" t="s">
        <v>28</v>
      </c>
      <c r="H464" t="s">
        <v>29</v>
      </c>
      <c r="I464" t="s">
        <v>30</v>
      </c>
      <c r="J464" t="s">
        <v>239</v>
      </c>
      <c r="K464" t="s">
        <v>32</v>
      </c>
      <c r="L464" t="s">
        <v>31</v>
      </c>
      <c r="M464" s="4">
        <v>24</v>
      </c>
      <c r="N464" s="4">
        <v>1</v>
      </c>
      <c r="O464" s="2">
        <v>4.1666666666666657E-2</v>
      </c>
      <c r="P464" s="3">
        <v>1.1499999999999999</v>
      </c>
      <c r="Q464" s="3">
        <v>1.1499999999999999</v>
      </c>
      <c r="R464" s="3">
        <v>0</v>
      </c>
      <c r="S464" s="2"/>
      <c r="T464" s="5">
        <v>0</v>
      </c>
      <c r="U464" s="4">
        <v>0</v>
      </c>
      <c r="V464" s="4">
        <v>0</v>
      </c>
      <c r="W464" s="2">
        <v>0</v>
      </c>
      <c r="X464" s="4">
        <v>0</v>
      </c>
      <c r="Y464" s="4">
        <v>0</v>
      </c>
      <c r="Z464" s="3">
        <v>0</v>
      </c>
      <c r="AA464" s="3">
        <v>0</v>
      </c>
    </row>
    <row r="465" spans="1:27" x14ac:dyDescent="0.2">
      <c r="A465">
        <f t="shared" si="14"/>
        <v>1</v>
      </c>
      <c r="B465">
        <f t="shared" si="15"/>
        <v>4</v>
      </c>
      <c r="C465" s="1">
        <v>46044</v>
      </c>
      <c r="D465" t="s">
        <v>25</v>
      </c>
      <c r="E465" t="s">
        <v>26</v>
      </c>
      <c r="F465" t="s">
        <v>49</v>
      </c>
      <c r="G465" t="s">
        <v>50</v>
      </c>
      <c r="H465" t="s">
        <v>29</v>
      </c>
      <c r="I465" t="s">
        <v>30</v>
      </c>
      <c r="J465" t="s">
        <v>47</v>
      </c>
      <c r="K465" t="s">
        <v>42</v>
      </c>
      <c r="L465" t="s">
        <v>272</v>
      </c>
      <c r="M465" s="4">
        <v>9</v>
      </c>
      <c r="N465" s="4">
        <v>1</v>
      </c>
      <c r="O465" s="2">
        <v>0.1111111111111111</v>
      </c>
      <c r="P465" s="3">
        <v>0.68</v>
      </c>
      <c r="Q465" s="3">
        <v>0.68</v>
      </c>
      <c r="R465" s="3">
        <v>0</v>
      </c>
      <c r="S465" s="2"/>
      <c r="T465" s="5">
        <v>0</v>
      </c>
      <c r="U465" s="4">
        <v>0</v>
      </c>
      <c r="V465" s="4">
        <v>0</v>
      </c>
      <c r="W465" s="2">
        <v>0</v>
      </c>
      <c r="X465" s="4">
        <v>0</v>
      </c>
      <c r="Y465" s="4">
        <v>0</v>
      </c>
      <c r="Z465" s="3">
        <v>0</v>
      </c>
      <c r="AA465" s="3">
        <v>0</v>
      </c>
    </row>
    <row r="466" spans="1:27" x14ac:dyDescent="0.2">
      <c r="A466">
        <f t="shared" si="14"/>
        <v>1</v>
      </c>
      <c r="B466">
        <f t="shared" si="15"/>
        <v>5</v>
      </c>
      <c r="C466" s="1">
        <v>46047</v>
      </c>
      <c r="D466" t="s">
        <v>25</v>
      </c>
      <c r="E466" t="s">
        <v>26</v>
      </c>
      <c r="F466" t="s">
        <v>49</v>
      </c>
      <c r="G466" t="s">
        <v>50</v>
      </c>
      <c r="H466" t="s">
        <v>29</v>
      </c>
      <c r="I466" t="s">
        <v>30</v>
      </c>
      <c r="J466" t="s">
        <v>47</v>
      </c>
      <c r="K466" t="s">
        <v>42</v>
      </c>
      <c r="L466" t="s">
        <v>272</v>
      </c>
      <c r="M466" s="4">
        <v>52</v>
      </c>
      <c r="N466" s="4">
        <v>1</v>
      </c>
      <c r="O466" s="2">
        <v>1.9230769230769232E-2</v>
      </c>
      <c r="P466" s="3">
        <v>0.65</v>
      </c>
      <c r="Q466" s="3">
        <v>0.65</v>
      </c>
      <c r="R466" s="3">
        <v>0</v>
      </c>
      <c r="S466" s="2"/>
      <c r="T466" s="5">
        <v>0</v>
      </c>
      <c r="U466" s="4">
        <v>0</v>
      </c>
      <c r="V466" s="4">
        <v>0</v>
      </c>
      <c r="W466" s="2">
        <v>0</v>
      </c>
      <c r="X466" s="4">
        <v>0</v>
      </c>
      <c r="Y466" s="4">
        <v>0</v>
      </c>
      <c r="Z466" s="3">
        <v>0</v>
      </c>
      <c r="AA466" s="3">
        <v>0</v>
      </c>
    </row>
    <row r="467" spans="1:27" x14ac:dyDescent="0.2">
      <c r="A467">
        <f t="shared" si="14"/>
        <v>1</v>
      </c>
      <c r="B467">
        <f t="shared" si="15"/>
        <v>5</v>
      </c>
      <c r="C467" s="1">
        <v>46052</v>
      </c>
      <c r="D467" t="s">
        <v>25</v>
      </c>
      <c r="E467" t="s">
        <v>26</v>
      </c>
      <c r="F467" t="s">
        <v>49</v>
      </c>
      <c r="G467" t="s">
        <v>50</v>
      </c>
      <c r="H467" t="s">
        <v>29</v>
      </c>
      <c r="I467" t="s">
        <v>30</v>
      </c>
      <c r="J467" t="s">
        <v>47</v>
      </c>
      <c r="K467" t="s">
        <v>42</v>
      </c>
      <c r="L467" t="s">
        <v>272</v>
      </c>
      <c r="M467" s="4">
        <v>22</v>
      </c>
      <c r="N467" s="4">
        <v>1</v>
      </c>
      <c r="O467" s="2">
        <v>4.5454545454545463E-2</v>
      </c>
      <c r="P467" s="3">
        <v>0.54</v>
      </c>
      <c r="Q467" s="3">
        <v>0.54</v>
      </c>
      <c r="R467" s="3">
        <v>0</v>
      </c>
      <c r="S467" s="2"/>
      <c r="T467" s="5">
        <v>0</v>
      </c>
      <c r="U467" s="4">
        <v>0</v>
      </c>
      <c r="V467" s="4">
        <v>0</v>
      </c>
      <c r="W467" s="2">
        <v>0</v>
      </c>
      <c r="X467" s="4">
        <v>0</v>
      </c>
      <c r="Y467" s="4">
        <v>0</v>
      </c>
      <c r="Z467" s="3">
        <v>0</v>
      </c>
      <c r="AA467" s="3">
        <v>0</v>
      </c>
    </row>
    <row r="468" spans="1:27" x14ac:dyDescent="0.2">
      <c r="A468">
        <f t="shared" si="14"/>
        <v>1</v>
      </c>
      <c r="B468">
        <f t="shared" si="15"/>
        <v>4</v>
      </c>
      <c r="C468" s="1">
        <v>46046</v>
      </c>
      <c r="D468" t="s">
        <v>25</v>
      </c>
      <c r="E468" t="s">
        <v>26</v>
      </c>
      <c r="F468" t="s">
        <v>27</v>
      </c>
      <c r="G468" t="s">
        <v>124</v>
      </c>
      <c r="H468" t="s">
        <v>29</v>
      </c>
      <c r="I468" t="s">
        <v>30</v>
      </c>
      <c r="J468" t="s">
        <v>31</v>
      </c>
      <c r="K468" t="s">
        <v>87</v>
      </c>
      <c r="L468" t="s">
        <v>272</v>
      </c>
      <c r="M468" s="4">
        <v>9</v>
      </c>
      <c r="N468" s="4">
        <v>1</v>
      </c>
      <c r="O468" s="2">
        <v>0.1111111111111111</v>
      </c>
      <c r="P468" s="3">
        <v>0.2</v>
      </c>
      <c r="Q468" s="3">
        <v>0.2</v>
      </c>
      <c r="R468" s="3">
        <v>0</v>
      </c>
      <c r="S468" s="2"/>
      <c r="T468" s="5">
        <v>0</v>
      </c>
      <c r="U468" s="4">
        <v>0</v>
      </c>
      <c r="V468" s="4">
        <v>0</v>
      </c>
      <c r="W468" s="2">
        <v>0</v>
      </c>
      <c r="X468" s="4">
        <v>0</v>
      </c>
      <c r="Y468" s="4">
        <v>0</v>
      </c>
      <c r="Z468" s="3">
        <v>0</v>
      </c>
      <c r="AA468" s="3">
        <v>0</v>
      </c>
    </row>
    <row r="469" spans="1:27" x14ac:dyDescent="0.2">
      <c r="A469">
        <f t="shared" si="14"/>
        <v>1</v>
      </c>
      <c r="B469">
        <f t="shared" si="15"/>
        <v>4</v>
      </c>
      <c r="C469" s="1">
        <v>46045</v>
      </c>
      <c r="D469" t="s">
        <v>25</v>
      </c>
      <c r="E469" t="s">
        <v>26</v>
      </c>
      <c r="F469" t="s">
        <v>27</v>
      </c>
      <c r="G469" t="s">
        <v>28</v>
      </c>
      <c r="H469" t="s">
        <v>29</v>
      </c>
      <c r="I469" t="s">
        <v>30</v>
      </c>
      <c r="J469" t="s">
        <v>272</v>
      </c>
      <c r="K469" t="s">
        <v>32</v>
      </c>
      <c r="L469" t="s">
        <v>272</v>
      </c>
      <c r="M469" s="4">
        <v>10</v>
      </c>
      <c r="N469" s="4">
        <v>1</v>
      </c>
      <c r="O469" s="2">
        <v>0.1</v>
      </c>
      <c r="P469" s="3">
        <v>0.2</v>
      </c>
      <c r="Q469" s="3">
        <v>0.2</v>
      </c>
      <c r="R469" s="3">
        <v>0</v>
      </c>
      <c r="S469" s="2"/>
      <c r="T469" s="5">
        <v>0</v>
      </c>
      <c r="U469" s="4">
        <v>0</v>
      </c>
      <c r="V469" s="4">
        <v>0</v>
      </c>
      <c r="W469" s="2">
        <v>0</v>
      </c>
      <c r="X469" s="4">
        <v>0</v>
      </c>
      <c r="Y469" s="4">
        <v>0</v>
      </c>
      <c r="Z469" s="3">
        <v>0</v>
      </c>
      <c r="AA469" s="3">
        <v>0</v>
      </c>
    </row>
    <row r="470" spans="1:27" x14ac:dyDescent="0.2">
      <c r="A470">
        <f t="shared" si="14"/>
        <v>1</v>
      </c>
      <c r="B470">
        <f t="shared" si="15"/>
        <v>5</v>
      </c>
      <c r="C470" s="1">
        <v>46052</v>
      </c>
      <c r="D470" t="s">
        <v>25</v>
      </c>
      <c r="E470" t="s">
        <v>26</v>
      </c>
      <c r="F470" t="s">
        <v>34</v>
      </c>
      <c r="G470" t="s">
        <v>28</v>
      </c>
      <c r="H470" t="s">
        <v>29</v>
      </c>
      <c r="I470" t="s">
        <v>30</v>
      </c>
      <c r="J470" t="s">
        <v>144</v>
      </c>
      <c r="K470" t="s">
        <v>32</v>
      </c>
      <c r="L470" t="s">
        <v>272</v>
      </c>
      <c r="M470" s="4">
        <v>19</v>
      </c>
      <c r="N470" s="4">
        <v>1</v>
      </c>
      <c r="O470" s="2">
        <v>5.2631578947368418E-2</v>
      </c>
      <c r="P470" s="3">
        <v>1.05</v>
      </c>
      <c r="Q470" s="3">
        <v>1.05</v>
      </c>
      <c r="R470" s="3">
        <v>0</v>
      </c>
      <c r="S470" s="2"/>
      <c r="T470" s="5">
        <v>0</v>
      </c>
      <c r="U470" s="4">
        <v>0</v>
      </c>
      <c r="V470" s="4">
        <v>0</v>
      </c>
      <c r="W470" s="2">
        <v>0</v>
      </c>
      <c r="X470" s="4">
        <v>0</v>
      </c>
      <c r="Y470" s="4">
        <v>0</v>
      </c>
      <c r="Z470" s="3">
        <v>0</v>
      </c>
      <c r="AA470" s="3">
        <v>0</v>
      </c>
    </row>
    <row r="471" spans="1:27" x14ac:dyDescent="0.2">
      <c r="A471">
        <f t="shared" si="14"/>
        <v>1</v>
      </c>
      <c r="B471">
        <f t="shared" si="15"/>
        <v>5</v>
      </c>
      <c r="C471" s="1">
        <v>46048</v>
      </c>
      <c r="D471" t="s">
        <v>25</v>
      </c>
      <c r="E471" t="s">
        <v>26</v>
      </c>
      <c r="F471" t="s">
        <v>49</v>
      </c>
      <c r="G471" t="s">
        <v>50</v>
      </c>
      <c r="H471" t="s">
        <v>29</v>
      </c>
      <c r="I471" t="s">
        <v>30</v>
      </c>
      <c r="J471" t="s">
        <v>47</v>
      </c>
      <c r="K471" t="s">
        <v>42</v>
      </c>
      <c r="L471" t="s">
        <v>376</v>
      </c>
      <c r="M471" s="4">
        <v>2</v>
      </c>
      <c r="N471" s="4">
        <v>1</v>
      </c>
      <c r="O471" s="2">
        <v>0.5</v>
      </c>
      <c r="P471" s="3">
        <v>0.49</v>
      </c>
      <c r="Q471" s="3">
        <v>0.49</v>
      </c>
      <c r="R471" s="3">
        <v>34.18</v>
      </c>
      <c r="S471" s="2">
        <v>1.4335868929198362E-2</v>
      </c>
      <c r="T471" s="5">
        <v>69.755102040816325</v>
      </c>
      <c r="U471" s="4">
        <v>1</v>
      </c>
      <c r="V471" s="4">
        <v>2</v>
      </c>
      <c r="W471" s="2">
        <v>1</v>
      </c>
      <c r="X471" s="4">
        <v>0</v>
      </c>
      <c r="Y471" s="4">
        <v>2</v>
      </c>
      <c r="Z471" s="3">
        <v>0</v>
      </c>
      <c r="AA471" s="3">
        <v>34.18</v>
      </c>
    </row>
    <row r="472" spans="1:27" x14ac:dyDescent="0.2">
      <c r="A472">
        <f t="shared" si="14"/>
        <v>1</v>
      </c>
      <c r="B472">
        <f t="shared" si="15"/>
        <v>5</v>
      </c>
      <c r="C472" s="1">
        <v>46051</v>
      </c>
      <c r="D472" t="s">
        <v>25</v>
      </c>
      <c r="E472" t="s">
        <v>26</v>
      </c>
      <c r="F472" t="s">
        <v>49</v>
      </c>
      <c r="G472" t="s">
        <v>50</v>
      </c>
      <c r="H472" t="s">
        <v>29</v>
      </c>
      <c r="I472" t="s">
        <v>30</v>
      </c>
      <c r="J472" t="s">
        <v>51</v>
      </c>
      <c r="K472" t="s">
        <v>42</v>
      </c>
      <c r="L472" t="s">
        <v>377</v>
      </c>
      <c r="M472" s="4">
        <v>1</v>
      </c>
      <c r="N472" s="4">
        <v>1</v>
      </c>
      <c r="O472" s="2">
        <v>1</v>
      </c>
      <c r="P472" s="3">
        <v>0.42</v>
      </c>
      <c r="Q472" s="3">
        <v>0.42</v>
      </c>
      <c r="R472" s="3">
        <v>0</v>
      </c>
      <c r="S472" s="2"/>
      <c r="T472" s="5">
        <v>0</v>
      </c>
      <c r="U472" s="4">
        <v>0</v>
      </c>
      <c r="V472" s="4">
        <v>0</v>
      </c>
      <c r="W472" s="2">
        <v>0</v>
      </c>
      <c r="X472" s="4">
        <v>0</v>
      </c>
      <c r="Y472" s="4">
        <v>0</v>
      </c>
      <c r="Z472" s="3">
        <v>0</v>
      </c>
      <c r="AA472" s="3">
        <v>0</v>
      </c>
    </row>
    <row r="473" spans="1:27" x14ac:dyDescent="0.2">
      <c r="A473">
        <f t="shared" si="14"/>
        <v>1</v>
      </c>
      <c r="B473">
        <f t="shared" si="15"/>
        <v>5</v>
      </c>
      <c r="C473" s="1">
        <v>46049</v>
      </c>
      <c r="D473" t="s">
        <v>25</v>
      </c>
      <c r="E473" t="s">
        <v>26</v>
      </c>
      <c r="F473" t="s">
        <v>27</v>
      </c>
      <c r="G473" t="s">
        <v>28</v>
      </c>
      <c r="H473" t="s">
        <v>29</v>
      </c>
      <c r="I473" t="s">
        <v>30</v>
      </c>
      <c r="J473" t="s">
        <v>253</v>
      </c>
      <c r="K473" t="s">
        <v>32</v>
      </c>
      <c r="L473" t="s">
        <v>378</v>
      </c>
      <c r="M473" s="4">
        <v>1</v>
      </c>
      <c r="N473" s="4">
        <v>1</v>
      </c>
      <c r="O473" s="2">
        <v>1</v>
      </c>
      <c r="P473" s="3">
        <v>0.21</v>
      </c>
      <c r="Q473" s="3">
        <v>0.21</v>
      </c>
      <c r="R473" s="3">
        <v>0</v>
      </c>
      <c r="S473" s="2"/>
      <c r="T473" s="5">
        <v>0</v>
      </c>
      <c r="U473" s="4">
        <v>0</v>
      </c>
      <c r="V473" s="4">
        <v>0</v>
      </c>
      <c r="W473" s="2">
        <v>0</v>
      </c>
      <c r="X473" s="4">
        <v>0</v>
      </c>
      <c r="Y473" s="4">
        <v>0</v>
      </c>
      <c r="Z473" s="3">
        <v>0</v>
      </c>
      <c r="AA473" s="3">
        <v>0</v>
      </c>
    </row>
    <row r="474" spans="1:27" x14ac:dyDescent="0.2">
      <c r="A474">
        <f t="shared" si="14"/>
        <v>1</v>
      </c>
      <c r="B474">
        <f t="shared" si="15"/>
        <v>4</v>
      </c>
      <c r="C474" s="1">
        <v>46046</v>
      </c>
      <c r="D474" t="s">
        <v>25</v>
      </c>
      <c r="E474" t="s">
        <v>26</v>
      </c>
      <c r="F474" t="s">
        <v>49</v>
      </c>
      <c r="G474" t="s">
        <v>50</v>
      </c>
      <c r="H474" t="s">
        <v>29</v>
      </c>
      <c r="I474" t="s">
        <v>30</v>
      </c>
      <c r="J474" t="s">
        <v>95</v>
      </c>
      <c r="K474" t="s">
        <v>42</v>
      </c>
      <c r="L474" t="s">
        <v>379</v>
      </c>
      <c r="M474" s="4">
        <v>1</v>
      </c>
      <c r="N474" s="4">
        <v>1</v>
      </c>
      <c r="O474" s="2">
        <v>1</v>
      </c>
      <c r="P474" s="3">
        <v>0.53</v>
      </c>
      <c r="Q474" s="3">
        <v>0.53</v>
      </c>
      <c r="R474" s="3">
        <v>0</v>
      </c>
      <c r="S474" s="2"/>
      <c r="T474" s="5">
        <v>0</v>
      </c>
      <c r="U474" s="4">
        <v>0</v>
      </c>
      <c r="V474" s="4">
        <v>0</v>
      </c>
      <c r="W474" s="2">
        <v>0</v>
      </c>
      <c r="X474" s="4">
        <v>0</v>
      </c>
      <c r="Y474" s="4">
        <v>0</v>
      </c>
      <c r="Z474" s="3">
        <v>0</v>
      </c>
      <c r="AA474" s="3">
        <v>0</v>
      </c>
    </row>
    <row r="475" spans="1:27" x14ac:dyDescent="0.2">
      <c r="A475">
        <f t="shared" si="14"/>
        <v>1</v>
      </c>
      <c r="B475">
        <f t="shared" si="15"/>
        <v>5</v>
      </c>
      <c r="C475" s="1">
        <v>46048</v>
      </c>
      <c r="D475" t="s">
        <v>25</v>
      </c>
      <c r="E475" t="s">
        <v>26</v>
      </c>
      <c r="F475" t="s">
        <v>27</v>
      </c>
      <c r="G475" t="s">
        <v>28</v>
      </c>
      <c r="H475" t="s">
        <v>29</v>
      </c>
      <c r="I475" t="s">
        <v>30</v>
      </c>
      <c r="J475" t="s">
        <v>31</v>
      </c>
      <c r="K475" t="s">
        <v>32</v>
      </c>
      <c r="L475" t="s">
        <v>380</v>
      </c>
      <c r="M475" s="4">
        <v>1</v>
      </c>
      <c r="N475" s="4">
        <v>1</v>
      </c>
      <c r="O475" s="2">
        <v>1</v>
      </c>
      <c r="P475" s="3">
        <v>0.21</v>
      </c>
      <c r="Q475" s="3">
        <v>0.21</v>
      </c>
      <c r="R475" s="3">
        <v>0</v>
      </c>
      <c r="S475" s="2"/>
      <c r="T475" s="5">
        <v>0</v>
      </c>
      <c r="U475" s="4">
        <v>0</v>
      </c>
      <c r="V475" s="4">
        <v>0</v>
      </c>
      <c r="W475" s="2">
        <v>0</v>
      </c>
      <c r="X475" s="4">
        <v>0</v>
      </c>
      <c r="Y475" s="4">
        <v>0</v>
      </c>
      <c r="Z475" s="3">
        <v>0</v>
      </c>
      <c r="AA475" s="3">
        <v>0</v>
      </c>
    </row>
    <row r="476" spans="1:27" x14ac:dyDescent="0.2">
      <c r="A476">
        <f t="shared" si="14"/>
        <v>1</v>
      </c>
      <c r="B476">
        <f t="shared" si="15"/>
        <v>5</v>
      </c>
      <c r="C476" s="1">
        <v>46049</v>
      </c>
      <c r="D476" t="s">
        <v>25</v>
      </c>
      <c r="E476" t="s">
        <v>26</v>
      </c>
      <c r="F476" t="s">
        <v>34</v>
      </c>
      <c r="G476" t="s">
        <v>28</v>
      </c>
      <c r="H476" t="s">
        <v>29</v>
      </c>
      <c r="I476" t="s">
        <v>30</v>
      </c>
      <c r="J476" t="s">
        <v>50</v>
      </c>
      <c r="K476" t="s">
        <v>32</v>
      </c>
      <c r="L476" t="s">
        <v>101</v>
      </c>
      <c r="M476" s="4">
        <v>3</v>
      </c>
      <c r="N476" s="4">
        <v>1</v>
      </c>
      <c r="O476" s="2">
        <v>0.33333333333333331</v>
      </c>
      <c r="P476" s="3">
        <v>0.85</v>
      </c>
      <c r="Q476" s="3">
        <v>0.85</v>
      </c>
      <c r="R476" s="3">
        <v>0</v>
      </c>
      <c r="S476" s="2"/>
      <c r="T476" s="5">
        <v>0</v>
      </c>
      <c r="U476" s="4">
        <v>0</v>
      </c>
      <c r="V476" s="4">
        <v>0</v>
      </c>
      <c r="W476" s="2">
        <v>0</v>
      </c>
      <c r="X476" s="4">
        <v>0</v>
      </c>
      <c r="Y476" s="4">
        <v>0</v>
      </c>
      <c r="Z476" s="3">
        <v>0</v>
      </c>
      <c r="AA476" s="3">
        <v>0</v>
      </c>
    </row>
    <row r="477" spans="1:27" x14ac:dyDescent="0.2">
      <c r="A477">
        <f t="shared" si="14"/>
        <v>1</v>
      </c>
      <c r="B477">
        <f t="shared" si="15"/>
        <v>4</v>
      </c>
      <c r="C477" s="1">
        <v>46045</v>
      </c>
      <c r="D477" t="s">
        <v>25</v>
      </c>
      <c r="E477" t="s">
        <v>26</v>
      </c>
      <c r="F477" t="s">
        <v>27</v>
      </c>
      <c r="G477" t="s">
        <v>28</v>
      </c>
      <c r="H477" t="s">
        <v>29</v>
      </c>
      <c r="I477" t="s">
        <v>30</v>
      </c>
      <c r="J477" t="s">
        <v>50</v>
      </c>
      <c r="K477" t="s">
        <v>32</v>
      </c>
      <c r="L477" t="s">
        <v>101</v>
      </c>
      <c r="M477" s="4">
        <v>6</v>
      </c>
      <c r="N477" s="4">
        <v>1</v>
      </c>
      <c r="O477" s="2">
        <v>0.16666666666666663</v>
      </c>
      <c r="P477" s="3">
        <v>0.21</v>
      </c>
      <c r="Q477" s="3">
        <v>0.21</v>
      </c>
      <c r="R477" s="3">
        <v>34.18</v>
      </c>
      <c r="S477" s="2">
        <v>6.1439438267992972E-3</v>
      </c>
      <c r="T477" s="5">
        <v>162.76190476190476</v>
      </c>
      <c r="U477" s="4">
        <v>1</v>
      </c>
      <c r="V477" s="4">
        <v>2</v>
      </c>
      <c r="W477" s="2">
        <v>1</v>
      </c>
      <c r="X477" s="4">
        <v>2</v>
      </c>
      <c r="Y477" s="4">
        <v>0</v>
      </c>
      <c r="Z477" s="3">
        <v>34.18</v>
      </c>
      <c r="AA477" s="3">
        <v>0</v>
      </c>
    </row>
    <row r="478" spans="1:27" x14ac:dyDescent="0.2">
      <c r="A478">
        <f t="shared" si="14"/>
        <v>1</v>
      </c>
      <c r="B478">
        <f t="shared" si="15"/>
        <v>5</v>
      </c>
      <c r="C478" s="1">
        <v>46051</v>
      </c>
      <c r="D478" t="s">
        <v>25</v>
      </c>
      <c r="E478" t="s">
        <v>26</v>
      </c>
      <c r="F478" t="s">
        <v>39</v>
      </c>
      <c r="G478" t="s">
        <v>40</v>
      </c>
      <c r="H478" t="s">
        <v>29</v>
      </c>
      <c r="I478" t="s">
        <v>30</v>
      </c>
      <c r="J478" t="s">
        <v>78</v>
      </c>
      <c r="K478" t="s">
        <v>42</v>
      </c>
      <c r="L478" t="s">
        <v>99</v>
      </c>
      <c r="M478" s="4">
        <v>5</v>
      </c>
      <c r="N478" s="4">
        <v>1</v>
      </c>
      <c r="O478" s="2">
        <v>0.2</v>
      </c>
      <c r="P478" s="3">
        <v>0.52</v>
      </c>
      <c r="Q478" s="3">
        <v>0.52</v>
      </c>
      <c r="R478" s="3">
        <v>0</v>
      </c>
      <c r="S478" s="2"/>
      <c r="T478" s="5">
        <v>0</v>
      </c>
      <c r="U478" s="4">
        <v>0</v>
      </c>
      <c r="V478" s="4">
        <v>0</v>
      </c>
      <c r="W478" s="2">
        <v>0</v>
      </c>
      <c r="X478" s="4">
        <v>0</v>
      </c>
      <c r="Y478" s="4">
        <v>0</v>
      </c>
      <c r="Z478" s="3">
        <v>0</v>
      </c>
      <c r="AA478" s="3">
        <v>0</v>
      </c>
    </row>
    <row r="479" spans="1:27" x14ac:dyDescent="0.2">
      <c r="A479">
        <f t="shared" si="14"/>
        <v>1</v>
      </c>
      <c r="B479">
        <f t="shared" si="15"/>
        <v>5</v>
      </c>
      <c r="C479" s="1">
        <v>46047</v>
      </c>
      <c r="D479" t="s">
        <v>25</v>
      </c>
      <c r="E479" t="s">
        <v>26</v>
      </c>
      <c r="F479" t="s">
        <v>34</v>
      </c>
      <c r="G479" t="s">
        <v>28</v>
      </c>
      <c r="H479" t="s">
        <v>29</v>
      </c>
      <c r="I479" t="s">
        <v>30</v>
      </c>
      <c r="J479" t="s">
        <v>99</v>
      </c>
      <c r="K479" t="s">
        <v>32</v>
      </c>
      <c r="L479" t="s">
        <v>99</v>
      </c>
      <c r="M479" s="4">
        <v>3</v>
      </c>
      <c r="N479" s="4">
        <v>1</v>
      </c>
      <c r="O479" s="2">
        <v>0.33333333333333331</v>
      </c>
      <c r="P479" s="3">
        <v>1.55</v>
      </c>
      <c r="Q479" s="3">
        <v>1.55</v>
      </c>
      <c r="R479" s="3">
        <v>0</v>
      </c>
      <c r="S479" s="2"/>
      <c r="T479" s="5">
        <v>0</v>
      </c>
      <c r="U479" s="4">
        <v>0</v>
      </c>
      <c r="V479" s="4">
        <v>0</v>
      </c>
      <c r="W479" s="2">
        <v>0</v>
      </c>
      <c r="X479" s="4">
        <v>0</v>
      </c>
      <c r="Y479" s="4">
        <v>0</v>
      </c>
      <c r="Z479" s="3">
        <v>0</v>
      </c>
      <c r="AA479" s="3">
        <v>0</v>
      </c>
    </row>
    <row r="480" spans="1:27" x14ac:dyDescent="0.2">
      <c r="A480">
        <f t="shared" si="14"/>
        <v>1</v>
      </c>
      <c r="B480">
        <f t="shared" si="15"/>
        <v>5</v>
      </c>
      <c r="C480" s="1">
        <v>46052</v>
      </c>
      <c r="D480" t="s">
        <v>25</v>
      </c>
      <c r="E480" t="s">
        <v>26</v>
      </c>
      <c r="F480" t="s">
        <v>34</v>
      </c>
      <c r="G480" t="s">
        <v>28</v>
      </c>
      <c r="H480" t="s">
        <v>29</v>
      </c>
      <c r="I480" t="s">
        <v>30</v>
      </c>
      <c r="J480" t="s">
        <v>99</v>
      </c>
      <c r="K480" t="s">
        <v>32</v>
      </c>
      <c r="L480" t="s">
        <v>99</v>
      </c>
      <c r="M480" s="4">
        <v>23</v>
      </c>
      <c r="N480" s="4">
        <v>1</v>
      </c>
      <c r="O480" s="2">
        <v>4.3478260869565216E-2</v>
      </c>
      <c r="P480" s="3">
        <v>1.25</v>
      </c>
      <c r="Q480" s="3">
        <v>1.25</v>
      </c>
      <c r="R480" s="3">
        <v>0</v>
      </c>
      <c r="S480" s="2"/>
      <c r="T480" s="5">
        <v>0</v>
      </c>
      <c r="U480" s="4">
        <v>0</v>
      </c>
      <c r="V480" s="4">
        <v>0</v>
      </c>
      <c r="W480" s="2">
        <v>0</v>
      </c>
      <c r="X480" s="4">
        <v>0</v>
      </c>
      <c r="Y480" s="4">
        <v>0</v>
      </c>
      <c r="Z480" s="3">
        <v>0</v>
      </c>
      <c r="AA480" s="3">
        <v>0</v>
      </c>
    </row>
    <row r="481" spans="1:27" x14ac:dyDescent="0.2">
      <c r="A481">
        <f t="shared" si="14"/>
        <v>1</v>
      </c>
      <c r="B481">
        <f t="shared" si="15"/>
        <v>4</v>
      </c>
      <c r="C481" s="1">
        <v>46045</v>
      </c>
      <c r="D481" t="s">
        <v>25</v>
      </c>
      <c r="E481" t="s">
        <v>26</v>
      </c>
      <c r="F481" t="s">
        <v>34</v>
      </c>
      <c r="G481" t="s">
        <v>273</v>
      </c>
      <c r="H481" t="s">
        <v>29</v>
      </c>
      <c r="I481" t="s">
        <v>30</v>
      </c>
      <c r="J481" t="s">
        <v>99</v>
      </c>
      <c r="K481" t="s">
        <v>267</v>
      </c>
      <c r="L481" t="s">
        <v>99</v>
      </c>
      <c r="M481" s="4">
        <v>30</v>
      </c>
      <c r="N481" s="4">
        <v>1</v>
      </c>
      <c r="O481" s="2">
        <v>3.3333333333333333E-2</v>
      </c>
      <c r="P481" s="3">
        <v>1.06</v>
      </c>
      <c r="Q481" s="3">
        <v>1.06</v>
      </c>
      <c r="R481" s="3">
        <v>0</v>
      </c>
      <c r="S481" s="2"/>
      <c r="T481" s="5">
        <v>0</v>
      </c>
      <c r="U481" s="4">
        <v>0</v>
      </c>
      <c r="V481" s="4">
        <v>0</v>
      </c>
      <c r="W481" s="2">
        <v>0</v>
      </c>
      <c r="X481" s="4">
        <v>0</v>
      </c>
      <c r="Y481" s="4">
        <v>0</v>
      </c>
      <c r="Z481" s="3">
        <v>0</v>
      </c>
      <c r="AA481" s="3">
        <v>0</v>
      </c>
    </row>
    <row r="482" spans="1:27" x14ac:dyDescent="0.2">
      <c r="A482">
        <f t="shared" si="14"/>
        <v>1</v>
      </c>
      <c r="B482">
        <f t="shared" si="15"/>
        <v>4</v>
      </c>
      <c r="C482" s="1">
        <v>46044</v>
      </c>
      <c r="D482" t="s">
        <v>25</v>
      </c>
      <c r="E482" t="s">
        <v>26</v>
      </c>
      <c r="F482" t="s">
        <v>27</v>
      </c>
      <c r="G482" t="s">
        <v>28</v>
      </c>
      <c r="H482" t="s">
        <v>29</v>
      </c>
      <c r="I482" t="s">
        <v>30</v>
      </c>
      <c r="J482" t="s">
        <v>101</v>
      </c>
      <c r="K482" t="s">
        <v>32</v>
      </c>
      <c r="L482" t="s">
        <v>381</v>
      </c>
      <c r="M482" s="4">
        <v>2</v>
      </c>
      <c r="N482" s="4">
        <v>1</v>
      </c>
      <c r="O482" s="2">
        <v>0.5</v>
      </c>
      <c r="P482" s="3">
        <v>0.21</v>
      </c>
      <c r="Q482" s="3">
        <v>0.21</v>
      </c>
      <c r="R482" s="3">
        <v>0</v>
      </c>
      <c r="S482" s="2"/>
      <c r="T482" s="5">
        <v>0</v>
      </c>
      <c r="U482" s="4">
        <v>0</v>
      </c>
      <c r="V482" s="4">
        <v>0</v>
      </c>
      <c r="W482" s="2">
        <v>0</v>
      </c>
      <c r="X482" s="4">
        <v>0</v>
      </c>
      <c r="Y482" s="4">
        <v>0</v>
      </c>
      <c r="Z482" s="3">
        <v>0</v>
      </c>
      <c r="AA482" s="3">
        <v>0</v>
      </c>
    </row>
    <row r="483" spans="1:27" x14ac:dyDescent="0.2">
      <c r="A483">
        <f t="shared" si="14"/>
        <v>1</v>
      </c>
      <c r="B483">
        <f t="shared" si="15"/>
        <v>5</v>
      </c>
      <c r="C483" s="1">
        <v>46053</v>
      </c>
      <c r="D483" t="s">
        <v>25</v>
      </c>
      <c r="E483" t="s">
        <v>26</v>
      </c>
      <c r="F483" t="s">
        <v>49</v>
      </c>
      <c r="G483" t="s">
        <v>50</v>
      </c>
      <c r="H483" t="s">
        <v>29</v>
      </c>
      <c r="I483" t="s">
        <v>30</v>
      </c>
      <c r="J483" t="s">
        <v>47</v>
      </c>
      <c r="K483" t="s">
        <v>42</v>
      </c>
      <c r="L483" t="s">
        <v>50</v>
      </c>
      <c r="M483" s="4">
        <v>4</v>
      </c>
      <c r="N483" s="4">
        <v>1</v>
      </c>
      <c r="O483" s="2">
        <v>0.25</v>
      </c>
      <c r="P483" s="3">
        <v>0.54</v>
      </c>
      <c r="Q483" s="3">
        <v>0.54</v>
      </c>
      <c r="R483" s="3">
        <v>0</v>
      </c>
      <c r="S483" s="2"/>
      <c r="T483" s="5">
        <v>0</v>
      </c>
      <c r="U483" s="4">
        <v>0</v>
      </c>
      <c r="V483" s="4">
        <v>0</v>
      </c>
      <c r="W483" s="2">
        <v>0</v>
      </c>
      <c r="X483" s="4">
        <v>0</v>
      </c>
      <c r="Y483" s="4">
        <v>0</v>
      </c>
      <c r="Z483" s="3">
        <v>0</v>
      </c>
      <c r="AA483" s="3">
        <v>0</v>
      </c>
    </row>
    <row r="484" spans="1:27" x14ac:dyDescent="0.2">
      <c r="A484">
        <f t="shared" si="14"/>
        <v>1</v>
      </c>
      <c r="B484">
        <f t="shared" si="15"/>
        <v>4</v>
      </c>
      <c r="C484" s="1">
        <v>46046</v>
      </c>
      <c r="D484" t="s">
        <v>25</v>
      </c>
      <c r="E484" t="s">
        <v>26</v>
      </c>
      <c r="F484" t="s">
        <v>34</v>
      </c>
      <c r="G484" t="s">
        <v>28</v>
      </c>
      <c r="H484" t="s">
        <v>29</v>
      </c>
      <c r="I484" t="s">
        <v>30</v>
      </c>
      <c r="J484" t="s">
        <v>50</v>
      </c>
      <c r="K484" t="s">
        <v>32</v>
      </c>
      <c r="L484" t="s">
        <v>50</v>
      </c>
      <c r="M484" s="4">
        <v>3</v>
      </c>
      <c r="N484" s="4">
        <v>1</v>
      </c>
      <c r="O484" s="2">
        <v>0.33333333333333331</v>
      </c>
      <c r="P484" s="3">
        <v>0.8</v>
      </c>
      <c r="Q484" s="3">
        <v>0.8</v>
      </c>
      <c r="R484" s="3">
        <v>0</v>
      </c>
      <c r="S484" s="2"/>
      <c r="T484" s="5">
        <v>0</v>
      </c>
      <c r="U484" s="4">
        <v>0</v>
      </c>
      <c r="V484" s="4">
        <v>0</v>
      </c>
      <c r="W484" s="2">
        <v>0</v>
      </c>
      <c r="X484" s="4">
        <v>0</v>
      </c>
      <c r="Y484" s="4">
        <v>0</v>
      </c>
      <c r="Z484" s="3">
        <v>0</v>
      </c>
      <c r="AA484" s="3">
        <v>0</v>
      </c>
    </row>
    <row r="485" spans="1:27" x14ac:dyDescent="0.2">
      <c r="A485">
        <f t="shared" si="14"/>
        <v>1</v>
      </c>
      <c r="B485">
        <f t="shared" si="15"/>
        <v>5</v>
      </c>
      <c r="C485" s="1">
        <v>46050</v>
      </c>
      <c r="D485" t="s">
        <v>25</v>
      </c>
      <c r="E485" t="s">
        <v>26</v>
      </c>
      <c r="F485" t="s">
        <v>34</v>
      </c>
      <c r="G485" t="s">
        <v>28</v>
      </c>
      <c r="H485" t="s">
        <v>29</v>
      </c>
      <c r="I485" t="s">
        <v>30</v>
      </c>
      <c r="J485" t="s">
        <v>50</v>
      </c>
      <c r="K485" t="s">
        <v>32</v>
      </c>
      <c r="L485" t="s">
        <v>50</v>
      </c>
      <c r="M485" s="4">
        <v>19</v>
      </c>
      <c r="N485" s="4">
        <v>2</v>
      </c>
      <c r="O485" s="2">
        <v>0.10526315789473684</v>
      </c>
      <c r="P485" s="3">
        <v>0.7</v>
      </c>
      <c r="Q485" s="3">
        <v>1.4</v>
      </c>
      <c r="R485" s="3">
        <v>0</v>
      </c>
      <c r="S485" s="2"/>
      <c r="T485" s="5">
        <v>0</v>
      </c>
      <c r="U485" s="4">
        <v>0</v>
      </c>
      <c r="V485" s="4">
        <v>0</v>
      </c>
      <c r="W485" s="2">
        <v>0</v>
      </c>
      <c r="X485" s="4">
        <v>0</v>
      </c>
      <c r="Y485" s="4">
        <v>0</v>
      </c>
      <c r="Z485" s="3">
        <v>0</v>
      </c>
      <c r="AA485" s="3">
        <v>0</v>
      </c>
    </row>
    <row r="486" spans="1:27" x14ac:dyDescent="0.2">
      <c r="A486">
        <f t="shared" si="14"/>
        <v>1</v>
      </c>
      <c r="B486">
        <f t="shared" si="15"/>
        <v>5</v>
      </c>
      <c r="C486" s="1">
        <v>46048</v>
      </c>
      <c r="D486" t="s">
        <v>25</v>
      </c>
      <c r="E486" t="s">
        <v>26</v>
      </c>
      <c r="F486" t="s">
        <v>39</v>
      </c>
      <c r="G486" t="s">
        <v>40</v>
      </c>
      <c r="H486" t="s">
        <v>29</v>
      </c>
      <c r="I486" t="s">
        <v>30</v>
      </c>
      <c r="J486" t="s">
        <v>78</v>
      </c>
      <c r="K486" t="s">
        <v>42</v>
      </c>
      <c r="L486" t="s">
        <v>50</v>
      </c>
      <c r="M486" s="4">
        <v>8</v>
      </c>
      <c r="N486" s="4">
        <v>1</v>
      </c>
      <c r="O486" s="2">
        <v>0.125</v>
      </c>
      <c r="P486" s="3">
        <v>0.5</v>
      </c>
      <c r="Q486" s="3">
        <v>0.5</v>
      </c>
      <c r="R486" s="3">
        <v>0</v>
      </c>
      <c r="S486" s="2"/>
      <c r="T486" s="5">
        <v>0</v>
      </c>
      <c r="U486" s="4">
        <v>0</v>
      </c>
      <c r="V486" s="4">
        <v>0</v>
      </c>
      <c r="W486" s="2">
        <v>0</v>
      </c>
      <c r="X486" s="4">
        <v>0</v>
      </c>
      <c r="Y486" s="4">
        <v>0</v>
      </c>
      <c r="Z486" s="3">
        <v>0</v>
      </c>
      <c r="AA486" s="3">
        <v>0</v>
      </c>
    </row>
    <row r="487" spans="1:27" x14ac:dyDescent="0.2">
      <c r="A487">
        <f t="shared" si="14"/>
        <v>1</v>
      </c>
      <c r="B487">
        <f t="shared" si="15"/>
        <v>5</v>
      </c>
      <c r="C487" s="1">
        <v>46052</v>
      </c>
      <c r="D487" t="s">
        <v>25</v>
      </c>
      <c r="E487" t="s">
        <v>26</v>
      </c>
      <c r="F487" t="s">
        <v>39</v>
      </c>
      <c r="G487" t="s">
        <v>40</v>
      </c>
      <c r="H487" t="s">
        <v>29</v>
      </c>
      <c r="I487" t="s">
        <v>30</v>
      </c>
      <c r="J487" t="s">
        <v>78</v>
      </c>
      <c r="K487" t="s">
        <v>42</v>
      </c>
      <c r="L487" t="s">
        <v>50</v>
      </c>
      <c r="M487" s="4">
        <v>10</v>
      </c>
      <c r="N487" s="4">
        <v>1</v>
      </c>
      <c r="O487" s="2">
        <v>0.1</v>
      </c>
      <c r="P487" s="3">
        <v>0.68</v>
      </c>
      <c r="Q487" s="3">
        <v>0.68</v>
      </c>
      <c r="R487" s="3">
        <v>0</v>
      </c>
      <c r="S487" s="2"/>
      <c r="T487" s="5">
        <v>0</v>
      </c>
      <c r="U487" s="4">
        <v>0</v>
      </c>
      <c r="V487" s="4">
        <v>0</v>
      </c>
      <c r="W487" s="2">
        <v>0</v>
      </c>
      <c r="X487" s="4">
        <v>0</v>
      </c>
      <c r="Y487" s="4">
        <v>0</v>
      </c>
      <c r="Z487" s="3">
        <v>0</v>
      </c>
      <c r="AA487" s="3">
        <v>0</v>
      </c>
    </row>
    <row r="488" spans="1:27" x14ac:dyDescent="0.2">
      <c r="A488">
        <f t="shared" si="14"/>
        <v>1</v>
      </c>
      <c r="B488">
        <f t="shared" si="15"/>
        <v>5</v>
      </c>
      <c r="C488" s="1">
        <v>46051</v>
      </c>
      <c r="D488" t="s">
        <v>25</v>
      </c>
      <c r="E488" t="s">
        <v>26</v>
      </c>
      <c r="F488" t="s">
        <v>49</v>
      </c>
      <c r="G488" t="s">
        <v>50</v>
      </c>
      <c r="H488" t="s">
        <v>29</v>
      </c>
      <c r="I488" t="s">
        <v>30</v>
      </c>
      <c r="J488" t="s">
        <v>47</v>
      </c>
      <c r="K488" t="s">
        <v>42</v>
      </c>
      <c r="L488" t="s">
        <v>280</v>
      </c>
      <c r="M488" s="4">
        <v>11</v>
      </c>
      <c r="N488" s="4">
        <v>2</v>
      </c>
      <c r="O488" s="2">
        <v>0.18181818181818182</v>
      </c>
      <c r="P488" s="3">
        <v>0.55000000000000004</v>
      </c>
      <c r="Q488" s="3">
        <v>1.1000000000000001</v>
      </c>
      <c r="R488" s="3">
        <v>0</v>
      </c>
      <c r="S488" s="2"/>
      <c r="T488" s="5">
        <v>0</v>
      </c>
      <c r="U488" s="4">
        <v>0</v>
      </c>
      <c r="V488" s="4">
        <v>0</v>
      </c>
      <c r="W488" s="2">
        <v>0</v>
      </c>
      <c r="X488" s="4">
        <v>0</v>
      </c>
      <c r="Y488" s="4">
        <v>0</v>
      </c>
      <c r="Z488" s="3">
        <v>0</v>
      </c>
      <c r="AA488" s="3">
        <v>0</v>
      </c>
    </row>
    <row r="489" spans="1:27" x14ac:dyDescent="0.2">
      <c r="A489">
        <f t="shared" si="14"/>
        <v>1</v>
      </c>
      <c r="B489">
        <f t="shared" si="15"/>
        <v>4</v>
      </c>
      <c r="C489" s="1">
        <v>46044</v>
      </c>
      <c r="D489" t="s">
        <v>25</v>
      </c>
      <c r="E489" t="s">
        <v>26</v>
      </c>
      <c r="F489" t="s">
        <v>27</v>
      </c>
      <c r="G489" t="s">
        <v>124</v>
      </c>
      <c r="H489" t="s">
        <v>29</v>
      </c>
      <c r="I489" t="s">
        <v>30</v>
      </c>
      <c r="J489" t="s">
        <v>280</v>
      </c>
      <c r="K489" t="s">
        <v>87</v>
      </c>
      <c r="L489" t="s">
        <v>280</v>
      </c>
      <c r="M489" s="4">
        <v>7</v>
      </c>
      <c r="N489" s="4">
        <v>1</v>
      </c>
      <c r="O489" s="2">
        <v>0.14285714285714285</v>
      </c>
      <c r="P489" s="3">
        <v>0.2</v>
      </c>
      <c r="Q489" s="3">
        <v>0.2</v>
      </c>
      <c r="R489" s="3">
        <v>0</v>
      </c>
      <c r="S489" s="2"/>
      <c r="T489" s="5">
        <v>0</v>
      </c>
      <c r="U489" s="4">
        <v>0</v>
      </c>
      <c r="V489" s="4">
        <v>0</v>
      </c>
      <c r="W489" s="2">
        <v>0</v>
      </c>
      <c r="X489" s="4">
        <v>0</v>
      </c>
      <c r="Y489" s="4">
        <v>0</v>
      </c>
      <c r="Z489" s="3">
        <v>0</v>
      </c>
      <c r="AA489" s="3">
        <v>0</v>
      </c>
    </row>
    <row r="490" spans="1:27" x14ac:dyDescent="0.2">
      <c r="A490">
        <f t="shared" si="14"/>
        <v>1</v>
      </c>
      <c r="B490">
        <f t="shared" si="15"/>
        <v>5</v>
      </c>
      <c r="C490" s="1">
        <v>46049</v>
      </c>
      <c r="D490" t="s">
        <v>25</v>
      </c>
      <c r="E490" t="s">
        <v>26</v>
      </c>
      <c r="F490" t="s">
        <v>34</v>
      </c>
      <c r="G490" t="s">
        <v>28</v>
      </c>
      <c r="H490" t="s">
        <v>29</v>
      </c>
      <c r="I490" t="s">
        <v>30</v>
      </c>
      <c r="J490" t="s">
        <v>50</v>
      </c>
      <c r="K490" t="s">
        <v>32</v>
      </c>
      <c r="L490" t="s">
        <v>281</v>
      </c>
      <c r="M490" s="4">
        <v>2</v>
      </c>
      <c r="N490" s="4">
        <v>1</v>
      </c>
      <c r="O490" s="2">
        <v>0.5</v>
      </c>
      <c r="P490" s="3">
        <v>0.85</v>
      </c>
      <c r="Q490" s="3">
        <v>0.85</v>
      </c>
      <c r="R490" s="3">
        <v>0</v>
      </c>
      <c r="S490" s="2"/>
      <c r="T490" s="5">
        <v>0</v>
      </c>
      <c r="U490" s="4">
        <v>0</v>
      </c>
      <c r="V490" s="4">
        <v>0</v>
      </c>
      <c r="W490" s="2">
        <v>0</v>
      </c>
      <c r="X490" s="4">
        <v>0</v>
      </c>
      <c r="Y490" s="4">
        <v>0</v>
      </c>
      <c r="Z490" s="3">
        <v>0</v>
      </c>
      <c r="AA490" s="3">
        <v>0</v>
      </c>
    </row>
    <row r="491" spans="1:27" x14ac:dyDescent="0.2">
      <c r="A491">
        <f t="shared" si="14"/>
        <v>1</v>
      </c>
      <c r="B491">
        <f t="shared" si="15"/>
        <v>5</v>
      </c>
      <c r="C491" s="1">
        <v>46048</v>
      </c>
      <c r="D491" t="s">
        <v>25</v>
      </c>
      <c r="E491" t="s">
        <v>26</v>
      </c>
      <c r="F491" t="s">
        <v>34</v>
      </c>
      <c r="G491" t="s">
        <v>28</v>
      </c>
      <c r="H491" t="s">
        <v>29</v>
      </c>
      <c r="I491" t="s">
        <v>30</v>
      </c>
      <c r="J491" t="s">
        <v>44</v>
      </c>
      <c r="K491" t="s">
        <v>32</v>
      </c>
      <c r="L491" t="s">
        <v>382</v>
      </c>
      <c r="M491" s="4">
        <v>3</v>
      </c>
      <c r="N491" s="4">
        <v>1</v>
      </c>
      <c r="O491" s="2">
        <v>0.33333333333333331</v>
      </c>
      <c r="P491" s="3">
        <v>1.1000000000000001</v>
      </c>
      <c r="Q491" s="3">
        <v>1.1000000000000001</v>
      </c>
      <c r="R491" s="3">
        <v>0</v>
      </c>
      <c r="S491" s="2"/>
      <c r="T491" s="5">
        <v>0</v>
      </c>
      <c r="U491" s="4">
        <v>0</v>
      </c>
      <c r="V491" s="4">
        <v>0</v>
      </c>
      <c r="W491" s="2">
        <v>0</v>
      </c>
      <c r="X491" s="4">
        <v>0</v>
      </c>
      <c r="Y491" s="4">
        <v>0</v>
      </c>
      <c r="Z491" s="3">
        <v>0</v>
      </c>
      <c r="AA491" s="3">
        <v>0</v>
      </c>
    </row>
    <row r="492" spans="1:27" x14ac:dyDescent="0.2">
      <c r="A492">
        <f t="shared" si="14"/>
        <v>1</v>
      </c>
      <c r="B492">
        <f t="shared" si="15"/>
        <v>5</v>
      </c>
      <c r="C492" s="1">
        <v>46051</v>
      </c>
      <c r="D492" t="s">
        <v>25</v>
      </c>
      <c r="E492" t="s">
        <v>26</v>
      </c>
      <c r="F492" t="s">
        <v>27</v>
      </c>
      <c r="G492" t="s">
        <v>124</v>
      </c>
      <c r="H492" t="s">
        <v>29</v>
      </c>
      <c r="I492" t="s">
        <v>30</v>
      </c>
      <c r="J492" t="s">
        <v>311</v>
      </c>
      <c r="K492" t="s">
        <v>87</v>
      </c>
      <c r="L492" t="s">
        <v>383</v>
      </c>
      <c r="M492" s="4">
        <v>1</v>
      </c>
      <c r="N492" s="4">
        <v>1</v>
      </c>
      <c r="O492" s="2">
        <v>1</v>
      </c>
      <c r="P492" s="3">
        <v>0.2</v>
      </c>
      <c r="Q492" s="3">
        <v>0.2</v>
      </c>
      <c r="R492" s="3">
        <v>0</v>
      </c>
      <c r="S492" s="2"/>
      <c r="T492" s="5">
        <v>0</v>
      </c>
      <c r="U492" s="4">
        <v>0</v>
      </c>
      <c r="V492" s="4">
        <v>0</v>
      </c>
      <c r="W492" s="2">
        <v>0</v>
      </c>
      <c r="X492" s="4">
        <v>0</v>
      </c>
      <c r="Y492" s="4">
        <v>0</v>
      </c>
      <c r="Z492" s="3">
        <v>0</v>
      </c>
      <c r="AA492" s="3">
        <v>0</v>
      </c>
    </row>
    <row r="493" spans="1:27" x14ac:dyDescent="0.2">
      <c r="A493">
        <f t="shared" si="14"/>
        <v>1</v>
      </c>
      <c r="B493">
        <f t="shared" si="15"/>
        <v>5</v>
      </c>
      <c r="C493" s="1">
        <v>46053</v>
      </c>
      <c r="D493" t="s">
        <v>25</v>
      </c>
      <c r="E493" t="s">
        <v>26</v>
      </c>
      <c r="F493" t="s">
        <v>39</v>
      </c>
      <c r="G493" t="s">
        <v>40</v>
      </c>
      <c r="H493" t="s">
        <v>29</v>
      </c>
      <c r="I493" t="s">
        <v>30</v>
      </c>
      <c r="J493" t="s">
        <v>78</v>
      </c>
      <c r="K493" t="s">
        <v>42</v>
      </c>
      <c r="L493" t="s">
        <v>384</v>
      </c>
      <c r="M493" s="4">
        <v>1</v>
      </c>
      <c r="N493" s="4">
        <v>1</v>
      </c>
      <c r="O493" s="2">
        <v>1</v>
      </c>
      <c r="P493" s="3">
        <v>0.53</v>
      </c>
      <c r="Q493" s="3">
        <v>0.53</v>
      </c>
      <c r="R493" s="3">
        <v>0</v>
      </c>
      <c r="S493" s="2"/>
      <c r="T493" s="5">
        <v>0</v>
      </c>
      <c r="U493" s="4">
        <v>0</v>
      </c>
      <c r="V493" s="4">
        <v>0</v>
      </c>
      <c r="W493" s="2">
        <v>0</v>
      </c>
      <c r="X493" s="4">
        <v>0</v>
      </c>
      <c r="Y493" s="4">
        <v>0</v>
      </c>
      <c r="Z493" s="3">
        <v>0</v>
      </c>
      <c r="AA493" s="3">
        <v>0</v>
      </c>
    </row>
    <row r="494" spans="1:27" x14ac:dyDescent="0.2">
      <c r="A494">
        <f t="shared" si="14"/>
        <v>1</v>
      </c>
      <c r="B494">
        <f t="shared" si="15"/>
        <v>5</v>
      </c>
      <c r="C494" s="1">
        <v>46050</v>
      </c>
      <c r="D494" t="s">
        <v>25</v>
      </c>
      <c r="E494" t="s">
        <v>26</v>
      </c>
      <c r="F494" t="s">
        <v>61</v>
      </c>
      <c r="G494" t="s">
        <v>62</v>
      </c>
      <c r="H494" t="s">
        <v>29</v>
      </c>
      <c r="I494" t="s">
        <v>30</v>
      </c>
      <c r="J494" t="s">
        <v>95</v>
      </c>
      <c r="K494" t="s">
        <v>42</v>
      </c>
      <c r="L494" t="s">
        <v>385</v>
      </c>
      <c r="M494" s="4">
        <v>1</v>
      </c>
      <c r="N494" s="4">
        <v>1</v>
      </c>
      <c r="O494" s="2">
        <v>1</v>
      </c>
      <c r="P494" s="3">
        <v>1.1000000000000001</v>
      </c>
      <c r="Q494" s="3">
        <v>1.1000000000000001</v>
      </c>
      <c r="R494" s="3">
        <v>0</v>
      </c>
      <c r="S494" s="2"/>
      <c r="T494" s="5">
        <v>0</v>
      </c>
      <c r="U494" s="4">
        <v>0</v>
      </c>
      <c r="V494" s="4">
        <v>0</v>
      </c>
      <c r="W494" s="2">
        <v>0</v>
      </c>
      <c r="X494" s="4">
        <v>0</v>
      </c>
      <c r="Y494" s="4">
        <v>0</v>
      </c>
      <c r="Z494" s="3">
        <v>0</v>
      </c>
      <c r="AA494" s="3">
        <v>0</v>
      </c>
    </row>
    <row r="495" spans="1:27" x14ac:dyDescent="0.2">
      <c r="A495">
        <f t="shared" si="14"/>
        <v>1</v>
      </c>
      <c r="B495">
        <f t="shared" si="15"/>
        <v>5</v>
      </c>
      <c r="C495" s="1">
        <v>46049</v>
      </c>
      <c r="D495" t="s">
        <v>25</v>
      </c>
      <c r="E495" t="s">
        <v>26</v>
      </c>
      <c r="F495" t="s">
        <v>39</v>
      </c>
      <c r="G495" t="s">
        <v>40</v>
      </c>
      <c r="H495" t="s">
        <v>29</v>
      </c>
      <c r="I495" t="s">
        <v>30</v>
      </c>
      <c r="J495" t="s">
        <v>70</v>
      </c>
      <c r="K495" t="s">
        <v>42</v>
      </c>
      <c r="L495" t="s">
        <v>386</v>
      </c>
      <c r="M495" s="4">
        <v>2</v>
      </c>
      <c r="N495" s="4">
        <v>1</v>
      </c>
      <c r="O495" s="2">
        <v>0.5</v>
      </c>
      <c r="P495" s="3">
        <v>0.54</v>
      </c>
      <c r="Q495" s="3">
        <v>0.54</v>
      </c>
      <c r="R495" s="3">
        <v>0</v>
      </c>
      <c r="S495" s="2"/>
      <c r="T495" s="5">
        <v>0</v>
      </c>
      <c r="U495" s="4">
        <v>0</v>
      </c>
      <c r="V495" s="4">
        <v>0</v>
      </c>
      <c r="W495" s="2">
        <v>0</v>
      </c>
      <c r="X495" s="4">
        <v>0</v>
      </c>
      <c r="Y495" s="4">
        <v>0</v>
      </c>
      <c r="Z495" s="3">
        <v>0</v>
      </c>
      <c r="AA495" s="3">
        <v>0</v>
      </c>
    </row>
    <row r="496" spans="1:27" x14ac:dyDescent="0.2">
      <c r="A496">
        <f t="shared" si="14"/>
        <v>1</v>
      </c>
      <c r="B496">
        <f t="shared" si="15"/>
        <v>5</v>
      </c>
      <c r="C496" s="1">
        <v>46050</v>
      </c>
      <c r="D496" t="s">
        <v>25</v>
      </c>
      <c r="E496" t="s">
        <v>26</v>
      </c>
      <c r="F496" t="s">
        <v>27</v>
      </c>
      <c r="G496" t="s">
        <v>28</v>
      </c>
      <c r="H496" t="s">
        <v>29</v>
      </c>
      <c r="I496" t="s">
        <v>30</v>
      </c>
      <c r="J496" t="s">
        <v>31</v>
      </c>
      <c r="K496" t="s">
        <v>32</v>
      </c>
      <c r="L496" t="s">
        <v>387</v>
      </c>
      <c r="M496" s="4">
        <v>1</v>
      </c>
      <c r="N496" s="4">
        <v>1</v>
      </c>
      <c r="O496" s="2">
        <v>1</v>
      </c>
      <c r="P496" s="3">
        <v>0.21</v>
      </c>
      <c r="Q496" s="3">
        <v>0.21</v>
      </c>
      <c r="R496" s="3">
        <v>0</v>
      </c>
      <c r="S496" s="2"/>
      <c r="T496" s="5">
        <v>0</v>
      </c>
      <c r="U496" s="4">
        <v>0</v>
      </c>
      <c r="V496" s="4">
        <v>0</v>
      </c>
      <c r="W496" s="2">
        <v>0</v>
      </c>
      <c r="X496" s="4">
        <v>0</v>
      </c>
      <c r="Y496" s="4">
        <v>0</v>
      </c>
      <c r="Z496" s="3">
        <v>0</v>
      </c>
      <c r="AA496" s="3">
        <v>0</v>
      </c>
    </row>
    <row r="497" spans="1:27" x14ac:dyDescent="0.2">
      <c r="A497">
        <f t="shared" si="14"/>
        <v>1</v>
      </c>
      <c r="B497">
        <f t="shared" si="15"/>
        <v>4</v>
      </c>
      <c r="C497" s="1">
        <v>46045</v>
      </c>
      <c r="D497" t="s">
        <v>25</v>
      </c>
      <c r="E497" t="s">
        <v>26</v>
      </c>
      <c r="F497" t="s">
        <v>49</v>
      </c>
      <c r="G497" t="s">
        <v>50</v>
      </c>
      <c r="H497" t="s">
        <v>29</v>
      </c>
      <c r="I497" t="s">
        <v>30</v>
      </c>
      <c r="J497" t="s">
        <v>95</v>
      </c>
      <c r="K497" t="s">
        <v>42</v>
      </c>
      <c r="L497" t="s">
        <v>388</v>
      </c>
      <c r="M497" s="4">
        <v>1</v>
      </c>
      <c r="N497" s="4">
        <v>1</v>
      </c>
      <c r="O497" s="2">
        <v>1</v>
      </c>
      <c r="P497" s="3">
        <v>0.53</v>
      </c>
      <c r="Q497" s="3">
        <v>0.53</v>
      </c>
      <c r="R497" s="3">
        <v>0</v>
      </c>
      <c r="S497" s="2"/>
      <c r="T497" s="5">
        <v>0</v>
      </c>
      <c r="U497" s="4">
        <v>0</v>
      </c>
      <c r="V497" s="4">
        <v>0</v>
      </c>
      <c r="W497" s="2">
        <v>0</v>
      </c>
      <c r="X497" s="4">
        <v>0</v>
      </c>
      <c r="Y497" s="4">
        <v>0</v>
      </c>
      <c r="Z497" s="3">
        <v>0</v>
      </c>
      <c r="AA497" s="3">
        <v>0</v>
      </c>
    </row>
    <row r="498" spans="1:27" x14ac:dyDescent="0.2">
      <c r="A498">
        <f t="shared" si="14"/>
        <v>1</v>
      </c>
      <c r="B498">
        <f t="shared" si="15"/>
        <v>4</v>
      </c>
      <c r="C498" s="1">
        <v>46044</v>
      </c>
      <c r="D498" t="s">
        <v>25</v>
      </c>
      <c r="E498" t="s">
        <v>26</v>
      </c>
      <c r="F498" t="s">
        <v>39</v>
      </c>
      <c r="G498" t="s">
        <v>40</v>
      </c>
      <c r="H498" t="s">
        <v>29</v>
      </c>
      <c r="I498" t="s">
        <v>30</v>
      </c>
      <c r="J498" t="s">
        <v>41</v>
      </c>
      <c r="K498" t="s">
        <v>42</v>
      </c>
      <c r="L498" t="s">
        <v>389</v>
      </c>
      <c r="M498" s="4">
        <v>1</v>
      </c>
      <c r="N498" s="4">
        <v>1</v>
      </c>
      <c r="O498" s="2">
        <v>1</v>
      </c>
      <c r="P498" s="3">
        <v>0.72</v>
      </c>
      <c r="Q498" s="3">
        <v>0.72</v>
      </c>
      <c r="R498" s="3">
        <v>34.18</v>
      </c>
      <c r="S498" s="2">
        <v>2.1064950263311878E-2</v>
      </c>
      <c r="T498" s="5">
        <v>47.472222222222221</v>
      </c>
      <c r="U498" s="4">
        <v>2</v>
      </c>
      <c r="V498" s="4">
        <v>2</v>
      </c>
      <c r="W498" s="2">
        <v>2</v>
      </c>
      <c r="X498" s="4">
        <v>2</v>
      </c>
      <c r="Y498" s="4">
        <v>0</v>
      </c>
      <c r="Z498" s="3">
        <v>34.18</v>
      </c>
      <c r="AA498" s="3">
        <v>0</v>
      </c>
    </row>
    <row r="499" spans="1:27" x14ac:dyDescent="0.2">
      <c r="A499">
        <f t="shared" si="14"/>
        <v>1</v>
      </c>
      <c r="B499">
        <f t="shared" si="15"/>
        <v>5</v>
      </c>
      <c r="C499" s="1">
        <v>46051</v>
      </c>
      <c r="D499" t="s">
        <v>25</v>
      </c>
      <c r="E499" t="s">
        <v>26</v>
      </c>
      <c r="F499" t="s">
        <v>27</v>
      </c>
      <c r="G499" t="s">
        <v>28</v>
      </c>
      <c r="H499" t="s">
        <v>29</v>
      </c>
      <c r="I499" t="s">
        <v>30</v>
      </c>
      <c r="J499" t="s">
        <v>37</v>
      </c>
      <c r="K499" t="s">
        <v>32</v>
      </c>
      <c r="L499" t="s">
        <v>390</v>
      </c>
      <c r="M499" s="4">
        <v>2</v>
      </c>
      <c r="N499" s="4">
        <v>1</v>
      </c>
      <c r="O499" s="2">
        <v>0.5</v>
      </c>
      <c r="P499" s="3">
        <v>0.21</v>
      </c>
      <c r="Q499" s="3">
        <v>0.21</v>
      </c>
      <c r="R499" s="3">
        <v>0</v>
      </c>
      <c r="S499" s="2"/>
      <c r="T499" s="5">
        <v>0</v>
      </c>
      <c r="U499" s="4">
        <v>0</v>
      </c>
      <c r="V499" s="4">
        <v>0</v>
      </c>
      <c r="W499" s="2">
        <v>0</v>
      </c>
      <c r="X499" s="4">
        <v>0</v>
      </c>
      <c r="Y499" s="4">
        <v>0</v>
      </c>
      <c r="Z499" s="3">
        <v>0</v>
      </c>
      <c r="AA499" s="3">
        <v>0</v>
      </c>
    </row>
    <row r="500" spans="1:27" x14ac:dyDescent="0.2">
      <c r="A500">
        <f t="shared" si="14"/>
        <v>1</v>
      </c>
      <c r="B500">
        <f t="shared" si="15"/>
        <v>5</v>
      </c>
      <c r="C500" s="1">
        <v>46049</v>
      </c>
      <c r="D500" t="s">
        <v>25</v>
      </c>
      <c r="E500" t="s">
        <v>26</v>
      </c>
      <c r="F500" t="s">
        <v>49</v>
      </c>
      <c r="G500" t="s">
        <v>50</v>
      </c>
      <c r="H500" t="s">
        <v>29</v>
      </c>
      <c r="I500" t="s">
        <v>30</v>
      </c>
      <c r="J500" t="s">
        <v>47</v>
      </c>
      <c r="K500" t="s">
        <v>42</v>
      </c>
      <c r="L500" t="s">
        <v>37</v>
      </c>
      <c r="M500" s="4">
        <v>4</v>
      </c>
      <c r="N500" s="4">
        <v>1</v>
      </c>
      <c r="O500" s="2">
        <v>0.25</v>
      </c>
      <c r="P500" s="3">
        <v>0.63</v>
      </c>
      <c r="Q500" s="3">
        <v>0.63</v>
      </c>
      <c r="R500" s="3">
        <v>0</v>
      </c>
      <c r="S500" s="2"/>
      <c r="T500" s="5">
        <v>0</v>
      </c>
      <c r="U500" s="4">
        <v>0</v>
      </c>
      <c r="V500" s="4">
        <v>0</v>
      </c>
      <c r="W500" s="2">
        <v>0</v>
      </c>
      <c r="X500" s="4">
        <v>0</v>
      </c>
      <c r="Y500" s="4">
        <v>0</v>
      </c>
      <c r="Z500" s="3">
        <v>0</v>
      </c>
      <c r="AA500" s="3">
        <v>0</v>
      </c>
    </row>
    <row r="501" spans="1:27" x14ac:dyDescent="0.2">
      <c r="A501">
        <f t="shared" si="14"/>
        <v>1</v>
      </c>
      <c r="B501">
        <f t="shared" si="15"/>
        <v>4</v>
      </c>
      <c r="C501" s="1">
        <v>46044</v>
      </c>
      <c r="D501" t="s">
        <v>25</v>
      </c>
      <c r="E501" t="s">
        <v>26</v>
      </c>
      <c r="F501" t="s">
        <v>27</v>
      </c>
      <c r="G501" t="s">
        <v>28</v>
      </c>
      <c r="H501" t="s">
        <v>29</v>
      </c>
      <c r="I501" t="s">
        <v>30</v>
      </c>
      <c r="J501" t="s">
        <v>37</v>
      </c>
      <c r="K501" t="s">
        <v>32</v>
      </c>
      <c r="L501" t="s">
        <v>37</v>
      </c>
      <c r="M501" s="4">
        <v>23</v>
      </c>
      <c r="N501" s="4">
        <v>1</v>
      </c>
      <c r="O501" s="2">
        <v>4.3478260869565216E-2</v>
      </c>
      <c r="P501" s="3">
        <v>0.2</v>
      </c>
      <c r="Q501" s="3">
        <v>0.2</v>
      </c>
      <c r="R501" s="3">
        <v>0</v>
      </c>
      <c r="S501" s="2"/>
      <c r="T501" s="5">
        <v>0</v>
      </c>
      <c r="U501" s="4">
        <v>0</v>
      </c>
      <c r="V501" s="4">
        <v>0</v>
      </c>
      <c r="W501" s="2">
        <v>0</v>
      </c>
      <c r="X501" s="4">
        <v>0</v>
      </c>
      <c r="Y501" s="4">
        <v>0</v>
      </c>
      <c r="Z501" s="3">
        <v>0</v>
      </c>
      <c r="AA501" s="3">
        <v>0</v>
      </c>
    </row>
    <row r="502" spans="1:27" x14ac:dyDescent="0.2">
      <c r="A502">
        <f t="shared" si="14"/>
        <v>1</v>
      </c>
      <c r="B502">
        <f t="shared" si="15"/>
        <v>5</v>
      </c>
      <c r="C502" s="1">
        <v>46052</v>
      </c>
      <c r="D502" t="s">
        <v>25</v>
      </c>
      <c r="E502" t="s">
        <v>26</v>
      </c>
      <c r="F502" t="s">
        <v>49</v>
      </c>
      <c r="G502" t="s">
        <v>50</v>
      </c>
      <c r="H502" t="s">
        <v>29</v>
      </c>
      <c r="I502" t="s">
        <v>30</v>
      </c>
      <c r="J502" t="s">
        <v>95</v>
      </c>
      <c r="K502" t="s">
        <v>42</v>
      </c>
      <c r="L502" t="s">
        <v>391</v>
      </c>
      <c r="M502" s="4">
        <v>1</v>
      </c>
      <c r="N502" s="4">
        <v>1</v>
      </c>
      <c r="O502" s="2">
        <v>1</v>
      </c>
      <c r="P502" s="3">
        <v>0.48</v>
      </c>
      <c r="Q502" s="3">
        <v>0.48</v>
      </c>
      <c r="R502" s="3">
        <v>0</v>
      </c>
      <c r="S502" s="2"/>
      <c r="T502" s="5">
        <v>0</v>
      </c>
      <c r="U502" s="4">
        <v>0</v>
      </c>
      <c r="V502" s="4">
        <v>0</v>
      </c>
      <c r="W502" s="2">
        <v>0</v>
      </c>
      <c r="X502" s="4">
        <v>0</v>
      </c>
      <c r="Y502" s="4">
        <v>0</v>
      </c>
      <c r="Z502" s="3">
        <v>0</v>
      </c>
      <c r="AA502" s="3">
        <v>0</v>
      </c>
    </row>
    <row r="503" spans="1:27" x14ac:dyDescent="0.2">
      <c r="A503">
        <f t="shared" si="14"/>
        <v>1</v>
      </c>
      <c r="B503">
        <f t="shared" si="15"/>
        <v>4</v>
      </c>
      <c r="C503" s="1">
        <v>46046</v>
      </c>
      <c r="D503" t="s">
        <v>25</v>
      </c>
      <c r="E503" t="s">
        <v>26</v>
      </c>
      <c r="F503" t="s">
        <v>49</v>
      </c>
      <c r="G503" t="s">
        <v>50</v>
      </c>
      <c r="H503" t="s">
        <v>29</v>
      </c>
      <c r="I503" t="s">
        <v>30</v>
      </c>
      <c r="J503" t="s">
        <v>47</v>
      </c>
      <c r="K503" t="s">
        <v>42</v>
      </c>
      <c r="L503" t="s">
        <v>305</v>
      </c>
      <c r="M503" s="4">
        <v>19</v>
      </c>
      <c r="N503" s="4">
        <v>1</v>
      </c>
      <c r="O503" s="2">
        <v>5.2631578947368418E-2</v>
      </c>
      <c r="P503" s="3">
        <v>0.68</v>
      </c>
      <c r="Q503" s="3">
        <v>0.68</v>
      </c>
      <c r="R503" s="3">
        <v>0</v>
      </c>
      <c r="S503" s="2"/>
      <c r="T503" s="5">
        <v>0</v>
      </c>
      <c r="U503" s="4">
        <v>0</v>
      </c>
      <c r="V503" s="4">
        <v>0</v>
      </c>
      <c r="W503" s="2">
        <v>0</v>
      </c>
      <c r="X503" s="4">
        <v>0</v>
      </c>
      <c r="Y503" s="4">
        <v>0</v>
      </c>
      <c r="Z503" s="3">
        <v>0</v>
      </c>
      <c r="AA503" s="3">
        <v>0</v>
      </c>
    </row>
    <row r="504" spans="1:27" x14ac:dyDescent="0.2">
      <c r="A504">
        <f t="shared" si="14"/>
        <v>1</v>
      </c>
      <c r="B504">
        <f t="shared" si="15"/>
        <v>4</v>
      </c>
      <c r="C504" s="1">
        <v>46045</v>
      </c>
      <c r="D504" t="s">
        <v>25</v>
      </c>
      <c r="E504" t="s">
        <v>26</v>
      </c>
      <c r="F504" t="s">
        <v>27</v>
      </c>
      <c r="G504" t="s">
        <v>124</v>
      </c>
      <c r="H504" t="s">
        <v>29</v>
      </c>
      <c r="I504" t="s">
        <v>30</v>
      </c>
      <c r="J504" t="s">
        <v>44</v>
      </c>
      <c r="K504" t="s">
        <v>87</v>
      </c>
      <c r="L504" t="s">
        <v>305</v>
      </c>
      <c r="M504" s="4">
        <v>9</v>
      </c>
      <c r="N504" s="4">
        <v>1</v>
      </c>
      <c r="O504" s="2">
        <v>0.1111111111111111</v>
      </c>
      <c r="P504" s="3">
        <v>0.2</v>
      </c>
      <c r="Q504" s="3">
        <v>0.2</v>
      </c>
      <c r="R504" s="3">
        <v>0</v>
      </c>
      <c r="S504" s="2"/>
      <c r="T504" s="5">
        <v>0</v>
      </c>
      <c r="U504" s="4">
        <v>0</v>
      </c>
      <c r="V504" s="4">
        <v>0</v>
      </c>
      <c r="W504" s="2">
        <v>0</v>
      </c>
      <c r="X504" s="4">
        <v>0</v>
      </c>
      <c r="Y504" s="4">
        <v>0</v>
      </c>
      <c r="Z504" s="3">
        <v>0</v>
      </c>
      <c r="AA504" s="3">
        <v>0</v>
      </c>
    </row>
    <row r="505" spans="1:27" x14ac:dyDescent="0.2">
      <c r="A505">
        <f t="shared" si="14"/>
        <v>1</v>
      </c>
      <c r="B505">
        <f t="shared" si="15"/>
        <v>5</v>
      </c>
      <c r="C505" s="1">
        <v>46048</v>
      </c>
      <c r="D505" t="s">
        <v>25</v>
      </c>
      <c r="E505" t="s">
        <v>26</v>
      </c>
      <c r="F505" t="s">
        <v>39</v>
      </c>
      <c r="G505" t="s">
        <v>40</v>
      </c>
      <c r="H505" t="s">
        <v>29</v>
      </c>
      <c r="I505" t="s">
        <v>30</v>
      </c>
      <c r="J505" t="s">
        <v>392</v>
      </c>
      <c r="K505" t="s">
        <v>42</v>
      </c>
      <c r="L505" t="s">
        <v>305</v>
      </c>
      <c r="M505" s="4">
        <v>17</v>
      </c>
      <c r="N505" s="4">
        <v>1</v>
      </c>
      <c r="O505" s="2">
        <v>5.8823529411764698E-2</v>
      </c>
      <c r="P505" s="3">
        <v>1.1299999999999999</v>
      </c>
      <c r="Q505" s="3">
        <v>1.1299999999999999</v>
      </c>
      <c r="R505" s="3">
        <v>0</v>
      </c>
      <c r="S505" s="2"/>
      <c r="T505" s="5">
        <v>0</v>
      </c>
      <c r="U505" s="4">
        <v>0</v>
      </c>
      <c r="V505" s="4">
        <v>0</v>
      </c>
      <c r="W505" s="2">
        <v>0</v>
      </c>
      <c r="X505" s="4">
        <v>0</v>
      </c>
      <c r="Y505" s="4">
        <v>0</v>
      </c>
      <c r="Z505" s="3">
        <v>0</v>
      </c>
      <c r="AA505" s="3">
        <v>0</v>
      </c>
    </row>
    <row r="506" spans="1:27" x14ac:dyDescent="0.2">
      <c r="A506">
        <f t="shared" si="14"/>
        <v>1</v>
      </c>
      <c r="B506">
        <f t="shared" si="15"/>
        <v>5</v>
      </c>
      <c r="C506" s="1">
        <v>46052</v>
      </c>
      <c r="D506" t="s">
        <v>25</v>
      </c>
      <c r="E506" t="s">
        <v>26</v>
      </c>
      <c r="F506" t="s">
        <v>27</v>
      </c>
      <c r="G506" t="s">
        <v>28</v>
      </c>
      <c r="H506" t="s">
        <v>29</v>
      </c>
      <c r="I506" t="s">
        <v>30</v>
      </c>
      <c r="J506" t="s">
        <v>306</v>
      </c>
      <c r="K506" t="s">
        <v>32</v>
      </c>
      <c r="L506" t="s">
        <v>305</v>
      </c>
      <c r="M506" s="4">
        <v>1</v>
      </c>
      <c r="N506" s="4">
        <v>1</v>
      </c>
      <c r="O506" s="2">
        <v>1</v>
      </c>
      <c r="P506" s="3">
        <v>0.2</v>
      </c>
      <c r="Q506" s="3">
        <v>0.2</v>
      </c>
      <c r="R506" s="3">
        <v>0</v>
      </c>
      <c r="S506" s="2"/>
      <c r="T506" s="5">
        <v>0</v>
      </c>
      <c r="U506" s="4">
        <v>0</v>
      </c>
      <c r="V506" s="4">
        <v>0</v>
      </c>
      <c r="W506" s="2">
        <v>0</v>
      </c>
      <c r="X506" s="4">
        <v>0</v>
      </c>
      <c r="Y506" s="4">
        <v>0</v>
      </c>
      <c r="Z506" s="3">
        <v>0</v>
      </c>
      <c r="AA506" s="3">
        <v>0</v>
      </c>
    </row>
    <row r="507" spans="1:27" x14ac:dyDescent="0.2">
      <c r="A507">
        <f t="shared" si="14"/>
        <v>1</v>
      </c>
      <c r="B507">
        <f t="shared" si="15"/>
        <v>4</v>
      </c>
      <c r="C507" s="1">
        <v>46046</v>
      </c>
      <c r="D507" t="s">
        <v>25</v>
      </c>
      <c r="E507" t="s">
        <v>26</v>
      </c>
      <c r="F507" t="s">
        <v>34</v>
      </c>
      <c r="G507" t="s">
        <v>273</v>
      </c>
      <c r="H507" t="s">
        <v>29</v>
      </c>
      <c r="I507" t="s">
        <v>30</v>
      </c>
      <c r="J507" t="s">
        <v>37</v>
      </c>
      <c r="K507" t="s">
        <v>87</v>
      </c>
      <c r="L507" t="s">
        <v>305</v>
      </c>
      <c r="M507" s="4">
        <v>24</v>
      </c>
      <c r="N507" s="4">
        <v>1</v>
      </c>
      <c r="O507" s="2">
        <v>4.1666666666666657E-2</v>
      </c>
      <c r="P507" s="3">
        <v>1.43</v>
      </c>
      <c r="Q507" s="3">
        <v>1.43</v>
      </c>
      <c r="R507" s="3">
        <v>0</v>
      </c>
      <c r="S507" s="2"/>
      <c r="T507" s="5">
        <v>0</v>
      </c>
      <c r="U507" s="4">
        <v>0</v>
      </c>
      <c r="V507" s="4">
        <v>0</v>
      </c>
      <c r="W507" s="2">
        <v>0</v>
      </c>
      <c r="X507" s="4">
        <v>0</v>
      </c>
      <c r="Y507" s="4">
        <v>0</v>
      </c>
      <c r="Z507" s="3">
        <v>0</v>
      </c>
      <c r="AA507" s="3">
        <v>0</v>
      </c>
    </row>
    <row r="508" spans="1:27" x14ac:dyDescent="0.2">
      <c r="A508">
        <f t="shared" si="14"/>
        <v>1</v>
      </c>
      <c r="B508">
        <f t="shared" si="15"/>
        <v>5</v>
      </c>
      <c r="C508" s="1">
        <v>46047</v>
      </c>
      <c r="D508" t="s">
        <v>25</v>
      </c>
      <c r="E508" t="s">
        <v>26</v>
      </c>
      <c r="F508" t="s">
        <v>39</v>
      </c>
      <c r="G508" t="s">
        <v>40</v>
      </c>
      <c r="H508" t="s">
        <v>29</v>
      </c>
      <c r="I508" t="s">
        <v>30</v>
      </c>
      <c r="J508" t="s">
        <v>393</v>
      </c>
      <c r="K508" t="s">
        <v>42</v>
      </c>
      <c r="L508" t="s">
        <v>308</v>
      </c>
      <c r="M508" s="4">
        <v>4</v>
      </c>
      <c r="N508" s="4">
        <v>1</v>
      </c>
      <c r="O508" s="2">
        <v>0.25</v>
      </c>
      <c r="P508" s="3">
        <v>0.69</v>
      </c>
      <c r="Q508" s="3">
        <v>0.69</v>
      </c>
      <c r="R508" s="3">
        <v>0</v>
      </c>
      <c r="S508" s="2"/>
      <c r="T508" s="5">
        <v>0</v>
      </c>
      <c r="U508" s="4">
        <v>0</v>
      </c>
      <c r="V508" s="4">
        <v>0</v>
      </c>
      <c r="W508" s="2">
        <v>0</v>
      </c>
      <c r="X508" s="4">
        <v>0</v>
      </c>
      <c r="Y508" s="4">
        <v>0</v>
      </c>
      <c r="Z508" s="3">
        <v>0</v>
      </c>
      <c r="AA508" s="3">
        <v>0</v>
      </c>
    </row>
    <row r="509" spans="1:27" x14ac:dyDescent="0.2">
      <c r="A509">
        <f t="shared" si="14"/>
        <v>1</v>
      </c>
      <c r="B509">
        <f t="shared" si="15"/>
        <v>4</v>
      </c>
      <c r="C509" s="1">
        <v>46044</v>
      </c>
      <c r="D509" t="s">
        <v>25</v>
      </c>
      <c r="E509" t="s">
        <v>26</v>
      </c>
      <c r="F509" t="s">
        <v>49</v>
      </c>
      <c r="G509" t="s">
        <v>50</v>
      </c>
      <c r="H509" t="s">
        <v>29</v>
      </c>
      <c r="I509" t="s">
        <v>30</v>
      </c>
      <c r="J509" t="s">
        <v>47</v>
      </c>
      <c r="K509" t="s">
        <v>42</v>
      </c>
      <c r="L509" t="s">
        <v>306</v>
      </c>
      <c r="M509" s="4">
        <v>11</v>
      </c>
      <c r="N509" s="4">
        <v>1</v>
      </c>
      <c r="O509" s="2">
        <v>9.0909090909090925E-2</v>
      </c>
      <c r="P509" s="3">
        <v>0.68</v>
      </c>
      <c r="Q509" s="3">
        <v>0.68</v>
      </c>
      <c r="R509" s="3">
        <v>0</v>
      </c>
      <c r="S509" s="2"/>
      <c r="T509" s="5">
        <v>0</v>
      </c>
      <c r="U509" s="4">
        <v>0</v>
      </c>
      <c r="V509" s="4">
        <v>0</v>
      </c>
      <c r="W509" s="2">
        <v>0</v>
      </c>
      <c r="X509" s="4">
        <v>0</v>
      </c>
      <c r="Y509" s="4">
        <v>0</v>
      </c>
      <c r="Z509" s="3">
        <v>0</v>
      </c>
      <c r="AA509" s="3">
        <v>0</v>
      </c>
    </row>
    <row r="510" spans="1:27" x14ac:dyDescent="0.2">
      <c r="A510">
        <f t="shared" si="14"/>
        <v>1</v>
      </c>
      <c r="B510">
        <f t="shared" si="15"/>
        <v>5</v>
      </c>
      <c r="C510" s="1">
        <v>46053</v>
      </c>
      <c r="D510" t="s">
        <v>25</v>
      </c>
      <c r="E510" t="s">
        <v>26</v>
      </c>
      <c r="F510" t="s">
        <v>49</v>
      </c>
      <c r="G510" t="s">
        <v>50</v>
      </c>
      <c r="H510" t="s">
        <v>29</v>
      </c>
      <c r="I510" t="s">
        <v>30</v>
      </c>
      <c r="J510" t="s">
        <v>47</v>
      </c>
      <c r="K510" t="s">
        <v>42</v>
      </c>
      <c r="L510" t="s">
        <v>306</v>
      </c>
      <c r="M510" s="4">
        <v>12</v>
      </c>
      <c r="N510" s="4">
        <v>1</v>
      </c>
      <c r="O510" s="2">
        <v>8.3333333333333315E-2</v>
      </c>
      <c r="P510" s="3">
        <v>0.59</v>
      </c>
      <c r="Q510" s="3">
        <v>0.59</v>
      </c>
      <c r="R510" s="3">
        <v>0</v>
      </c>
      <c r="S510" s="2"/>
      <c r="T510" s="5">
        <v>0</v>
      </c>
      <c r="U510" s="4">
        <v>0</v>
      </c>
      <c r="V510" s="4">
        <v>0</v>
      </c>
      <c r="W510" s="2">
        <v>0</v>
      </c>
      <c r="X510" s="4">
        <v>0</v>
      </c>
      <c r="Y510" s="4">
        <v>0</v>
      </c>
      <c r="Z510" s="3">
        <v>0</v>
      </c>
      <c r="AA510" s="3">
        <v>0</v>
      </c>
    </row>
    <row r="511" spans="1:27" x14ac:dyDescent="0.2">
      <c r="A511">
        <f t="shared" si="14"/>
        <v>1</v>
      </c>
      <c r="B511">
        <f t="shared" si="15"/>
        <v>4</v>
      </c>
      <c r="C511" s="1">
        <v>46044</v>
      </c>
      <c r="D511" t="s">
        <v>25</v>
      </c>
      <c r="E511" t="s">
        <v>26</v>
      </c>
      <c r="F511" t="s">
        <v>34</v>
      </c>
      <c r="G511" t="s">
        <v>28</v>
      </c>
      <c r="H511" t="s">
        <v>29</v>
      </c>
      <c r="I511" t="s">
        <v>30</v>
      </c>
      <c r="J511" t="s">
        <v>37</v>
      </c>
      <c r="K511" t="s">
        <v>32</v>
      </c>
      <c r="L511" t="s">
        <v>306</v>
      </c>
      <c r="M511" s="4">
        <v>8</v>
      </c>
      <c r="N511" s="4">
        <v>1</v>
      </c>
      <c r="O511" s="2">
        <v>0.125</v>
      </c>
      <c r="P511" s="3">
        <v>1.4</v>
      </c>
      <c r="Q511" s="3">
        <v>1.4</v>
      </c>
      <c r="R511" s="3">
        <v>0</v>
      </c>
      <c r="S511" s="2"/>
      <c r="T511" s="5">
        <v>0</v>
      </c>
      <c r="U511" s="4">
        <v>0</v>
      </c>
      <c r="V511" s="4">
        <v>0</v>
      </c>
      <c r="W511" s="2">
        <v>0</v>
      </c>
      <c r="X511" s="4">
        <v>0</v>
      </c>
      <c r="Y511" s="4">
        <v>0</v>
      </c>
      <c r="Z511" s="3">
        <v>0</v>
      </c>
      <c r="AA511" s="3">
        <v>0</v>
      </c>
    </row>
    <row r="512" spans="1:27" x14ac:dyDescent="0.2">
      <c r="A512">
        <f t="shared" si="14"/>
        <v>1</v>
      </c>
      <c r="B512">
        <f t="shared" si="15"/>
        <v>4</v>
      </c>
      <c r="C512" s="1">
        <v>46045</v>
      </c>
      <c r="D512" t="s">
        <v>25</v>
      </c>
      <c r="E512" t="s">
        <v>26</v>
      </c>
      <c r="F512" t="s">
        <v>34</v>
      </c>
      <c r="G512" t="s">
        <v>28</v>
      </c>
      <c r="H512" t="s">
        <v>29</v>
      </c>
      <c r="I512" t="s">
        <v>30</v>
      </c>
      <c r="J512" t="s">
        <v>37</v>
      </c>
      <c r="K512" t="s">
        <v>32</v>
      </c>
      <c r="L512" t="s">
        <v>306</v>
      </c>
      <c r="M512" s="4">
        <v>39</v>
      </c>
      <c r="N512" s="4">
        <v>1</v>
      </c>
      <c r="O512" s="2">
        <v>2.564102564102564E-2</v>
      </c>
      <c r="P512" s="3">
        <v>1.4</v>
      </c>
      <c r="Q512" s="3">
        <v>1.4</v>
      </c>
      <c r="R512" s="3">
        <v>0</v>
      </c>
      <c r="S512" s="2"/>
      <c r="T512" s="5">
        <v>0</v>
      </c>
      <c r="U512" s="4">
        <v>0</v>
      </c>
      <c r="V512" s="4">
        <v>0</v>
      </c>
      <c r="W512" s="2">
        <v>0</v>
      </c>
      <c r="X512" s="4">
        <v>0</v>
      </c>
      <c r="Y512" s="4">
        <v>0</v>
      </c>
      <c r="Z512" s="3">
        <v>0</v>
      </c>
      <c r="AA512" s="3">
        <v>0</v>
      </c>
    </row>
    <row r="513" spans="1:27" x14ac:dyDescent="0.2">
      <c r="A513">
        <f t="shared" si="14"/>
        <v>1</v>
      </c>
      <c r="B513">
        <f t="shared" si="15"/>
        <v>5</v>
      </c>
      <c r="C513" s="1">
        <v>46048</v>
      </c>
      <c r="D513" t="s">
        <v>25</v>
      </c>
      <c r="E513" t="s">
        <v>26</v>
      </c>
      <c r="F513" t="s">
        <v>34</v>
      </c>
      <c r="G513" t="s">
        <v>28</v>
      </c>
      <c r="H513" t="s">
        <v>29</v>
      </c>
      <c r="I513" t="s">
        <v>30</v>
      </c>
      <c r="J513" t="s">
        <v>37</v>
      </c>
      <c r="K513" t="s">
        <v>32</v>
      </c>
      <c r="L513" t="s">
        <v>306</v>
      </c>
      <c r="M513" s="4">
        <v>14</v>
      </c>
      <c r="N513" s="4">
        <v>1</v>
      </c>
      <c r="O513" s="2">
        <v>7.1428571428571425E-2</v>
      </c>
      <c r="P513" s="3">
        <v>1.08</v>
      </c>
      <c r="Q513" s="3">
        <v>1.08</v>
      </c>
      <c r="R513" s="3">
        <v>0</v>
      </c>
      <c r="S513" s="2"/>
      <c r="T513" s="5">
        <v>0</v>
      </c>
      <c r="U513" s="4">
        <v>0</v>
      </c>
      <c r="V513" s="4">
        <v>0</v>
      </c>
      <c r="W513" s="2">
        <v>0</v>
      </c>
      <c r="X513" s="4">
        <v>0</v>
      </c>
      <c r="Y513" s="4">
        <v>0</v>
      </c>
      <c r="Z513" s="3">
        <v>0</v>
      </c>
      <c r="AA513" s="3">
        <v>0</v>
      </c>
    </row>
    <row r="514" spans="1:27" x14ac:dyDescent="0.2">
      <c r="A514">
        <f t="shared" si="14"/>
        <v>1</v>
      </c>
      <c r="B514">
        <f t="shared" si="15"/>
        <v>5</v>
      </c>
      <c r="C514" s="1">
        <v>46053</v>
      </c>
      <c r="D514" t="s">
        <v>25</v>
      </c>
      <c r="E514" t="s">
        <v>26</v>
      </c>
      <c r="F514" t="s">
        <v>39</v>
      </c>
      <c r="G514" t="s">
        <v>40</v>
      </c>
      <c r="H514" t="s">
        <v>29</v>
      </c>
      <c r="I514" t="s">
        <v>30</v>
      </c>
      <c r="J514" t="s">
        <v>394</v>
      </c>
      <c r="K514" t="s">
        <v>42</v>
      </c>
      <c r="L514" t="s">
        <v>395</v>
      </c>
      <c r="M514" s="4">
        <v>1</v>
      </c>
      <c r="N514" s="4">
        <v>1</v>
      </c>
      <c r="O514" s="2">
        <v>1</v>
      </c>
      <c r="P514" s="3">
        <v>1.75</v>
      </c>
      <c r="Q514" s="3">
        <v>1.75</v>
      </c>
      <c r="R514" s="3">
        <v>0</v>
      </c>
      <c r="S514" s="2"/>
      <c r="T514" s="5">
        <v>0</v>
      </c>
      <c r="U514" s="4">
        <v>0</v>
      </c>
      <c r="V514" s="4">
        <v>0</v>
      </c>
      <c r="W514" s="2">
        <v>0</v>
      </c>
      <c r="X514" s="4">
        <v>0</v>
      </c>
      <c r="Y514" s="4">
        <v>0</v>
      </c>
      <c r="Z514" s="3">
        <v>0</v>
      </c>
      <c r="AA514" s="3">
        <v>0</v>
      </c>
    </row>
    <row r="515" spans="1:27" x14ac:dyDescent="0.2">
      <c r="A515">
        <f t="shared" ref="A515:A578" si="16">MONTH(C515)</f>
        <v>1</v>
      </c>
      <c r="B515">
        <f t="shared" ref="B515:B578" si="17">WEEKNUM(C515,1)</f>
        <v>4</v>
      </c>
      <c r="C515" s="1">
        <v>46044</v>
      </c>
      <c r="D515" t="s">
        <v>25</v>
      </c>
      <c r="E515" t="s">
        <v>26</v>
      </c>
      <c r="F515" t="s">
        <v>39</v>
      </c>
      <c r="G515" t="s">
        <v>40</v>
      </c>
      <c r="H515" t="s">
        <v>29</v>
      </c>
      <c r="I515" t="s">
        <v>30</v>
      </c>
      <c r="J515" t="s">
        <v>70</v>
      </c>
      <c r="K515" t="s">
        <v>42</v>
      </c>
      <c r="L515" t="s">
        <v>396</v>
      </c>
      <c r="M515" s="4">
        <v>1</v>
      </c>
      <c r="N515" s="4">
        <v>1</v>
      </c>
      <c r="O515" s="2">
        <v>1</v>
      </c>
      <c r="P515" s="3">
        <v>0.46</v>
      </c>
      <c r="Q515" s="3">
        <v>0.46</v>
      </c>
      <c r="R515" s="3">
        <v>0</v>
      </c>
      <c r="S515" s="2"/>
      <c r="T515" s="5">
        <v>0</v>
      </c>
      <c r="U515" s="4">
        <v>0</v>
      </c>
      <c r="V515" s="4">
        <v>0</v>
      </c>
      <c r="W515" s="2">
        <v>0</v>
      </c>
      <c r="X515" s="4">
        <v>0</v>
      </c>
      <c r="Y515" s="4">
        <v>0</v>
      </c>
      <c r="Z515" s="3">
        <v>0</v>
      </c>
      <c r="AA515" s="3">
        <v>0</v>
      </c>
    </row>
    <row r="516" spans="1:27" x14ac:dyDescent="0.2">
      <c r="A516">
        <f t="shared" si="16"/>
        <v>1</v>
      </c>
      <c r="B516">
        <f t="shared" si="17"/>
        <v>5</v>
      </c>
      <c r="C516" s="1">
        <v>46053</v>
      </c>
      <c r="D516" t="s">
        <v>25</v>
      </c>
      <c r="E516" t="s">
        <v>26</v>
      </c>
      <c r="F516" t="s">
        <v>27</v>
      </c>
      <c r="G516" t="s">
        <v>124</v>
      </c>
      <c r="H516" t="s">
        <v>29</v>
      </c>
      <c r="I516" t="s">
        <v>30</v>
      </c>
      <c r="J516" t="s">
        <v>311</v>
      </c>
      <c r="K516" t="s">
        <v>87</v>
      </c>
      <c r="L516" t="s">
        <v>311</v>
      </c>
      <c r="M516" s="4">
        <v>4</v>
      </c>
      <c r="N516" s="4">
        <v>1</v>
      </c>
      <c r="O516" s="2">
        <v>0.25</v>
      </c>
      <c r="P516" s="3">
        <v>0.2</v>
      </c>
      <c r="Q516" s="3">
        <v>0.2</v>
      </c>
      <c r="R516" s="3">
        <v>0</v>
      </c>
      <c r="S516" s="2"/>
      <c r="T516" s="5">
        <v>0</v>
      </c>
      <c r="U516" s="4">
        <v>0</v>
      </c>
      <c r="V516" s="4">
        <v>0</v>
      </c>
      <c r="W516" s="2">
        <v>0</v>
      </c>
      <c r="X516" s="4">
        <v>0</v>
      </c>
      <c r="Y516" s="4">
        <v>0</v>
      </c>
      <c r="Z516" s="3">
        <v>0</v>
      </c>
      <c r="AA516" s="3">
        <v>0</v>
      </c>
    </row>
    <row r="517" spans="1:27" x14ac:dyDescent="0.2">
      <c r="A517">
        <f t="shared" si="16"/>
        <v>1</v>
      </c>
      <c r="B517">
        <f t="shared" si="17"/>
        <v>4</v>
      </c>
      <c r="C517" s="1">
        <v>46044</v>
      </c>
      <c r="D517" t="s">
        <v>25</v>
      </c>
      <c r="E517" t="s">
        <v>26</v>
      </c>
      <c r="F517" t="s">
        <v>39</v>
      </c>
      <c r="G517" t="s">
        <v>40</v>
      </c>
      <c r="H517" t="s">
        <v>29</v>
      </c>
      <c r="I517" t="s">
        <v>30</v>
      </c>
      <c r="J517" t="s">
        <v>41</v>
      </c>
      <c r="K517" t="s">
        <v>42</v>
      </c>
      <c r="L517" t="s">
        <v>311</v>
      </c>
      <c r="M517" s="4">
        <v>4</v>
      </c>
      <c r="N517" s="4">
        <v>1</v>
      </c>
      <c r="O517" s="2">
        <v>0.25</v>
      </c>
      <c r="P517" s="3">
        <v>0.72</v>
      </c>
      <c r="Q517" s="3">
        <v>0.72</v>
      </c>
      <c r="R517" s="3">
        <v>0</v>
      </c>
      <c r="S517" s="2"/>
      <c r="T517" s="5">
        <v>0</v>
      </c>
      <c r="U517" s="4">
        <v>0</v>
      </c>
      <c r="V517" s="4">
        <v>0</v>
      </c>
      <c r="W517" s="2">
        <v>0</v>
      </c>
      <c r="X517" s="4">
        <v>0</v>
      </c>
      <c r="Y517" s="4">
        <v>0</v>
      </c>
      <c r="Z517" s="3">
        <v>0</v>
      </c>
      <c r="AA517" s="3">
        <v>0</v>
      </c>
    </row>
    <row r="518" spans="1:27" x14ac:dyDescent="0.2">
      <c r="A518">
        <f t="shared" si="16"/>
        <v>1</v>
      </c>
      <c r="B518">
        <f t="shared" si="17"/>
        <v>5</v>
      </c>
      <c r="C518" s="1">
        <v>46049</v>
      </c>
      <c r="D518" t="s">
        <v>25</v>
      </c>
      <c r="E518" t="s">
        <v>26</v>
      </c>
      <c r="F518" t="s">
        <v>34</v>
      </c>
      <c r="G518" t="s">
        <v>28</v>
      </c>
      <c r="H518" t="s">
        <v>29</v>
      </c>
      <c r="I518" t="s">
        <v>30</v>
      </c>
      <c r="J518" t="s">
        <v>154</v>
      </c>
      <c r="K518" t="s">
        <v>32</v>
      </c>
      <c r="L518" t="s">
        <v>154</v>
      </c>
      <c r="M518" s="4">
        <v>1</v>
      </c>
      <c r="N518" s="4">
        <v>1</v>
      </c>
      <c r="O518" s="2">
        <v>1</v>
      </c>
      <c r="P518" s="3">
        <v>0.65</v>
      </c>
      <c r="Q518" s="3">
        <v>0.65</v>
      </c>
      <c r="R518" s="3">
        <v>0</v>
      </c>
      <c r="S518" s="2"/>
      <c r="T518" s="5">
        <v>0</v>
      </c>
      <c r="U518" s="4">
        <v>0</v>
      </c>
      <c r="V518" s="4">
        <v>0</v>
      </c>
      <c r="W518" s="2">
        <v>0</v>
      </c>
      <c r="X518" s="4">
        <v>0</v>
      </c>
      <c r="Y518" s="4">
        <v>0</v>
      </c>
      <c r="Z518" s="3">
        <v>0</v>
      </c>
      <c r="AA518" s="3">
        <v>0</v>
      </c>
    </row>
    <row r="519" spans="1:27" x14ac:dyDescent="0.2">
      <c r="A519">
        <f t="shared" si="16"/>
        <v>1</v>
      </c>
      <c r="B519">
        <f t="shared" si="17"/>
        <v>4</v>
      </c>
      <c r="C519" s="1">
        <v>46045</v>
      </c>
      <c r="D519" t="s">
        <v>25</v>
      </c>
      <c r="E519" t="s">
        <v>26</v>
      </c>
      <c r="F519" t="s">
        <v>39</v>
      </c>
      <c r="G519" t="s">
        <v>40</v>
      </c>
      <c r="H519" t="s">
        <v>29</v>
      </c>
      <c r="I519" t="s">
        <v>30</v>
      </c>
      <c r="J519" t="s">
        <v>393</v>
      </c>
      <c r="K519" t="s">
        <v>42</v>
      </c>
      <c r="L519" t="s">
        <v>397</v>
      </c>
      <c r="M519" s="4">
        <v>2</v>
      </c>
      <c r="N519" s="4">
        <v>1</v>
      </c>
      <c r="O519" s="2">
        <v>0.5</v>
      </c>
      <c r="P519" s="3">
        <v>0.69</v>
      </c>
      <c r="Q519" s="3">
        <v>0.69</v>
      </c>
      <c r="R519" s="3">
        <v>0</v>
      </c>
      <c r="S519" s="2"/>
      <c r="T519" s="5">
        <v>0</v>
      </c>
      <c r="U519" s="4">
        <v>0</v>
      </c>
      <c r="V519" s="4">
        <v>0</v>
      </c>
      <c r="W519" s="2">
        <v>0</v>
      </c>
      <c r="X519" s="4">
        <v>0</v>
      </c>
      <c r="Y519" s="4">
        <v>0</v>
      </c>
      <c r="Z519" s="3">
        <v>0</v>
      </c>
      <c r="AA519" s="3">
        <v>0</v>
      </c>
    </row>
    <row r="520" spans="1:27" x14ac:dyDescent="0.2">
      <c r="A520">
        <f t="shared" si="16"/>
        <v>1</v>
      </c>
      <c r="B520">
        <f t="shared" si="17"/>
        <v>5</v>
      </c>
      <c r="C520" s="1">
        <v>46049</v>
      </c>
      <c r="D520" t="s">
        <v>25</v>
      </c>
      <c r="E520" t="s">
        <v>26</v>
      </c>
      <c r="F520" t="s">
        <v>49</v>
      </c>
      <c r="G520" t="s">
        <v>50</v>
      </c>
      <c r="H520" t="s">
        <v>29</v>
      </c>
      <c r="I520" t="s">
        <v>30</v>
      </c>
      <c r="J520" t="s">
        <v>95</v>
      </c>
      <c r="K520" t="s">
        <v>42</v>
      </c>
      <c r="L520" t="s">
        <v>398</v>
      </c>
      <c r="M520" s="4">
        <v>1</v>
      </c>
      <c r="N520" s="4">
        <v>1</v>
      </c>
      <c r="O520" s="2">
        <v>1</v>
      </c>
      <c r="P520" s="3">
        <v>0.35</v>
      </c>
      <c r="Q520" s="3">
        <v>0.35</v>
      </c>
      <c r="R520" s="3">
        <v>0</v>
      </c>
      <c r="S520" s="2"/>
      <c r="T520" s="5">
        <v>0</v>
      </c>
      <c r="U520" s="4">
        <v>0</v>
      </c>
      <c r="V520" s="4">
        <v>0</v>
      </c>
      <c r="W520" s="2">
        <v>0</v>
      </c>
      <c r="X520" s="4">
        <v>0</v>
      </c>
      <c r="Y520" s="4">
        <v>0</v>
      </c>
      <c r="Z520" s="3">
        <v>0</v>
      </c>
      <c r="AA520" s="3">
        <v>0</v>
      </c>
    </row>
    <row r="521" spans="1:27" x14ac:dyDescent="0.2">
      <c r="A521">
        <f t="shared" si="16"/>
        <v>1</v>
      </c>
      <c r="B521">
        <f t="shared" si="17"/>
        <v>5</v>
      </c>
      <c r="C521" s="1">
        <v>46052</v>
      </c>
      <c r="D521" t="s">
        <v>25</v>
      </c>
      <c r="E521" t="s">
        <v>26</v>
      </c>
      <c r="F521" t="s">
        <v>27</v>
      </c>
      <c r="G521" t="s">
        <v>28</v>
      </c>
      <c r="H521" t="s">
        <v>29</v>
      </c>
      <c r="I521" t="s">
        <v>30</v>
      </c>
      <c r="J521" t="s">
        <v>156</v>
      </c>
      <c r="K521" t="s">
        <v>32</v>
      </c>
      <c r="L521" t="s">
        <v>399</v>
      </c>
      <c r="M521" s="4">
        <v>5</v>
      </c>
      <c r="N521" s="4">
        <v>1</v>
      </c>
      <c r="O521" s="2">
        <v>0.2</v>
      </c>
      <c r="P521" s="3">
        <v>0.23</v>
      </c>
      <c r="Q521" s="3">
        <v>0.23</v>
      </c>
      <c r="R521" s="3">
        <v>0</v>
      </c>
      <c r="S521" s="2"/>
      <c r="T521" s="5">
        <v>0</v>
      </c>
      <c r="U521" s="4">
        <v>0</v>
      </c>
      <c r="V521" s="4">
        <v>0</v>
      </c>
      <c r="W521" s="2">
        <v>0</v>
      </c>
      <c r="X521" s="4">
        <v>0</v>
      </c>
      <c r="Y521" s="4">
        <v>0</v>
      </c>
      <c r="Z521" s="3">
        <v>0</v>
      </c>
      <c r="AA521" s="3">
        <v>0</v>
      </c>
    </row>
    <row r="522" spans="1:27" x14ac:dyDescent="0.2">
      <c r="A522">
        <f t="shared" si="16"/>
        <v>2</v>
      </c>
      <c r="B522">
        <f t="shared" si="17"/>
        <v>8</v>
      </c>
      <c r="C522" s="1">
        <v>46074</v>
      </c>
      <c r="D522" t="s">
        <v>25</v>
      </c>
      <c r="E522" t="s">
        <v>26</v>
      </c>
      <c r="F522" t="s">
        <v>27</v>
      </c>
      <c r="G522" t="s">
        <v>28</v>
      </c>
      <c r="H522" t="s">
        <v>29</v>
      </c>
      <c r="I522" t="s">
        <v>30</v>
      </c>
      <c r="J522" t="s">
        <v>144</v>
      </c>
      <c r="K522" t="s">
        <v>32</v>
      </c>
      <c r="L522" t="s">
        <v>400</v>
      </c>
      <c r="M522" s="4">
        <v>2</v>
      </c>
      <c r="N522" s="4">
        <v>1</v>
      </c>
      <c r="O522" s="2">
        <v>0.5</v>
      </c>
      <c r="P522" s="3">
        <v>0.4</v>
      </c>
      <c r="Q522" s="3">
        <v>0.4</v>
      </c>
      <c r="R522" s="3">
        <v>0</v>
      </c>
      <c r="S522" s="2"/>
      <c r="T522" s="5">
        <v>0</v>
      </c>
      <c r="U522" s="4">
        <v>0</v>
      </c>
      <c r="V522" s="4">
        <v>0</v>
      </c>
      <c r="W522" s="2">
        <v>0</v>
      </c>
      <c r="X522" s="4">
        <v>0</v>
      </c>
      <c r="Y522" s="4">
        <v>0</v>
      </c>
      <c r="Z522" s="3">
        <v>0</v>
      </c>
      <c r="AA522" s="3">
        <v>0</v>
      </c>
    </row>
    <row r="523" spans="1:27" x14ac:dyDescent="0.2">
      <c r="A523">
        <f t="shared" si="16"/>
        <v>2</v>
      </c>
      <c r="B523">
        <f t="shared" si="17"/>
        <v>7</v>
      </c>
      <c r="C523" s="1">
        <v>46063</v>
      </c>
      <c r="D523" t="s">
        <v>25</v>
      </c>
      <c r="E523" t="s">
        <v>26</v>
      </c>
      <c r="F523" t="s">
        <v>61</v>
      </c>
      <c r="G523" t="s">
        <v>62</v>
      </c>
      <c r="H523" t="s">
        <v>29</v>
      </c>
      <c r="I523" t="s">
        <v>30</v>
      </c>
      <c r="J523" t="s">
        <v>95</v>
      </c>
      <c r="K523" t="s">
        <v>42</v>
      </c>
      <c r="L523" t="s">
        <v>401</v>
      </c>
      <c r="M523" s="4">
        <v>5</v>
      </c>
      <c r="N523" s="4">
        <v>1</v>
      </c>
      <c r="O523" s="2">
        <v>0.2</v>
      </c>
      <c r="P523" s="3">
        <v>1.1100000000000001</v>
      </c>
      <c r="Q523" s="3">
        <v>1.1100000000000001</v>
      </c>
      <c r="R523" s="3">
        <v>0</v>
      </c>
      <c r="S523" s="2"/>
      <c r="T523" s="5">
        <v>0</v>
      </c>
      <c r="U523" s="4">
        <v>0</v>
      </c>
      <c r="V523" s="4">
        <v>0</v>
      </c>
      <c r="W523" s="2">
        <v>0</v>
      </c>
      <c r="X523" s="4">
        <v>0</v>
      </c>
      <c r="Y523" s="4">
        <v>0</v>
      </c>
      <c r="Z523" s="3">
        <v>0</v>
      </c>
      <c r="AA523" s="3">
        <v>0</v>
      </c>
    </row>
    <row r="524" spans="1:27" x14ac:dyDescent="0.2">
      <c r="A524">
        <f t="shared" si="16"/>
        <v>2</v>
      </c>
      <c r="B524">
        <f t="shared" si="17"/>
        <v>7</v>
      </c>
      <c r="C524" s="1">
        <v>46067</v>
      </c>
      <c r="D524" t="s">
        <v>25</v>
      </c>
      <c r="E524" t="s">
        <v>26</v>
      </c>
      <c r="F524" t="s">
        <v>49</v>
      </c>
      <c r="G524" t="s">
        <v>50</v>
      </c>
      <c r="H524" t="s">
        <v>29</v>
      </c>
      <c r="I524" t="s">
        <v>30</v>
      </c>
      <c r="J524" t="s">
        <v>51</v>
      </c>
      <c r="K524" t="s">
        <v>42</v>
      </c>
      <c r="L524" t="s">
        <v>402</v>
      </c>
      <c r="M524" s="4">
        <v>3</v>
      </c>
      <c r="N524" s="4">
        <v>1</v>
      </c>
      <c r="O524" s="2">
        <v>0.33333333333333331</v>
      </c>
      <c r="P524" s="3">
        <v>0.43</v>
      </c>
      <c r="Q524" s="3">
        <v>0.43</v>
      </c>
      <c r="R524" s="3">
        <v>0</v>
      </c>
      <c r="S524" s="2"/>
      <c r="T524" s="5">
        <v>0</v>
      </c>
      <c r="U524" s="4">
        <v>0</v>
      </c>
      <c r="V524" s="4">
        <v>0</v>
      </c>
      <c r="W524" s="2">
        <v>0</v>
      </c>
      <c r="X524" s="4">
        <v>0</v>
      </c>
      <c r="Y524" s="4">
        <v>0</v>
      </c>
      <c r="Z524" s="3">
        <v>0</v>
      </c>
      <c r="AA524" s="3">
        <v>0</v>
      </c>
    </row>
    <row r="525" spans="1:27" x14ac:dyDescent="0.2">
      <c r="A525">
        <f t="shared" si="16"/>
        <v>2</v>
      </c>
      <c r="B525">
        <f t="shared" si="17"/>
        <v>7</v>
      </c>
      <c r="C525" s="1">
        <v>46067</v>
      </c>
      <c r="D525" t="s">
        <v>25</v>
      </c>
      <c r="E525" t="s">
        <v>26</v>
      </c>
      <c r="F525" t="s">
        <v>49</v>
      </c>
      <c r="G525" t="s">
        <v>50</v>
      </c>
      <c r="H525" t="s">
        <v>29</v>
      </c>
      <c r="I525" t="s">
        <v>30</v>
      </c>
      <c r="J525" t="s">
        <v>51</v>
      </c>
      <c r="K525" t="s">
        <v>42</v>
      </c>
      <c r="L525" t="s">
        <v>403</v>
      </c>
      <c r="M525" s="4">
        <v>1</v>
      </c>
      <c r="N525" s="4">
        <v>1</v>
      </c>
      <c r="O525" s="2">
        <v>1</v>
      </c>
      <c r="P525" s="3">
        <v>0.47</v>
      </c>
      <c r="Q525" s="3">
        <v>0.47</v>
      </c>
      <c r="R525" s="3">
        <v>0</v>
      </c>
      <c r="S525" s="2"/>
      <c r="T525" s="5">
        <v>0</v>
      </c>
      <c r="U525" s="4">
        <v>0</v>
      </c>
      <c r="V525" s="4">
        <v>0</v>
      </c>
      <c r="W525" s="2">
        <v>0</v>
      </c>
      <c r="X525" s="4">
        <v>0</v>
      </c>
      <c r="Y525" s="4">
        <v>0</v>
      </c>
      <c r="Z525" s="3">
        <v>0</v>
      </c>
      <c r="AA525" s="3">
        <v>0</v>
      </c>
    </row>
    <row r="526" spans="1:27" x14ac:dyDescent="0.2">
      <c r="A526">
        <f t="shared" si="16"/>
        <v>2</v>
      </c>
      <c r="B526">
        <f t="shared" si="17"/>
        <v>6</v>
      </c>
      <c r="C526" s="1">
        <v>46055</v>
      </c>
      <c r="D526" t="s">
        <v>25</v>
      </c>
      <c r="E526" t="s">
        <v>26</v>
      </c>
      <c r="F526" t="s">
        <v>49</v>
      </c>
      <c r="G526" t="s">
        <v>50</v>
      </c>
      <c r="H526" t="s">
        <v>29</v>
      </c>
      <c r="I526" t="s">
        <v>30</v>
      </c>
      <c r="J526" t="s">
        <v>51</v>
      </c>
      <c r="K526" t="s">
        <v>42</v>
      </c>
      <c r="L526" t="s">
        <v>59</v>
      </c>
      <c r="M526" s="4">
        <v>3</v>
      </c>
      <c r="N526" s="4">
        <v>1</v>
      </c>
      <c r="O526" s="2">
        <v>0.33333333333333331</v>
      </c>
      <c r="P526" s="3">
        <v>0.23</v>
      </c>
      <c r="Q526" s="3">
        <v>0.23</v>
      </c>
      <c r="R526" s="3">
        <v>0</v>
      </c>
      <c r="S526" s="2"/>
      <c r="T526" s="5">
        <v>0</v>
      </c>
      <c r="U526" s="4">
        <v>0</v>
      </c>
      <c r="V526" s="4">
        <v>0</v>
      </c>
      <c r="W526" s="2">
        <v>0</v>
      </c>
      <c r="X526" s="4">
        <v>0</v>
      </c>
      <c r="Y526" s="4">
        <v>0</v>
      </c>
      <c r="Z526" s="3">
        <v>0</v>
      </c>
      <c r="AA526" s="3">
        <v>0</v>
      </c>
    </row>
    <row r="527" spans="1:27" x14ac:dyDescent="0.2">
      <c r="A527">
        <f t="shared" si="16"/>
        <v>2</v>
      </c>
      <c r="B527">
        <f t="shared" si="17"/>
        <v>8</v>
      </c>
      <c r="C527" s="1">
        <v>46068</v>
      </c>
      <c r="D527" t="s">
        <v>25</v>
      </c>
      <c r="E527" t="s">
        <v>26</v>
      </c>
      <c r="F527" t="s">
        <v>49</v>
      </c>
      <c r="G527" t="s">
        <v>50</v>
      </c>
      <c r="H527" t="s">
        <v>29</v>
      </c>
      <c r="I527" t="s">
        <v>30</v>
      </c>
      <c r="J527" t="s">
        <v>51</v>
      </c>
      <c r="K527" t="s">
        <v>42</v>
      </c>
      <c r="L527" t="s">
        <v>404</v>
      </c>
      <c r="M527" s="4">
        <v>4</v>
      </c>
      <c r="N527" s="4">
        <v>1</v>
      </c>
      <c r="O527" s="2">
        <v>0.25</v>
      </c>
      <c r="P527" s="3">
        <v>0.41</v>
      </c>
      <c r="Q527" s="3">
        <v>0.41</v>
      </c>
      <c r="R527" s="3">
        <v>0</v>
      </c>
      <c r="S527" s="2"/>
      <c r="T527" s="5">
        <v>0</v>
      </c>
      <c r="U527" s="4">
        <v>0</v>
      </c>
      <c r="V527" s="4">
        <v>0</v>
      </c>
      <c r="W527" s="2">
        <v>0</v>
      </c>
      <c r="X527" s="4">
        <v>0</v>
      </c>
      <c r="Y527" s="4">
        <v>0</v>
      </c>
      <c r="Z527" s="3">
        <v>0</v>
      </c>
      <c r="AA527" s="3">
        <v>0</v>
      </c>
    </row>
    <row r="528" spans="1:27" x14ac:dyDescent="0.2">
      <c r="A528">
        <f t="shared" si="16"/>
        <v>2</v>
      </c>
      <c r="B528">
        <f t="shared" si="17"/>
        <v>8</v>
      </c>
      <c r="C528" s="1">
        <v>46069</v>
      </c>
      <c r="D528" t="s">
        <v>25</v>
      </c>
      <c r="E528" t="s">
        <v>26</v>
      </c>
      <c r="F528" t="s">
        <v>49</v>
      </c>
      <c r="G528" t="s">
        <v>50</v>
      </c>
      <c r="H528" t="s">
        <v>29</v>
      </c>
      <c r="I528" t="s">
        <v>30</v>
      </c>
      <c r="J528" t="s">
        <v>51</v>
      </c>
      <c r="K528" t="s">
        <v>42</v>
      </c>
      <c r="L528" t="s">
        <v>405</v>
      </c>
      <c r="M528" s="4">
        <v>3</v>
      </c>
      <c r="N528" s="4">
        <v>1</v>
      </c>
      <c r="O528" s="2">
        <v>0.33333333333333331</v>
      </c>
      <c r="P528" s="3">
        <v>0.49</v>
      </c>
      <c r="Q528" s="3">
        <v>0.49</v>
      </c>
      <c r="R528" s="3">
        <v>0</v>
      </c>
      <c r="S528" s="2"/>
      <c r="T528" s="5">
        <v>0</v>
      </c>
      <c r="U528" s="4">
        <v>0</v>
      </c>
      <c r="V528" s="4">
        <v>0</v>
      </c>
      <c r="W528" s="2">
        <v>0</v>
      </c>
      <c r="X528" s="4">
        <v>0</v>
      </c>
      <c r="Y528" s="4">
        <v>0</v>
      </c>
      <c r="Z528" s="3">
        <v>0</v>
      </c>
      <c r="AA528" s="3">
        <v>0</v>
      </c>
    </row>
    <row r="529" spans="1:27" x14ac:dyDescent="0.2">
      <c r="A529">
        <f t="shared" si="16"/>
        <v>2</v>
      </c>
      <c r="B529">
        <f t="shared" si="17"/>
        <v>7</v>
      </c>
      <c r="C529" s="1">
        <v>46067</v>
      </c>
      <c r="D529" t="s">
        <v>25</v>
      </c>
      <c r="E529" t="s">
        <v>26</v>
      </c>
      <c r="F529" t="s">
        <v>49</v>
      </c>
      <c r="G529" t="s">
        <v>50</v>
      </c>
      <c r="H529" t="s">
        <v>29</v>
      </c>
      <c r="I529" t="s">
        <v>30</v>
      </c>
      <c r="J529" t="s">
        <v>51</v>
      </c>
      <c r="K529" t="s">
        <v>42</v>
      </c>
      <c r="L529" t="s">
        <v>406</v>
      </c>
      <c r="M529" s="4">
        <v>7</v>
      </c>
      <c r="N529" s="4">
        <v>1</v>
      </c>
      <c r="O529" s="2">
        <v>0.14285714285714285</v>
      </c>
      <c r="P529" s="3">
        <v>0.43</v>
      </c>
      <c r="Q529" s="3">
        <v>0.43</v>
      </c>
      <c r="R529" s="3">
        <v>0</v>
      </c>
      <c r="S529" s="2"/>
      <c r="T529" s="5">
        <v>0</v>
      </c>
      <c r="U529" s="4">
        <v>0</v>
      </c>
      <c r="V529" s="4">
        <v>0</v>
      </c>
      <c r="W529" s="2">
        <v>0</v>
      </c>
      <c r="X529" s="4">
        <v>0</v>
      </c>
      <c r="Y529" s="4">
        <v>0</v>
      </c>
      <c r="Z529" s="3">
        <v>0</v>
      </c>
      <c r="AA529" s="3">
        <v>0</v>
      </c>
    </row>
    <row r="530" spans="1:27" x14ac:dyDescent="0.2">
      <c r="A530">
        <f t="shared" si="16"/>
        <v>2</v>
      </c>
      <c r="B530">
        <f t="shared" si="17"/>
        <v>7</v>
      </c>
      <c r="C530" s="1">
        <v>46067</v>
      </c>
      <c r="D530" t="s">
        <v>25</v>
      </c>
      <c r="E530" t="s">
        <v>26</v>
      </c>
      <c r="F530" t="s">
        <v>61</v>
      </c>
      <c r="G530" t="s">
        <v>62</v>
      </c>
      <c r="H530" t="s">
        <v>29</v>
      </c>
      <c r="I530" t="s">
        <v>30</v>
      </c>
      <c r="J530" t="s">
        <v>51</v>
      </c>
      <c r="K530" t="s">
        <v>42</v>
      </c>
      <c r="L530" t="s">
        <v>407</v>
      </c>
      <c r="M530" s="4">
        <v>1</v>
      </c>
      <c r="N530" s="4">
        <v>1</v>
      </c>
      <c r="O530" s="2">
        <v>1</v>
      </c>
      <c r="P530" s="3">
        <v>0.95</v>
      </c>
      <c r="Q530" s="3">
        <v>0.95</v>
      </c>
      <c r="R530" s="3">
        <v>0</v>
      </c>
      <c r="S530" s="2"/>
      <c r="T530" s="5">
        <v>0</v>
      </c>
      <c r="U530" s="4">
        <v>0</v>
      </c>
      <c r="V530" s="4">
        <v>0</v>
      </c>
      <c r="W530" s="2">
        <v>0</v>
      </c>
      <c r="X530" s="4">
        <v>0</v>
      </c>
      <c r="Y530" s="4">
        <v>0</v>
      </c>
      <c r="Z530" s="3">
        <v>0</v>
      </c>
      <c r="AA530" s="3">
        <v>0</v>
      </c>
    </row>
    <row r="531" spans="1:27" x14ac:dyDescent="0.2">
      <c r="A531">
        <f t="shared" si="16"/>
        <v>2</v>
      </c>
      <c r="B531">
        <f t="shared" si="17"/>
        <v>8</v>
      </c>
      <c r="C531" s="1">
        <v>46070</v>
      </c>
      <c r="D531" t="s">
        <v>25</v>
      </c>
      <c r="E531" t="s">
        <v>26</v>
      </c>
      <c r="F531" t="s">
        <v>61</v>
      </c>
      <c r="G531" t="s">
        <v>62</v>
      </c>
      <c r="H531" t="s">
        <v>29</v>
      </c>
      <c r="I531" t="s">
        <v>30</v>
      </c>
      <c r="J531" t="s">
        <v>51</v>
      </c>
      <c r="K531" t="s">
        <v>42</v>
      </c>
      <c r="L531" t="s">
        <v>408</v>
      </c>
      <c r="M531" s="4">
        <v>1</v>
      </c>
      <c r="N531" s="4">
        <v>1</v>
      </c>
      <c r="O531" s="2">
        <v>1</v>
      </c>
      <c r="P531" s="3">
        <v>1.1399999999999999</v>
      </c>
      <c r="Q531" s="3">
        <v>1.1399999999999999</v>
      </c>
      <c r="R531" s="3">
        <v>0</v>
      </c>
      <c r="S531" s="2"/>
      <c r="T531" s="5">
        <v>0</v>
      </c>
      <c r="U531" s="4">
        <v>0</v>
      </c>
      <c r="V531" s="4">
        <v>0</v>
      </c>
      <c r="W531" s="2">
        <v>0</v>
      </c>
      <c r="X531" s="4">
        <v>0</v>
      </c>
      <c r="Y531" s="4">
        <v>0</v>
      </c>
      <c r="Z531" s="3">
        <v>0</v>
      </c>
      <c r="AA531" s="3">
        <v>0</v>
      </c>
    </row>
    <row r="532" spans="1:27" x14ac:dyDescent="0.2">
      <c r="A532">
        <f t="shared" si="16"/>
        <v>2</v>
      </c>
      <c r="B532">
        <f t="shared" si="17"/>
        <v>7</v>
      </c>
      <c r="C532" s="1">
        <v>46062</v>
      </c>
      <c r="D532" t="s">
        <v>25</v>
      </c>
      <c r="E532" t="s">
        <v>26</v>
      </c>
      <c r="F532" t="s">
        <v>49</v>
      </c>
      <c r="G532" t="s">
        <v>50</v>
      </c>
      <c r="H532" t="s">
        <v>29</v>
      </c>
      <c r="I532" t="s">
        <v>30</v>
      </c>
      <c r="J532" t="s">
        <v>51</v>
      </c>
      <c r="K532" t="s">
        <v>42</v>
      </c>
      <c r="L532" t="s">
        <v>409</v>
      </c>
      <c r="M532" s="4">
        <v>1</v>
      </c>
      <c r="N532" s="4">
        <v>1</v>
      </c>
      <c r="O532" s="2">
        <v>1</v>
      </c>
      <c r="P532" s="3">
        <v>0.1</v>
      </c>
      <c r="Q532" s="3">
        <v>0.1</v>
      </c>
      <c r="R532" s="3">
        <v>0</v>
      </c>
      <c r="S532" s="2"/>
      <c r="T532" s="5">
        <v>0</v>
      </c>
      <c r="U532" s="4">
        <v>0</v>
      </c>
      <c r="V532" s="4">
        <v>0</v>
      </c>
      <c r="W532" s="2">
        <v>0</v>
      </c>
      <c r="X532" s="4">
        <v>0</v>
      </c>
      <c r="Y532" s="4">
        <v>0</v>
      </c>
      <c r="Z532" s="3">
        <v>0</v>
      </c>
      <c r="AA532" s="3">
        <v>0</v>
      </c>
    </row>
    <row r="533" spans="1:27" x14ac:dyDescent="0.2">
      <c r="A533">
        <f t="shared" si="16"/>
        <v>2</v>
      </c>
      <c r="B533">
        <f t="shared" si="17"/>
        <v>6</v>
      </c>
      <c r="C533" s="1">
        <v>46056</v>
      </c>
      <c r="D533" t="s">
        <v>25</v>
      </c>
      <c r="E533" t="s">
        <v>26</v>
      </c>
      <c r="F533" t="s">
        <v>49</v>
      </c>
      <c r="G533" t="s">
        <v>50</v>
      </c>
      <c r="H533" t="s">
        <v>29</v>
      </c>
      <c r="I533" t="s">
        <v>30</v>
      </c>
      <c r="J533" t="s">
        <v>51</v>
      </c>
      <c r="K533" t="s">
        <v>42</v>
      </c>
      <c r="L533" t="s">
        <v>410</v>
      </c>
      <c r="M533" s="4">
        <v>3</v>
      </c>
      <c r="N533" s="4">
        <v>1</v>
      </c>
      <c r="O533" s="2">
        <v>0.33333333333333331</v>
      </c>
      <c r="P533" s="3">
        <v>0.48</v>
      </c>
      <c r="Q533" s="3">
        <v>0.48</v>
      </c>
      <c r="R533" s="3">
        <v>0</v>
      </c>
      <c r="S533" s="2"/>
      <c r="T533" s="5">
        <v>0</v>
      </c>
      <c r="U533" s="4">
        <v>0</v>
      </c>
      <c r="V533" s="4">
        <v>0</v>
      </c>
      <c r="W533" s="2">
        <v>0</v>
      </c>
      <c r="X533" s="4">
        <v>0</v>
      </c>
      <c r="Y533" s="4">
        <v>0</v>
      </c>
      <c r="Z533" s="3">
        <v>0</v>
      </c>
      <c r="AA533" s="3">
        <v>0</v>
      </c>
    </row>
    <row r="534" spans="1:27" x14ac:dyDescent="0.2">
      <c r="A534">
        <f t="shared" si="16"/>
        <v>2</v>
      </c>
      <c r="B534">
        <f t="shared" si="17"/>
        <v>7</v>
      </c>
      <c r="C534" s="1">
        <v>46063</v>
      </c>
      <c r="D534" t="s">
        <v>25</v>
      </c>
      <c r="E534" t="s">
        <v>26</v>
      </c>
      <c r="F534" t="s">
        <v>49</v>
      </c>
      <c r="G534" t="s">
        <v>50</v>
      </c>
      <c r="H534" t="s">
        <v>29</v>
      </c>
      <c r="I534" t="s">
        <v>30</v>
      </c>
      <c r="J534" t="s">
        <v>51</v>
      </c>
      <c r="K534" t="s">
        <v>42</v>
      </c>
      <c r="L534" t="s">
        <v>68</v>
      </c>
      <c r="M534" s="4">
        <v>8</v>
      </c>
      <c r="N534" s="4">
        <v>2</v>
      </c>
      <c r="O534" s="2">
        <v>0.25</v>
      </c>
      <c r="P534" s="3">
        <v>0.42</v>
      </c>
      <c r="Q534" s="3">
        <v>0.84</v>
      </c>
      <c r="R534" s="3">
        <v>0</v>
      </c>
      <c r="S534" s="2"/>
      <c r="T534" s="5">
        <v>0</v>
      </c>
      <c r="U534" s="4">
        <v>0</v>
      </c>
      <c r="V534" s="4">
        <v>0</v>
      </c>
      <c r="W534" s="2">
        <v>0</v>
      </c>
      <c r="X534" s="4">
        <v>0</v>
      </c>
      <c r="Y534" s="4">
        <v>0</v>
      </c>
      <c r="Z534" s="3">
        <v>0</v>
      </c>
      <c r="AA534" s="3">
        <v>0</v>
      </c>
    </row>
    <row r="535" spans="1:27" x14ac:dyDescent="0.2">
      <c r="A535">
        <f t="shared" si="16"/>
        <v>2</v>
      </c>
      <c r="B535">
        <f t="shared" si="17"/>
        <v>6</v>
      </c>
      <c r="C535" s="1">
        <v>46055</v>
      </c>
      <c r="D535" t="s">
        <v>25</v>
      </c>
      <c r="E535" t="s">
        <v>26</v>
      </c>
      <c r="F535" t="s">
        <v>39</v>
      </c>
      <c r="G535" t="s">
        <v>40</v>
      </c>
      <c r="H535" t="s">
        <v>29</v>
      </c>
      <c r="I535" t="s">
        <v>30</v>
      </c>
      <c r="J535" t="s">
        <v>411</v>
      </c>
      <c r="K535" t="s">
        <v>42</v>
      </c>
      <c r="L535" t="s">
        <v>68</v>
      </c>
      <c r="M535" s="4">
        <v>48</v>
      </c>
      <c r="N535" s="4">
        <v>1</v>
      </c>
      <c r="O535" s="2">
        <v>2.0833333333333329E-2</v>
      </c>
      <c r="P535" s="3">
        <v>0.48</v>
      </c>
      <c r="Q535" s="3">
        <v>0.48</v>
      </c>
      <c r="R535" s="3">
        <v>0</v>
      </c>
      <c r="S535" s="2"/>
      <c r="T535" s="5">
        <v>0</v>
      </c>
      <c r="U535" s="4">
        <v>0</v>
      </c>
      <c r="V535" s="4">
        <v>0</v>
      </c>
      <c r="W535" s="2">
        <v>0</v>
      </c>
      <c r="X535" s="4">
        <v>0</v>
      </c>
      <c r="Y535" s="4">
        <v>0</v>
      </c>
      <c r="Z535" s="3">
        <v>0</v>
      </c>
      <c r="AA535" s="3">
        <v>0</v>
      </c>
    </row>
    <row r="536" spans="1:27" x14ac:dyDescent="0.2">
      <c r="A536">
        <f t="shared" si="16"/>
        <v>2</v>
      </c>
      <c r="B536">
        <f t="shared" si="17"/>
        <v>6</v>
      </c>
      <c r="C536" s="1">
        <v>46056</v>
      </c>
      <c r="D536" t="s">
        <v>25</v>
      </c>
      <c r="E536" t="s">
        <v>26</v>
      </c>
      <c r="F536" t="s">
        <v>39</v>
      </c>
      <c r="G536" t="s">
        <v>40</v>
      </c>
      <c r="H536" t="s">
        <v>29</v>
      </c>
      <c r="I536" t="s">
        <v>30</v>
      </c>
      <c r="J536" t="s">
        <v>411</v>
      </c>
      <c r="K536" t="s">
        <v>42</v>
      </c>
      <c r="L536" t="s">
        <v>68</v>
      </c>
      <c r="M536" s="4">
        <v>58</v>
      </c>
      <c r="N536" s="4">
        <v>1</v>
      </c>
      <c r="O536" s="2">
        <v>1.7241379310344827E-2</v>
      </c>
      <c r="P536" s="3">
        <v>0.48</v>
      </c>
      <c r="Q536" s="3">
        <v>0.48</v>
      </c>
      <c r="R536" s="3">
        <v>0</v>
      </c>
      <c r="S536" s="2"/>
      <c r="T536" s="5">
        <v>0</v>
      </c>
      <c r="U536" s="4">
        <v>0</v>
      </c>
      <c r="V536" s="4">
        <v>0</v>
      </c>
      <c r="W536" s="2">
        <v>0</v>
      </c>
      <c r="X536" s="4">
        <v>0</v>
      </c>
      <c r="Y536" s="4">
        <v>0</v>
      </c>
      <c r="Z536" s="3">
        <v>0</v>
      </c>
      <c r="AA536" s="3">
        <v>0</v>
      </c>
    </row>
    <row r="537" spans="1:27" x14ac:dyDescent="0.2">
      <c r="A537">
        <f t="shared" si="16"/>
        <v>2</v>
      </c>
      <c r="B537">
        <f t="shared" si="17"/>
        <v>8</v>
      </c>
      <c r="C537" s="1">
        <v>46069</v>
      </c>
      <c r="D537" t="s">
        <v>25</v>
      </c>
      <c r="E537" t="s">
        <v>26</v>
      </c>
      <c r="F537" t="s">
        <v>49</v>
      </c>
      <c r="G537" t="s">
        <v>50</v>
      </c>
      <c r="H537" t="s">
        <v>29</v>
      </c>
      <c r="I537" t="s">
        <v>30</v>
      </c>
      <c r="J537" t="s">
        <v>51</v>
      </c>
      <c r="K537" t="s">
        <v>42</v>
      </c>
      <c r="L537" t="s">
        <v>325</v>
      </c>
      <c r="M537" s="4">
        <v>3</v>
      </c>
      <c r="N537" s="4">
        <v>1</v>
      </c>
      <c r="O537" s="2">
        <v>0.33333333333333331</v>
      </c>
      <c r="P537" s="3">
        <v>0.41</v>
      </c>
      <c r="Q537" s="3">
        <v>0.41</v>
      </c>
      <c r="R537" s="3">
        <v>0</v>
      </c>
      <c r="S537" s="2"/>
      <c r="T537" s="5">
        <v>0</v>
      </c>
      <c r="U537" s="4">
        <v>0</v>
      </c>
      <c r="V537" s="4">
        <v>0</v>
      </c>
      <c r="W537" s="2">
        <v>0</v>
      </c>
      <c r="X537" s="4">
        <v>0</v>
      </c>
      <c r="Y537" s="4">
        <v>0</v>
      </c>
      <c r="Z537" s="3">
        <v>0</v>
      </c>
      <c r="AA537" s="3">
        <v>0</v>
      </c>
    </row>
    <row r="538" spans="1:27" x14ac:dyDescent="0.2">
      <c r="A538">
        <f t="shared" si="16"/>
        <v>2</v>
      </c>
      <c r="B538">
        <f t="shared" si="17"/>
        <v>8</v>
      </c>
      <c r="C538" s="1">
        <v>46068</v>
      </c>
      <c r="D538" t="s">
        <v>25</v>
      </c>
      <c r="E538" t="s">
        <v>26</v>
      </c>
      <c r="F538" t="s">
        <v>49</v>
      </c>
      <c r="G538" t="s">
        <v>50</v>
      </c>
      <c r="H538" t="s">
        <v>29</v>
      </c>
      <c r="I538" t="s">
        <v>30</v>
      </c>
      <c r="J538" t="s">
        <v>51</v>
      </c>
      <c r="K538" t="s">
        <v>42</v>
      </c>
      <c r="L538" t="s">
        <v>71</v>
      </c>
      <c r="M538" s="4">
        <v>21</v>
      </c>
      <c r="N538" s="4">
        <v>1</v>
      </c>
      <c r="O538" s="2">
        <v>4.7619047619047623E-2</v>
      </c>
      <c r="P538" s="3">
        <v>0.26</v>
      </c>
      <c r="Q538" s="3">
        <v>0.26</v>
      </c>
      <c r="R538" s="3">
        <v>17.09</v>
      </c>
      <c r="S538" s="2">
        <v>1.5213575190169691E-2</v>
      </c>
      <c r="T538" s="5">
        <v>65.730769230769226</v>
      </c>
      <c r="U538" s="4">
        <v>1</v>
      </c>
      <c r="V538" s="4">
        <v>1</v>
      </c>
      <c r="W538" s="2">
        <v>1</v>
      </c>
      <c r="X538" s="4">
        <v>1</v>
      </c>
      <c r="Y538" s="4">
        <v>0</v>
      </c>
      <c r="Z538" s="3">
        <v>17.09</v>
      </c>
      <c r="AA538" s="3">
        <v>0</v>
      </c>
    </row>
    <row r="539" spans="1:27" x14ac:dyDescent="0.2">
      <c r="A539">
        <f t="shared" si="16"/>
        <v>2</v>
      </c>
      <c r="B539">
        <f t="shared" si="17"/>
        <v>6</v>
      </c>
      <c r="C539" s="1">
        <v>46055</v>
      </c>
      <c r="D539" t="s">
        <v>25</v>
      </c>
      <c r="E539" t="s">
        <v>26</v>
      </c>
      <c r="F539" t="s">
        <v>39</v>
      </c>
      <c r="G539" t="s">
        <v>40</v>
      </c>
      <c r="H539" t="s">
        <v>29</v>
      </c>
      <c r="I539" t="s">
        <v>30</v>
      </c>
      <c r="J539" t="s">
        <v>70</v>
      </c>
      <c r="K539" t="s">
        <v>42</v>
      </c>
      <c r="L539" t="s">
        <v>71</v>
      </c>
      <c r="M539" s="4">
        <v>68</v>
      </c>
      <c r="N539" s="4">
        <v>2</v>
      </c>
      <c r="O539" s="2">
        <v>2.9411764705882349E-2</v>
      </c>
      <c r="P539" s="3">
        <v>0.5</v>
      </c>
      <c r="Q539" s="3">
        <v>1</v>
      </c>
      <c r="R539" s="3">
        <v>0</v>
      </c>
      <c r="S539" s="2"/>
      <c r="T539" s="5">
        <v>0</v>
      </c>
      <c r="U539" s="4">
        <v>0</v>
      </c>
      <c r="V539" s="4">
        <v>0</v>
      </c>
      <c r="W539" s="2">
        <v>0</v>
      </c>
      <c r="X539" s="4">
        <v>0</v>
      </c>
      <c r="Y539" s="4">
        <v>0</v>
      </c>
      <c r="Z539" s="3">
        <v>0</v>
      </c>
      <c r="AA539" s="3">
        <v>0</v>
      </c>
    </row>
    <row r="540" spans="1:27" x14ac:dyDescent="0.2">
      <c r="A540">
        <f t="shared" si="16"/>
        <v>2</v>
      </c>
      <c r="B540">
        <f t="shared" si="17"/>
        <v>7</v>
      </c>
      <c r="C540" s="1">
        <v>46062</v>
      </c>
      <c r="D540" t="s">
        <v>25</v>
      </c>
      <c r="E540" t="s">
        <v>26</v>
      </c>
      <c r="F540" t="s">
        <v>39</v>
      </c>
      <c r="G540" t="s">
        <v>40</v>
      </c>
      <c r="H540" t="s">
        <v>29</v>
      </c>
      <c r="I540" t="s">
        <v>30</v>
      </c>
      <c r="J540" t="s">
        <v>70</v>
      </c>
      <c r="K540" t="s">
        <v>42</v>
      </c>
      <c r="L540" t="s">
        <v>71</v>
      </c>
      <c r="M540" s="4">
        <v>120</v>
      </c>
      <c r="N540" s="4">
        <v>1</v>
      </c>
      <c r="O540" s="2">
        <v>8.3333333333333332E-3</v>
      </c>
      <c r="P540" s="3">
        <v>0.54</v>
      </c>
      <c r="Q540" s="3">
        <v>0.54</v>
      </c>
      <c r="R540" s="3">
        <v>17.09</v>
      </c>
      <c r="S540" s="2">
        <v>3.1597425394967821E-2</v>
      </c>
      <c r="T540" s="5">
        <v>31.648148148148145</v>
      </c>
      <c r="U540" s="4">
        <v>1</v>
      </c>
      <c r="V540" s="4">
        <v>1</v>
      </c>
      <c r="W540" s="2">
        <v>1</v>
      </c>
      <c r="X540" s="4">
        <v>1</v>
      </c>
      <c r="Y540" s="4">
        <v>0</v>
      </c>
      <c r="Z540" s="3">
        <v>17.09</v>
      </c>
      <c r="AA540" s="3">
        <v>0</v>
      </c>
    </row>
    <row r="541" spans="1:27" x14ac:dyDescent="0.2">
      <c r="A541">
        <f t="shared" si="16"/>
        <v>2</v>
      </c>
      <c r="B541">
        <f t="shared" si="17"/>
        <v>7</v>
      </c>
      <c r="C541" s="1">
        <v>46064</v>
      </c>
      <c r="D541" t="s">
        <v>25</v>
      </c>
      <c r="E541" t="s">
        <v>26</v>
      </c>
      <c r="F541" t="s">
        <v>39</v>
      </c>
      <c r="G541" t="s">
        <v>40</v>
      </c>
      <c r="H541" t="s">
        <v>29</v>
      </c>
      <c r="I541" t="s">
        <v>30</v>
      </c>
      <c r="J541" t="s">
        <v>70</v>
      </c>
      <c r="K541" t="s">
        <v>42</v>
      </c>
      <c r="L541" t="s">
        <v>71</v>
      </c>
      <c r="M541" s="4">
        <v>671</v>
      </c>
      <c r="N541" s="4">
        <v>4</v>
      </c>
      <c r="O541" s="2">
        <v>5.9612518628912071E-3</v>
      </c>
      <c r="P541" s="3">
        <v>0.57999999999999996</v>
      </c>
      <c r="Q541" s="3">
        <v>2.3199999999999998</v>
      </c>
      <c r="R541" s="3">
        <v>0</v>
      </c>
      <c r="S541" s="2"/>
      <c r="T541" s="5">
        <v>0</v>
      </c>
      <c r="U541" s="4">
        <v>0</v>
      </c>
      <c r="V541" s="4">
        <v>0</v>
      </c>
      <c r="W541" s="2">
        <v>0</v>
      </c>
      <c r="X541" s="4">
        <v>0</v>
      </c>
      <c r="Y541" s="4">
        <v>0</v>
      </c>
      <c r="Z541" s="3">
        <v>0</v>
      </c>
      <c r="AA541" s="3">
        <v>0</v>
      </c>
    </row>
    <row r="542" spans="1:27" x14ac:dyDescent="0.2">
      <c r="A542">
        <f t="shared" si="16"/>
        <v>2</v>
      </c>
      <c r="B542">
        <f t="shared" si="17"/>
        <v>7</v>
      </c>
      <c r="C542" s="1">
        <v>46065</v>
      </c>
      <c r="D542" t="s">
        <v>25</v>
      </c>
      <c r="E542" t="s">
        <v>26</v>
      </c>
      <c r="F542" t="s">
        <v>39</v>
      </c>
      <c r="G542" t="s">
        <v>40</v>
      </c>
      <c r="H542" t="s">
        <v>29</v>
      </c>
      <c r="I542" t="s">
        <v>30</v>
      </c>
      <c r="J542" t="s">
        <v>70</v>
      </c>
      <c r="K542" t="s">
        <v>42</v>
      </c>
      <c r="L542" t="s">
        <v>71</v>
      </c>
      <c r="M542" s="4">
        <v>167</v>
      </c>
      <c r="N542" s="4">
        <v>4</v>
      </c>
      <c r="O542" s="2">
        <v>2.3952095808383235E-2</v>
      </c>
      <c r="P542" s="3">
        <v>0.55500000000000005</v>
      </c>
      <c r="Q542" s="3">
        <v>2.2200000000000002</v>
      </c>
      <c r="R542" s="3">
        <v>0</v>
      </c>
      <c r="S542" s="2"/>
      <c r="T542" s="5">
        <v>0</v>
      </c>
      <c r="U542" s="4">
        <v>0</v>
      </c>
      <c r="V542" s="4">
        <v>0</v>
      </c>
      <c r="W542" s="2">
        <v>0</v>
      </c>
      <c r="X542" s="4">
        <v>0</v>
      </c>
      <c r="Y542" s="4">
        <v>0</v>
      </c>
      <c r="Z542" s="3">
        <v>0</v>
      </c>
      <c r="AA542" s="3">
        <v>0</v>
      </c>
    </row>
    <row r="543" spans="1:27" x14ac:dyDescent="0.2">
      <c r="A543">
        <f t="shared" si="16"/>
        <v>2</v>
      </c>
      <c r="B543">
        <f t="shared" si="17"/>
        <v>7</v>
      </c>
      <c r="C543" s="1">
        <v>46066</v>
      </c>
      <c r="D543" t="s">
        <v>25</v>
      </c>
      <c r="E543" t="s">
        <v>26</v>
      </c>
      <c r="F543" t="s">
        <v>39</v>
      </c>
      <c r="G543" t="s">
        <v>40</v>
      </c>
      <c r="H543" t="s">
        <v>29</v>
      </c>
      <c r="I543" t="s">
        <v>30</v>
      </c>
      <c r="J543" t="s">
        <v>70</v>
      </c>
      <c r="K543" t="s">
        <v>42</v>
      </c>
      <c r="L543" t="s">
        <v>71</v>
      </c>
      <c r="M543" s="4">
        <v>298</v>
      </c>
      <c r="N543" s="4">
        <v>4</v>
      </c>
      <c r="O543" s="2">
        <v>1.342281879194631E-2</v>
      </c>
      <c r="P543" s="3">
        <v>0.59</v>
      </c>
      <c r="Q543" s="3">
        <v>2.36</v>
      </c>
      <c r="R543" s="3">
        <v>0</v>
      </c>
      <c r="S543" s="2"/>
      <c r="T543" s="5">
        <v>0</v>
      </c>
      <c r="U543" s="4">
        <v>0</v>
      </c>
      <c r="V543" s="4">
        <v>0</v>
      </c>
      <c r="W543" s="2">
        <v>0</v>
      </c>
      <c r="X543" s="4">
        <v>0</v>
      </c>
      <c r="Y543" s="4">
        <v>0</v>
      </c>
      <c r="Z543" s="3">
        <v>0</v>
      </c>
      <c r="AA543" s="3">
        <v>0</v>
      </c>
    </row>
    <row r="544" spans="1:27" x14ac:dyDescent="0.2">
      <c r="A544">
        <f t="shared" si="16"/>
        <v>2</v>
      </c>
      <c r="B544">
        <f t="shared" si="17"/>
        <v>7</v>
      </c>
      <c r="C544" s="1">
        <v>46067</v>
      </c>
      <c r="D544" t="s">
        <v>25</v>
      </c>
      <c r="E544" t="s">
        <v>26</v>
      </c>
      <c r="F544" t="s">
        <v>39</v>
      </c>
      <c r="G544" t="s">
        <v>40</v>
      </c>
      <c r="H544" t="s">
        <v>29</v>
      </c>
      <c r="I544" t="s">
        <v>30</v>
      </c>
      <c r="J544" t="s">
        <v>70</v>
      </c>
      <c r="K544" t="s">
        <v>42</v>
      </c>
      <c r="L544" t="s">
        <v>71</v>
      </c>
      <c r="M544" s="4">
        <v>205</v>
      </c>
      <c r="N544" s="4">
        <v>3</v>
      </c>
      <c r="O544" s="2">
        <v>1.4634146341463417E-2</v>
      </c>
      <c r="P544" s="3">
        <v>0.57333333333333336</v>
      </c>
      <c r="Q544" s="3">
        <v>1.72</v>
      </c>
      <c r="R544" s="3">
        <v>0</v>
      </c>
      <c r="S544" s="2"/>
      <c r="T544" s="5">
        <v>0</v>
      </c>
      <c r="U544" s="4">
        <v>0</v>
      </c>
      <c r="V544" s="4">
        <v>0</v>
      </c>
      <c r="W544" s="2">
        <v>0</v>
      </c>
      <c r="X544" s="4">
        <v>0</v>
      </c>
      <c r="Y544" s="4">
        <v>0</v>
      </c>
      <c r="Z544" s="3">
        <v>0</v>
      </c>
      <c r="AA544" s="3">
        <v>0</v>
      </c>
    </row>
    <row r="545" spans="1:27" x14ac:dyDescent="0.2">
      <c r="A545">
        <f t="shared" si="16"/>
        <v>2</v>
      </c>
      <c r="B545">
        <f t="shared" si="17"/>
        <v>8</v>
      </c>
      <c r="C545" s="1">
        <v>46069</v>
      </c>
      <c r="D545" t="s">
        <v>25</v>
      </c>
      <c r="E545" t="s">
        <v>26</v>
      </c>
      <c r="F545" t="s">
        <v>61</v>
      </c>
      <c r="G545" t="s">
        <v>62</v>
      </c>
      <c r="H545" t="s">
        <v>29</v>
      </c>
      <c r="I545" t="s">
        <v>30</v>
      </c>
      <c r="J545" t="s">
        <v>51</v>
      </c>
      <c r="K545" t="s">
        <v>42</v>
      </c>
      <c r="L545" t="s">
        <v>412</v>
      </c>
      <c r="M545" s="4">
        <v>1</v>
      </c>
      <c r="N545" s="4">
        <v>1</v>
      </c>
      <c r="O545" s="2">
        <v>1</v>
      </c>
      <c r="P545" s="3">
        <v>1.19</v>
      </c>
      <c r="Q545" s="3">
        <v>1.19</v>
      </c>
      <c r="R545" s="3">
        <v>0</v>
      </c>
      <c r="S545" s="2"/>
      <c r="T545" s="5">
        <v>0</v>
      </c>
      <c r="U545" s="4">
        <v>0</v>
      </c>
      <c r="V545" s="4">
        <v>0</v>
      </c>
      <c r="W545" s="2">
        <v>0</v>
      </c>
      <c r="X545" s="4">
        <v>0</v>
      </c>
      <c r="Y545" s="4">
        <v>0</v>
      </c>
      <c r="Z545" s="3">
        <v>0</v>
      </c>
      <c r="AA545" s="3">
        <v>0</v>
      </c>
    </row>
    <row r="546" spans="1:27" x14ac:dyDescent="0.2">
      <c r="A546">
        <f t="shared" si="16"/>
        <v>2</v>
      </c>
      <c r="B546">
        <f t="shared" si="17"/>
        <v>6</v>
      </c>
      <c r="C546" s="1">
        <v>46058</v>
      </c>
      <c r="D546" t="s">
        <v>25</v>
      </c>
      <c r="E546" t="s">
        <v>26</v>
      </c>
      <c r="F546" t="s">
        <v>61</v>
      </c>
      <c r="G546" t="s">
        <v>62</v>
      </c>
      <c r="H546" t="s">
        <v>29</v>
      </c>
      <c r="I546" t="s">
        <v>30</v>
      </c>
      <c r="J546" t="s">
        <v>51</v>
      </c>
      <c r="K546" t="s">
        <v>42</v>
      </c>
      <c r="L546" t="s">
        <v>413</v>
      </c>
      <c r="M546" s="4">
        <v>21</v>
      </c>
      <c r="N546" s="4">
        <v>1</v>
      </c>
      <c r="O546" s="2">
        <v>4.7619047619047623E-2</v>
      </c>
      <c r="P546" s="3">
        <v>1.28</v>
      </c>
      <c r="Q546" s="3">
        <v>1.28</v>
      </c>
      <c r="R546" s="3">
        <v>0</v>
      </c>
      <c r="S546" s="2"/>
      <c r="T546" s="5">
        <v>0</v>
      </c>
      <c r="U546" s="4">
        <v>0</v>
      </c>
      <c r="V546" s="4">
        <v>0</v>
      </c>
      <c r="W546" s="2">
        <v>0</v>
      </c>
      <c r="X546" s="4">
        <v>0</v>
      </c>
      <c r="Y546" s="4">
        <v>0</v>
      </c>
      <c r="Z546" s="3">
        <v>0</v>
      </c>
      <c r="AA546" s="3">
        <v>0</v>
      </c>
    </row>
    <row r="547" spans="1:27" x14ac:dyDescent="0.2">
      <c r="A547">
        <f t="shared" si="16"/>
        <v>2</v>
      </c>
      <c r="B547">
        <f t="shared" si="17"/>
        <v>6</v>
      </c>
      <c r="C547" s="1">
        <v>46055</v>
      </c>
      <c r="D547" t="s">
        <v>25</v>
      </c>
      <c r="E547" t="s">
        <v>26</v>
      </c>
      <c r="F547" t="s">
        <v>39</v>
      </c>
      <c r="G547" t="s">
        <v>40</v>
      </c>
      <c r="H547" t="s">
        <v>29</v>
      </c>
      <c r="I547" t="s">
        <v>30</v>
      </c>
      <c r="J547" t="s">
        <v>78</v>
      </c>
      <c r="K547" t="s">
        <v>42</v>
      </c>
      <c r="L547" t="s">
        <v>79</v>
      </c>
      <c r="M547" s="4">
        <v>262</v>
      </c>
      <c r="N547" s="4">
        <v>1</v>
      </c>
      <c r="O547" s="2">
        <v>3.8167938931297708E-3</v>
      </c>
      <c r="P547" s="3">
        <v>0.62</v>
      </c>
      <c r="Q547" s="3">
        <v>0.62</v>
      </c>
      <c r="R547" s="3">
        <v>0</v>
      </c>
      <c r="S547" s="2"/>
      <c r="T547" s="5">
        <v>0</v>
      </c>
      <c r="U547" s="4">
        <v>0</v>
      </c>
      <c r="V547" s="4">
        <v>0</v>
      </c>
      <c r="W547" s="2">
        <v>0</v>
      </c>
      <c r="X547" s="4">
        <v>0</v>
      </c>
      <c r="Y547" s="4">
        <v>0</v>
      </c>
      <c r="Z547" s="3">
        <v>0</v>
      </c>
      <c r="AA547" s="3">
        <v>0</v>
      </c>
    </row>
    <row r="548" spans="1:27" x14ac:dyDescent="0.2">
      <c r="A548">
        <f t="shared" si="16"/>
        <v>2</v>
      </c>
      <c r="B548">
        <f t="shared" si="17"/>
        <v>6</v>
      </c>
      <c r="C548" s="1">
        <v>46058</v>
      </c>
      <c r="D548" t="s">
        <v>25</v>
      </c>
      <c r="E548" t="s">
        <v>26</v>
      </c>
      <c r="F548" t="s">
        <v>39</v>
      </c>
      <c r="G548" t="s">
        <v>40</v>
      </c>
      <c r="H548" t="s">
        <v>29</v>
      </c>
      <c r="I548" t="s">
        <v>30</v>
      </c>
      <c r="J548" t="s">
        <v>78</v>
      </c>
      <c r="K548" t="s">
        <v>42</v>
      </c>
      <c r="L548" t="s">
        <v>79</v>
      </c>
      <c r="M548" s="4">
        <v>69</v>
      </c>
      <c r="N548" s="4">
        <v>2</v>
      </c>
      <c r="O548" s="2">
        <v>2.8985507246376808E-2</v>
      </c>
      <c r="P548" s="3">
        <v>0.62</v>
      </c>
      <c r="Q548" s="3">
        <v>1.24</v>
      </c>
      <c r="R548" s="3">
        <v>0</v>
      </c>
      <c r="S548" s="2"/>
      <c r="T548" s="5">
        <v>0</v>
      </c>
      <c r="U548" s="4">
        <v>0</v>
      </c>
      <c r="V548" s="4">
        <v>0</v>
      </c>
      <c r="W548" s="2">
        <v>0</v>
      </c>
      <c r="X548" s="4">
        <v>0</v>
      </c>
      <c r="Y548" s="4">
        <v>0</v>
      </c>
      <c r="Z548" s="3">
        <v>0</v>
      </c>
      <c r="AA548" s="3">
        <v>0</v>
      </c>
    </row>
    <row r="549" spans="1:27" x14ac:dyDescent="0.2">
      <c r="A549">
        <f t="shared" si="16"/>
        <v>2</v>
      </c>
      <c r="B549">
        <f t="shared" si="17"/>
        <v>6</v>
      </c>
      <c r="C549" s="1">
        <v>46059</v>
      </c>
      <c r="D549" t="s">
        <v>25</v>
      </c>
      <c r="E549" t="s">
        <v>26</v>
      </c>
      <c r="F549" t="s">
        <v>39</v>
      </c>
      <c r="G549" t="s">
        <v>40</v>
      </c>
      <c r="H549" t="s">
        <v>29</v>
      </c>
      <c r="I549" t="s">
        <v>30</v>
      </c>
      <c r="J549" t="s">
        <v>78</v>
      </c>
      <c r="K549" t="s">
        <v>42</v>
      </c>
      <c r="L549" t="s">
        <v>79</v>
      </c>
      <c r="M549" s="4">
        <v>160</v>
      </c>
      <c r="N549" s="4">
        <v>3</v>
      </c>
      <c r="O549" s="2">
        <v>1.8749999999999999E-2</v>
      </c>
      <c r="P549" s="3">
        <v>0.62666666666666659</v>
      </c>
      <c r="Q549" s="3">
        <v>1.88</v>
      </c>
      <c r="R549" s="3">
        <v>0</v>
      </c>
      <c r="S549" s="2"/>
      <c r="T549" s="5">
        <v>0</v>
      </c>
      <c r="U549" s="4">
        <v>0</v>
      </c>
      <c r="V549" s="4">
        <v>0</v>
      </c>
      <c r="W549" s="2">
        <v>0</v>
      </c>
      <c r="X549" s="4">
        <v>0</v>
      </c>
      <c r="Y549" s="4">
        <v>0</v>
      </c>
      <c r="Z549" s="3">
        <v>0</v>
      </c>
      <c r="AA549" s="3">
        <v>0</v>
      </c>
    </row>
    <row r="550" spans="1:27" x14ac:dyDescent="0.2">
      <c r="A550">
        <f t="shared" si="16"/>
        <v>2</v>
      </c>
      <c r="B550">
        <f t="shared" si="17"/>
        <v>6</v>
      </c>
      <c r="C550" s="1">
        <v>46060</v>
      </c>
      <c r="D550" t="s">
        <v>25</v>
      </c>
      <c r="E550" t="s">
        <v>26</v>
      </c>
      <c r="F550" t="s">
        <v>39</v>
      </c>
      <c r="G550" t="s">
        <v>40</v>
      </c>
      <c r="H550" t="s">
        <v>29</v>
      </c>
      <c r="I550" t="s">
        <v>30</v>
      </c>
      <c r="J550" t="s">
        <v>78</v>
      </c>
      <c r="K550" t="s">
        <v>42</v>
      </c>
      <c r="L550" t="s">
        <v>79</v>
      </c>
      <c r="M550" s="4">
        <v>132</v>
      </c>
      <c r="N550" s="4">
        <v>3</v>
      </c>
      <c r="O550" s="2">
        <v>2.2727272727272731E-2</v>
      </c>
      <c r="P550" s="3">
        <v>0.54999999999999993</v>
      </c>
      <c r="Q550" s="3">
        <v>1.65</v>
      </c>
      <c r="R550" s="3">
        <v>17.09</v>
      </c>
      <c r="S550" s="2">
        <v>9.6547688706846102E-2</v>
      </c>
      <c r="T550" s="5">
        <v>10.357575757575757</v>
      </c>
      <c r="U550" s="4">
        <v>1</v>
      </c>
      <c r="V550" s="4">
        <v>1</v>
      </c>
      <c r="W550" s="2">
        <v>0.33333333333333331</v>
      </c>
      <c r="X550" s="4">
        <v>1</v>
      </c>
      <c r="Y550" s="4">
        <v>0</v>
      </c>
      <c r="Z550" s="3">
        <v>17.09</v>
      </c>
      <c r="AA550" s="3">
        <v>0</v>
      </c>
    </row>
    <row r="551" spans="1:27" x14ac:dyDescent="0.2">
      <c r="A551">
        <f t="shared" si="16"/>
        <v>2</v>
      </c>
      <c r="B551">
        <f t="shared" si="17"/>
        <v>7</v>
      </c>
      <c r="C551" s="1">
        <v>46061</v>
      </c>
      <c r="D551" t="s">
        <v>25</v>
      </c>
      <c r="E551" t="s">
        <v>26</v>
      </c>
      <c r="F551" t="s">
        <v>39</v>
      </c>
      <c r="G551" t="s">
        <v>40</v>
      </c>
      <c r="H551" t="s">
        <v>29</v>
      </c>
      <c r="I551" t="s">
        <v>30</v>
      </c>
      <c r="J551" t="s">
        <v>78</v>
      </c>
      <c r="K551" t="s">
        <v>42</v>
      </c>
      <c r="L551" t="s">
        <v>79</v>
      </c>
      <c r="M551" s="4">
        <v>53</v>
      </c>
      <c r="N551" s="4">
        <v>2</v>
      </c>
      <c r="O551" s="2">
        <v>3.7735849056603772E-2</v>
      </c>
      <c r="P551" s="3">
        <v>0.52</v>
      </c>
      <c r="Q551" s="3">
        <v>1.04</v>
      </c>
      <c r="R551" s="3">
        <v>0</v>
      </c>
      <c r="S551" s="2"/>
      <c r="T551" s="5">
        <v>0</v>
      </c>
      <c r="U551" s="4">
        <v>0</v>
      </c>
      <c r="V551" s="4">
        <v>0</v>
      </c>
      <c r="W551" s="2">
        <v>0</v>
      </c>
      <c r="X551" s="4">
        <v>0</v>
      </c>
      <c r="Y551" s="4">
        <v>0</v>
      </c>
      <c r="Z551" s="3">
        <v>0</v>
      </c>
      <c r="AA551" s="3">
        <v>0</v>
      </c>
    </row>
    <row r="552" spans="1:27" x14ac:dyDescent="0.2">
      <c r="A552">
        <f t="shared" si="16"/>
        <v>2</v>
      </c>
      <c r="B552">
        <f t="shared" si="17"/>
        <v>7</v>
      </c>
      <c r="C552" s="1">
        <v>46067</v>
      </c>
      <c r="D552" t="s">
        <v>25</v>
      </c>
      <c r="E552" t="s">
        <v>26</v>
      </c>
      <c r="F552" t="s">
        <v>39</v>
      </c>
      <c r="G552" t="s">
        <v>40</v>
      </c>
      <c r="H552" t="s">
        <v>29</v>
      </c>
      <c r="I552" t="s">
        <v>30</v>
      </c>
      <c r="J552" t="s">
        <v>78</v>
      </c>
      <c r="K552" t="s">
        <v>42</v>
      </c>
      <c r="L552" t="s">
        <v>79</v>
      </c>
      <c r="M552" s="4">
        <v>189</v>
      </c>
      <c r="N552" s="4">
        <v>2</v>
      </c>
      <c r="O552" s="2">
        <v>1.0582010582010581E-2</v>
      </c>
      <c r="P552" s="3">
        <v>0.38</v>
      </c>
      <c r="Q552" s="3">
        <v>0.76</v>
      </c>
      <c r="R552" s="3">
        <v>17.09</v>
      </c>
      <c r="S552" s="2">
        <v>4.4470450555880628E-2</v>
      </c>
      <c r="T552" s="5">
        <v>22.486842105263158</v>
      </c>
      <c r="U552" s="4">
        <v>1</v>
      </c>
      <c r="V552" s="4">
        <v>1</v>
      </c>
      <c r="W552" s="2">
        <v>0.5</v>
      </c>
      <c r="X552" s="4">
        <v>1</v>
      </c>
      <c r="Y552" s="4">
        <v>0</v>
      </c>
      <c r="Z552" s="3">
        <v>17.09</v>
      </c>
      <c r="AA552" s="3">
        <v>0</v>
      </c>
    </row>
    <row r="553" spans="1:27" x14ac:dyDescent="0.2">
      <c r="A553">
        <f t="shared" si="16"/>
        <v>2</v>
      </c>
      <c r="B553">
        <f t="shared" si="17"/>
        <v>8</v>
      </c>
      <c r="C553" s="1">
        <v>46068</v>
      </c>
      <c r="D553" t="s">
        <v>25</v>
      </c>
      <c r="E553" t="s">
        <v>26</v>
      </c>
      <c r="F553" t="s">
        <v>39</v>
      </c>
      <c r="G553" t="s">
        <v>40</v>
      </c>
      <c r="H553" t="s">
        <v>29</v>
      </c>
      <c r="I553" t="s">
        <v>30</v>
      </c>
      <c r="J553" t="s">
        <v>78</v>
      </c>
      <c r="K553" t="s">
        <v>42</v>
      </c>
      <c r="L553" t="s">
        <v>79</v>
      </c>
      <c r="M553" s="4">
        <v>27</v>
      </c>
      <c r="N553" s="4">
        <v>1</v>
      </c>
      <c r="O553" s="2">
        <v>3.7037037037037035E-2</v>
      </c>
      <c r="P553" s="3">
        <v>0.4</v>
      </c>
      <c r="Q553" s="3">
        <v>0.4</v>
      </c>
      <c r="R553" s="3">
        <v>0</v>
      </c>
      <c r="S553" s="2"/>
      <c r="T553" s="5">
        <v>0</v>
      </c>
      <c r="U553" s="4">
        <v>0</v>
      </c>
      <c r="V553" s="4">
        <v>0</v>
      </c>
      <c r="W553" s="2">
        <v>0</v>
      </c>
      <c r="X553" s="4">
        <v>0</v>
      </c>
      <c r="Y553" s="4">
        <v>0</v>
      </c>
      <c r="Z553" s="3">
        <v>0</v>
      </c>
      <c r="AA553" s="3">
        <v>0</v>
      </c>
    </row>
    <row r="554" spans="1:27" x14ac:dyDescent="0.2">
      <c r="A554">
        <f t="shared" si="16"/>
        <v>2</v>
      </c>
      <c r="B554">
        <f t="shared" si="17"/>
        <v>8</v>
      </c>
      <c r="C554" s="1">
        <v>46072</v>
      </c>
      <c r="D554" t="s">
        <v>25</v>
      </c>
      <c r="E554" t="s">
        <v>26</v>
      </c>
      <c r="F554" t="s">
        <v>39</v>
      </c>
      <c r="G554" t="s">
        <v>40</v>
      </c>
      <c r="H554" t="s">
        <v>29</v>
      </c>
      <c r="I554" t="s">
        <v>30</v>
      </c>
      <c r="J554" t="s">
        <v>78</v>
      </c>
      <c r="K554" t="s">
        <v>42</v>
      </c>
      <c r="L554" t="s">
        <v>79</v>
      </c>
      <c r="M554" s="4">
        <v>75</v>
      </c>
      <c r="N554" s="4">
        <v>1</v>
      </c>
      <c r="O554" s="2">
        <v>1.3333333333333334E-2</v>
      </c>
      <c r="P554" s="3">
        <v>0.59</v>
      </c>
      <c r="Q554" s="3">
        <v>0.59</v>
      </c>
      <c r="R554" s="3">
        <v>0</v>
      </c>
      <c r="S554" s="2"/>
      <c r="T554" s="5">
        <v>0</v>
      </c>
      <c r="U554" s="4">
        <v>0</v>
      </c>
      <c r="V554" s="4">
        <v>0</v>
      </c>
      <c r="W554" s="2">
        <v>0</v>
      </c>
      <c r="X554" s="4">
        <v>0</v>
      </c>
      <c r="Y554" s="4">
        <v>0</v>
      </c>
      <c r="Z554" s="3">
        <v>0</v>
      </c>
      <c r="AA554" s="3">
        <v>0</v>
      </c>
    </row>
    <row r="555" spans="1:27" x14ac:dyDescent="0.2">
      <c r="A555">
        <f t="shared" si="16"/>
        <v>2</v>
      </c>
      <c r="B555">
        <f t="shared" si="17"/>
        <v>8</v>
      </c>
      <c r="C555" s="1">
        <v>46074</v>
      </c>
      <c r="D555" t="s">
        <v>25</v>
      </c>
      <c r="E555" t="s">
        <v>26</v>
      </c>
      <c r="F555" t="s">
        <v>39</v>
      </c>
      <c r="G555" t="s">
        <v>40</v>
      </c>
      <c r="H555" t="s">
        <v>29</v>
      </c>
      <c r="I555" t="s">
        <v>30</v>
      </c>
      <c r="J555" t="s">
        <v>78</v>
      </c>
      <c r="K555" t="s">
        <v>42</v>
      </c>
      <c r="L555" t="s">
        <v>79</v>
      </c>
      <c r="M555" s="4">
        <v>48</v>
      </c>
      <c r="N555" s="4">
        <v>1</v>
      </c>
      <c r="O555" s="2">
        <v>2.0833333333333329E-2</v>
      </c>
      <c r="P555" s="3">
        <v>0.53</v>
      </c>
      <c r="Q555" s="3">
        <v>0.53</v>
      </c>
      <c r="R555" s="3">
        <v>0</v>
      </c>
      <c r="S555" s="2"/>
      <c r="T555" s="5">
        <v>0</v>
      </c>
      <c r="U555" s="4">
        <v>0</v>
      </c>
      <c r="V555" s="4">
        <v>0</v>
      </c>
      <c r="W555" s="2">
        <v>0</v>
      </c>
      <c r="X555" s="4">
        <v>0</v>
      </c>
      <c r="Y555" s="4">
        <v>0</v>
      </c>
      <c r="Z555" s="3">
        <v>0</v>
      </c>
      <c r="AA555" s="3">
        <v>0</v>
      </c>
    </row>
    <row r="556" spans="1:27" x14ac:dyDescent="0.2">
      <c r="A556">
        <f t="shared" si="16"/>
        <v>2</v>
      </c>
      <c r="B556">
        <f t="shared" si="17"/>
        <v>8</v>
      </c>
      <c r="C556" s="1">
        <v>46073</v>
      </c>
      <c r="D556" t="s">
        <v>25</v>
      </c>
      <c r="E556" t="s">
        <v>26</v>
      </c>
      <c r="F556" t="s">
        <v>49</v>
      </c>
      <c r="G556" t="s">
        <v>50</v>
      </c>
      <c r="H556" t="s">
        <v>29</v>
      </c>
      <c r="I556" t="s">
        <v>30</v>
      </c>
      <c r="J556" t="s">
        <v>51</v>
      </c>
      <c r="K556" t="s">
        <v>42</v>
      </c>
      <c r="L556" t="s">
        <v>414</v>
      </c>
      <c r="M556" s="4">
        <v>12</v>
      </c>
      <c r="N556" s="4">
        <v>1</v>
      </c>
      <c r="O556" s="2">
        <v>8.3333333333333315E-2</v>
      </c>
      <c r="P556" s="3">
        <v>0.49</v>
      </c>
      <c r="Q556" s="3">
        <v>0.49</v>
      </c>
      <c r="R556" s="3">
        <v>0</v>
      </c>
      <c r="S556" s="2"/>
      <c r="T556" s="5">
        <v>0</v>
      </c>
      <c r="U556" s="4">
        <v>0</v>
      </c>
      <c r="V556" s="4">
        <v>0</v>
      </c>
      <c r="W556" s="2">
        <v>0</v>
      </c>
      <c r="X556" s="4">
        <v>0</v>
      </c>
      <c r="Y556" s="4">
        <v>0</v>
      </c>
      <c r="Z556" s="3">
        <v>0</v>
      </c>
      <c r="AA556" s="3">
        <v>0</v>
      </c>
    </row>
    <row r="557" spans="1:27" x14ac:dyDescent="0.2">
      <c r="A557">
        <f t="shared" si="16"/>
        <v>2</v>
      </c>
      <c r="B557">
        <f t="shared" si="17"/>
        <v>8</v>
      </c>
      <c r="C557" s="1">
        <v>46071</v>
      </c>
      <c r="D557" t="s">
        <v>25</v>
      </c>
      <c r="E557" t="s">
        <v>26</v>
      </c>
      <c r="F557" t="s">
        <v>49</v>
      </c>
      <c r="G557" t="s">
        <v>50</v>
      </c>
      <c r="H557" t="s">
        <v>29</v>
      </c>
      <c r="I557" t="s">
        <v>30</v>
      </c>
      <c r="J557" t="s">
        <v>51</v>
      </c>
      <c r="K557" t="s">
        <v>42</v>
      </c>
      <c r="L557" t="s">
        <v>415</v>
      </c>
      <c r="M557" s="4">
        <v>1</v>
      </c>
      <c r="N557" s="4">
        <v>1</v>
      </c>
      <c r="O557" s="2">
        <v>1</v>
      </c>
      <c r="P557" s="3">
        <v>0.49</v>
      </c>
      <c r="Q557" s="3">
        <v>0.49</v>
      </c>
      <c r="R557" s="3">
        <v>0</v>
      </c>
      <c r="S557" s="2"/>
      <c r="T557" s="5">
        <v>0</v>
      </c>
      <c r="U557" s="4">
        <v>0</v>
      </c>
      <c r="V557" s="4">
        <v>0</v>
      </c>
      <c r="W557" s="2">
        <v>0</v>
      </c>
      <c r="X557" s="4">
        <v>0</v>
      </c>
      <c r="Y557" s="4">
        <v>0</v>
      </c>
      <c r="Z557" s="3">
        <v>0</v>
      </c>
      <c r="AA557" s="3">
        <v>0</v>
      </c>
    </row>
    <row r="558" spans="1:27" x14ac:dyDescent="0.2">
      <c r="A558">
        <f t="shared" si="16"/>
        <v>2</v>
      </c>
      <c r="B558">
        <f t="shared" si="17"/>
        <v>8</v>
      </c>
      <c r="C558" s="1">
        <v>46071</v>
      </c>
      <c r="D558" t="s">
        <v>25</v>
      </c>
      <c r="E558" t="s">
        <v>26</v>
      </c>
      <c r="F558" t="s">
        <v>49</v>
      </c>
      <c r="G558" t="s">
        <v>50</v>
      </c>
      <c r="H558" t="s">
        <v>29</v>
      </c>
      <c r="I558" t="s">
        <v>30</v>
      </c>
      <c r="J558" t="s">
        <v>51</v>
      </c>
      <c r="K558" t="s">
        <v>42</v>
      </c>
      <c r="L558" t="s">
        <v>328</v>
      </c>
      <c r="M558" s="4">
        <v>4</v>
      </c>
      <c r="N558" s="4">
        <v>1</v>
      </c>
      <c r="O558" s="2">
        <v>0.25</v>
      </c>
      <c r="P558" s="3">
        <v>0.49</v>
      </c>
      <c r="Q558" s="3">
        <v>0.49</v>
      </c>
      <c r="R558" s="3">
        <v>0</v>
      </c>
      <c r="S558" s="2"/>
      <c r="T558" s="5">
        <v>0</v>
      </c>
      <c r="U558" s="4">
        <v>0</v>
      </c>
      <c r="V558" s="4">
        <v>0</v>
      </c>
      <c r="W558" s="2">
        <v>0</v>
      </c>
      <c r="X558" s="4">
        <v>0</v>
      </c>
      <c r="Y558" s="4">
        <v>0</v>
      </c>
      <c r="Z558" s="3">
        <v>0</v>
      </c>
      <c r="AA558" s="3">
        <v>0</v>
      </c>
    </row>
    <row r="559" spans="1:27" x14ac:dyDescent="0.2">
      <c r="A559">
        <f t="shared" si="16"/>
        <v>2</v>
      </c>
      <c r="B559">
        <f t="shared" si="17"/>
        <v>8</v>
      </c>
      <c r="C559" s="1">
        <v>46068</v>
      </c>
      <c r="D559" t="s">
        <v>25</v>
      </c>
      <c r="E559" t="s">
        <v>26</v>
      </c>
      <c r="F559" t="s">
        <v>49</v>
      </c>
      <c r="G559" t="s">
        <v>50</v>
      </c>
      <c r="H559" t="s">
        <v>29</v>
      </c>
      <c r="I559" t="s">
        <v>30</v>
      </c>
      <c r="J559" t="s">
        <v>51</v>
      </c>
      <c r="K559" t="s">
        <v>42</v>
      </c>
      <c r="L559" t="s">
        <v>416</v>
      </c>
      <c r="M559" s="4">
        <v>1</v>
      </c>
      <c r="N559" s="4">
        <v>1</v>
      </c>
      <c r="O559" s="2">
        <v>1</v>
      </c>
      <c r="P559" s="3">
        <v>0.41</v>
      </c>
      <c r="Q559" s="3">
        <v>0.41</v>
      </c>
      <c r="R559" s="3">
        <v>0</v>
      </c>
      <c r="S559" s="2"/>
      <c r="T559" s="5">
        <v>0</v>
      </c>
      <c r="U559" s="4">
        <v>0</v>
      </c>
      <c r="V559" s="4">
        <v>0</v>
      </c>
      <c r="W559" s="2">
        <v>0</v>
      </c>
      <c r="X559" s="4">
        <v>0</v>
      </c>
      <c r="Y559" s="4">
        <v>0</v>
      </c>
      <c r="Z559" s="3">
        <v>0</v>
      </c>
      <c r="AA559" s="3">
        <v>0</v>
      </c>
    </row>
    <row r="560" spans="1:27" x14ac:dyDescent="0.2">
      <c r="A560">
        <f t="shared" si="16"/>
        <v>2</v>
      </c>
      <c r="B560">
        <f t="shared" si="17"/>
        <v>8</v>
      </c>
      <c r="C560" s="1">
        <v>46069</v>
      </c>
      <c r="D560" t="s">
        <v>25</v>
      </c>
      <c r="E560" t="s">
        <v>26</v>
      </c>
      <c r="F560" t="s">
        <v>45</v>
      </c>
      <c r="G560" t="s">
        <v>46</v>
      </c>
      <c r="H560" t="s">
        <v>29</v>
      </c>
      <c r="I560" t="s">
        <v>30</v>
      </c>
      <c r="J560" t="s">
        <v>51</v>
      </c>
      <c r="K560" t="s">
        <v>42</v>
      </c>
      <c r="L560" t="s">
        <v>417</v>
      </c>
      <c r="M560" s="4">
        <v>2</v>
      </c>
      <c r="N560" s="4">
        <v>1</v>
      </c>
      <c r="O560" s="2">
        <v>0.5</v>
      </c>
      <c r="P560" s="3">
        <v>0.3</v>
      </c>
      <c r="Q560" s="3">
        <v>0.3</v>
      </c>
      <c r="R560" s="3">
        <v>0</v>
      </c>
      <c r="S560" s="2"/>
      <c r="T560" s="5">
        <v>0</v>
      </c>
      <c r="U560" s="4">
        <v>0</v>
      </c>
      <c r="V560" s="4">
        <v>0</v>
      </c>
      <c r="W560" s="2">
        <v>0</v>
      </c>
      <c r="X560" s="4">
        <v>0</v>
      </c>
      <c r="Y560" s="4">
        <v>0</v>
      </c>
      <c r="Z560" s="3">
        <v>0</v>
      </c>
      <c r="AA560" s="3">
        <v>0</v>
      </c>
    </row>
    <row r="561" spans="1:27" x14ac:dyDescent="0.2">
      <c r="A561">
        <f t="shared" si="16"/>
        <v>2</v>
      </c>
      <c r="B561">
        <f t="shared" si="17"/>
        <v>6</v>
      </c>
      <c r="C561" s="1">
        <v>46057</v>
      </c>
      <c r="D561" t="s">
        <v>25</v>
      </c>
      <c r="E561" t="s">
        <v>26</v>
      </c>
      <c r="F561" t="s">
        <v>61</v>
      </c>
      <c r="G561" t="s">
        <v>62</v>
      </c>
      <c r="H561" t="s">
        <v>29</v>
      </c>
      <c r="I561" t="s">
        <v>30</v>
      </c>
      <c r="J561" t="s">
        <v>51</v>
      </c>
      <c r="K561" t="s">
        <v>42</v>
      </c>
      <c r="L561" t="s">
        <v>418</v>
      </c>
      <c r="M561" s="4">
        <v>1</v>
      </c>
      <c r="N561" s="4">
        <v>1</v>
      </c>
      <c r="O561" s="2">
        <v>1</v>
      </c>
      <c r="P561" s="3">
        <v>1.28</v>
      </c>
      <c r="Q561" s="3">
        <v>1.28</v>
      </c>
      <c r="R561" s="3">
        <v>0</v>
      </c>
      <c r="S561" s="2"/>
      <c r="T561" s="5">
        <v>0</v>
      </c>
      <c r="U561" s="4">
        <v>0</v>
      </c>
      <c r="V561" s="4">
        <v>0</v>
      </c>
      <c r="W561" s="2">
        <v>0</v>
      </c>
      <c r="X561" s="4">
        <v>0</v>
      </c>
      <c r="Y561" s="4">
        <v>0</v>
      </c>
      <c r="Z561" s="3">
        <v>0</v>
      </c>
      <c r="AA561" s="3">
        <v>0</v>
      </c>
    </row>
    <row r="562" spans="1:27" x14ac:dyDescent="0.2">
      <c r="A562">
        <f t="shared" si="16"/>
        <v>2</v>
      </c>
      <c r="B562">
        <f t="shared" si="17"/>
        <v>7</v>
      </c>
      <c r="C562" s="1">
        <v>46062</v>
      </c>
      <c r="D562" t="s">
        <v>25</v>
      </c>
      <c r="E562" t="s">
        <v>26</v>
      </c>
      <c r="F562" t="s">
        <v>53</v>
      </c>
      <c r="G562" t="s">
        <v>54</v>
      </c>
      <c r="H562" t="s">
        <v>29</v>
      </c>
      <c r="I562" t="s">
        <v>30</v>
      </c>
      <c r="J562" t="s">
        <v>95</v>
      </c>
      <c r="K562" t="s">
        <v>42</v>
      </c>
      <c r="L562" t="s">
        <v>419</v>
      </c>
      <c r="M562" s="4">
        <v>1</v>
      </c>
      <c r="N562" s="4">
        <v>1</v>
      </c>
      <c r="O562" s="2">
        <v>1</v>
      </c>
      <c r="P562" s="3">
        <v>1</v>
      </c>
      <c r="Q562" s="3">
        <v>1</v>
      </c>
      <c r="R562" s="3">
        <v>0</v>
      </c>
      <c r="S562" s="2"/>
      <c r="T562" s="5">
        <v>0</v>
      </c>
      <c r="U562" s="4">
        <v>0</v>
      </c>
      <c r="V562" s="4">
        <v>0</v>
      </c>
      <c r="W562" s="2">
        <v>0</v>
      </c>
      <c r="X562" s="4">
        <v>0</v>
      </c>
      <c r="Y562" s="4">
        <v>0</v>
      </c>
      <c r="Z562" s="3">
        <v>0</v>
      </c>
      <c r="AA562" s="3">
        <v>0</v>
      </c>
    </row>
    <row r="563" spans="1:27" x14ac:dyDescent="0.2">
      <c r="A563">
        <f t="shared" si="16"/>
        <v>2</v>
      </c>
      <c r="B563">
        <f t="shared" si="17"/>
        <v>6</v>
      </c>
      <c r="C563" s="1">
        <v>46060</v>
      </c>
      <c r="D563" t="s">
        <v>25</v>
      </c>
      <c r="E563" t="s">
        <v>26</v>
      </c>
      <c r="F563" t="s">
        <v>61</v>
      </c>
      <c r="G563" t="s">
        <v>62</v>
      </c>
      <c r="H563" t="s">
        <v>29</v>
      </c>
      <c r="I563" t="s">
        <v>30</v>
      </c>
      <c r="J563" t="s">
        <v>95</v>
      </c>
      <c r="K563" t="s">
        <v>42</v>
      </c>
      <c r="L563" t="s">
        <v>420</v>
      </c>
      <c r="M563" s="4">
        <v>1</v>
      </c>
      <c r="N563" s="4">
        <v>1</v>
      </c>
      <c r="O563" s="2">
        <v>1</v>
      </c>
      <c r="P563" s="3">
        <v>1.2</v>
      </c>
      <c r="Q563" s="3">
        <v>1.2</v>
      </c>
      <c r="R563" s="3">
        <v>0</v>
      </c>
      <c r="S563" s="2"/>
      <c r="T563" s="5">
        <v>0</v>
      </c>
      <c r="U563" s="4">
        <v>0</v>
      </c>
      <c r="V563" s="4">
        <v>0</v>
      </c>
      <c r="W563" s="2">
        <v>0</v>
      </c>
      <c r="X563" s="4">
        <v>0</v>
      </c>
      <c r="Y563" s="4">
        <v>0</v>
      </c>
      <c r="Z563" s="3">
        <v>0</v>
      </c>
      <c r="AA563" s="3">
        <v>0</v>
      </c>
    </row>
    <row r="564" spans="1:27" x14ac:dyDescent="0.2">
      <c r="A564">
        <f t="shared" si="16"/>
        <v>2</v>
      </c>
      <c r="B564">
        <f t="shared" si="17"/>
        <v>8</v>
      </c>
      <c r="C564" s="1">
        <v>46068</v>
      </c>
      <c r="D564" t="s">
        <v>25</v>
      </c>
      <c r="E564" t="s">
        <v>26</v>
      </c>
      <c r="F564" t="s">
        <v>53</v>
      </c>
      <c r="G564" t="s">
        <v>54</v>
      </c>
      <c r="H564" t="s">
        <v>29</v>
      </c>
      <c r="I564" t="s">
        <v>30</v>
      </c>
      <c r="J564" t="s">
        <v>47</v>
      </c>
      <c r="K564" t="s">
        <v>42</v>
      </c>
      <c r="L564" t="s">
        <v>421</v>
      </c>
      <c r="M564" s="4">
        <v>1</v>
      </c>
      <c r="N564" s="4">
        <v>1</v>
      </c>
      <c r="O564" s="2">
        <v>1</v>
      </c>
      <c r="P564" s="3">
        <v>0.99</v>
      </c>
      <c r="Q564" s="3">
        <v>0.99</v>
      </c>
      <c r="R564" s="3">
        <v>0</v>
      </c>
      <c r="S564" s="2"/>
      <c r="T564" s="5">
        <v>0</v>
      </c>
      <c r="U564" s="4">
        <v>0</v>
      </c>
      <c r="V564" s="4">
        <v>0</v>
      </c>
      <c r="W564" s="2">
        <v>0</v>
      </c>
      <c r="X564" s="4">
        <v>0</v>
      </c>
      <c r="Y564" s="4">
        <v>0</v>
      </c>
      <c r="Z564" s="3">
        <v>0</v>
      </c>
      <c r="AA564" s="3">
        <v>0</v>
      </c>
    </row>
    <row r="565" spans="1:27" x14ac:dyDescent="0.2">
      <c r="A565">
        <f t="shared" si="16"/>
        <v>2</v>
      </c>
      <c r="B565">
        <f t="shared" si="17"/>
        <v>7</v>
      </c>
      <c r="C565" s="1">
        <v>46065</v>
      </c>
      <c r="D565" t="s">
        <v>25</v>
      </c>
      <c r="E565" t="s">
        <v>26</v>
      </c>
      <c r="F565" t="s">
        <v>53</v>
      </c>
      <c r="G565" t="s">
        <v>54</v>
      </c>
      <c r="H565" t="s">
        <v>29</v>
      </c>
      <c r="I565" t="s">
        <v>30</v>
      </c>
      <c r="J565" t="s">
        <v>47</v>
      </c>
      <c r="K565" t="s">
        <v>42</v>
      </c>
      <c r="L565" t="s">
        <v>422</v>
      </c>
      <c r="M565" s="4">
        <v>1</v>
      </c>
      <c r="N565" s="4">
        <v>1</v>
      </c>
      <c r="O565" s="2">
        <v>1</v>
      </c>
      <c r="P565" s="3">
        <v>0.93</v>
      </c>
      <c r="Q565" s="3">
        <v>0.93</v>
      </c>
      <c r="R565" s="3">
        <v>0</v>
      </c>
      <c r="S565" s="2"/>
      <c r="T565" s="5">
        <v>0</v>
      </c>
      <c r="U565" s="4">
        <v>0</v>
      </c>
      <c r="V565" s="4">
        <v>0</v>
      </c>
      <c r="W565" s="2">
        <v>0</v>
      </c>
      <c r="X565" s="4">
        <v>0</v>
      </c>
      <c r="Y565" s="4">
        <v>0</v>
      </c>
      <c r="Z565" s="3">
        <v>0</v>
      </c>
      <c r="AA565" s="3">
        <v>0</v>
      </c>
    </row>
    <row r="566" spans="1:27" x14ac:dyDescent="0.2">
      <c r="A566">
        <f t="shared" si="16"/>
        <v>2</v>
      </c>
      <c r="B566">
        <f t="shared" si="17"/>
        <v>6</v>
      </c>
      <c r="C566" s="1">
        <v>46055</v>
      </c>
      <c r="D566" t="s">
        <v>25</v>
      </c>
      <c r="E566" t="s">
        <v>26</v>
      </c>
      <c r="F566" t="s">
        <v>61</v>
      </c>
      <c r="G566" t="s">
        <v>62</v>
      </c>
      <c r="H566" t="s">
        <v>29</v>
      </c>
      <c r="I566" t="s">
        <v>30</v>
      </c>
      <c r="J566" t="s">
        <v>95</v>
      </c>
      <c r="K566" t="s">
        <v>42</v>
      </c>
      <c r="L566" t="s">
        <v>423</v>
      </c>
      <c r="M566" s="4">
        <v>1</v>
      </c>
      <c r="N566" s="4">
        <v>1</v>
      </c>
      <c r="O566" s="2">
        <v>1</v>
      </c>
      <c r="P566" s="3">
        <v>1.23</v>
      </c>
      <c r="Q566" s="3">
        <v>1.23</v>
      </c>
      <c r="R566" s="3">
        <v>0</v>
      </c>
      <c r="S566" s="2"/>
      <c r="T566" s="5">
        <v>0</v>
      </c>
      <c r="U566" s="4">
        <v>0</v>
      </c>
      <c r="V566" s="4">
        <v>0</v>
      </c>
      <c r="W566" s="2">
        <v>0</v>
      </c>
      <c r="X566" s="4">
        <v>0</v>
      </c>
      <c r="Y566" s="4">
        <v>0</v>
      </c>
      <c r="Z566" s="3">
        <v>0</v>
      </c>
      <c r="AA566" s="3">
        <v>0</v>
      </c>
    </row>
    <row r="567" spans="1:27" x14ac:dyDescent="0.2">
      <c r="A567">
        <f t="shared" si="16"/>
        <v>2</v>
      </c>
      <c r="B567">
        <f t="shared" si="17"/>
        <v>7</v>
      </c>
      <c r="C567" s="1">
        <v>46062</v>
      </c>
      <c r="D567" t="s">
        <v>25</v>
      </c>
      <c r="E567" t="s">
        <v>26</v>
      </c>
      <c r="F567" t="s">
        <v>27</v>
      </c>
      <c r="G567" t="s">
        <v>28</v>
      </c>
      <c r="H567" t="s">
        <v>29</v>
      </c>
      <c r="I567" t="s">
        <v>30</v>
      </c>
      <c r="J567" t="s">
        <v>50</v>
      </c>
      <c r="K567" t="s">
        <v>32</v>
      </c>
      <c r="L567" t="s">
        <v>424</v>
      </c>
      <c r="M567" s="4">
        <v>1</v>
      </c>
      <c r="N567" s="4">
        <v>1</v>
      </c>
      <c r="O567" s="2">
        <v>1</v>
      </c>
      <c r="P567" s="3">
        <v>0.21</v>
      </c>
      <c r="Q567" s="3">
        <v>0.21</v>
      </c>
      <c r="R567" s="3">
        <v>0</v>
      </c>
      <c r="S567" s="2"/>
      <c r="T567" s="5">
        <v>0</v>
      </c>
      <c r="U567" s="4">
        <v>0</v>
      </c>
      <c r="V567" s="4">
        <v>0</v>
      </c>
      <c r="W567" s="2">
        <v>0</v>
      </c>
      <c r="X567" s="4">
        <v>0</v>
      </c>
      <c r="Y567" s="4">
        <v>0</v>
      </c>
      <c r="Z567" s="3">
        <v>0</v>
      </c>
      <c r="AA567" s="3">
        <v>0</v>
      </c>
    </row>
    <row r="568" spans="1:27" x14ac:dyDescent="0.2">
      <c r="A568">
        <f t="shared" si="16"/>
        <v>2</v>
      </c>
      <c r="B568">
        <f t="shared" si="17"/>
        <v>8</v>
      </c>
      <c r="C568" s="1">
        <v>46074</v>
      </c>
      <c r="D568" t="s">
        <v>25</v>
      </c>
      <c r="E568" t="s">
        <v>26</v>
      </c>
      <c r="F568" t="s">
        <v>49</v>
      </c>
      <c r="G568" t="s">
        <v>50</v>
      </c>
      <c r="H568" t="s">
        <v>29</v>
      </c>
      <c r="I568" t="s">
        <v>30</v>
      </c>
      <c r="J568" t="s">
        <v>95</v>
      </c>
      <c r="K568" t="s">
        <v>42</v>
      </c>
      <c r="L568" t="s">
        <v>425</v>
      </c>
      <c r="M568" s="4">
        <v>1</v>
      </c>
      <c r="N568" s="4">
        <v>1</v>
      </c>
      <c r="O568" s="2">
        <v>1</v>
      </c>
      <c r="P568" s="3">
        <v>0.52</v>
      </c>
      <c r="Q568" s="3">
        <v>0.52</v>
      </c>
      <c r="R568" s="3">
        <v>0</v>
      </c>
      <c r="S568" s="2"/>
      <c r="T568" s="5">
        <v>0</v>
      </c>
      <c r="U568" s="4">
        <v>0</v>
      </c>
      <c r="V568" s="4">
        <v>0</v>
      </c>
      <c r="W568" s="2">
        <v>0</v>
      </c>
      <c r="X568" s="4">
        <v>0</v>
      </c>
      <c r="Y568" s="4">
        <v>0</v>
      </c>
      <c r="Z568" s="3">
        <v>0</v>
      </c>
      <c r="AA568" s="3">
        <v>0</v>
      </c>
    </row>
    <row r="569" spans="1:27" x14ac:dyDescent="0.2">
      <c r="A569">
        <f t="shared" si="16"/>
        <v>2</v>
      </c>
      <c r="B569">
        <f t="shared" si="17"/>
        <v>7</v>
      </c>
      <c r="C569" s="1">
        <v>46061</v>
      </c>
      <c r="D569" t="s">
        <v>25</v>
      </c>
      <c r="E569" t="s">
        <v>26</v>
      </c>
      <c r="F569" t="s">
        <v>27</v>
      </c>
      <c r="G569" t="s">
        <v>28</v>
      </c>
      <c r="H569" t="s">
        <v>29</v>
      </c>
      <c r="I569" t="s">
        <v>30</v>
      </c>
      <c r="J569" t="s">
        <v>119</v>
      </c>
      <c r="K569" t="s">
        <v>32</v>
      </c>
      <c r="L569" t="s">
        <v>426</v>
      </c>
      <c r="M569" s="4">
        <v>1</v>
      </c>
      <c r="N569" s="4">
        <v>1</v>
      </c>
      <c r="O569" s="2">
        <v>1</v>
      </c>
      <c r="P569" s="3">
        <v>0.15</v>
      </c>
      <c r="Q569" s="3">
        <v>0.15</v>
      </c>
      <c r="R569" s="3">
        <v>0</v>
      </c>
      <c r="S569" s="2"/>
      <c r="T569" s="5">
        <v>0</v>
      </c>
      <c r="U569" s="4">
        <v>0</v>
      </c>
      <c r="V569" s="4">
        <v>0</v>
      </c>
      <c r="W569" s="2">
        <v>0</v>
      </c>
      <c r="X569" s="4">
        <v>0</v>
      </c>
      <c r="Y569" s="4">
        <v>0</v>
      </c>
      <c r="Z569" s="3">
        <v>0</v>
      </c>
      <c r="AA569" s="3">
        <v>0</v>
      </c>
    </row>
    <row r="570" spans="1:27" x14ac:dyDescent="0.2">
      <c r="A570">
        <f t="shared" si="16"/>
        <v>2</v>
      </c>
      <c r="B570">
        <f t="shared" si="17"/>
        <v>6</v>
      </c>
      <c r="C570" s="1">
        <v>46055</v>
      </c>
      <c r="D570" t="s">
        <v>25</v>
      </c>
      <c r="E570" t="s">
        <v>26</v>
      </c>
      <c r="F570" t="s">
        <v>39</v>
      </c>
      <c r="G570" t="s">
        <v>40</v>
      </c>
      <c r="H570" t="s">
        <v>29</v>
      </c>
      <c r="I570" t="s">
        <v>30</v>
      </c>
      <c r="J570" t="s">
        <v>41</v>
      </c>
      <c r="K570" t="s">
        <v>42</v>
      </c>
      <c r="L570" t="s">
        <v>427</v>
      </c>
      <c r="M570" s="4">
        <v>1</v>
      </c>
      <c r="N570" s="4">
        <v>1</v>
      </c>
      <c r="O570" s="2">
        <v>1</v>
      </c>
      <c r="P570" s="3">
        <v>0.72</v>
      </c>
      <c r="Q570" s="3">
        <v>0.72</v>
      </c>
      <c r="R570" s="3">
        <v>0</v>
      </c>
      <c r="S570" s="2"/>
      <c r="T570" s="5">
        <v>0</v>
      </c>
      <c r="U570" s="4">
        <v>0</v>
      </c>
      <c r="V570" s="4">
        <v>0</v>
      </c>
      <c r="W570" s="2">
        <v>0</v>
      </c>
      <c r="X570" s="4">
        <v>0</v>
      </c>
      <c r="Y570" s="4">
        <v>0</v>
      </c>
      <c r="Z570" s="3">
        <v>0</v>
      </c>
      <c r="AA570" s="3">
        <v>0</v>
      </c>
    </row>
    <row r="571" spans="1:27" x14ac:dyDescent="0.2">
      <c r="A571">
        <f t="shared" si="16"/>
        <v>2</v>
      </c>
      <c r="B571">
        <f t="shared" si="17"/>
        <v>8</v>
      </c>
      <c r="C571" s="1">
        <v>46070</v>
      </c>
      <c r="D571" t="s">
        <v>25</v>
      </c>
      <c r="E571" t="s">
        <v>26</v>
      </c>
      <c r="F571" t="s">
        <v>53</v>
      </c>
      <c r="G571" t="s">
        <v>54</v>
      </c>
      <c r="H571" t="s">
        <v>29</v>
      </c>
      <c r="I571" t="s">
        <v>30</v>
      </c>
      <c r="J571" t="s">
        <v>95</v>
      </c>
      <c r="K571" t="s">
        <v>42</v>
      </c>
      <c r="L571" t="s">
        <v>428</v>
      </c>
      <c r="M571" s="4">
        <v>1</v>
      </c>
      <c r="N571" s="4">
        <v>1</v>
      </c>
      <c r="O571" s="2">
        <v>1</v>
      </c>
      <c r="P571" s="3">
        <v>0.44</v>
      </c>
      <c r="Q571" s="3">
        <v>0.44</v>
      </c>
      <c r="R571" s="3">
        <v>0</v>
      </c>
      <c r="S571" s="2"/>
      <c r="T571" s="5">
        <v>0</v>
      </c>
      <c r="U571" s="4">
        <v>0</v>
      </c>
      <c r="V571" s="4">
        <v>0</v>
      </c>
      <c r="W571" s="2">
        <v>0</v>
      </c>
      <c r="X571" s="4">
        <v>0</v>
      </c>
      <c r="Y571" s="4">
        <v>0</v>
      </c>
      <c r="Z571" s="3">
        <v>0</v>
      </c>
      <c r="AA571" s="3">
        <v>0</v>
      </c>
    </row>
    <row r="572" spans="1:27" x14ac:dyDescent="0.2">
      <c r="A572">
        <f t="shared" si="16"/>
        <v>2</v>
      </c>
      <c r="B572">
        <f t="shared" si="17"/>
        <v>7</v>
      </c>
      <c r="C572" s="1">
        <v>46065</v>
      </c>
      <c r="D572" t="s">
        <v>25</v>
      </c>
      <c r="E572" t="s">
        <v>26</v>
      </c>
      <c r="F572" t="s">
        <v>112</v>
      </c>
      <c r="G572" t="s">
        <v>113</v>
      </c>
      <c r="H572" t="s">
        <v>29</v>
      </c>
      <c r="I572" t="s">
        <v>30</v>
      </c>
      <c r="J572" t="s">
        <v>429</v>
      </c>
      <c r="K572" t="s">
        <v>42</v>
      </c>
      <c r="L572" t="s">
        <v>430</v>
      </c>
      <c r="M572" s="4">
        <v>1</v>
      </c>
      <c r="N572" s="4">
        <v>1</v>
      </c>
      <c r="O572" s="2">
        <v>1</v>
      </c>
      <c r="P572" s="3">
        <v>0.39</v>
      </c>
      <c r="Q572" s="3">
        <v>0.39</v>
      </c>
      <c r="R572" s="3">
        <v>0</v>
      </c>
      <c r="S572" s="2"/>
      <c r="T572" s="5">
        <v>0</v>
      </c>
      <c r="U572" s="4">
        <v>0</v>
      </c>
      <c r="V572" s="4">
        <v>0</v>
      </c>
      <c r="W572" s="2">
        <v>0</v>
      </c>
      <c r="X572" s="4">
        <v>0</v>
      </c>
      <c r="Y572" s="4">
        <v>0</v>
      </c>
      <c r="Z572" s="3">
        <v>0</v>
      </c>
      <c r="AA572" s="3">
        <v>0</v>
      </c>
    </row>
    <row r="573" spans="1:27" x14ac:dyDescent="0.2">
      <c r="A573">
        <f t="shared" si="16"/>
        <v>2</v>
      </c>
      <c r="B573">
        <f t="shared" si="17"/>
        <v>6</v>
      </c>
      <c r="C573" s="1">
        <v>46056</v>
      </c>
      <c r="D573" t="s">
        <v>25</v>
      </c>
      <c r="E573" t="s">
        <v>26</v>
      </c>
      <c r="F573" t="s">
        <v>53</v>
      </c>
      <c r="G573" t="s">
        <v>54</v>
      </c>
      <c r="H573" t="s">
        <v>29</v>
      </c>
      <c r="I573" t="s">
        <v>30</v>
      </c>
      <c r="J573" t="s">
        <v>47</v>
      </c>
      <c r="K573" t="s">
        <v>42</v>
      </c>
      <c r="L573" t="s">
        <v>109</v>
      </c>
      <c r="M573" s="4">
        <v>9</v>
      </c>
      <c r="N573" s="4">
        <v>1</v>
      </c>
      <c r="O573" s="2">
        <v>0.1111111111111111</v>
      </c>
      <c r="P573" s="3">
        <v>0.6</v>
      </c>
      <c r="Q573" s="3">
        <v>0.6</v>
      </c>
      <c r="R573" s="3">
        <v>0</v>
      </c>
      <c r="S573" s="2"/>
      <c r="T573" s="5">
        <v>0</v>
      </c>
      <c r="U573" s="4">
        <v>0</v>
      </c>
      <c r="V573" s="4">
        <v>0</v>
      </c>
      <c r="W573" s="2">
        <v>0</v>
      </c>
      <c r="X573" s="4">
        <v>0</v>
      </c>
      <c r="Y573" s="4">
        <v>0</v>
      </c>
      <c r="Z573" s="3">
        <v>0</v>
      </c>
      <c r="AA573" s="3">
        <v>0</v>
      </c>
    </row>
    <row r="574" spans="1:27" x14ac:dyDescent="0.2">
      <c r="A574">
        <f t="shared" si="16"/>
        <v>2</v>
      </c>
      <c r="B574">
        <f t="shared" si="17"/>
        <v>7</v>
      </c>
      <c r="C574" s="1">
        <v>46066</v>
      </c>
      <c r="D574" t="s">
        <v>25</v>
      </c>
      <c r="E574" t="s">
        <v>26</v>
      </c>
      <c r="F574" t="s">
        <v>53</v>
      </c>
      <c r="G574" t="s">
        <v>54</v>
      </c>
      <c r="H574" t="s">
        <v>29</v>
      </c>
      <c r="I574" t="s">
        <v>30</v>
      </c>
      <c r="J574" t="s">
        <v>47</v>
      </c>
      <c r="K574" t="s">
        <v>42</v>
      </c>
      <c r="L574" t="s">
        <v>109</v>
      </c>
      <c r="M574" s="4">
        <v>16</v>
      </c>
      <c r="N574" s="4">
        <v>1</v>
      </c>
      <c r="O574" s="2">
        <v>6.25E-2</v>
      </c>
      <c r="P574" s="3">
        <v>0.6</v>
      </c>
      <c r="Q574" s="3">
        <v>0.6</v>
      </c>
      <c r="R574" s="3">
        <v>0</v>
      </c>
      <c r="S574" s="2"/>
      <c r="T574" s="5">
        <v>0</v>
      </c>
      <c r="U574" s="4">
        <v>0</v>
      </c>
      <c r="V574" s="4">
        <v>0</v>
      </c>
      <c r="W574" s="2">
        <v>0</v>
      </c>
      <c r="X574" s="4">
        <v>0</v>
      </c>
      <c r="Y574" s="4">
        <v>0</v>
      </c>
      <c r="Z574" s="3">
        <v>0</v>
      </c>
      <c r="AA574" s="3">
        <v>0</v>
      </c>
    </row>
    <row r="575" spans="1:27" x14ac:dyDescent="0.2">
      <c r="A575">
        <f t="shared" si="16"/>
        <v>2</v>
      </c>
      <c r="B575">
        <f t="shared" si="17"/>
        <v>7</v>
      </c>
      <c r="C575" s="1">
        <v>46067</v>
      </c>
      <c r="D575" t="s">
        <v>25</v>
      </c>
      <c r="E575" t="s">
        <v>26</v>
      </c>
      <c r="F575" t="s">
        <v>53</v>
      </c>
      <c r="G575" t="s">
        <v>54</v>
      </c>
      <c r="H575" t="s">
        <v>29</v>
      </c>
      <c r="I575" t="s">
        <v>30</v>
      </c>
      <c r="J575" t="s">
        <v>47</v>
      </c>
      <c r="K575" t="s">
        <v>42</v>
      </c>
      <c r="L575" t="s">
        <v>109</v>
      </c>
      <c r="M575" s="4">
        <v>11</v>
      </c>
      <c r="N575" s="4">
        <v>1</v>
      </c>
      <c r="O575" s="2">
        <v>9.0909090909090925E-2</v>
      </c>
      <c r="P575" s="3">
        <v>0.6</v>
      </c>
      <c r="Q575" s="3">
        <v>0.6</v>
      </c>
      <c r="R575" s="3">
        <v>0</v>
      </c>
      <c r="S575" s="2"/>
      <c r="T575" s="5">
        <v>0</v>
      </c>
      <c r="U575" s="4">
        <v>0</v>
      </c>
      <c r="V575" s="4">
        <v>0</v>
      </c>
      <c r="W575" s="2">
        <v>0</v>
      </c>
      <c r="X575" s="4">
        <v>0</v>
      </c>
      <c r="Y575" s="4">
        <v>0</v>
      </c>
      <c r="Z575" s="3">
        <v>0</v>
      </c>
      <c r="AA575" s="3">
        <v>0</v>
      </c>
    </row>
    <row r="576" spans="1:27" x14ac:dyDescent="0.2">
      <c r="A576">
        <f t="shared" si="16"/>
        <v>2</v>
      </c>
      <c r="B576">
        <f t="shared" si="17"/>
        <v>6</v>
      </c>
      <c r="C576" s="1">
        <v>46060</v>
      </c>
      <c r="D576" t="s">
        <v>25</v>
      </c>
      <c r="E576" t="s">
        <v>26</v>
      </c>
      <c r="F576" t="s">
        <v>53</v>
      </c>
      <c r="G576" t="s">
        <v>54</v>
      </c>
      <c r="H576" t="s">
        <v>29</v>
      </c>
      <c r="I576" t="s">
        <v>30</v>
      </c>
      <c r="J576" t="s">
        <v>47</v>
      </c>
      <c r="K576" t="s">
        <v>42</v>
      </c>
      <c r="L576" t="s">
        <v>110</v>
      </c>
      <c r="M576" s="4">
        <v>4</v>
      </c>
      <c r="N576" s="4">
        <v>1</v>
      </c>
      <c r="O576" s="2">
        <v>0.25</v>
      </c>
      <c r="P576" s="3">
        <v>0.6</v>
      </c>
      <c r="Q576" s="3">
        <v>0.6</v>
      </c>
      <c r="R576" s="3">
        <v>0</v>
      </c>
      <c r="S576" s="2"/>
      <c r="T576" s="5">
        <v>0</v>
      </c>
      <c r="U576" s="4">
        <v>0</v>
      </c>
      <c r="V576" s="4">
        <v>0</v>
      </c>
      <c r="W576" s="2">
        <v>0</v>
      </c>
      <c r="X576" s="4">
        <v>0</v>
      </c>
      <c r="Y576" s="4">
        <v>0</v>
      </c>
      <c r="Z576" s="3">
        <v>0</v>
      </c>
      <c r="AA576" s="3">
        <v>0</v>
      </c>
    </row>
    <row r="577" spans="1:27" x14ac:dyDescent="0.2">
      <c r="A577">
        <f t="shared" si="16"/>
        <v>2</v>
      </c>
      <c r="B577">
        <f t="shared" si="17"/>
        <v>7</v>
      </c>
      <c r="C577" s="1">
        <v>46064</v>
      </c>
      <c r="D577" t="s">
        <v>25</v>
      </c>
      <c r="E577" t="s">
        <v>26</v>
      </c>
      <c r="F577" t="s">
        <v>61</v>
      </c>
      <c r="G577" t="s">
        <v>62</v>
      </c>
      <c r="H577" t="s">
        <v>29</v>
      </c>
      <c r="I577" t="s">
        <v>30</v>
      </c>
      <c r="J577" t="s">
        <v>47</v>
      </c>
      <c r="K577" t="s">
        <v>42</v>
      </c>
      <c r="L577" t="s">
        <v>431</v>
      </c>
      <c r="M577" s="4">
        <v>3</v>
      </c>
      <c r="N577" s="4">
        <v>1</v>
      </c>
      <c r="O577" s="2">
        <v>0.33333333333333331</v>
      </c>
      <c r="P577" s="3">
        <v>1.18</v>
      </c>
      <c r="Q577" s="3">
        <v>1.18</v>
      </c>
      <c r="R577" s="3">
        <v>0</v>
      </c>
      <c r="S577" s="2"/>
      <c r="T577" s="5">
        <v>0</v>
      </c>
      <c r="U577" s="4">
        <v>0</v>
      </c>
      <c r="V577" s="4">
        <v>0</v>
      </c>
      <c r="W577" s="2">
        <v>0</v>
      </c>
      <c r="X577" s="4">
        <v>0</v>
      </c>
      <c r="Y577" s="4">
        <v>0</v>
      </c>
      <c r="Z577" s="3">
        <v>0</v>
      </c>
      <c r="AA577" s="3">
        <v>0</v>
      </c>
    </row>
    <row r="578" spans="1:27" x14ac:dyDescent="0.2">
      <c r="A578">
        <f t="shared" si="16"/>
        <v>2</v>
      </c>
      <c r="B578">
        <f t="shared" si="17"/>
        <v>7</v>
      </c>
      <c r="C578" s="1">
        <v>46065</v>
      </c>
      <c r="D578" t="s">
        <v>25</v>
      </c>
      <c r="E578" t="s">
        <v>26</v>
      </c>
      <c r="F578" t="s">
        <v>53</v>
      </c>
      <c r="G578" t="s">
        <v>54</v>
      </c>
      <c r="H578" t="s">
        <v>29</v>
      </c>
      <c r="I578" t="s">
        <v>30</v>
      </c>
      <c r="J578" t="s">
        <v>47</v>
      </c>
      <c r="K578" t="s">
        <v>42</v>
      </c>
      <c r="L578" t="s">
        <v>431</v>
      </c>
      <c r="M578" s="4">
        <v>11</v>
      </c>
      <c r="N578" s="4">
        <v>1</v>
      </c>
      <c r="O578" s="2">
        <v>9.0909090909090925E-2</v>
      </c>
      <c r="P578" s="3">
        <v>1.0900000000000001</v>
      </c>
      <c r="Q578" s="3">
        <v>1.0900000000000001</v>
      </c>
      <c r="R578" s="3">
        <v>0</v>
      </c>
      <c r="S578" s="2"/>
      <c r="T578" s="5">
        <v>0</v>
      </c>
      <c r="U578" s="4">
        <v>0</v>
      </c>
      <c r="V578" s="4">
        <v>0</v>
      </c>
      <c r="W578" s="2">
        <v>0</v>
      </c>
      <c r="X578" s="4">
        <v>0</v>
      </c>
      <c r="Y578" s="4">
        <v>0</v>
      </c>
      <c r="Z578" s="3">
        <v>0</v>
      </c>
      <c r="AA578" s="3">
        <v>0</v>
      </c>
    </row>
    <row r="579" spans="1:27" x14ac:dyDescent="0.2">
      <c r="A579">
        <f t="shared" ref="A579:A642" si="18">MONTH(C579)</f>
        <v>2</v>
      </c>
      <c r="B579">
        <f t="shared" ref="B579:B642" si="19">WEEKNUM(C579,1)</f>
        <v>8</v>
      </c>
      <c r="C579" s="1">
        <v>46068</v>
      </c>
      <c r="D579" t="s">
        <v>25</v>
      </c>
      <c r="E579" t="s">
        <v>26</v>
      </c>
      <c r="F579" t="s">
        <v>61</v>
      </c>
      <c r="G579" t="s">
        <v>62</v>
      </c>
      <c r="H579" t="s">
        <v>29</v>
      </c>
      <c r="I579" t="s">
        <v>30</v>
      </c>
      <c r="J579" t="s">
        <v>47</v>
      </c>
      <c r="K579" t="s">
        <v>42</v>
      </c>
      <c r="L579" t="s">
        <v>111</v>
      </c>
      <c r="M579" s="4">
        <v>8</v>
      </c>
      <c r="N579" s="4">
        <v>1</v>
      </c>
      <c r="O579" s="2">
        <v>0.125</v>
      </c>
      <c r="P579" s="3">
        <v>1.1299999999999999</v>
      </c>
      <c r="Q579" s="3">
        <v>1.1299999999999999</v>
      </c>
      <c r="R579" s="3">
        <v>0</v>
      </c>
      <c r="S579" s="2"/>
      <c r="T579" s="5">
        <v>0</v>
      </c>
      <c r="U579" s="4">
        <v>0</v>
      </c>
      <c r="V579" s="4">
        <v>0</v>
      </c>
      <c r="W579" s="2">
        <v>0</v>
      </c>
      <c r="X579" s="4">
        <v>0</v>
      </c>
      <c r="Y579" s="4">
        <v>0</v>
      </c>
      <c r="Z579" s="3">
        <v>0</v>
      </c>
      <c r="AA579" s="3">
        <v>0</v>
      </c>
    </row>
    <row r="580" spans="1:27" x14ac:dyDescent="0.2">
      <c r="A580">
        <f t="shared" si="18"/>
        <v>2</v>
      </c>
      <c r="B580">
        <f t="shared" si="19"/>
        <v>7</v>
      </c>
      <c r="C580" s="1">
        <v>46063</v>
      </c>
      <c r="D580" t="s">
        <v>25</v>
      </c>
      <c r="E580" t="s">
        <v>26</v>
      </c>
      <c r="F580" t="s">
        <v>53</v>
      </c>
      <c r="G580" t="s">
        <v>54</v>
      </c>
      <c r="H580" t="s">
        <v>29</v>
      </c>
      <c r="I580" t="s">
        <v>30</v>
      </c>
      <c r="J580" t="s">
        <v>47</v>
      </c>
      <c r="K580" t="s">
        <v>42</v>
      </c>
      <c r="L580" t="s">
        <v>111</v>
      </c>
      <c r="M580" s="4">
        <v>10</v>
      </c>
      <c r="N580" s="4">
        <v>1</v>
      </c>
      <c r="O580" s="2">
        <v>0.1</v>
      </c>
      <c r="P580" s="3">
        <v>0.6</v>
      </c>
      <c r="Q580" s="3">
        <v>0.6</v>
      </c>
      <c r="R580" s="3">
        <v>0</v>
      </c>
      <c r="S580" s="2"/>
      <c r="T580" s="5">
        <v>0</v>
      </c>
      <c r="U580" s="4">
        <v>0</v>
      </c>
      <c r="V580" s="4">
        <v>0</v>
      </c>
      <c r="W580" s="2">
        <v>0</v>
      </c>
      <c r="X580" s="4">
        <v>0</v>
      </c>
      <c r="Y580" s="4">
        <v>0</v>
      </c>
      <c r="Z580" s="3">
        <v>0</v>
      </c>
      <c r="AA580" s="3">
        <v>0</v>
      </c>
    </row>
    <row r="581" spans="1:27" x14ac:dyDescent="0.2">
      <c r="A581">
        <f t="shared" si="18"/>
        <v>2</v>
      </c>
      <c r="B581">
        <f t="shared" si="19"/>
        <v>8</v>
      </c>
      <c r="C581" s="1">
        <v>46070</v>
      </c>
      <c r="D581" t="s">
        <v>25</v>
      </c>
      <c r="E581" t="s">
        <v>26</v>
      </c>
      <c r="F581" t="s">
        <v>53</v>
      </c>
      <c r="G581" t="s">
        <v>54</v>
      </c>
      <c r="H581" t="s">
        <v>29</v>
      </c>
      <c r="I581" t="s">
        <v>30</v>
      </c>
      <c r="J581" t="s">
        <v>47</v>
      </c>
      <c r="K581" t="s">
        <v>42</v>
      </c>
      <c r="L581" t="s">
        <v>111</v>
      </c>
      <c r="M581" s="4">
        <v>2</v>
      </c>
      <c r="N581" s="4">
        <v>1</v>
      </c>
      <c r="O581" s="2">
        <v>0.5</v>
      </c>
      <c r="P581" s="3">
        <v>1.37</v>
      </c>
      <c r="Q581" s="3">
        <v>1.37</v>
      </c>
      <c r="R581" s="3">
        <v>0</v>
      </c>
      <c r="S581" s="2"/>
      <c r="T581" s="5">
        <v>0</v>
      </c>
      <c r="U581" s="4">
        <v>0</v>
      </c>
      <c r="V581" s="4">
        <v>0</v>
      </c>
      <c r="W581" s="2">
        <v>0</v>
      </c>
      <c r="X581" s="4">
        <v>0</v>
      </c>
      <c r="Y581" s="4">
        <v>0</v>
      </c>
      <c r="Z581" s="3">
        <v>0</v>
      </c>
      <c r="AA581" s="3">
        <v>0</v>
      </c>
    </row>
    <row r="582" spans="1:27" x14ac:dyDescent="0.2">
      <c r="A582">
        <f t="shared" si="18"/>
        <v>2</v>
      </c>
      <c r="B582">
        <f t="shared" si="19"/>
        <v>8</v>
      </c>
      <c r="C582" s="1">
        <v>46073</v>
      </c>
      <c r="D582" t="s">
        <v>25</v>
      </c>
      <c r="E582" t="s">
        <v>26</v>
      </c>
      <c r="F582" t="s">
        <v>53</v>
      </c>
      <c r="G582" t="s">
        <v>54</v>
      </c>
      <c r="H582" t="s">
        <v>29</v>
      </c>
      <c r="I582" t="s">
        <v>30</v>
      </c>
      <c r="J582" t="s">
        <v>47</v>
      </c>
      <c r="K582" t="s">
        <v>42</v>
      </c>
      <c r="L582" t="s">
        <v>111</v>
      </c>
      <c r="M582" s="4">
        <v>25</v>
      </c>
      <c r="N582" s="4">
        <v>1</v>
      </c>
      <c r="O582" s="2">
        <v>0.04</v>
      </c>
      <c r="P582" s="3">
        <v>0.6</v>
      </c>
      <c r="Q582" s="3">
        <v>0.6</v>
      </c>
      <c r="R582" s="3">
        <v>0</v>
      </c>
      <c r="S582" s="2"/>
      <c r="T582" s="5">
        <v>0</v>
      </c>
      <c r="U582" s="4">
        <v>0</v>
      </c>
      <c r="V582" s="4">
        <v>0</v>
      </c>
      <c r="W582" s="2">
        <v>0</v>
      </c>
      <c r="X582" s="4">
        <v>0</v>
      </c>
      <c r="Y582" s="4">
        <v>0</v>
      </c>
      <c r="Z582" s="3">
        <v>0</v>
      </c>
      <c r="AA582" s="3">
        <v>0</v>
      </c>
    </row>
    <row r="583" spans="1:27" x14ac:dyDescent="0.2">
      <c r="A583">
        <f t="shared" si="18"/>
        <v>2</v>
      </c>
      <c r="B583">
        <f t="shared" si="19"/>
        <v>7</v>
      </c>
      <c r="C583" s="1">
        <v>46067</v>
      </c>
      <c r="D583" t="s">
        <v>25</v>
      </c>
      <c r="E583" t="s">
        <v>26</v>
      </c>
      <c r="F583" t="s">
        <v>112</v>
      </c>
      <c r="G583" t="s">
        <v>113</v>
      </c>
      <c r="H583" t="s">
        <v>29</v>
      </c>
      <c r="I583" t="s">
        <v>30</v>
      </c>
      <c r="J583" t="s">
        <v>111</v>
      </c>
      <c r="K583" t="s">
        <v>32</v>
      </c>
      <c r="L583" t="s">
        <v>111</v>
      </c>
      <c r="M583" s="4">
        <v>1</v>
      </c>
      <c r="N583" s="4">
        <v>1</v>
      </c>
      <c r="O583" s="2">
        <v>1</v>
      </c>
      <c r="P583" s="3">
        <v>0.45</v>
      </c>
      <c r="Q583" s="3">
        <v>0.45</v>
      </c>
      <c r="R583" s="3">
        <v>0</v>
      </c>
      <c r="S583" s="2"/>
      <c r="T583" s="5">
        <v>0</v>
      </c>
      <c r="U583" s="4">
        <v>0</v>
      </c>
      <c r="V583" s="4">
        <v>0</v>
      </c>
      <c r="W583" s="2">
        <v>0</v>
      </c>
      <c r="X583" s="4">
        <v>0</v>
      </c>
      <c r="Y583" s="4">
        <v>0</v>
      </c>
      <c r="Z583" s="3">
        <v>0</v>
      </c>
      <c r="AA583" s="3">
        <v>0</v>
      </c>
    </row>
    <row r="584" spans="1:27" x14ac:dyDescent="0.2">
      <c r="A584">
        <f t="shared" si="18"/>
        <v>2</v>
      </c>
      <c r="B584">
        <f t="shared" si="19"/>
        <v>7</v>
      </c>
      <c r="C584" s="1">
        <v>46066</v>
      </c>
      <c r="D584" t="s">
        <v>25</v>
      </c>
      <c r="E584" t="s">
        <v>26</v>
      </c>
      <c r="F584" t="s">
        <v>53</v>
      </c>
      <c r="G584" t="s">
        <v>54</v>
      </c>
      <c r="H584" t="s">
        <v>29</v>
      </c>
      <c r="I584" t="s">
        <v>30</v>
      </c>
      <c r="J584" t="s">
        <v>95</v>
      </c>
      <c r="K584" t="s">
        <v>42</v>
      </c>
      <c r="L584" t="s">
        <v>432</v>
      </c>
      <c r="M584" s="4">
        <v>1</v>
      </c>
      <c r="N584" s="4">
        <v>1</v>
      </c>
      <c r="O584" s="2">
        <v>1</v>
      </c>
      <c r="P584" s="3">
        <v>0.45</v>
      </c>
      <c r="Q584" s="3">
        <v>0.45</v>
      </c>
      <c r="R584" s="3">
        <v>8.93</v>
      </c>
      <c r="S584" s="2">
        <v>5.0391937290033599E-2</v>
      </c>
      <c r="T584" s="5">
        <v>19.844444444444445</v>
      </c>
      <c r="U584" s="4">
        <v>1</v>
      </c>
      <c r="V584" s="4">
        <v>1</v>
      </c>
      <c r="W584" s="2">
        <v>1</v>
      </c>
      <c r="X584" s="4">
        <v>1</v>
      </c>
      <c r="Y584" s="4">
        <v>0</v>
      </c>
      <c r="Z584" s="3">
        <v>8.93</v>
      </c>
      <c r="AA584" s="3">
        <v>0</v>
      </c>
    </row>
    <row r="585" spans="1:27" x14ac:dyDescent="0.2">
      <c r="A585">
        <f t="shared" si="18"/>
        <v>2</v>
      </c>
      <c r="B585">
        <f t="shared" si="19"/>
        <v>8</v>
      </c>
      <c r="C585" s="1">
        <v>46072</v>
      </c>
      <c r="D585" t="s">
        <v>25</v>
      </c>
      <c r="E585" t="s">
        <v>26</v>
      </c>
      <c r="F585" t="s">
        <v>53</v>
      </c>
      <c r="G585" t="s">
        <v>54</v>
      </c>
      <c r="H585" t="s">
        <v>29</v>
      </c>
      <c r="I585" t="s">
        <v>30</v>
      </c>
      <c r="J585" t="s">
        <v>95</v>
      </c>
      <c r="K585" t="s">
        <v>42</v>
      </c>
      <c r="L585" t="s">
        <v>433</v>
      </c>
      <c r="M585" s="4">
        <v>2</v>
      </c>
      <c r="N585" s="4">
        <v>1</v>
      </c>
      <c r="O585" s="2">
        <v>0.5</v>
      </c>
      <c r="P585" s="3">
        <v>1</v>
      </c>
      <c r="Q585" s="3">
        <v>1</v>
      </c>
      <c r="R585" s="3">
        <v>0</v>
      </c>
      <c r="S585" s="2"/>
      <c r="T585" s="5">
        <v>0</v>
      </c>
      <c r="U585" s="4">
        <v>0</v>
      </c>
      <c r="V585" s="4">
        <v>0</v>
      </c>
      <c r="W585" s="2">
        <v>0</v>
      </c>
      <c r="X585" s="4">
        <v>0</v>
      </c>
      <c r="Y585" s="4">
        <v>0</v>
      </c>
      <c r="Z585" s="3">
        <v>0</v>
      </c>
      <c r="AA585" s="3">
        <v>0</v>
      </c>
    </row>
    <row r="586" spans="1:27" x14ac:dyDescent="0.2">
      <c r="A586">
        <f t="shared" si="18"/>
        <v>2</v>
      </c>
      <c r="B586">
        <f t="shared" si="19"/>
        <v>8</v>
      </c>
      <c r="C586" s="1">
        <v>46073</v>
      </c>
      <c r="D586" t="s">
        <v>25</v>
      </c>
      <c r="E586" t="s">
        <v>26</v>
      </c>
      <c r="F586" t="s">
        <v>61</v>
      </c>
      <c r="G586" t="s">
        <v>62</v>
      </c>
      <c r="H586" t="s">
        <v>29</v>
      </c>
      <c r="I586" t="s">
        <v>30</v>
      </c>
      <c r="J586" t="s">
        <v>95</v>
      </c>
      <c r="K586" t="s">
        <v>42</v>
      </c>
      <c r="L586" t="s">
        <v>434</v>
      </c>
      <c r="M586" s="4">
        <v>2</v>
      </c>
      <c r="N586" s="4">
        <v>1</v>
      </c>
      <c r="O586" s="2">
        <v>0.5</v>
      </c>
      <c r="P586" s="3">
        <v>1.19</v>
      </c>
      <c r="Q586" s="3">
        <v>1.19</v>
      </c>
      <c r="R586" s="3">
        <v>0</v>
      </c>
      <c r="S586" s="2"/>
      <c r="T586" s="5">
        <v>0</v>
      </c>
      <c r="U586" s="4">
        <v>0</v>
      </c>
      <c r="V586" s="4">
        <v>0</v>
      </c>
      <c r="W586" s="2">
        <v>0</v>
      </c>
      <c r="X586" s="4">
        <v>0</v>
      </c>
      <c r="Y586" s="4">
        <v>0</v>
      </c>
      <c r="Z586" s="3">
        <v>0</v>
      </c>
      <c r="AA586" s="3">
        <v>0</v>
      </c>
    </row>
    <row r="587" spans="1:27" x14ac:dyDescent="0.2">
      <c r="A587">
        <f t="shared" si="18"/>
        <v>2</v>
      </c>
      <c r="B587">
        <f t="shared" si="19"/>
        <v>8</v>
      </c>
      <c r="C587" s="1">
        <v>46074</v>
      </c>
      <c r="D587" t="s">
        <v>25</v>
      </c>
      <c r="E587" t="s">
        <v>26</v>
      </c>
      <c r="F587" t="s">
        <v>53</v>
      </c>
      <c r="G587" t="s">
        <v>54</v>
      </c>
      <c r="H587" t="s">
        <v>29</v>
      </c>
      <c r="I587" t="s">
        <v>30</v>
      </c>
      <c r="J587" t="s">
        <v>47</v>
      </c>
      <c r="K587" t="s">
        <v>42</v>
      </c>
      <c r="L587" t="s">
        <v>435</v>
      </c>
      <c r="M587" s="4">
        <v>9</v>
      </c>
      <c r="N587" s="4">
        <v>1</v>
      </c>
      <c r="O587" s="2">
        <v>0.1111111111111111</v>
      </c>
      <c r="P587" s="3">
        <v>1.37</v>
      </c>
      <c r="Q587" s="3">
        <v>1.37</v>
      </c>
      <c r="R587" s="3">
        <v>0</v>
      </c>
      <c r="S587" s="2"/>
      <c r="T587" s="5">
        <v>0</v>
      </c>
      <c r="U587" s="4">
        <v>0</v>
      </c>
      <c r="V587" s="4">
        <v>0</v>
      </c>
      <c r="W587" s="2">
        <v>0</v>
      </c>
      <c r="X587" s="4">
        <v>0</v>
      </c>
      <c r="Y587" s="4">
        <v>0</v>
      </c>
      <c r="Z587" s="3">
        <v>0</v>
      </c>
      <c r="AA587" s="3">
        <v>0</v>
      </c>
    </row>
    <row r="588" spans="1:27" x14ac:dyDescent="0.2">
      <c r="A588">
        <f t="shared" si="18"/>
        <v>2</v>
      </c>
      <c r="B588">
        <f t="shared" si="19"/>
        <v>7</v>
      </c>
      <c r="C588" s="1">
        <v>46065</v>
      </c>
      <c r="D588" t="s">
        <v>25</v>
      </c>
      <c r="E588" t="s">
        <v>26</v>
      </c>
      <c r="F588" t="s">
        <v>27</v>
      </c>
      <c r="G588" t="s">
        <v>124</v>
      </c>
      <c r="H588" t="s">
        <v>29</v>
      </c>
      <c r="I588" t="s">
        <v>30</v>
      </c>
      <c r="J588" t="s">
        <v>239</v>
      </c>
      <c r="K588" t="s">
        <v>267</v>
      </c>
      <c r="L588" t="s">
        <v>239</v>
      </c>
      <c r="M588" s="4">
        <v>3</v>
      </c>
      <c r="N588" s="4">
        <v>1</v>
      </c>
      <c r="O588" s="2">
        <v>0.33333333333333331</v>
      </c>
      <c r="P588" s="3">
        <v>0.4</v>
      </c>
      <c r="Q588" s="3">
        <v>0.4</v>
      </c>
      <c r="R588" s="3">
        <v>0</v>
      </c>
      <c r="S588" s="2"/>
      <c r="T588" s="5">
        <v>0</v>
      </c>
      <c r="U588" s="4">
        <v>0</v>
      </c>
      <c r="V588" s="4">
        <v>0</v>
      </c>
      <c r="W588" s="2">
        <v>0</v>
      </c>
      <c r="X588" s="4">
        <v>0</v>
      </c>
      <c r="Y588" s="4">
        <v>0</v>
      </c>
      <c r="Z588" s="3">
        <v>0</v>
      </c>
      <c r="AA588" s="3">
        <v>0</v>
      </c>
    </row>
    <row r="589" spans="1:27" x14ac:dyDescent="0.2">
      <c r="A589">
        <f t="shared" si="18"/>
        <v>2</v>
      </c>
      <c r="B589">
        <f t="shared" si="19"/>
        <v>6</v>
      </c>
      <c r="C589" s="1">
        <v>46060</v>
      </c>
      <c r="D589" t="s">
        <v>25</v>
      </c>
      <c r="E589" t="s">
        <v>26</v>
      </c>
      <c r="F589" t="s">
        <v>27</v>
      </c>
      <c r="G589" t="s">
        <v>28</v>
      </c>
      <c r="H589" t="s">
        <v>29</v>
      </c>
      <c r="I589" t="s">
        <v>30</v>
      </c>
      <c r="J589" t="s">
        <v>44</v>
      </c>
      <c r="K589" t="s">
        <v>32</v>
      </c>
      <c r="L589" t="s">
        <v>436</v>
      </c>
      <c r="M589" s="4">
        <v>2</v>
      </c>
      <c r="N589" s="4">
        <v>1</v>
      </c>
      <c r="O589" s="2">
        <v>0.5</v>
      </c>
      <c r="P589" s="3">
        <v>0.21</v>
      </c>
      <c r="Q589" s="3">
        <v>0.21</v>
      </c>
      <c r="R589" s="3">
        <v>0</v>
      </c>
      <c r="S589" s="2"/>
      <c r="T589" s="5">
        <v>0</v>
      </c>
      <c r="U589" s="4">
        <v>0</v>
      </c>
      <c r="V589" s="4">
        <v>0</v>
      </c>
      <c r="W589" s="2">
        <v>0</v>
      </c>
      <c r="X589" s="4">
        <v>0</v>
      </c>
      <c r="Y589" s="4">
        <v>0</v>
      </c>
      <c r="Z589" s="3">
        <v>0</v>
      </c>
      <c r="AA589" s="3">
        <v>0</v>
      </c>
    </row>
    <row r="590" spans="1:27" x14ac:dyDescent="0.2">
      <c r="A590">
        <f t="shared" si="18"/>
        <v>2</v>
      </c>
      <c r="B590">
        <f t="shared" si="19"/>
        <v>8</v>
      </c>
      <c r="C590" s="1">
        <v>46069</v>
      </c>
      <c r="D590" t="s">
        <v>25</v>
      </c>
      <c r="E590" t="s">
        <v>26</v>
      </c>
      <c r="F590" t="s">
        <v>49</v>
      </c>
      <c r="G590" t="s">
        <v>50</v>
      </c>
      <c r="H590" t="s">
        <v>29</v>
      </c>
      <c r="I590" t="s">
        <v>30</v>
      </c>
      <c r="J590" t="s">
        <v>95</v>
      </c>
      <c r="K590" t="s">
        <v>42</v>
      </c>
      <c r="L590" t="s">
        <v>437</v>
      </c>
      <c r="M590" s="4">
        <v>1</v>
      </c>
      <c r="N590" s="4">
        <v>1</v>
      </c>
      <c r="O590" s="2">
        <v>1</v>
      </c>
      <c r="P590" s="3">
        <v>0.52</v>
      </c>
      <c r="Q590" s="3">
        <v>0.52</v>
      </c>
      <c r="R590" s="3">
        <v>0</v>
      </c>
      <c r="S590" s="2"/>
      <c r="T590" s="5">
        <v>0</v>
      </c>
      <c r="U590" s="4">
        <v>0</v>
      </c>
      <c r="V590" s="4">
        <v>0</v>
      </c>
      <c r="W590" s="2">
        <v>0</v>
      </c>
      <c r="X590" s="4">
        <v>0</v>
      </c>
      <c r="Y590" s="4">
        <v>0</v>
      </c>
      <c r="Z590" s="3">
        <v>0</v>
      </c>
      <c r="AA590" s="3">
        <v>0</v>
      </c>
    </row>
    <row r="591" spans="1:27" x14ac:dyDescent="0.2">
      <c r="A591">
        <f t="shared" si="18"/>
        <v>2</v>
      </c>
      <c r="B591">
        <f t="shared" si="19"/>
        <v>8</v>
      </c>
      <c r="C591" s="1">
        <v>46071</v>
      </c>
      <c r="D591" t="s">
        <v>25</v>
      </c>
      <c r="E591" t="s">
        <v>26</v>
      </c>
      <c r="F591" t="s">
        <v>27</v>
      </c>
      <c r="G591" t="s">
        <v>28</v>
      </c>
      <c r="H591" t="s">
        <v>29</v>
      </c>
      <c r="I591" t="s">
        <v>30</v>
      </c>
      <c r="J591" t="s">
        <v>50</v>
      </c>
      <c r="K591" t="s">
        <v>32</v>
      </c>
      <c r="L591" t="s">
        <v>438</v>
      </c>
      <c r="M591" s="4">
        <v>1</v>
      </c>
      <c r="N591" s="4">
        <v>1</v>
      </c>
      <c r="O591" s="2">
        <v>1</v>
      </c>
      <c r="P591" s="3">
        <v>0.21</v>
      </c>
      <c r="Q591" s="3">
        <v>0.21</v>
      </c>
      <c r="R591" s="3">
        <v>0</v>
      </c>
      <c r="S591" s="2"/>
      <c r="T591" s="5">
        <v>0</v>
      </c>
      <c r="U591" s="4">
        <v>0</v>
      </c>
      <c r="V591" s="4">
        <v>0</v>
      </c>
      <c r="W591" s="2">
        <v>0</v>
      </c>
      <c r="X591" s="4">
        <v>0</v>
      </c>
      <c r="Y591" s="4">
        <v>0</v>
      </c>
      <c r="Z591" s="3">
        <v>0</v>
      </c>
      <c r="AA591" s="3">
        <v>0</v>
      </c>
    </row>
    <row r="592" spans="1:27" x14ac:dyDescent="0.2">
      <c r="A592">
        <f t="shared" si="18"/>
        <v>2</v>
      </c>
      <c r="B592">
        <f t="shared" si="19"/>
        <v>7</v>
      </c>
      <c r="C592" s="1">
        <v>46067</v>
      </c>
      <c r="D592" t="s">
        <v>25</v>
      </c>
      <c r="E592" t="s">
        <v>26</v>
      </c>
      <c r="F592" t="s">
        <v>61</v>
      </c>
      <c r="G592" t="s">
        <v>62</v>
      </c>
      <c r="H592" t="s">
        <v>29</v>
      </c>
      <c r="I592" t="s">
        <v>30</v>
      </c>
      <c r="J592" t="s">
        <v>95</v>
      </c>
      <c r="K592" t="s">
        <v>42</v>
      </c>
      <c r="L592" t="s">
        <v>439</v>
      </c>
      <c r="M592" s="4">
        <v>1</v>
      </c>
      <c r="N592" s="4">
        <v>1</v>
      </c>
      <c r="O592" s="2">
        <v>1</v>
      </c>
      <c r="P592" s="3">
        <v>1.02</v>
      </c>
      <c r="Q592" s="3">
        <v>1.02</v>
      </c>
      <c r="R592" s="3">
        <v>0</v>
      </c>
      <c r="S592" s="2"/>
      <c r="T592" s="5">
        <v>0</v>
      </c>
      <c r="U592" s="4">
        <v>0</v>
      </c>
      <c r="V592" s="4">
        <v>0</v>
      </c>
      <c r="W592" s="2">
        <v>0</v>
      </c>
      <c r="X592" s="4">
        <v>0</v>
      </c>
      <c r="Y592" s="4">
        <v>0</v>
      </c>
      <c r="Z592" s="3">
        <v>0</v>
      </c>
      <c r="AA592" s="3">
        <v>0</v>
      </c>
    </row>
    <row r="593" spans="1:27" x14ac:dyDescent="0.2">
      <c r="A593">
        <f t="shared" si="18"/>
        <v>2</v>
      </c>
      <c r="B593">
        <f t="shared" si="19"/>
        <v>7</v>
      </c>
      <c r="C593" s="1">
        <v>46067</v>
      </c>
      <c r="D593" t="s">
        <v>25</v>
      </c>
      <c r="E593" t="s">
        <v>26</v>
      </c>
      <c r="F593" t="s">
        <v>61</v>
      </c>
      <c r="G593" t="s">
        <v>62</v>
      </c>
      <c r="H593" t="s">
        <v>29</v>
      </c>
      <c r="I593" t="s">
        <v>30</v>
      </c>
      <c r="J593" t="s">
        <v>95</v>
      </c>
      <c r="K593" t="s">
        <v>42</v>
      </c>
      <c r="L593" t="s">
        <v>440</v>
      </c>
      <c r="M593" s="4">
        <v>3</v>
      </c>
      <c r="N593" s="4">
        <v>1</v>
      </c>
      <c r="O593" s="2">
        <v>0.33333333333333331</v>
      </c>
      <c r="P593" s="3">
        <v>1.02</v>
      </c>
      <c r="Q593" s="3">
        <v>1.02</v>
      </c>
      <c r="R593" s="3">
        <v>0</v>
      </c>
      <c r="S593" s="2"/>
      <c r="T593" s="5">
        <v>0</v>
      </c>
      <c r="U593" s="4">
        <v>0</v>
      </c>
      <c r="V593" s="4">
        <v>0</v>
      </c>
      <c r="W593" s="2">
        <v>0</v>
      </c>
      <c r="X593" s="4">
        <v>0</v>
      </c>
      <c r="Y593" s="4">
        <v>0</v>
      </c>
      <c r="Z593" s="3">
        <v>0</v>
      </c>
      <c r="AA593" s="3">
        <v>0</v>
      </c>
    </row>
    <row r="594" spans="1:27" x14ac:dyDescent="0.2">
      <c r="A594">
        <f t="shared" si="18"/>
        <v>2</v>
      </c>
      <c r="B594">
        <f t="shared" si="19"/>
        <v>7</v>
      </c>
      <c r="C594" s="1">
        <v>46066</v>
      </c>
      <c r="D594" t="s">
        <v>25</v>
      </c>
      <c r="E594" t="s">
        <v>26</v>
      </c>
      <c r="F594" t="s">
        <v>61</v>
      </c>
      <c r="G594" t="s">
        <v>62</v>
      </c>
      <c r="H594" t="s">
        <v>29</v>
      </c>
      <c r="I594" t="s">
        <v>30</v>
      </c>
      <c r="J594" t="s">
        <v>95</v>
      </c>
      <c r="K594" t="s">
        <v>42</v>
      </c>
      <c r="L594" t="s">
        <v>441</v>
      </c>
      <c r="M594" s="4">
        <v>1</v>
      </c>
      <c r="N594" s="4">
        <v>1</v>
      </c>
      <c r="O594" s="2">
        <v>1</v>
      </c>
      <c r="P594" s="3">
        <v>0.97</v>
      </c>
      <c r="Q594" s="3">
        <v>0.97</v>
      </c>
      <c r="R594" s="3">
        <v>0</v>
      </c>
      <c r="S594" s="2"/>
      <c r="T594" s="5">
        <v>0</v>
      </c>
      <c r="U594" s="4">
        <v>0</v>
      </c>
      <c r="V594" s="4">
        <v>0</v>
      </c>
      <c r="W594" s="2">
        <v>0</v>
      </c>
      <c r="X594" s="4">
        <v>0</v>
      </c>
      <c r="Y594" s="4">
        <v>0</v>
      </c>
      <c r="Z594" s="3">
        <v>0</v>
      </c>
      <c r="AA594" s="3">
        <v>0</v>
      </c>
    </row>
    <row r="595" spans="1:27" x14ac:dyDescent="0.2">
      <c r="A595">
        <f t="shared" si="18"/>
        <v>2</v>
      </c>
      <c r="B595">
        <f t="shared" si="19"/>
        <v>8</v>
      </c>
      <c r="C595" s="1">
        <v>46073</v>
      </c>
      <c r="D595" t="s">
        <v>25</v>
      </c>
      <c r="E595" t="s">
        <v>26</v>
      </c>
      <c r="F595" t="s">
        <v>27</v>
      </c>
      <c r="G595" t="s">
        <v>28</v>
      </c>
      <c r="H595" t="s">
        <v>29</v>
      </c>
      <c r="I595" t="s">
        <v>30</v>
      </c>
      <c r="J595" t="s">
        <v>44</v>
      </c>
      <c r="K595" t="s">
        <v>32</v>
      </c>
      <c r="L595" t="s">
        <v>442</v>
      </c>
      <c r="M595" s="4">
        <v>1</v>
      </c>
      <c r="N595" s="4">
        <v>1</v>
      </c>
      <c r="O595" s="2">
        <v>1</v>
      </c>
      <c r="P595" s="3">
        <v>0.21</v>
      </c>
      <c r="Q595" s="3">
        <v>0.21</v>
      </c>
      <c r="R595" s="3">
        <v>0</v>
      </c>
      <c r="S595" s="2"/>
      <c r="T595" s="5">
        <v>0</v>
      </c>
      <c r="U595" s="4">
        <v>0</v>
      </c>
      <c r="V595" s="4">
        <v>0</v>
      </c>
      <c r="W595" s="2">
        <v>0</v>
      </c>
      <c r="X595" s="4">
        <v>0</v>
      </c>
      <c r="Y595" s="4">
        <v>0</v>
      </c>
      <c r="Z595" s="3">
        <v>0</v>
      </c>
      <c r="AA595" s="3">
        <v>0</v>
      </c>
    </row>
    <row r="596" spans="1:27" x14ac:dyDescent="0.2">
      <c r="A596">
        <f t="shared" si="18"/>
        <v>2</v>
      </c>
      <c r="B596">
        <f t="shared" si="19"/>
        <v>7</v>
      </c>
      <c r="C596" s="1">
        <v>46062</v>
      </c>
      <c r="D596" t="s">
        <v>25</v>
      </c>
      <c r="E596" t="s">
        <v>26</v>
      </c>
      <c r="F596" t="s">
        <v>27</v>
      </c>
      <c r="G596" t="s">
        <v>124</v>
      </c>
      <c r="H596" t="s">
        <v>29</v>
      </c>
      <c r="I596" t="s">
        <v>30</v>
      </c>
      <c r="J596" t="s">
        <v>101</v>
      </c>
      <c r="K596" t="s">
        <v>87</v>
      </c>
      <c r="L596" t="s">
        <v>443</v>
      </c>
      <c r="M596" s="4">
        <v>3</v>
      </c>
      <c r="N596" s="4">
        <v>1</v>
      </c>
      <c r="O596" s="2">
        <v>0.33333333333333331</v>
      </c>
      <c r="P596" s="3">
        <v>0.21</v>
      </c>
      <c r="Q596" s="3">
        <v>0.21</v>
      </c>
      <c r="R596" s="3">
        <v>0</v>
      </c>
      <c r="S596" s="2"/>
      <c r="T596" s="5">
        <v>0</v>
      </c>
      <c r="U596" s="4">
        <v>0</v>
      </c>
      <c r="V596" s="4">
        <v>0</v>
      </c>
      <c r="W596" s="2">
        <v>0</v>
      </c>
      <c r="X596" s="4">
        <v>0</v>
      </c>
      <c r="Y596" s="4">
        <v>0</v>
      </c>
      <c r="Z596" s="3">
        <v>0</v>
      </c>
      <c r="AA596" s="3">
        <v>0</v>
      </c>
    </row>
    <row r="597" spans="1:27" x14ac:dyDescent="0.2">
      <c r="A597">
        <f t="shared" si="18"/>
        <v>2</v>
      </c>
      <c r="B597">
        <f t="shared" si="19"/>
        <v>8</v>
      </c>
      <c r="C597" s="1">
        <v>46071</v>
      </c>
      <c r="D597" t="s">
        <v>25</v>
      </c>
      <c r="E597" t="s">
        <v>26</v>
      </c>
      <c r="F597" t="s">
        <v>34</v>
      </c>
      <c r="G597" t="s">
        <v>28</v>
      </c>
      <c r="H597" t="s">
        <v>29</v>
      </c>
      <c r="I597" t="s">
        <v>30</v>
      </c>
      <c r="J597" t="s">
        <v>44</v>
      </c>
      <c r="K597" t="s">
        <v>32</v>
      </c>
      <c r="L597" t="s">
        <v>444</v>
      </c>
      <c r="M597" s="4">
        <v>1</v>
      </c>
      <c r="N597" s="4">
        <v>1</v>
      </c>
      <c r="O597" s="2">
        <v>1</v>
      </c>
      <c r="P597" s="3">
        <v>0.75</v>
      </c>
      <c r="Q597" s="3">
        <v>0.75</v>
      </c>
      <c r="R597" s="3">
        <v>0</v>
      </c>
      <c r="S597" s="2"/>
      <c r="T597" s="5">
        <v>0</v>
      </c>
      <c r="U597" s="4">
        <v>0</v>
      </c>
      <c r="V597" s="4">
        <v>0</v>
      </c>
      <c r="W597" s="2">
        <v>0</v>
      </c>
      <c r="X597" s="4">
        <v>0</v>
      </c>
      <c r="Y597" s="4">
        <v>0</v>
      </c>
      <c r="Z597" s="3">
        <v>0</v>
      </c>
      <c r="AA597" s="3">
        <v>0</v>
      </c>
    </row>
    <row r="598" spans="1:27" x14ac:dyDescent="0.2">
      <c r="A598">
        <f t="shared" si="18"/>
        <v>2</v>
      </c>
      <c r="B598">
        <f t="shared" si="19"/>
        <v>6</v>
      </c>
      <c r="C598" s="1">
        <v>46058</v>
      </c>
      <c r="D598" t="s">
        <v>25</v>
      </c>
      <c r="E598" t="s">
        <v>26</v>
      </c>
      <c r="F598" t="s">
        <v>27</v>
      </c>
      <c r="G598" t="s">
        <v>28</v>
      </c>
      <c r="H598" t="s">
        <v>29</v>
      </c>
      <c r="I598" t="s">
        <v>30</v>
      </c>
      <c r="J598" t="s">
        <v>101</v>
      </c>
      <c r="K598" t="s">
        <v>32</v>
      </c>
      <c r="L598" t="s">
        <v>445</v>
      </c>
      <c r="M598" s="4">
        <v>1</v>
      </c>
      <c r="N598" s="4">
        <v>1</v>
      </c>
      <c r="O598" s="2">
        <v>1</v>
      </c>
      <c r="P598" s="3">
        <v>0.21</v>
      </c>
      <c r="Q598" s="3">
        <v>0.21</v>
      </c>
      <c r="R598" s="3">
        <v>0</v>
      </c>
      <c r="S598" s="2"/>
      <c r="T598" s="5">
        <v>0</v>
      </c>
      <c r="U598" s="4">
        <v>0</v>
      </c>
      <c r="V598" s="4">
        <v>0</v>
      </c>
      <c r="W598" s="2">
        <v>0</v>
      </c>
      <c r="X598" s="4">
        <v>0</v>
      </c>
      <c r="Y598" s="4">
        <v>0</v>
      </c>
      <c r="Z598" s="3">
        <v>0</v>
      </c>
      <c r="AA598" s="3">
        <v>0</v>
      </c>
    </row>
    <row r="599" spans="1:27" x14ac:dyDescent="0.2">
      <c r="A599">
        <f t="shared" si="18"/>
        <v>2</v>
      </c>
      <c r="B599">
        <f t="shared" si="19"/>
        <v>6</v>
      </c>
      <c r="C599" s="1">
        <v>46058</v>
      </c>
      <c r="D599" t="s">
        <v>25</v>
      </c>
      <c r="E599" t="s">
        <v>26</v>
      </c>
      <c r="F599" t="s">
        <v>34</v>
      </c>
      <c r="G599" t="s">
        <v>273</v>
      </c>
      <c r="H599" t="s">
        <v>29</v>
      </c>
      <c r="I599" t="s">
        <v>30</v>
      </c>
      <c r="J599" t="s">
        <v>37</v>
      </c>
      <c r="K599" t="s">
        <v>87</v>
      </c>
      <c r="L599" t="s">
        <v>446</v>
      </c>
      <c r="M599" s="4">
        <v>1</v>
      </c>
      <c r="N599" s="4">
        <v>1</v>
      </c>
      <c r="O599" s="2">
        <v>1</v>
      </c>
      <c r="P599" s="3">
        <v>1.74</v>
      </c>
      <c r="Q599" s="3">
        <v>1.74</v>
      </c>
      <c r="R599" s="3">
        <v>0</v>
      </c>
      <c r="S599" s="2"/>
      <c r="T599" s="5">
        <v>0</v>
      </c>
      <c r="U599" s="4">
        <v>0</v>
      </c>
      <c r="V599" s="4">
        <v>0</v>
      </c>
      <c r="W599" s="2">
        <v>0</v>
      </c>
      <c r="X599" s="4">
        <v>0</v>
      </c>
      <c r="Y599" s="4">
        <v>0</v>
      </c>
      <c r="Z599" s="3">
        <v>0</v>
      </c>
      <c r="AA599" s="3">
        <v>0</v>
      </c>
    </row>
    <row r="600" spans="1:27" x14ac:dyDescent="0.2">
      <c r="A600">
        <f t="shared" si="18"/>
        <v>2</v>
      </c>
      <c r="B600">
        <f t="shared" si="19"/>
        <v>6</v>
      </c>
      <c r="C600" s="1">
        <v>46057</v>
      </c>
      <c r="D600" t="s">
        <v>25</v>
      </c>
      <c r="E600" t="s">
        <v>26</v>
      </c>
      <c r="F600" t="s">
        <v>39</v>
      </c>
      <c r="G600" t="s">
        <v>40</v>
      </c>
      <c r="H600" t="s">
        <v>29</v>
      </c>
      <c r="I600" t="s">
        <v>30</v>
      </c>
      <c r="J600" t="s">
        <v>41</v>
      </c>
      <c r="K600" t="s">
        <v>42</v>
      </c>
      <c r="L600" t="s">
        <v>447</v>
      </c>
      <c r="M600" s="4">
        <v>2</v>
      </c>
      <c r="N600" s="4">
        <v>1</v>
      </c>
      <c r="O600" s="2">
        <v>0.5</v>
      </c>
      <c r="P600" s="3">
        <v>0.72</v>
      </c>
      <c r="Q600" s="3">
        <v>0.72</v>
      </c>
      <c r="R600" s="3">
        <v>0</v>
      </c>
      <c r="S600" s="2"/>
      <c r="T600" s="5">
        <v>0</v>
      </c>
      <c r="U600" s="4">
        <v>0</v>
      </c>
      <c r="V600" s="4">
        <v>0</v>
      </c>
      <c r="W600" s="2">
        <v>0</v>
      </c>
      <c r="X600" s="4">
        <v>0</v>
      </c>
      <c r="Y600" s="4">
        <v>0</v>
      </c>
      <c r="Z600" s="3">
        <v>0</v>
      </c>
      <c r="AA600" s="3">
        <v>0</v>
      </c>
    </row>
    <row r="601" spans="1:27" x14ac:dyDescent="0.2">
      <c r="A601">
        <f t="shared" si="18"/>
        <v>2</v>
      </c>
      <c r="B601">
        <f t="shared" si="19"/>
        <v>8</v>
      </c>
      <c r="C601" s="1">
        <v>46071</v>
      </c>
      <c r="D601" t="s">
        <v>25</v>
      </c>
      <c r="E601" t="s">
        <v>26</v>
      </c>
      <c r="F601" t="s">
        <v>27</v>
      </c>
      <c r="G601" t="s">
        <v>28</v>
      </c>
      <c r="H601" t="s">
        <v>29</v>
      </c>
      <c r="I601" t="s">
        <v>30</v>
      </c>
      <c r="J601" t="s">
        <v>31</v>
      </c>
      <c r="K601" t="s">
        <v>32</v>
      </c>
      <c r="L601" t="s">
        <v>448</v>
      </c>
      <c r="M601" s="4">
        <v>1</v>
      </c>
      <c r="N601" s="4">
        <v>1</v>
      </c>
      <c r="O601" s="2">
        <v>1</v>
      </c>
      <c r="P601" s="3">
        <v>0.08</v>
      </c>
      <c r="Q601" s="3">
        <v>0.08</v>
      </c>
      <c r="R601" s="3">
        <v>0</v>
      </c>
      <c r="S601" s="2"/>
      <c r="T601" s="5">
        <v>0</v>
      </c>
      <c r="U601" s="4">
        <v>0</v>
      </c>
      <c r="V601" s="4">
        <v>0</v>
      </c>
      <c r="W601" s="2">
        <v>0</v>
      </c>
      <c r="X601" s="4">
        <v>0</v>
      </c>
      <c r="Y601" s="4">
        <v>0</v>
      </c>
      <c r="Z601" s="3">
        <v>0</v>
      </c>
      <c r="AA601" s="3">
        <v>0</v>
      </c>
    </row>
    <row r="602" spans="1:27" x14ac:dyDescent="0.2">
      <c r="A602">
        <f t="shared" si="18"/>
        <v>2</v>
      </c>
      <c r="B602">
        <f t="shared" si="19"/>
        <v>6</v>
      </c>
      <c r="C602" s="1">
        <v>46058</v>
      </c>
      <c r="D602" t="s">
        <v>25</v>
      </c>
      <c r="E602" t="s">
        <v>26</v>
      </c>
      <c r="F602" t="s">
        <v>34</v>
      </c>
      <c r="G602" t="s">
        <v>28</v>
      </c>
      <c r="H602" t="s">
        <v>29</v>
      </c>
      <c r="I602" t="s">
        <v>30</v>
      </c>
      <c r="J602" t="s">
        <v>154</v>
      </c>
      <c r="K602" t="s">
        <v>32</v>
      </c>
      <c r="L602" t="s">
        <v>449</v>
      </c>
      <c r="M602" s="4">
        <v>1</v>
      </c>
      <c r="N602" s="4">
        <v>1</v>
      </c>
      <c r="O602" s="2">
        <v>1</v>
      </c>
      <c r="P602" s="3">
        <v>0.93</v>
      </c>
      <c r="Q602" s="3">
        <v>0.93</v>
      </c>
      <c r="R602" s="3">
        <v>0</v>
      </c>
      <c r="S602" s="2"/>
      <c r="T602" s="5">
        <v>0</v>
      </c>
      <c r="U602" s="4">
        <v>0</v>
      </c>
      <c r="V602" s="4">
        <v>0</v>
      </c>
      <c r="W602" s="2">
        <v>0</v>
      </c>
      <c r="X602" s="4">
        <v>0</v>
      </c>
      <c r="Y602" s="4">
        <v>0</v>
      </c>
      <c r="Z602" s="3">
        <v>0</v>
      </c>
      <c r="AA602" s="3">
        <v>0</v>
      </c>
    </row>
    <row r="603" spans="1:27" x14ac:dyDescent="0.2">
      <c r="A603">
        <f t="shared" si="18"/>
        <v>2</v>
      </c>
      <c r="B603">
        <f t="shared" si="19"/>
        <v>6</v>
      </c>
      <c r="C603" s="1">
        <v>46054</v>
      </c>
      <c r="D603" t="s">
        <v>25</v>
      </c>
      <c r="E603" t="s">
        <v>26</v>
      </c>
      <c r="F603" t="s">
        <v>49</v>
      </c>
      <c r="G603" t="s">
        <v>50</v>
      </c>
      <c r="H603" t="s">
        <v>29</v>
      </c>
      <c r="I603" t="s">
        <v>30</v>
      </c>
      <c r="J603" t="s">
        <v>95</v>
      </c>
      <c r="K603" t="s">
        <v>42</v>
      </c>
      <c r="L603" t="s">
        <v>450</v>
      </c>
      <c r="M603" s="4">
        <v>6</v>
      </c>
      <c r="N603" s="4">
        <v>1</v>
      </c>
      <c r="O603" s="2">
        <v>0.16666666666666663</v>
      </c>
      <c r="P603" s="3">
        <v>0.32</v>
      </c>
      <c r="Q603" s="3">
        <v>0.32</v>
      </c>
      <c r="R603" s="3">
        <v>0</v>
      </c>
      <c r="S603" s="2"/>
      <c r="T603" s="5">
        <v>0</v>
      </c>
      <c r="U603" s="4">
        <v>0</v>
      </c>
      <c r="V603" s="4">
        <v>0</v>
      </c>
      <c r="W603" s="2">
        <v>0</v>
      </c>
      <c r="X603" s="4">
        <v>0</v>
      </c>
      <c r="Y603" s="4">
        <v>0</v>
      </c>
      <c r="Z603" s="3">
        <v>0</v>
      </c>
      <c r="AA603" s="3">
        <v>0</v>
      </c>
    </row>
    <row r="604" spans="1:27" x14ac:dyDescent="0.2">
      <c r="A604">
        <f t="shared" si="18"/>
        <v>2</v>
      </c>
      <c r="B604">
        <f t="shared" si="19"/>
        <v>6</v>
      </c>
      <c r="C604" s="1">
        <v>46054</v>
      </c>
      <c r="D604" t="s">
        <v>25</v>
      </c>
      <c r="E604" t="s">
        <v>26</v>
      </c>
      <c r="F604" t="s">
        <v>49</v>
      </c>
      <c r="G604" t="s">
        <v>50</v>
      </c>
      <c r="H604" t="s">
        <v>29</v>
      </c>
      <c r="I604" t="s">
        <v>30</v>
      </c>
      <c r="J604" t="s">
        <v>95</v>
      </c>
      <c r="K604" t="s">
        <v>42</v>
      </c>
      <c r="L604" t="s">
        <v>451</v>
      </c>
      <c r="M604" s="4">
        <v>4</v>
      </c>
      <c r="N604" s="4">
        <v>1</v>
      </c>
      <c r="O604" s="2">
        <v>0.25</v>
      </c>
      <c r="P604" s="3">
        <v>0.32</v>
      </c>
      <c r="Q604" s="3">
        <v>0.32</v>
      </c>
      <c r="R604" s="3">
        <v>0</v>
      </c>
      <c r="S604" s="2"/>
      <c r="T604" s="5">
        <v>0</v>
      </c>
      <c r="U604" s="4">
        <v>0</v>
      </c>
      <c r="V604" s="4">
        <v>0</v>
      </c>
      <c r="W604" s="2">
        <v>0</v>
      </c>
      <c r="X604" s="4">
        <v>0</v>
      </c>
      <c r="Y604" s="4">
        <v>0</v>
      </c>
      <c r="Z604" s="3">
        <v>0</v>
      </c>
      <c r="AA604" s="3">
        <v>0</v>
      </c>
    </row>
    <row r="605" spans="1:27" x14ac:dyDescent="0.2">
      <c r="A605">
        <f t="shared" si="18"/>
        <v>2</v>
      </c>
      <c r="B605">
        <f t="shared" si="19"/>
        <v>7</v>
      </c>
      <c r="C605" s="1">
        <v>46061</v>
      </c>
      <c r="D605" t="s">
        <v>25</v>
      </c>
      <c r="E605" t="s">
        <v>26</v>
      </c>
      <c r="F605" t="s">
        <v>49</v>
      </c>
      <c r="G605" t="s">
        <v>50</v>
      </c>
      <c r="H605" t="s">
        <v>29</v>
      </c>
      <c r="I605" t="s">
        <v>30</v>
      </c>
      <c r="J605" t="s">
        <v>95</v>
      </c>
      <c r="K605" t="s">
        <v>42</v>
      </c>
      <c r="L605" t="s">
        <v>451</v>
      </c>
      <c r="M605" s="4">
        <v>2</v>
      </c>
      <c r="N605" s="4">
        <v>1</v>
      </c>
      <c r="O605" s="2">
        <v>0.5</v>
      </c>
      <c r="P605" s="3">
        <v>0.4</v>
      </c>
      <c r="Q605" s="3">
        <v>0.4</v>
      </c>
      <c r="R605" s="3">
        <v>0</v>
      </c>
      <c r="S605" s="2"/>
      <c r="T605" s="5">
        <v>0</v>
      </c>
      <c r="U605" s="4">
        <v>0</v>
      </c>
      <c r="V605" s="4">
        <v>0</v>
      </c>
      <c r="W605" s="2">
        <v>0</v>
      </c>
      <c r="X605" s="4">
        <v>0</v>
      </c>
      <c r="Y605" s="4">
        <v>0</v>
      </c>
      <c r="Z605" s="3">
        <v>0</v>
      </c>
      <c r="AA605" s="3">
        <v>0</v>
      </c>
    </row>
    <row r="606" spans="1:27" x14ac:dyDescent="0.2">
      <c r="A606">
        <f t="shared" si="18"/>
        <v>2</v>
      </c>
      <c r="B606">
        <f t="shared" si="19"/>
        <v>8</v>
      </c>
      <c r="C606" s="1">
        <v>46069</v>
      </c>
      <c r="D606" t="s">
        <v>25</v>
      </c>
      <c r="E606" t="s">
        <v>26</v>
      </c>
      <c r="F606" t="s">
        <v>49</v>
      </c>
      <c r="G606" t="s">
        <v>50</v>
      </c>
      <c r="H606" t="s">
        <v>29</v>
      </c>
      <c r="I606" t="s">
        <v>30</v>
      </c>
      <c r="J606" t="s">
        <v>95</v>
      </c>
      <c r="K606" t="s">
        <v>42</v>
      </c>
      <c r="L606" t="s">
        <v>452</v>
      </c>
      <c r="M606" s="4">
        <v>3</v>
      </c>
      <c r="N606" s="4">
        <v>1</v>
      </c>
      <c r="O606" s="2">
        <v>0.33333333333333331</v>
      </c>
      <c r="P606" s="3">
        <v>0.52</v>
      </c>
      <c r="Q606" s="3">
        <v>0.52</v>
      </c>
      <c r="R606" s="3">
        <v>0</v>
      </c>
      <c r="S606" s="2"/>
      <c r="T606" s="5">
        <v>0</v>
      </c>
      <c r="U606" s="4">
        <v>0</v>
      </c>
      <c r="V606" s="4">
        <v>0</v>
      </c>
      <c r="W606" s="2">
        <v>0</v>
      </c>
      <c r="X606" s="4">
        <v>0</v>
      </c>
      <c r="Y606" s="4">
        <v>0</v>
      </c>
      <c r="Z606" s="3">
        <v>0</v>
      </c>
      <c r="AA606" s="3">
        <v>0</v>
      </c>
    </row>
    <row r="607" spans="1:27" x14ac:dyDescent="0.2">
      <c r="A607">
        <f t="shared" si="18"/>
        <v>2</v>
      </c>
      <c r="B607">
        <f t="shared" si="19"/>
        <v>8</v>
      </c>
      <c r="C607" s="1">
        <v>46068</v>
      </c>
      <c r="D607" t="s">
        <v>25</v>
      </c>
      <c r="E607" t="s">
        <v>26</v>
      </c>
      <c r="F607" t="s">
        <v>49</v>
      </c>
      <c r="G607" t="s">
        <v>50</v>
      </c>
      <c r="H607" t="s">
        <v>29</v>
      </c>
      <c r="I607" t="s">
        <v>30</v>
      </c>
      <c r="J607" t="s">
        <v>95</v>
      </c>
      <c r="K607" t="s">
        <v>42</v>
      </c>
      <c r="L607" t="s">
        <v>453</v>
      </c>
      <c r="M607" s="4">
        <v>2</v>
      </c>
      <c r="N607" s="4">
        <v>1</v>
      </c>
      <c r="O607" s="2">
        <v>0.5</v>
      </c>
      <c r="P607" s="3">
        <v>0.34</v>
      </c>
      <c r="Q607" s="3">
        <v>0.34</v>
      </c>
      <c r="R607" s="3">
        <v>0</v>
      </c>
      <c r="S607" s="2"/>
      <c r="T607" s="5">
        <v>0</v>
      </c>
      <c r="U607" s="4">
        <v>0</v>
      </c>
      <c r="V607" s="4">
        <v>0</v>
      </c>
      <c r="W607" s="2">
        <v>0</v>
      </c>
      <c r="X607" s="4">
        <v>0</v>
      </c>
      <c r="Y607" s="4">
        <v>0</v>
      </c>
      <c r="Z607" s="3">
        <v>0</v>
      </c>
      <c r="AA607" s="3">
        <v>0</v>
      </c>
    </row>
    <row r="608" spans="1:27" x14ac:dyDescent="0.2">
      <c r="A608">
        <f t="shared" si="18"/>
        <v>2</v>
      </c>
      <c r="B608">
        <f t="shared" si="19"/>
        <v>7</v>
      </c>
      <c r="C608" s="1">
        <v>46067</v>
      </c>
      <c r="D608" t="s">
        <v>25</v>
      </c>
      <c r="E608" t="s">
        <v>26</v>
      </c>
      <c r="F608" t="s">
        <v>34</v>
      </c>
      <c r="G608" t="s">
        <v>28</v>
      </c>
      <c r="H608" t="s">
        <v>29</v>
      </c>
      <c r="I608" t="s">
        <v>30</v>
      </c>
      <c r="J608" t="s">
        <v>50</v>
      </c>
      <c r="K608" t="s">
        <v>32</v>
      </c>
      <c r="L608" t="s">
        <v>454</v>
      </c>
      <c r="M608" s="4">
        <v>2</v>
      </c>
      <c r="N608" s="4">
        <v>1</v>
      </c>
      <c r="O608" s="2">
        <v>0.5</v>
      </c>
      <c r="P608" s="3">
        <v>0.8</v>
      </c>
      <c r="Q608" s="3">
        <v>0.8</v>
      </c>
      <c r="R608" s="3">
        <v>0</v>
      </c>
      <c r="S608" s="2"/>
      <c r="T608" s="5">
        <v>0</v>
      </c>
      <c r="U608" s="4">
        <v>0</v>
      </c>
      <c r="V608" s="4">
        <v>0</v>
      </c>
      <c r="W608" s="2">
        <v>0</v>
      </c>
      <c r="X608" s="4">
        <v>0</v>
      </c>
      <c r="Y608" s="4">
        <v>0</v>
      </c>
      <c r="Z608" s="3">
        <v>0</v>
      </c>
      <c r="AA608" s="3">
        <v>0</v>
      </c>
    </row>
    <row r="609" spans="1:27" x14ac:dyDescent="0.2">
      <c r="A609">
        <f t="shared" si="18"/>
        <v>2</v>
      </c>
      <c r="B609">
        <f t="shared" si="19"/>
        <v>8</v>
      </c>
      <c r="C609" s="1">
        <v>46070</v>
      </c>
      <c r="D609" t="s">
        <v>25</v>
      </c>
      <c r="E609" t="s">
        <v>26</v>
      </c>
      <c r="F609" t="s">
        <v>39</v>
      </c>
      <c r="G609" t="s">
        <v>40</v>
      </c>
      <c r="H609" t="s">
        <v>29</v>
      </c>
      <c r="I609" t="s">
        <v>30</v>
      </c>
      <c r="J609" t="s">
        <v>70</v>
      </c>
      <c r="K609" t="s">
        <v>42</v>
      </c>
      <c r="L609" t="s">
        <v>149</v>
      </c>
      <c r="M609" s="4">
        <v>3</v>
      </c>
      <c r="N609" s="4">
        <v>1</v>
      </c>
      <c r="O609" s="2">
        <v>0.33333333333333331</v>
      </c>
      <c r="P609" s="3">
        <v>0.64</v>
      </c>
      <c r="Q609" s="3">
        <v>0.64</v>
      </c>
      <c r="R609" s="3">
        <v>0</v>
      </c>
      <c r="S609" s="2"/>
      <c r="T609" s="5">
        <v>0</v>
      </c>
      <c r="U609" s="4">
        <v>0</v>
      </c>
      <c r="V609" s="4">
        <v>0</v>
      </c>
      <c r="W609" s="2">
        <v>0</v>
      </c>
      <c r="X609" s="4">
        <v>0</v>
      </c>
      <c r="Y609" s="4">
        <v>0</v>
      </c>
      <c r="Z609" s="3">
        <v>0</v>
      </c>
      <c r="AA609" s="3">
        <v>0</v>
      </c>
    </row>
    <row r="610" spans="1:27" x14ac:dyDescent="0.2">
      <c r="A610">
        <f t="shared" si="18"/>
        <v>2</v>
      </c>
      <c r="B610">
        <f t="shared" si="19"/>
        <v>8</v>
      </c>
      <c r="C610" s="1">
        <v>46069</v>
      </c>
      <c r="D610" t="s">
        <v>25</v>
      </c>
      <c r="E610" t="s">
        <v>26</v>
      </c>
      <c r="F610" t="s">
        <v>34</v>
      </c>
      <c r="G610" t="s">
        <v>28</v>
      </c>
      <c r="H610" t="s">
        <v>29</v>
      </c>
      <c r="I610" t="s">
        <v>30</v>
      </c>
      <c r="J610" t="s">
        <v>133</v>
      </c>
      <c r="K610" t="s">
        <v>32</v>
      </c>
      <c r="L610" t="s">
        <v>149</v>
      </c>
      <c r="M610" s="4">
        <v>7</v>
      </c>
      <c r="N610" s="4">
        <v>1</v>
      </c>
      <c r="O610" s="2">
        <v>0.14285714285714285</v>
      </c>
      <c r="P610" s="3">
        <v>1.34</v>
      </c>
      <c r="Q610" s="3">
        <v>1.34</v>
      </c>
      <c r="R610" s="3">
        <v>0</v>
      </c>
      <c r="S610" s="2"/>
      <c r="T610" s="5">
        <v>0</v>
      </c>
      <c r="U610" s="4">
        <v>0</v>
      </c>
      <c r="V610" s="4">
        <v>0</v>
      </c>
      <c r="W610" s="2">
        <v>0</v>
      </c>
      <c r="X610" s="4">
        <v>0</v>
      </c>
      <c r="Y610" s="4">
        <v>0</v>
      </c>
      <c r="Z610" s="3">
        <v>0</v>
      </c>
      <c r="AA610" s="3">
        <v>0</v>
      </c>
    </row>
    <row r="611" spans="1:27" x14ac:dyDescent="0.2">
      <c r="A611">
        <f t="shared" si="18"/>
        <v>2</v>
      </c>
      <c r="B611">
        <f t="shared" si="19"/>
        <v>7</v>
      </c>
      <c r="C611" s="1">
        <v>46063</v>
      </c>
      <c r="D611" t="s">
        <v>25</v>
      </c>
      <c r="E611" t="s">
        <v>26</v>
      </c>
      <c r="F611" t="s">
        <v>27</v>
      </c>
      <c r="G611" t="s">
        <v>28</v>
      </c>
      <c r="H611" t="s">
        <v>29</v>
      </c>
      <c r="I611" t="s">
        <v>30</v>
      </c>
      <c r="J611" t="s">
        <v>133</v>
      </c>
      <c r="K611" t="s">
        <v>32</v>
      </c>
      <c r="L611" t="s">
        <v>149</v>
      </c>
      <c r="M611" s="4">
        <v>1</v>
      </c>
      <c r="N611" s="4">
        <v>1</v>
      </c>
      <c r="O611" s="2">
        <v>1</v>
      </c>
      <c r="P611" s="3">
        <v>0</v>
      </c>
      <c r="Q611" s="3">
        <v>0</v>
      </c>
      <c r="R611" s="3">
        <v>0</v>
      </c>
      <c r="S611" s="2"/>
      <c r="T611" s="5"/>
      <c r="U611" s="4">
        <v>0</v>
      </c>
      <c r="V611" s="4">
        <v>0</v>
      </c>
      <c r="W611" s="2">
        <v>0</v>
      </c>
      <c r="X611" s="4">
        <v>0</v>
      </c>
      <c r="Y611" s="4">
        <v>0</v>
      </c>
      <c r="Z611" s="3">
        <v>0</v>
      </c>
      <c r="AA611" s="3">
        <v>0</v>
      </c>
    </row>
    <row r="612" spans="1:27" x14ac:dyDescent="0.2">
      <c r="A612">
        <f t="shared" si="18"/>
        <v>2</v>
      </c>
      <c r="B612">
        <f t="shared" si="19"/>
        <v>8</v>
      </c>
      <c r="C612" s="1">
        <v>46072</v>
      </c>
      <c r="D612" t="s">
        <v>25</v>
      </c>
      <c r="E612" t="s">
        <v>26</v>
      </c>
      <c r="F612" t="s">
        <v>39</v>
      </c>
      <c r="G612" t="s">
        <v>40</v>
      </c>
      <c r="H612" t="s">
        <v>29</v>
      </c>
      <c r="I612" t="s">
        <v>30</v>
      </c>
      <c r="J612" t="s">
        <v>70</v>
      </c>
      <c r="K612" t="s">
        <v>42</v>
      </c>
      <c r="L612" t="s">
        <v>455</v>
      </c>
      <c r="M612" s="4">
        <v>1</v>
      </c>
      <c r="N612" s="4">
        <v>1</v>
      </c>
      <c r="O612" s="2">
        <v>1</v>
      </c>
      <c r="P612" s="3">
        <v>0.52</v>
      </c>
      <c r="Q612" s="3">
        <v>0.52</v>
      </c>
      <c r="R612" s="3">
        <v>0</v>
      </c>
      <c r="S612" s="2"/>
      <c r="T612" s="5">
        <v>0</v>
      </c>
      <c r="U612" s="4">
        <v>0</v>
      </c>
      <c r="V612" s="4">
        <v>0</v>
      </c>
      <c r="W612" s="2">
        <v>0</v>
      </c>
      <c r="X612" s="4">
        <v>0</v>
      </c>
      <c r="Y612" s="4">
        <v>0</v>
      </c>
      <c r="Z612" s="3">
        <v>0</v>
      </c>
      <c r="AA612" s="3">
        <v>0</v>
      </c>
    </row>
    <row r="613" spans="1:27" x14ac:dyDescent="0.2">
      <c r="A613">
        <f t="shared" si="18"/>
        <v>2</v>
      </c>
      <c r="B613">
        <f t="shared" si="19"/>
        <v>8</v>
      </c>
      <c r="C613" s="1">
        <v>46074</v>
      </c>
      <c r="D613" t="s">
        <v>25</v>
      </c>
      <c r="E613" t="s">
        <v>26</v>
      </c>
      <c r="F613" t="s">
        <v>49</v>
      </c>
      <c r="G613" t="s">
        <v>50</v>
      </c>
      <c r="H613" t="s">
        <v>29</v>
      </c>
      <c r="I613" t="s">
        <v>30</v>
      </c>
      <c r="J613" t="s">
        <v>95</v>
      </c>
      <c r="K613" t="s">
        <v>42</v>
      </c>
      <c r="L613" t="s">
        <v>456</v>
      </c>
      <c r="M613" s="4">
        <v>1</v>
      </c>
      <c r="N613" s="4">
        <v>1</v>
      </c>
      <c r="O613" s="2">
        <v>1</v>
      </c>
      <c r="P613" s="3">
        <v>0.52</v>
      </c>
      <c r="Q613" s="3">
        <v>0.52</v>
      </c>
      <c r="R613" s="3">
        <v>0</v>
      </c>
      <c r="S613" s="2"/>
      <c r="T613" s="5">
        <v>0</v>
      </c>
      <c r="U613" s="4">
        <v>0</v>
      </c>
      <c r="V613" s="4">
        <v>0</v>
      </c>
      <c r="W613" s="2">
        <v>0</v>
      </c>
      <c r="X613" s="4">
        <v>0</v>
      </c>
      <c r="Y613" s="4">
        <v>0</v>
      </c>
      <c r="Z613" s="3">
        <v>0</v>
      </c>
      <c r="AA613" s="3">
        <v>0</v>
      </c>
    </row>
    <row r="614" spans="1:27" x14ac:dyDescent="0.2">
      <c r="A614">
        <f t="shared" si="18"/>
        <v>2</v>
      </c>
      <c r="B614">
        <f t="shared" si="19"/>
        <v>7</v>
      </c>
      <c r="C614" s="1">
        <v>46064</v>
      </c>
      <c r="D614" t="s">
        <v>25</v>
      </c>
      <c r="E614" t="s">
        <v>26</v>
      </c>
      <c r="F614" t="s">
        <v>49</v>
      </c>
      <c r="G614" t="s">
        <v>50</v>
      </c>
      <c r="H614" t="s">
        <v>29</v>
      </c>
      <c r="I614" t="s">
        <v>30</v>
      </c>
      <c r="J614" t="s">
        <v>95</v>
      </c>
      <c r="K614" t="s">
        <v>42</v>
      </c>
      <c r="L614" t="s">
        <v>457</v>
      </c>
      <c r="M614" s="4">
        <v>2</v>
      </c>
      <c r="N614" s="4">
        <v>1</v>
      </c>
      <c r="O614" s="2">
        <v>0.5</v>
      </c>
      <c r="P614" s="3">
        <v>0.38</v>
      </c>
      <c r="Q614" s="3">
        <v>0.38</v>
      </c>
      <c r="R614" s="3">
        <v>0</v>
      </c>
      <c r="S614" s="2"/>
      <c r="T614" s="5">
        <v>0</v>
      </c>
      <c r="U614" s="4">
        <v>0</v>
      </c>
      <c r="V614" s="4">
        <v>0</v>
      </c>
      <c r="W614" s="2">
        <v>0</v>
      </c>
      <c r="X614" s="4">
        <v>0</v>
      </c>
      <c r="Y614" s="4">
        <v>0</v>
      </c>
      <c r="Z614" s="3">
        <v>0</v>
      </c>
      <c r="AA614" s="3">
        <v>0</v>
      </c>
    </row>
    <row r="615" spans="1:27" x14ac:dyDescent="0.2">
      <c r="A615">
        <f t="shared" si="18"/>
        <v>2</v>
      </c>
      <c r="B615">
        <f t="shared" si="19"/>
        <v>8</v>
      </c>
      <c r="C615" s="1">
        <v>46068</v>
      </c>
      <c r="D615" t="s">
        <v>25</v>
      </c>
      <c r="E615" t="s">
        <v>26</v>
      </c>
      <c r="F615" t="s">
        <v>34</v>
      </c>
      <c r="G615" t="s">
        <v>28</v>
      </c>
      <c r="H615" t="s">
        <v>29</v>
      </c>
      <c r="I615" t="s">
        <v>30</v>
      </c>
      <c r="J615" t="s">
        <v>154</v>
      </c>
      <c r="K615" t="s">
        <v>32</v>
      </c>
      <c r="L615" t="s">
        <v>458</v>
      </c>
      <c r="M615" s="4">
        <v>1</v>
      </c>
      <c r="N615" s="4">
        <v>1</v>
      </c>
      <c r="O615" s="2">
        <v>1</v>
      </c>
      <c r="P615" s="3">
        <v>0.75</v>
      </c>
      <c r="Q615" s="3">
        <v>0.75</v>
      </c>
      <c r="R615" s="3">
        <v>0</v>
      </c>
      <c r="S615" s="2"/>
      <c r="T615" s="5">
        <v>0</v>
      </c>
      <c r="U615" s="4">
        <v>0</v>
      </c>
      <c r="V615" s="4">
        <v>0</v>
      </c>
      <c r="W615" s="2">
        <v>0</v>
      </c>
      <c r="X615" s="4">
        <v>0</v>
      </c>
      <c r="Y615" s="4">
        <v>0</v>
      </c>
      <c r="Z615" s="3">
        <v>0</v>
      </c>
      <c r="AA615" s="3">
        <v>0</v>
      </c>
    </row>
    <row r="616" spans="1:27" x14ac:dyDescent="0.2">
      <c r="A616">
        <f t="shared" si="18"/>
        <v>2</v>
      </c>
      <c r="B616">
        <f t="shared" si="19"/>
        <v>8</v>
      </c>
      <c r="C616" s="1">
        <v>46068</v>
      </c>
      <c r="D616" t="s">
        <v>25</v>
      </c>
      <c r="E616" t="s">
        <v>26</v>
      </c>
      <c r="F616" t="s">
        <v>49</v>
      </c>
      <c r="G616" t="s">
        <v>50</v>
      </c>
      <c r="H616" t="s">
        <v>29</v>
      </c>
      <c r="I616" t="s">
        <v>30</v>
      </c>
      <c r="J616" t="s">
        <v>47</v>
      </c>
      <c r="K616" t="s">
        <v>42</v>
      </c>
      <c r="L616" t="s">
        <v>459</v>
      </c>
      <c r="M616" s="4">
        <v>9</v>
      </c>
      <c r="N616" s="4">
        <v>1</v>
      </c>
      <c r="O616" s="2">
        <v>0.1111111111111111</v>
      </c>
      <c r="P616" s="3">
        <v>0.47</v>
      </c>
      <c r="Q616" s="3">
        <v>0.47</v>
      </c>
      <c r="R616" s="3">
        <v>0</v>
      </c>
      <c r="S616" s="2"/>
      <c r="T616" s="5">
        <v>0</v>
      </c>
      <c r="U616" s="4">
        <v>0</v>
      </c>
      <c r="V616" s="4">
        <v>0</v>
      </c>
      <c r="W616" s="2">
        <v>0</v>
      </c>
      <c r="X616" s="4">
        <v>0</v>
      </c>
      <c r="Y616" s="4">
        <v>0</v>
      </c>
      <c r="Z616" s="3">
        <v>0</v>
      </c>
      <c r="AA616" s="3">
        <v>0</v>
      </c>
    </row>
    <row r="617" spans="1:27" x14ac:dyDescent="0.2">
      <c r="A617">
        <f t="shared" si="18"/>
        <v>2</v>
      </c>
      <c r="B617">
        <f t="shared" si="19"/>
        <v>7</v>
      </c>
      <c r="C617" s="1">
        <v>46065</v>
      </c>
      <c r="D617" t="s">
        <v>25</v>
      </c>
      <c r="E617" t="s">
        <v>26</v>
      </c>
      <c r="F617" t="s">
        <v>49</v>
      </c>
      <c r="G617" t="s">
        <v>50</v>
      </c>
      <c r="H617" t="s">
        <v>29</v>
      </c>
      <c r="I617" t="s">
        <v>30</v>
      </c>
      <c r="J617" t="s">
        <v>95</v>
      </c>
      <c r="K617" t="s">
        <v>42</v>
      </c>
      <c r="L617" t="s">
        <v>460</v>
      </c>
      <c r="M617" s="4">
        <v>6</v>
      </c>
      <c r="N617" s="4">
        <v>1</v>
      </c>
      <c r="O617" s="2">
        <v>0.16666666666666663</v>
      </c>
      <c r="P617" s="3">
        <v>0.42</v>
      </c>
      <c r="Q617" s="3">
        <v>0.42</v>
      </c>
      <c r="R617" s="3">
        <v>0</v>
      </c>
      <c r="S617" s="2"/>
      <c r="T617" s="5">
        <v>0</v>
      </c>
      <c r="U617" s="4">
        <v>0</v>
      </c>
      <c r="V617" s="4">
        <v>0</v>
      </c>
      <c r="W617" s="2">
        <v>0</v>
      </c>
      <c r="X617" s="4">
        <v>0</v>
      </c>
      <c r="Y617" s="4">
        <v>0</v>
      </c>
      <c r="Z617" s="3">
        <v>0</v>
      </c>
      <c r="AA617" s="3">
        <v>0</v>
      </c>
    </row>
    <row r="618" spans="1:27" x14ac:dyDescent="0.2">
      <c r="A618">
        <f t="shared" si="18"/>
        <v>2</v>
      </c>
      <c r="B618">
        <f t="shared" si="19"/>
        <v>8</v>
      </c>
      <c r="C618" s="1">
        <v>46070</v>
      </c>
      <c r="D618" t="s">
        <v>25</v>
      </c>
      <c r="E618" t="s">
        <v>26</v>
      </c>
      <c r="F618" t="s">
        <v>39</v>
      </c>
      <c r="G618" t="s">
        <v>40</v>
      </c>
      <c r="H618" t="s">
        <v>29</v>
      </c>
      <c r="I618" t="s">
        <v>30</v>
      </c>
      <c r="J618" t="s">
        <v>393</v>
      </c>
      <c r="K618" t="s">
        <v>42</v>
      </c>
      <c r="L618" t="s">
        <v>461</v>
      </c>
      <c r="M618" s="4">
        <v>1</v>
      </c>
      <c r="N618" s="4">
        <v>1</v>
      </c>
      <c r="O618" s="2">
        <v>1</v>
      </c>
      <c r="P618" s="3">
        <v>0.65</v>
      </c>
      <c r="Q618" s="3">
        <v>0.65</v>
      </c>
      <c r="R618" s="3">
        <v>0</v>
      </c>
      <c r="S618" s="2"/>
      <c r="T618" s="5">
        <v>0</v>
      </c>
      <c r="U618" s="4">
        <v>0</v>
      </c>
      <c r="V618" s="4">
        <v>0</v>
      </c>
      <c r="W618" s="2">
        <v>0</v>
      </c>
      <c r="X618" s="4">
        <v>0</v>
      </c>
      <c r="Y618" s="4">
        <v>0</v>
      </c>
      <c r="Z618" s="3">
        <v>0</v>
      </c>
      <c r="AA618" s="3">
        <v>0</v>
      </c>
    </row>
    <row r="619" spans="1:27" x14ac:dyDescent="0.2">
      <c r="A619">
        <f t="shared" si="18"/>
        <v>2</v>
      </c>
      <c r="B619">
        <f t="shared" si="19"/>
        <v>6</v>
      </c>
      <c r="C619" s="1">
        <v>46055</v>
      </c>
      <c r="D619" t="s">
        <v>25</v>
      </c>
      <c r="E619" t="s">
        <v>26</v>
      </c>
      <c r="F619" t="s">
        <v>49</v>
      </c>
      <c r="G619" t="s">
        <v>50</v>
      </c>
      <c r="H619" t="s">
        <v>29</v>
      </c>
      <c r="I619" t="s">
        <v>30</v>
      </c>
      <c r="J619" t="s">
        <v>95</v>
      </c>
      <c r="K619" t="s">
        <v>42</v>
      </c>
      <c r="L619" t="s">
        <v>462</v>
      </c>
      <c r="M619" s="4">
        <v>1</v>
      </c>
      <c r="N619" s="4">
        <v>1</v>
      </c>
      <c r="O619" s="2">
        <v>1</v>
      </c>
      <c r="P619" s="3">
        <v>0.47</v>
      </c>
      <c r="Q619" s="3">
        <v>0.47</v>
      </c>
      <c r="R619" s="3">
        <v>0</v>
      </c>
      <c r="S619" s="2"/>
      <c r="T619" s="5">
        <v>0</v>
      </c>
      <c r="U619" s="4">
        <v>0</v>
      </c>
      <c r="V619" s="4">
        <v>0</v>
      </c>
      <c r="W619" s="2">
        <v>0</v>
      </c>
      <c r="X619" s="4">
        <v>0</v>
      </c>
      <c r="Y619" s="4">
        <v>0</v>
      </c>
      <c r="Z619" s="3">
        <v>0</v>
      </c>
      <c r="AA619" s="3">
        <v>0</v>
      </c>
    </row>
    <row r="620" spans="1:27" x14ac:dyDescent="0.2">
      <c r="A620">
        <f t="shared" si="18"/>
        <v>2</v>
      </c>
      <c r="B620">
        <f t="shared" si="19"/>
        <v>8</v>
      </c>
      <c r="C620" s="1">
        <v>46070</v>
      </c>
      <c r="D620" t="s">
        <v>25</v>
      </c>
      <c r="E620" t="s">
        <v>26</v>
      </c>
      <c r="F620" t="s">
        <v>27</v>
      </c>
      <c r="G620" t="s">
        <v>28</v>
      </c>
      <c r="H620" t="s">
        <v>29</v>
      </c>
      <c r="I620" t="s">
        <v>30</v>
      </c>
      <c r="J620" t="s">
        <v>119</v>
      </c>
      <c r="K620" t="s">
        <v>32</v>
      </c>
      <c r="L620" t="s">
        <v>463</v>
      </c>
      <c r="M620" s="4">
        <v>1</v>
      </c>
      <c r="N620" s="4">
        <v>1</v>
      </c>
      <c r="O620" s="2">
        <v>1</v>
      </c>
      <c r="P620" s="3">
        <v>0.16</v>
      </c>
      <c r="Q620" s="3">
        <v>0.16</v>
      </c>
      <c r="R620" s="3">
        <v>0</v>
      </c>
      <c r="S620" s="2"/>
      <c r="T620" s="5">
        <v>0</v>
      </c>
      <c r="U620" s="4">
        <v>0</v>
      </c>
      <c r="V620" s="4">
        <v>0</v>
      </c>
      <c r="W620" s="2">
        <v>0</v>
      </c>
      <c r="X620" s="4">
        <v>0</v>
      </c>
      <c r="Y620" s="4">
        <v>0</v>
      </c>
      <c r="Z620" s="3">
        <v>0</v>
      </c>
      <c r="AA620" s="3">
        <v>0</v>
      </c>
    </row>
    <row r="621" spans="1:27" x14ac:dyDescent="0.2">
      <c r="A621">
        <f t="shared" si="18"/>
        <v>2</v>
      </c>
      <c r="B621">
        <f t="shared" si="19"/>
        <v>8</v>
      </c>
      <c r="C621" s="1">
        <v>46070</v>
      </c>
      <c r="D621" t="s">
        <v>25</v>
      </c>
      <c r="E621" t="s">
        <v>26</v>
      </c>
      <c r="F621" t="s">
        <v>49</v>
      </c>
      <c r="G621" t="s">
        <v>50</v>
      </c>
      <c r="H621" t="s">
        <v>29</v>
      </c>
      <c r="I621" t="s">
        <v>30</v>
      </c>
      <c r="J621" t="s">
        <v>95</v>
      </c>
      <c r="K621" t="s">
        <v>42</v>
      </c>
      <c r="L621" t="s">
        <v>464</v>
      </c>
      <c r="M621" s="4">
        <v>2</v>
      </c>
      <c r="N621" s="4">
        <v>1</v>
      </c>
      <c r="O621" s="2">
        <v>0.5</v>
      </c>
      <c r="P621" s="3">
        <v>0.52</v>
      </c>
      <c r="Q621" s="3">
        <v>0.52</v>
      </c>
      <c r="R621" s="3">
        <v>0</v>
      </c>
      <c r="S621" s="2"/>
      <c r="T621" s="5">
        <v>0</v>
      </c>
      <c r="U621" s="4">
        <v>0</v>
      </c>
      <c r="V621" s="4">
        <v>0</v>
      </c>
      <c r="W621" s="2">
        <v>0</v>
      </c>
      <c r="X621" s="4">
        <v>0</v>
      </c>
      <c r="Y621" s="4">
        <v>0</v>
      </c>
      <c r="Z621" s="3">
        <v>0</v>
      </c>
      <c r="AA621" s="3">
        <v>0</v>
      </c>
    </row>
    <row r="622" spans="1:27" x14ac:dyDescent="0.2">
      <c r="A622">
        <f t="shared" si="18"/>
        <v>2</v>
      </c>
      <c r="B622">
        <f t="shared" si="19"/>
        <v>6</v>
      </c>
      <c r="C622" s="1">
        <v>46057</v>
      </c>
      <c r="D622" t="s">
        <v>25</v>
      </c>
      <c r="E622" t="s">
        <v>26</v>
      </c>
      <c r="F622" t="s">
        <v>49</v>
      </c>
      <c r="G622" t="s">
        <v>50</v>
      </c>
      <c r="H622" t="s">
        <v>29</v>
      </c>
      <c r="I622" t="s">
        <v>30</v>
      </c>
      <c r="J622" t="s">
        <v>95</v>
      </c>
      <c r="K622" t="s">
        <v>42</v>
      </c>
      <c r="L622" t="s">
        <v>465</v>
      </c>
      <c r="M622" s="4">
        <v>1</v>
      </c>
      <c r="N622" s="4">
        <v>1</v>
      </c>
      <c r="O622" s="2">
        <v>1</v>
      </c>
      <c r="P622" s="3">
        <v>0.62</v>
      </c>
      <c r="Q622" s="3">
        <v>0.62</v>
      </c>
      <c r="R622" s="3">
        <v>0</v>
      </c>
      <c r="S622" s="2"/>
      <c r="T622" s="5">
        <v>0</v>
      </c>
      <c r="U622" s="4">
        <v>0</v>
      </c>
      <c r="V622" s="4">
        <v>0</v>
      </c>
      <c r="W622" s="2">
        <v>0</v>
      </c>
      <c r="X622" s="4">
        <v>0</v>
      </c>
      <c r="Y622" s="4">
        <v>0</v>
      </c>
      <c r="Z622" s="3">
        <v>0</v>
      </c>
      <c r="AA622" s="3">
        <v>0</v>
      </c>
    </row>
    <row r="623" spans="1:27" x14ac:dyDescent="0.2">
      <c r="A623">
        <f t="shared" si="18"/>
        <v>2</v>
      </c>
      <c r="B623">
        <f t="shared" si="19"/>
        <v>8</v>
      </c>
      <c r="C623" s="1">
        <v>46074</v>
      </c>
      <c r="D623" t="s">
        <v>25</v>
      </c>
      <c r="E623" t="s">
        <v>26</v>
      </c>
      <c r="F623" t="s">
        <v>49</v>
      </c>
      <c r="G623" t="s">
        <v>50</v>
      </c>
      <c r="H623" t="s">
        <v>29</v>
      </c>
      <c r="I623" t="s">
        <v>30</v>
      </c>
      <c r="J623" t="s">
        <v>95</v>
      </c>
      <c r="K623" t="s">
        <v>42</v>
      </c>
      <c r="L623" t="s">
        <v>466</v>
      </c>
      <c r="M623" s="4">
        <v>1</v>
      </c>
      <c r="N623" s="4">
        <v>1</v>
      </c>
      <c r="O623" s="2">
        <v>1</v>
      </c>
      <c r="P623" s="3">
        <v>0.52</v>
      </c>
      <c r="Q623" s="3">
        <v>0.52</v>
      </c>
      <c r="R623" s="3">
        <v>0</v>
      </c>
      <c r="S623" s="2"/>
      <c r="T623" s="5">
        <v>0</v>
      </c>
      <c r="U623" s="4">
        <v>0</v>
      </c>
      <c r="V623" s="4">
        <v>0</v>
      </c>
      <c r="W623" s="2">
        <v>0</v>
      </c>
      <c r="X623" s="4">
        <v>0</v>
      </c>
      <c r="Y623" s="4">
        <v>0</v>
      </c>
      <c r="Z623" s="3">
        <v>0</v>
      </c>
      <c r="AA623" s="3">
        <v>0</v>
      </c>
    </row>
    <row r="624" spans="1:27" x14ac:dyDescent="0.2">
      <c r="A624">
        <f t="shared" si="18"/>
        <v>2</v>
      </c>
      <c r="B624">
        <f t="shared" si="19"/>
        <v>8</v>
      </c>
      <c r="C624" s="1">
        <v>46069</v>
      </c>
      <c r="D624" t="s">
        <v>25</v>
      </c>
      <c r="E624" t="s">
        <v>26</v>
      </c>
      <c r="F624" t="s">
        <v>27</v>
      </c>
      <c r="G624" t="s">
        <v>124</v>
      </c>
      <c r="H624" t="s">
        <v>29</v>
      </c>
      <c r="I624" t="s">
        <v>30</v>
      </c>
      <c r="J624" t="s">
        <v>101</v>
      </c>
      <c r="K624" t="s">
        <v>87</v>
      </c>
      <c r="L624" t="s">
        <v>467</v>
      </c>
      <c r="M624" s="4">
        <v>1</v>
      </c>
      <c r="N624" s="4">
        <v>1</v>
      </c>
      <c r="O624" s="2">
        <v>1</v>
      </c>
      <c r="P624" s="3">
        <v>0.16</v>
      </c>
      <c r="Q624" s="3">
        <v>0.16</v>
      </c>
      <c r="R624" s="3">
        <v>0</v>
      </c>
      <c r="S624" s="2"/>
      <c r="T624" s="5">
        <v>0</v>
      </c>
      <c r="U624" s="4">
        <v>0</v>
      </c>
      <c r="V624" s="4">
        <v>0</v>
      </c>
      <c r="W624" s="2">
        <v>0</v>
      </c>
      <c r="X624" s="4">
        <v>0</v>
      </c>
      <c r="Y624" s="4">
        <v>0</v>
      </c>
      <c r="Z624" s="3">
        <v>0</v>
      </c>
      <c r="AA624" s="3">
        <v>0</v>
      </c>
    </row>
    <row r="625" spans="1:27" x14ac:dyDescent="0.2">
      <c r="A625">
        <f t="shared" si="18"/>
        <v>2</v>
      </c>
      <c r="B625">
        <f t="shared" si="19"/>
        <v>8</v>
      </c>
      <c r="C625" s="1">
        <v>46068</v>
      </c>
      <c r="D625" t="s">
        <v>25</v>
      </c>
      <c r="E625" t="s">
        <v>26</v>
      </c>
      <c r="F625" t="s">
        <v>27</v>
      </c>
      <c r="G625" t="s">
        <v>28</v>
      </c>
      <c r="H625" t="s">
        <v>29</v>
      </c>
      <c r="I625" t="s">
        <v>30</v>
      </c>
      <c r="J625" t="s">
        <v>31</v>
      </c>
      <c r="K625" t="s">
        <v>32</v>
      </c>
      <c r="L625" t="s">
        <v>468</v>
      </c>
      <c r="M625" s="4">
        <v>1</v>
      </c>
      <c r="N625" s="4">
        <v>1</v>
      </c>
      <c r="O625" s="2">
        <v>1</v>
      </c>
      <c r="P625" s="3">
        <v>0.2</v>
      </c>
      <c r="Q625" s="3">
        <v>0.2</v>
      </c>
      <c r="R625" s="3">
        <v>0</v>
      </c>
      <c r="S625" s="2"/>
      <c r="T625" s="5">
        <v>0</v>
      </c>
      <c r="U625" s="4">
        <v>0</v>
      </c>
      <c r="V625" s="4">
        <v>0</v>
      </c>
      <c r="W625" s="2">
        <v>0</v>
      </c>
      <c r="X625" s="4">
        <v>0</v>
      </c>
      <c r="Y625" s="4">
        <v>0</v>
      </c>
      <c r="Z625" s="3">
        <v>0</v>
      </c>
      <c r="AA625" s="3">
        <v>0</v>
      </c>
    </row>
    <row r="626" spans="1:27" x14ac:dyDescent="0.2">
      <c r="A626">
        <f t="shared" si="18"/>
        <v>2</v>
      </c>
      <c r="B626">
        <f t="shared" si="19"/>
        <v>8</v>
      </c>
      <c r="C626" s="1">
        <v>46069</v>
      </c>
      <c r="D626" t="s">
        <v>25</v>
      </c>
      <c r="E626" t="s">
        <v>26</v>
      </c>
      <c r="F626" t="s">
        <v>27</v>
      </c>
      <c r="G626" t="s">
        <v>28</v>
      </c>
      <c r="H626" t="s">
        <v>29</v>
      </c>
      <c r="I626" t="s">
        <v>30</v>
      </c>
      <c r="J626" t="s">
        <v>31</v>
      </c>
      <c r="K626" t="s">
        <v>32</v>
      </c>
      <c r="L626" t="s">
        <v>469</v>
      </c>
      <c r="M626" s="4">
        <v>1</v>
      </c>
      <c r="N626" s="4">
        <v>1</v>
      </c>
      <c r="O626" s="2">
        <v>1</v>
      </c>
      <c r="P626" s="3">
        <v>0.21</v>
      </c>
      <c r="Q626" s="3">
        <v>0.21</v>
      </c>
      <c r="R626" s="3">
        <v>0</v>
      </c>
      <c r="S626" s="2"/>
      <c r="T626" s="5">
        <v>0</v>
      </c>
      <c r="U626" s="4">
        <v>0</v>
      </c>
      <c r="V626" s="4">
        <v>0</v>
      </c>
      <c r="W626" s="2">
        <v>0</v>
      </c>
      <c r="X626" s="4">
        <v>0</v>
      </c>
      <c r="Y626" s="4">
        <v>0</v>
      </c>
      <c r="Z626" s="3">
        <v>0</v>
      </c>
      <c r="AA626" s="3">
        <v>0</v>
      </c>
    </row>
    <row r="627" spans="1:27" x14ac:dyDescent="0.2">
      <c r="A627">
        <f t="shared" si="18"/>
        <v>2</v>
      </c>
      <c r="B627">
        <f t="shared" si="19"/>
        <v>6</v>
      </c>
      <c r="C627" s="1">
        <v>46056</v>
      </c>
      <c r="D627" t="s">
        <v>25</v>
      </c>
      <c r="E627" t="s">
        <v>26</v>
      </c>
      <c r="F627" t="s">
        <v>39</v>
      </c>
      <c r="G627" t="s">
        <v>40</v>
      </c>
      <c r="H627" t="s">
        <v>29</v>
      </c>
      <c r="I627" t="s">
        <v>30</v>
      </c>
      <c r="J627" t="s">
        <v>41</v>
      </c>
      <c r="K627" t="s">
        <v>42</v>
      </c>
      <c r="L627" t="s">
        <v>470</v>
      </c>
      <c r="M627" s="4">
        <v>2</v>
      </c>
      <c r="N627" s="4">
        <v>1</v>
      </c>
      <c r="O627" s="2">
        <v>0.5</v>
      </c>
      <c r="P627" s="3">
        <v>0.79</v>
      </c>
      <c r="Q627" s="3">
        <v>0.79</v>
      </c>
      <c r="R627" s="3">
        <v>17.09</v>
      </c>
      <c r="S627" s="2">
        <v>4.6225863077823288E-2</v>
      </c>
      <c r="T627" s="5">
        <v>21.632911392405063</v>
      </c>
      <c r="U627" s="4">
        <v>1</v>
      </c>
      <c r="V627" s="4">
        <v>1</v>
      </c>
      <c r="W627" s="2">
        <v>1</v>
      </c>
      <c r="X627" s="4">
        <v>1</v>
      </c>
      <c r="Y627" s="4">
        <v>0</v>
      </c>
      <c r="Z627" s="3">
        <v>17.09</v>
      </c>
      <c r="AA627" s="3">
        <v>0</v>
      </c>
    </row>
    <row r="628" spans="1:27" x14ac:dyDescent="0.2">
      <c r="A628">
        <f t="shared" si="18"/>
        <v>2</v>
      </c>
      <c r="B628">
        <f t="shared" si="19"/>
        <v>8</v>
      </c>
      <c r="C628" s="1">
        <v>46073</v>
      </c>
      <c r="D628" t="s">
        <v>25</v>
      </c>
      <c r="E628" t="s">
        <v>26</v>
      </c>
      <c r="F628" t="s">
        <v>27</v>
      </c>
      <c r="G628" t="s">
        <v>28</v>
      </c>
      <c r="H628" t="s">
        <v>29</v>
      </c>
      <c r="I628" t="s">
        <v>30</v>
      </c>
      <c r="J628" t="s">
        <v>44</v>
      </c>
      <c r="K628" t="s">
        <v>32</v>
      </c>
      <c r="L628" t="s">
        <v>471</v>
      </c>
      <c r="M628" s="4">
        <v>1</v>
      </c>
      <c r="N628" s="4">
        <v>1</v>
      </c>
      <c r="O628" s="2">
        <v>1</v>
      </c>
      <c r="P628" s="3">
        <v>0.21</v>
      </c>
      <c r="Q628" s="3">
        <v>0.21</v>
      </c>
      <c r="R628" s="3">
        <v>0</v>
      </c>
      <c r="S628" s="2"/>
      <c r="T628" s="5">
        <v>0</v>
      </c>
      <c r="U628" s="4">
        <v>0</v>
      </c>
      <c r="V628" s="4">
        <v>0</v>
      </c>
      <c r="W628" s="2">
        <v>0</v>
      </c>
      <c r="X628" s="4">
        <v>0</v>
      </c>
      <c r="Y628" s="4">
        <v>0</v>
      </c>
      <c r="Z628" s="3">
        <v>0</v>
      </c>
      <c r="AA628" s="3">
        <v>0</v>
      </c>
    </row>
    <row r="629" spans="1:27" x14ac:dyDescent="0.2">
      <c r="A629">
        <f t="shared" si="18"/>
        <v>2</v>
      </c>
      <c r="B629">
        <f t="shared" si="19"/>
        <v>8</v>
      </c>
      <c r="C629" s="1">
        <v>46073</v>
      </c>
      <c r="D629" t="s">
        <v>25</v>
      </c>
      <c r="E629" t="s">
        <v>26</v>
      </c>
      <c r="F629" t="s">
        <v>34</v>
      </c>
      <c r="G629" t="s">
        <v>28</v>
      </c>
      <c r="H629" t="s">
        <v>29</v>
      </c>
      <c r="I629" t="s">
        <v>30</v>
      </c>
      <c r="J629" t="s">
        <v>44</v>
      </c>
      <c r="K629" t="s">
        <v>32</v>
      </c>
      <c r="L629" t="s">
        <v>472</v>
      </c>
      <c r="M629" s="4">
        <v>2</v>
      </c>
      <c r="N629" s="4">
        <v>1</v>
      </c>
      <c r="O629" s="2">
        <v>0.5</v>
      </c>
      <c r="P629" s="3">
        <v>0.75</v>
      </c>
      <c r="Q629" s="3">
        <v>0.75</v>
      </c>
      <c r="R629" s="3">
        <v>0</v>
      </c>
      <c r="S629" s="2"/>
      <c r="T629" s="5">
        <v>0</v>
      </c>
      <c r="U629" s="4">
        <v>0</v>
      </c>
      <c r="V629" s="4">
        <v>0</v>
      </c>
      <c r="W629" s="2">
        <v>0</v>
      </c>
      <c r="X629" s="4">
        <v>0</v>
      </c>
      <c r="Y629" s="4">
        <v>0</v>
      </c>
      <c r="Z629" s="3">
        <v>0</v>
      </c>
      <c r="AA629" s="3">
        <v>0</v>
      </c>
    </row>
    <row r="630" spans="1:27" x14ac:dyDescent="0.2">
      <c r="A630">
        <f t="shared" si="18"/>
        <v>2</v>
      </c>
      <c r="B630">
        <f t="shared" si="19"/>
        <v>7</v>
      </c>
      <c r="C630" s="1">
        <v>46065</v>
      </c>
      <c r="D630" t="s">
        <v>25</v>
      </c>
      <c r="E630" t="s">
        <v>26</v>
      </c>
      <c r="F630" t="s">
        <v>49</v>
      </c>
      <c r="G630" t="s">
        <v>50</v>
      </c>
      <c r="H630" t="s">
        <v>29</v>
      </c>
      <c r="I630" t="s">
        <v>30</v>
      </c>
      <c r="J630" t="s">
        <v>47</v>
      </c>
      <c r="K630" t="s">
        <v>42</v>
      </c>
      <c r="L630" t="s">
        <v>473</v>
      </c>
      <c r="M630" s="4">
        <v>3</v>
      </c>
      <c r="N630" s="4">
        <v>1</v>
      </c>
      <c r="O630" s="2">
        <v>0.33333333333333331</v>
      </c>
      <c r="P630" s="3">
        <v>0.5</v>
      </c>
      <c r="Q630" s="3">
        <v>0.5</v>
      </c>
      <c r="R630" s="3">
        <v>0</v>
      </c>
      <c r="S630" s="2"/>
      <c r="T630" s="5">
        <v>0</v>
      </c>
      <c r="U630" s="4">
        <v>0</v>
      </c>
      <c r="V630" s="4">
        <v>0</v>
      </c>
      <c r="W630" s="2">
        <v>0</v>
      </c>
      <c r="X630" s="4">
        <v>0</v>
      </c>
      <c r="Y630" s="4">
        <v>0</v>
      </c>
      <c r="Z630" s="3">
        <v>0</v>
      </c>
      <c r="AA630" s="3">
        <v>0</v>
      </c>
    </row>
    <row r="631" spans="1:27" x14ac:dyDescent="0.2">
      <c r="A631">
        <f t="shared" si="18"/>
        <v>2</v>
      </c>
      <c r="B631">
        <f t="shared" si="19"/>
        <v>6</v>
      </c>
      <c r="C631" s="1">
        <v>46056</v>
      </c>
      <c r="D631" t="s">
        <v>25</v>
      </c>
      <c r="E631" t="s">
        <v>26</v>
      </c>
      <c r="F631" t="s">
        <v>49</v>
      </c>
      <c r="G631" t="s">
        <v>50</v>
      </c>
      <c r="H631" t="s">
        <v>29</v>
      </c>
      <c r="I631" t="s">
        <v>30</v>
      </c>
      <c r="J631" t="s">
        <v>51</v>
      </c>
      <c r="K631" t="s">
        <v>42</v>
      </c>
      <c r="L631" t="s">
        <v>474</v>
      </c>
      <c r="M631" s="4">
        <v>2</v>
      </c>
      <c r="N631" s="4">
        <v>1</v>
      </c>
      <c r="O631" s="2">
        <v>0.5</v>
      </c>
      <c r="P631" s="3">
        <v>0.48</v>
      </c>
      <c r="Q631" s="3">
        <v>0.48</v>
      </c>
      <c r="R631" s="3">
        <v>0</v>
      </c>
      <c r="S631" s="2"/>
      <c r="T631" s="5">
        <v>0</v>
      </c>
      <c r="U631" s="4">
        <v>0</v>
      </c>
      <c r="V631" s="4">
        <v>0</v>
      </c>
      <c r="W631" s="2">
        <v>0</v>
      </c>
      <c r="X631" s="4">
        <v>0</v>
      </c>
      <c r="Y631" s="4">
        <v>0</v>
      </c>
      <c r="Z631" s="3">
        <v>0</v>
      </c>
      <c r="AA631" s="3">
        <v>0</v>
      </c>
    </row>
    <row r="632" spans="1:27" x14ac:dyDescent="0.2">
      <c r="A632">
        <f t="shared" si="18"/>
        <v>2</v>
      </c>
      <c r="B632">
        <f t="shared" si="19"/>
        <v>8</v>
      </c>
      <c r="C632" s="1">
        <v>46069</v>
      </c>
      <c r="D632" t="s">
        <v>25</v>
      </c>
      <c r="E632" t="s">
        <v>26</v>
      </c>
      <c r="F632" t="s">
        <v>53</v>
      </c>
      <c r="G632" t="s">
        <v>54</v>
      </c>
      <c r="H632" t="s">
        <v>29</v>
      </c>
      <c r="I632" t="s">
        <v>30</v>
      </c>
      <c r="J632" t="s">
        <v>47</v>
      </c>
      <c r="K632" t="s">
        <v>42</v>
      </c>
      <c r="L632" t="s">
        <v>475</v>
      </c>
      <c r="M632" s="4">
        <v>2</v>
      </c>
      <c r="N632" s="4">
        <v>1</v>
      </c>
      <c r="O632" s="2">
        <v>0.5</v>
      </c>
      <c r="P632" s="3">
        <v>1.37</v>
      </c>
      <c r="Q632" s="3">
        <v>1.37</v>
      </c>
      <c r="R632" s="3">
        <v>0</v>
      </c>
      <c r="S632" s="2"/>
      <c r="T632" s="5">
        <v>0</v>
      </c>
      <c r="U632" s="4">
        <v>0</v>
      </c>
      <c r="V632" s="4">
        <v>0</v>
      </c>
      <c r="W632" s="2">
        <v>0</v>
      </c>
      <c r="X632" s="4">
        <v>0</v>
      </c>
      <c r="Y632" s="4">
        <v>0</v>
      </c>
      <c r="Z632" s="3">
        <v>0</v>
      </c>
      <c r="AA632" s="3">
        <v>0</v>
      </c>
    </row>
    <row r="633" spans="1:27" x14ac:dyDescent="0.2">
      <c r="A633">
        <f t="shared" si="18"/>
        <v>2</v>
      </c>
      <c r="B633">
        <f t="shared" si="19"/>
        <v>8</v>
      </c>
      <c r="C633" s="1">
        <v>46072</v>
      </c>
      <c r="D633" t="s">
        <v>25</v>
      </c>
      <c r="E633" t="s">
        <v>26</v>
      </c>
      <c r="F633" t="s">
        <v>53</v>
      </c>
      <c r="G633" t="s">
        <v>54</v>
      </c>
      <c r="H633" t="s">
        <v>29</v>
      </c>
      <c r="I633" t="s">
        <v>30</v>
      </c>
      <c r="J633" t="s">
        <v>47</v>
      </c>
      <c r="K633" t="s">
        <v>42</v>
      </c>
      <c r="L633" t="s">
        <v>177</v>
      </c>
      <c r="M633" s="4">
        <v>8</v>
      </c>
      <c r="N633" s="4">
        <v>1</v>
      </c>
      <c r="O633" s="2">
        <v>0.125</v>
      </c>
      <c r="P633" s="3">
        <v>1.08</v>
      </c>
      <c r="Q633" s="3">
        <v>1.08</v>
      </c>
      <c r="R633" s="3">
        <v>0</v>
      </c>
      <c r="S633" s="2"/>
      <c r="T633" s="5">
        <v>0</v>
      </c>
      <c r="U633" s="4">
        <v>0</v>
      </c>
      <c r="V633" s="4">
        <v>0</v>
      </c>
      <c r="W633" s="2">
        <v>0</v>
      </c>
      <c r="X633" s="4">
        <v>0</v>
      </c>
      <c r="Y633" s="4">
        <v>0</v>
      </c>
      <c r="Z633" s="3">
        <v>0</v>
      </c>
      <c r="AA633" s="3">
        <v>0</v>
      </c>
    </row>
    <row r="634" spans="1:27" x14ac:dyDescent="0.2">
      <c r="A634">
        <f t="shared" si="18"/>
        <v>2</v>
      </c>
      <c r="B634">
        <f t="shared" si="19"/>
        <v>7</v>
      </c>
      <c r="C634" s="1">
        <v>46065</v>
      </c>
      <c r="D634" t="s">
        <v>25</v>
      </c>
      <c r="E634" t="s">
        <v>26</v>
      </c>
      <c r="F634" t="s">
        <v>53</v>
      </c>
      <c r="G634" t="s">
        <v>54</v>
      </c>
      <c r="H634" t="s">
        <v>29</v>
      </c>
      <c r="I634" t="s">
        <v>30</v>
      </c>
      <c r="J634" t="s">
        <v>47</v>
      </c>
      <c r="K634" t="s">
        <v>42</v>
      </c>
      <c r="L634" t="s">
        <v>476</v>
      </c>
      <c r="M634" s="4">
        <v>3</v>
      </c>
      <c r="N634" s="4">
        <v>1</v>
      </c>
      <c r="O634" s="2">
        <v>0.33333333333333331</v>
      </c>
      <c r="P634" s="3">
        <v>0.99</v>
      </c>
      <c r="Q634" s="3">
        <v>0.99</v>
      </c>
      <c r="R634" s="3">
        <v>0</v>
      </c>
      <c r="S634" s="2"/>
      <c r="T634" s="5">
        <v>0</v>
      </c>
      <c r="U634" s="4">
        <v>0</v>
      </c>
      <c r="V634" s="4">
        <v>0</v>
      </c>
      <c r="W634" s="2">
        <v>0</v>
      </c>
      <c r="X634" s="4">
        <v>0</v>
      </c>
      <c r="Y634" s="4">
        <v>0</v>
      </c>
      <c r="Z634" s="3">
        <v>0</v>
      </c>
      <c r="AA634" s="3">
        <v>0</v>
      </c>
    </row>
    <row r="635" spans="1:27" x14ac:dyDescent="0.2">
      <c r="A635">
        <f t="shared" si="18"/>
        <v>2</v>
      </c>
      <c r="B635">
        <f t="shared" si="19"/>
        <v>6</v>
      </c>
      <c r="C635" s="1">
        <v>46059</v>
      </c>
      <c r="D635" t="s">
        <v>25</v>
      </c>
      <c r="E635" t="s">
        <v>26</v>
      </c>
      <c r="F635" t="s">
        <v>61</v>
      </c>
      <c r="G635" t="s">
        <v>62</v>
      </c>
      <c r="H635" t="s">
        <v>29</v>
      </c>
      <c r="I635" t="s">
        <v>30</v>
      </c>
      <c r="J635" t="s">
        <v>47</v>
      </c>
      <c r="K635" t="s">
        <v>42</v>
      </c>
      <c r="L635" t="s">
        <v>173</v>
      </c>
      <c r="M635" s="4">
        <v>2</v>
      </c>
      <c r="N635" s="4">
        <v>1</v>
      </c>
      <c r="O635" s="2">
        <v>0.5</v>
      </c>
      <c r="P635" s="3">
        <v>1.45</v>
      </c>
      <c r="Q635" s="3">
        <v>1.45</v>
      </c>
      <c r="R635" s="3">
        <v>0</v>
      </c>
      <c r="S635" s="2"/>
      <c r="T635" s="5">
        <v>0</v>
      </c>
      <c r="U635" s="4">
        <v>0</v>
      </c>
      <c r="V635" s="4">
        <v>0</v>
      </c>
      <c r="W635" s="2">
        <v>0</v>
      </c>
      <c r="X635" s="4">
        <v>0</v>
      </c>
      <c r="Y635" s="4">
        <v>0</v>
      </c>
      <c r="Z635" s="3">
        <v>0</v>
      </c>
      <c r="AA635" s="3">
        <v>0</v>
      </c>
    </row>
    <row r="636" spans="1:27" x14ac:dyDescent="0.2">
      <c r="A636">
        <f t="shared" si="18"/>
        <v>2</v>
      </c>
      <c r="B636">
        <f t="shared" si="19"/>
        <v>8</v>
      </c>
      <c r="C636" s="1">
        <v>46070</v>
      </c>
      <c r="D636" t="s">
        <v>25</v>
      </c>
      <c r="E636" t="s">
        <v>26</v>
      </c>
      <c r="F636" t="s">
        <v>53</v>
      </c>
      <c r="G636" t="s">
        <v>54</v>
      </c>
      <c r="H636" t="s">
        <v>29</v>
      </c>
      <c r="I636" t="s">
        <v>30</v>
      </c>
      <c r="J636" t="s">
        <v>47</v>
      </c>
      <c r="K636" t="s">
        <v>42</v>
      </c>
      <c r="L636" t="s">
        <v>173</v>
      </c>
      <c r="M636" s="4">
        <v>4</v>
      </c>
      <c r="N636" s="4">
        <v>1</v>
      </c>
      <c r="O636" s="2">
        <v>0.25</v>
      </c>
      <c r="P636" s="3">
        <v>0.91</v>
      </c>
      <c r="Q636" s="3">
        <v>0.91</v>
      </c>
      <c r="R636" s="3">
        <v>0</v>
      </c>
      <c r="S636" s="2"/>
      <c r="T636" s="5">
        <v>0</v>
      </c>
      <c r="U636" s="4">
        <v>0</v>
      </c>
      <c r="V636" s="4">
        <v>0</v>
      </c>
      <c r="W636" s="2">
        <v>0</v>
      </c>
      <c r="X636" s="4">
        <v>0</v>
      </c>
      <c r="Y636" s="4">
        <v>0</v>
      </c>
      <c r="Z636" s="3">
        <v>0</v>
      </c>
      <c r="AA636" s="3">
        <v>0</v>
      </c>
    </row>
    <row r="637" spans="1:27" x14ac:dyDescent="0.2">
      <c r="A637">
        <f t="shared" si="18"/>
        <v>2</v>
      </c>
      <c r="B637">
        <f t="shared" si="19"/>
        <v>8</v>
      </c>
      <c r="C637" s="1">
        <v>46072</v>
      </c>
      <c r="D637" t="s">
        <v>25</v>
      </c>
      <c r="E637" t="s">
        <v>26</v>
      </c>
      <c r="F637" t="s">
        <v>112</v>
      </c>
      <c r="G637" t="s">
        <v>62</v>
      </c>
      <c r="H637" t="s">
        <v>29</v>
      </c>
      <c r="I637" t="s">
        <v>30</v>
      </c>
      <c r="J637" t="s">
        <v>173</v>
      </c>
      <c r="K637" t="s">
        <v>32</v>
      </c>
      <c r="L637" t="s">
        <v>173</v>
      </c>
      <c r="M637" s="4">
        <v>9</v>
      </c>
      <c r="N637" s="4">
        <v>1</v>
      </c>
      <c r="O637" s="2">
        <v>0.1111111111111111</v>
      </c>
      <c r="P637" s="3">
        <v>0.68</v>
      </c>
      <c r="Q637" s="3">
        <v>0.68</v>
      </c>
      <c r="R637" s="3">
        <v>0</v>
      </c>
      <c r="S637" s="2"/>
      <c r="T637" s="5">
        <v>0</v>
      </c>
      <c r="U637" s="4">
        <v>0</v>
      </c>
      <c r="V637" s="4">
        <v>0</v>
      </c>
      <c r="W637" s="2">
        <v>0</v>
      </c>
      <c r="X637" s="4">
        <v>0</v>
      </c>
      <c r="Y637" s="4">
        <v>0</v>
      </c>
      <c r="Z637" s="3">
        <v>0</v>
      </c>
      <c r="AA637" s="3">
        <v>0</v>
      </c>
    </row>
    <row r="638" spans="1:27" x14ac:dyDescent="0.2">
      <c r="A638">
        <f t="shared" si="18"/>
        <v>2</v>
      </c>
      <c r="B638">
        <f t="shared" si="19"/>
        <v>8</v>
      </c>
      <c r="C638" s="1">
        <v>46073</v>
      </c>
      <c r="D638" t="s">
        <v>25</v>
      </c>
      <c r="E638" t="s">
        <v>26</v>
      </c>
      <c r="F638" t="s">
        <v>53</v>
      </c>
      <c r="G638" t="s">
        <v>54</v>
      </c>
      <c r="H638" t="s">
        <v>29</v>
      </c>
      <c r="I638" t="s">
        <v>30</v>
      </c>
      <c r="J638" t="s">
        <v>47</v>
      </c>
      <c r="K638" t="s">
        <v>42</v>
      </c>
      <c r="L638" t="s">
        <v>477</v>
      </c>
      <c r="M638" s="4">
        <v>3</v>
      </c>
      <c r="N638" s="4">
        <v>1</v>
      </c>
      <c r="O638" s="2">
        <v>0.33333333333333331</v>
      </c>
      <c r="P638" s="3">
        <v>1.36</v>
      </c>
      <c r="Q638" s="3">
        <v>1.36</v>
      </c>
      <c r="R638" s="3">
        <v>0</v>
      </c>
      <c r="S638" s="2"/>
      <c r="T638" s="5">
        <v>0</v>
      </c>
      <c r="U638" s="4">
        <v>0</v>
      </c>
      <c r="V638" s="4">
        <v>0</v>
      </c>
      <c r="W638" s="2">
        <v>0</v>
      </c>
      <c r="X638" s="4">
        <v>0</v>
      </c>
      <c r="Y638" s="4">
        <v>0</v>
      </c>
      <c r="Z638" s="3">
        <v>0</v>
      </c>
      <c r="AA638" s="3">
        <v>0</v>
      </c>
    </row>
    <row r="639" spans="1:27" x14ac:dyDescent="0.2">
      <c r="A639">
        <f t="shared" si="18"/>
        <v>2</v>
      </c>
      <c r="B639">
        <f t="shared" si="19"/>
        <v>7</v>
      </c>
      <c r="C639" s="1">
        <v>46063</v>
      </c>
      <c r="D639" t="s">
        <v>25</v>
      </c>
      <c r="E639" t="s">
        <v>26</v>
      </c>
      <c r="F639" t="s">
        <v>61</v>
      </c>
      <c r="G639" t="s">
        <v>62</v>
      </c>
      <c r="H639" t="s">
        <v>29</v>
      </c>
      <c r="I639" t="s">
        <v>30</v>
      </c>
      <c r="J639" t="s">
        <v>47</v>
      </c>
      <c r="K639" t="s">
        <v>42</v>
      </c>
      <c r="L639" t="s">
        <v>184</v>
      </c>
      <c r="M639" s="4">
        <v>12</v>
      </c>
      <c r="N639" s="4">
        <v>1</v>
      </c>
      <c r="O639" s="2">
        <v>8.3333333333333315E-2</v>
      </c>
      <c r="P639" s="3">
        <v>1.21</v>
      </c>
      <c r="Q639" s="3">
        <v>1.21</v>
      </c>
      <c r="R639" s="3">
        <v>0</v>
      </c>
      <c r="S639" s="2"/>
      <c r="T639" s="5">
        <v>0</v>
      </c>
      <c r="U639" s="4">
        <v>0</v>
      </c>
      <c r="V639" s="4">
        <v>0</v>
      </c>
      <c r="W639" s="2">
        <v>0</v>
      </c>
      <c r="X639" s="4">
        <v>0</v>
      </c>
      <c r="Y639" s="4">
        <v>0</v>
      </c>
      <c r="Z639" s="3">
        <v>0</v>
      </c>
      <c r="AA639" s="3">
        <v>0</v>
      </c>
    </row>
    <row r="640" spans="1:27" x14ac:dyDescent="0.2">
      <c r="A640">
        <f t="shared" si="18"/>
        <v>2</v>
      </c>
      <c r="B640">
        <f t="shared" si="19"/>
        <v>8</v>
      </c>
      <c r="C640" s="1">
        <v>46069</v>
      </c>
      <c r="D640" t="s">
        <v>25</v>
      </c>
      <c r="E640" t="s">
        <v>26</v>
      </c>
      <c r="F640" t="s">
        <v>61</v>
      </c>
      <c r="G640" t="s">
        <v>62</v>
      </c>
      <c r="H640" t="s">
        <v>29</v>
      </c>
      <c r="I640" t="s">
        <v>30</v>
      </c>
      <c r="J640" t="s">
        <v>47</v>
      </c>
      <c r="K640" t="s">
        <v>42</v>
      </c>
      <c r="L640" t="s">
        <v>184</v>
      </c>
      <c r="M640" s="4">
        <v>10</v>
      </c>
      <c r="N640" s="4">
        <v>1</v>
      </c>
      <c r="O640" s="2">
        <v>0.1</v>
      </c>
      <c r="P640" s="3">
        <v>1.26</v>
      </c>
      <c r="Q640" s="3">
        <v>1.26</v>
      </c>
      <c r="R640" s="3">
        <v>0</v>
      </c>
      <c r="S640" s="2"/>
      <c r="T640" s="5">
        <v>0</v>
      </c>
      <c r="U640" s="4">
        <v>0</v>
      </c>
      <c r="V640" s="4">
        <v>0</v>
      </c>
      <c r="W640" s="2">
        <v>0</v>
      </c>
      <c r="X640" s="4">
        <v>0</v>
      </c>
      <c r="Y640" s="4">
        <v>0</v>
      </c>
      <c r="Z640" s="3">
        <v>0</v>
      </c>
      <c r="AA640" s="3">
        <v>0</v>
      </c>
    </row>
    <row r="641" spans="1:27" x14ac:dyDescent="0.2">
      <c r="A641">
        <f t="shared" si="18"/>
        <v>2</v>
      </c>
      <c r="B641">
        <f t="shared" si="19"/>
        <v>8</v>
      </c>
      <c r="C641" s="1">
        <v>46073</v>
      </c>
      <c r="D641" t="s">
        <v>25</v>
      </c>
      <c r="E641" t="s">
        <v>26</v>
      </c>
      <c r="F641" t="s">
        <v>61</v>
      </c>
      <c r="G641" t="s">
        <v>62</v>
      </c>
      <c r="H641" t="s">
        <v>29</v>
      </c>
      <c r="I641" t="s">
        <v>30</v>
      </c>
      <c r="J641" t="s">
        <v>47</v>
      </c>
      <c r="K641" t="s">
        <v>42</v>
      </c>
      <c r="L641" t="s">
        <v>185</v>
      </c>
      <c r="M641" s="4">
        <v>149</v>
      </c>
      <c r="N641" s="4">
        <v>1</v>
      </c>
      <c r="O641" s="2">
        <v>6.7114093959731551E-3</v>
      </c>
      <c r="P641" s="3">
        <v>1.26</v>
      </c>
      <c r="Q641" s="3">
        <v>1.26</v>
      </c>
      <c r="R641" s="3">
        <v>0</v>
      </c>
      <c r="S641" s="2"/>
      <c r="T641" s="5">
        <v>0</v>
      </c>
      <c r="U641" s="4">
        <v>0</v>
      </c>
      <c r="V641" s="4">
        <v>0</v>
      </c>
      <c r="W641" s="2">
        <v>0</v>
      </c>
      <c r="X641" s="4">
        <v>0</v>
      </c>
      <c r="Y641" s="4">
        <v>0</v>
      </c>
      <c r="Z641" s="3">
        <v>0</v>
      </c>
      <c r="AA641" s="3">
        <v>0</v>
      </c>
    </row>
    <row r="642" spans="1:27" x14ac:dyDescent="0.2">
      <c r="A642">
        <f t="shared" si="18"/>
        <v>2</v>
      </c>
      <c r="B642">
        <f t="shared" si="19"/>
        <v>8</v>
      </c>
      <c r="C642" s="1">
        <v>46074</v>
      </c>
      <c r="D642" t="s">
        <v>25</v>
      </c>
      <c r="E642" t="s">
        <v>26</v>
      </c>
      <c r="F642" t="s">
        <v>61</v>
      </c>
      <c r="G642" t="s">
        <v>62</v>
      </c>
      <c r="H642" t="s">
        <v>29</v>
      </c>
      <c r="I642" t="s">
        <v>30</v>
      </c>
      <c r="J642" t="s">
        <v>47</v>
      </c>
      <c r="K642" t="s">
        <v>42</v>
      </c>
      <c r="L642" t="s">
        <v>185</v>
      </c>
      <c r="M642" s="4">
        <v>152</v>
      </c>
      <c r="N642" s="4">
        <v>1</v>
      </c>
      <c r="O642" s="2">
        <v>6.5789473684210523E-3</v>
      </c>
      <c r="P642" s="3">
        <v>1.26</v>
      </c>
      <c r="Q642" s="3">
        <v>1.26</v>
      </c>
      <c r="R642" s="3">
        <v>0</v>
      </c>
      <c r="S642" s="2"/>
      <c r="T642" s="5">
        <v>0</v>
      </c>
      <c r="U642" s="4">
        <v>0</v>
      </c>
      <c r="V642" s="4">
        <v>0</v>
      </c>
      <c r="W642" s="2">
        <v>0</v>
      </c>
      <c r="X642" s="4">
        <v>0</v>
      </c>
      <c r="Y642" s="4">
        <v>0</v>
      </c>
      <c r="Z642" s="3">
        <v>0</v>
      </c>
      <c r="AA642" s="3">
        <v>0</v>
      </c>
    </row>
    <row r="643" spans="1:27" x14ac:dyDescent="0.2">
      <c r="A643">
        <f t="shared" ref="A643:A706" si="20">MONTH(C643)</f>
        <v>2</v>
      </c>
      <c r="B643">
        <f t="shared" ref="B643:B706" si="21">WEEKNUM(C643,1)</f>
        <v>7</v>
      </c>
      <c r="C643" s="1">
        <v>46067</v>
      </c>
      <c r="D643" t="s">
        <v>25</v>
      </c>
      <c r="E643" t="s">
        <v>26</v>
      </c>
      <c r="F643" t="s">
        <v>112</v>
      </c>
      <c r="G643" t="s">
        <v>62</v>
      </c>
      <c r="H643" t="s">
        <v>29</v>
      </c>
      <c r="I643" t="s">
        <v>30</v>
      </c>
      <c r="J643" t="s">
        <v>173</v>
      </c>
      <c r="K643" t="s">
        <v>32</v>
      </c>
      <c r="L643" t="s">
        <v>185</v>
      </c>
      <c r="M643" s="4">
        <v>7</v>
      </c>
      <c r="N643" s="4">
        <v>1</v>
      </c>
      <c r="O643" s="2">
        <v>0.14285714285714285</v>
      </c>
      <c r="P643" s="3">
        <v>0.11</v>
      </c>
      <c r="Q643" s="3">
        <v>0.11</v>
      </c>
      <c r="R643" s="3">
        <v>0</v>
      </c>
      <c r="S643" s="2"/>
      <c r="T643" s="5">
        <v>0</v>
      </c>
      <c r="U643" s="4">
        <v>0</v>
      </c>
      <c r="V643" s="4">
        <v>0</v>
      </c>
      <c r="W643" s="2">
        <v>0</v>
      </c>
      <c r="X643" s="4">
        <v>0</v>
      </c>
      <c r="Y643" s="4">
        <v>0</v>
      </c>
      <c r="Z643" s="3">
        <v>0</v>
      </c>
      <c r="AA643" s="3">
        <v>0</v>
      </c>
    </row>
    <row r="644" spans="1:27" x14ac:dyDescent="0.2">
      <c r="A644">
        <f t="shared" si="20"/>
        <v>2</v>
      </c>
      <c r="B644">
        <f t="shared" si="21"/>
        <v>8</v>
      </c>
      <c r="C644" s="1">
        <v>46068</v>
      </c>
      <c r="D644" t="s">
        <v>25</v>
      </c>
      <c r="E644" t="s">
        <v>26</v>
      </c>
      <c r="F644" t="s">
        <v>53</v>
      </c>
      <c r="G644" t="s">
        <v>54</v>
      </c>
      <c r="H644" t="s">
        <v>29</v>
      </c>
      <c r="I644" t="s">
        <v>30</v>
      </c>
      <c r="J644" t="s">
        <v>47</v>
      </c>
      <c r="K644" t="s">
        <v>42</v>
      </c>
      <c r="L644" t="s">
        <v>478</v>
      </c>
      <c r="M644" s="4">
        <v>3</v>
      </c>
      <c r="N644" s="4">
        <v>1</v>
      </c>
      <c r="O644" s="2">
        <v>0.33333333333333331</v>
      </c>
      <c r="P644" s="3">
        <v>1.37</v>
      </c>
      <c r="Q644" s="3">
        <v>1.37</v>
      </c>
      <c r="R644" s="3">
        <v>0</v>
      </c>
      <c r="S644" s="2"/>
      <c r="T644" s="5">
        <v>0</v>
      </c>
      <c r="U644" s="4">
        <v>0</v>
      </c>
      <c r="V644" s="4">
        <v>0</v>
      </c>
      <c r="W644" s="2">
        <v>0</v>
      </c>
      <c r="X644" s="4">
        <v>0</v>
      </c>
      <c r="Y644" s="4">
        <v>0</v>
      </c>
      <c r="Z644" s="3">
        <v>0</v>
      </c>
      <c r="AA644" s="3">
        <v>0</v>
      </c>
    </row>
    <row r="645" spans="1:27" x14ac:dyDescent="0.2">
      <c r="A645">
        <f t="shared" si="20"/>
        <v>2</v>
      </c>
      <c r="B645">
        <f t="shared" si="21"/>
        <v>6</v>
      </c>
      <c r="C645" s="1">
        <v>46056</v>
      </c>
      <c r="D645" t="s">
        <v>25</v>
      </c>
      <c r="E645" t="s">
        <v>26</v>
      </c>
      <c r="F645" t="s">
        <v>61</v>
      </c>
      <c r="G645" t="s">
        <v>62</v>
      </c>
      <c r="H645" t="s">
        <v>29</v>
      </c>
      <c r="I645" t="s">
        <v>30</v>
      </c>
      <c r="J645" t="s">
        <v>47</v>
      </c>
      <c r="K645" t="s">
        <v>42</v>
      </c>
      <c r="L645" t="s">
        <v>188</v>
      </c>
      <c r="M645" s="4">
        <v>1</v>
      </c>
      <c r="N645" s="4">
        <v>1</v>
      </c>
      <c r="O645" s="2">
        <v>1</v>
      </c>
      <c r="P645" s="3">
        <v>1.17</v>
      </c>
      <c r="Q645" s="3">
        <v>1.17</v>
      </c>
      <c r="R645" s="3">
        <v>0</v>
      </c>
      <c r="S645" s="2"/>
      <c r="T645" s="5">
        <v>0</v>
      </c>
      <c r="U645" s="4">
        <v>0</v>
      </c>
      <c r="V645" s="4">
        <v>0</v>
      </c>
      <c r="W645" s="2">
        <v>0</v>
      </c>
      <c r="X645" s="4">
        <v>0</v>
      </c>
      <c r="Y645" s="4">
        <v>0</v>
      </c>
      <c r="Z645" s="3">
        <v>0</v>
      </c>
      <c r="AA645" s="3">
        <v>0</v>
      </c>
    </row>
    <row r="646" spans="1:27" x14ac:dyDescent="0.2">
      <c r="A646">
        <f t="shared" si="20"/>
        <v>2</v>
      </c>
      <c r="B646">
        <f t="shared" si="21"/>
        <v>8</v>
      </c>
      <c r="C646" s="1">
        <v>46071</v>
      </c>
      <c r="D646" t="s">
        <v>25</v>
      </c>
      <c r="E646" t="s">
        <v>26</v>
      </c>
      <c r="F646" t="s">
        <v>61</v>
      </c>
      <c r="G646" t="s">
        <v>62</v>
      </c>
      <c r="H646" t="s">
        <v>29</v>
      </c>
      <c r="I646" t="s">
        <v>30</v>
      </c>
      <c r="J646" t="s">
        <v>47</v>
      </c>
      <c r="K646" t="s">
        <v>42</v>
      </c>
      <c r="L646" t="s">
        <v>196</v>
      </c>
      <c r="M646" s="4">
        <v>13</v>
      </c>
      <c r="N646" s="4">
        <v>1</v>
      </c>
      <c r="O646" s="2">
        <v>7.6923076923076927E-2</v>
      </c>
      <c r="P646" s="3">
        <v>1.26</v>
      </c>
      <c r="Q646" s="3">
        <v>1.26</v>
      </c>
      <c r="R646" s="3">
        <v>0</v>
      </c>
      <c r="S646" s="2"/>
      <c r="T646" s="5">
        <v>0</v>
      </c>
      <c r="U646" s="4">
        <v>0</v>
      </c>
      <c r="V646" s="4">
        <v>0</v>
      </c>
      <c r="W646" s="2">
        <v>0</v>
      </c>
      <c r="X646" s="4">
        <v>0</v>
      </c>
      <c r="Y646" s="4">
        <v>0</v>
      </c>
      <c r="Z646" s="3">
        <v>0</v>
      </c>
      <c r="AA646" s="3">
        <v>0</v>
      </c>
    </row>
    <row r="647" spans="1:27" x14ac:dyDescent="0.2">
      <c r="A647">
        <f t="shared" si="20"/>
        <v>2</v>
      </c>
      <c r="B647">
        <f t="shared" si="21"/>
        <v>8</v>
      </c>
      <c r="C647" s="1">
        <v>46072</v>
      </c>
      <c r="D647" t="s">
        <v>25</v>
      </c>
      <c r="E647" t="s">
        <v>26</v>
      </c>
      <c r="F647" t="s">
        <v>61</v>
      </c>
      <c r="G647" t="s">
        <v>62</v>
      </c>
      <c r="H647" t="s">
        <v>29</v>
      </c>
      <c r="I647" t="s">
        <v>30</v>
      </c>
      <c r="J647" t="s">
        <v>47</v>
      </c>
      <c r="K647" t="s">
        <v>42</v>
      </c>
      <c r="L647" t="s">
        <v>196</v>
      </c>
      <c r="M647" s="4">
        <v>47</v>
      </c>
      <c r="N647" s="4">
        <v>3</v>
      </c>
      <c r="O647" s="2">
        <v>6.3829787234042548E-2</v>
      </c>
      <c r="P647" s="3">
        <v>1.26</v>
      </c>
      <c r="Q647" s="3">
        <v>3.78</v>
      </c>
      <c r="R647" s="3">
        <v>0</v>
      </c>
      <c r="S647" s="2"/>
      <c r="T647" s="5">
        <v>0</v>
      </c>
      <c r="U647" s="4">
        <v>0</v>
      </c>
      <c r="V647" s="4">
        <v>0</v>
      </c>
      <c r="W647" s="2">
        <v>0</v>
      </c>
      <c r="X647" s="4">
        <v>0</v>
      </c>
      <c r="Y647" s="4">
        <v>0</v>
      </c>
      <c r="Z647" s="3">
        <v>0</v>
      </c>
      <c r="AA647" s="3">
        <v>0</v>
      </c>
    </row>
    <row r="648" spans="1:27" x14ac:dyDescent="0.2">
      <c r="A648">
        <f t="shared" si="20"/>
        <v>2</v>
      </c>
      <c r="B648">
        <f t="shared" si="21"/>
        <v>8</v>
      </c>
      <c r="C648" s="1">
        <v>46068</v>
      </c>
      <c r="D648" t="s">
        <v>25</v>
      </c>
      <c r="E648" t="s">
        <v>26</v>
      </c>
      <c r="F648" t="s">
        <v>61</v>
      </c>
      <c r="G648" t="s">
        <v>62</v>
      </c>
      <c r="H648" t="s">
        <v>29</v>
      </c>
      <c r="I648" t="s">
        <v>30</v>
      </c>
      <c r="J648" t="s">
        <v>95</v>
      </c>
      <c r="K648" t="s">
        <v>42</v>
      </c>
      <c r="L648" t="s">
        <v>196</v>
      </c>
      <c r="M648" s="4">
        <v>40</v>
      </c>
      <c r="N648" s="4">
        <v>1</v>
      </c>
      <c r="O648" s="2">
        <v>2.5000000000000001E-2</v>
      </c>
      <c r="P648" s="3">
        <v>0.97</v>
      </c>
      <c r="Q648" s="3">
        <v>0.97</v>
      </c>
      <c r="R648" s="3">
        <v>31.34</v>
      </c>
      <c r="S648" s="2">
        <v>3.0950861518825781E-2</v>
      </c>
      <c r="T648" s="5">
        <v>32.309278350515463</v>
      </c>
      <c r="U648" s="4">
        <v>1</v>
      </c>
      <c r="V648" s="4">
        <v>1</v>
      </c>
      <c r="W648" s="2">
        <v>1</v>
      </c>
      <c r="X648" s="4">
        <v>1</v>
      </c>
      <c r="Y648" s="4">
        <v>0</v>
      </c>
      <c r="Z648" s="3">
        <v>31.34</v>
      </c>
      <c r="AA648" s="3">
        <v>0</v>
      </c>
    </row>
    <row r="649" spans="1:27" x14ac:dyDescent="0.2">
      <c r="A649">
        <f t="shared" si="20"/>
        <v>2</v>
      </c>
      <c r="B649">
        <f t="shared" si="21"/>
        <v>8</v>
      </c>
      <c r="C649" s="1">
        <v>46070</v>
      </c>
      <c r="D649" t="s">
        <v>25</v>
      </c>
      <c r="E649" t="s">
        <v>26</v>
      </c>
      <c r="F649" t="s">
        <v>27</v>
      </c>
      <c r="G649" t="s">
        <v>28</v>
      </c>
      <c r="H649" t="s">
        <v>29</v>
      </c>
      <c r="I649" t="s">
        <v>30</v>
      </c>
      <c r="J649" t="s">
        <v>50</v>
      </c>
      <c r="K649" t="s">
        <v>32</v>
      </c>
      <c r="L649" t="s">
        <v>479</v>
      </c>
      <c r="M649" s="4">
        <v>1</v>
      </c>
      <c r="N649" s="4">
        <v>1</v>
      </c>
      <c r="O649" s="2">
        <v>1</v>
      </c>
      <c r="P649" s="3">
        <v>0.08</v>
      </c>
      <c r="Q649" s="3">
        <v>0.08</v>
      </c>
      <c r="R649" s="3">
        <v>0</v>
      </c>
      <c r="S649" s="2"/>
      <c r="T649" s="5">
        <v>0</v>
      </c>
      <c r="U649" s="4">
        <v>0</v>
      </c>
      <c r="V649" s="4">
        <v>0</v>
      </c>
      <c r="W649" s="2">
        <v>0</v>
      </c>
      <c r="X649" s="4">
        <v>0</v>
      </c>
      <c r="Y649" s="4">
        <v>0</v>
      </c>
      <c r="Z649" s="3">
        <v>0</v>
      </c>
      <c r="AA649" s="3">
        <v>0</v>
      </c>
    </row>
    <row r="650" spans="1:27" x14ac:dyDescent="0.2">
      <c r="A650">
        <f t="shared" si="20"/>
        <v>2</v>
      </c>
      <c r="B650">
        <f t="shared" si="21"/>
        <v>8</v>
      </c>
      <c r="C650" s="1">
        <v>46068</v>
      </c>
      <c r="D650" t="s">
        <v>25</v>
      </c>
      <c r="E650" t="s">
        <v>26</v>
      </c>
      <c r="F650" t="s">
        <v>39</v>
      </c>
      <c r="G650" t="s">
        <v>40</v>
      </c>
      <c r="H650" t="s">
        <v>29</v>
      </c>
      <c r="I650" t="s">
        <v>30</v>
      </c>
      <c r="J650" t="s">
        <v>41</v>
      </c>
      <c r="K650" t="s">
        <v>42</v>
      </c>
      <c r="L650" t="s">
        <v>480</v>
      </c>
      <c r="M650" s="4">
        <v>2</v>
      </c>
      <c r="N650" s="4">
        <v>1</v>
      </c>
      <c r="O650" s="2">
        <v>0.5</v>
      </c>
      <c r="P650" s="3">
        <v>0.69</v>
      </c>
      <c r="Q650" s="3">
        <v>0.69</v>
      </c>
      <c r="R650" s="3">
        <v>0</v>
      </c>
      <c r="S650" s="2"/>
      <c r="T650" s="5">
        <v>0</v>
      </c>
      <c r="U650" s="4">
        <v>0</v>
      </c>
      <c r="V650" s="4">
        <v>0</v>
      </c>
      <c r="W650" s="2">
        <v>0</v>
      </c>
      <c r="X650" s="4">
        <v>0</v>
      </c>
      <c r="Y650" s="4">
        <v>0</v>
      </c>
      <c r="Z650" s="3">
        <v>0</v>
      </c>
      <c r="AA650" s="3">
        <v>0</v>
      </c>
    </row>
    <row r="651" spans="1:27" x14ac:dyDescent="0.2">
      <c r="A651">
        <f t="shared" si="20"/>
        <v>2</v>
      </c>
      <c r="B651">
        <f t="shared" si="21"/>
        <v>8</v>
      </c>
      <c r="C651" s="1">
        <v>46073</v>
      </c>
      <c r="D651" t="s">
        <v>25</v>
      </c>
      <c r="E651" t="s">
        <v>26</v>
      </c>
      <c r="F651" t="s">
        <v>49</v>
      </c>
      <c r="G651" t="s">
        <v>50</v>
      </c>
      <c r="H651" t="s">
        <v>29</v>
      </c>
      <c r="I651" t="s">
        <v>30</v>
      </c>
      <c r="J651" t="s">
        <v>95</v>
      </c>
      <c r="K651" t="s">
        <v>42</v>
      </c>
      <c r="L651" t="s">
        <v>481</v>
      </c>
      <c r="M651" s="4">
        <v>2</v>
      </c>
      <c r="N651" s="4">
        <v>1</v>
      </c>
      <c r="O651" s="2">
        <v>0.5</v>
      </c>
      <c r="P651" s="3">
        <v>0.52</v>
      </c>
      <c r="Q651" s="3">
        <v>0.52</v>
      </c>
      <c r="R651" s="3">
        <v>0</v>
      </c>
      <c r="S651" s="2"/>
      <c r="T651" s="5">
        <v>0</v>
      </c>
      <c r="U651" s="4">
        <v>0</v>
      </c>
      <c r="V651" s="4">
        <v>0</v>
      </c>
      <c r="W651" s="2">
        <v>0</v>
      </c>
      <c r="X651" s="4">
        <v>0</v>
      </c>
      <c r="Y651" s="4">
        <v>0</v>
      </c>
      <c r="Z651" s="3">
        <v>0</v>
      </c>
      <c r="AA651" s="3">
        <v>0</v>
      </c>
    </row>
    <row r="652" spans="1:27" x14ac:dyDescent="0.2">
      <c r="A652">
        <f t="shared" si="20"/>
        <v>2</v>
      </c>
      <c r="B652">
        <f t="shared" si="21"/>
        <v>8</v>
      </c>
      <c r="C652" s="1">
        <v>46071</v>
      </c>
      <c r="D652" t="s">
        <v>25</v>
      </c>
      <c r="E652" t="s">
        <v>26</v>
      </c>
      <c r="F652" t="s">
        <v>61</v>
      </c>
      <c r="G652" t="s">
        <v>62</v>
      </c>
      <c r="H652" t="s">
        <v>29</v>
      </c>
      <c r="I652" t="s">
        <v>30</v>
      </c>
      <c r="J652" t="s">
        <v>51</v>
      </c>
      <c r="K652" t="s">
        <v>42</v>
      </c>
      <c r="L652" t="s">
        <v>482</v>
      </c>
      <c r="M652" s="4">
        <v>1</v>
      </c>
      <c r="N652" s="4">
        <v>1</v>
      </c>
      <c r="O652" s="2">
        <v>1</v>
      </c>
      <c r="P652" s="3">
        <v>1.19</v>
      </c>
      <c r="Q652" s="3">
        <v>1.19</v>
      </c>
      <c r="R652" s="3">
        <v>0</v>
      </c>
      <c r="S652" s="2"/>
      <c r="T652" s="5">
        <v>0</v>
      </c>
      <c r="U652" s="4">
        <v>0</v>
      </c>
      <c r="V652" s="4">
        <v>0</v>
      </c>
      <c r="W652" s="2">
        <v>0</v>
      </c>
      <c r="X652" s="4">
        <v>0</v>
      </c>
      <c r="Y652" s="4">
        <v>0</v>
      </c>
      <c r="Z652" s="3">
        <v>0</v>
      </c>
      <c r="AA652" s="3">
        <v>0</v>
      </c>
    </row>
    <row r="653" spans="1:27" x14ac:dyDescent="0.2">
      <c r="A653">
        <f t="shared" si="20"/>
        <v>2</v>
      </c>
      <c r="B653">
        <f t="shared" si="21"/>
        <v>8</v>
      </c>
      <c r="C653" s="1">
        <v>46072</v>
      </c>
      <c r="D653" t="s">
        <v>25</v>
      </c>
      <c r="E653" t="s">
        <v>26</v>
      </c>
      <c r="F653" t="s">
        <v>27</v>
      </c>
      <c r="G653" t="s">
        <v>28</v>
      </c>
      <c r="H653" t="s">
        <v>29</v>
      </c>
      <c r="I653" t="s">
        <v>30</v>
      </c>
      <c r="J653" t="s">
        <v>243</v>
      </c>
      <c r="K653" t="s">
        <v>32</v>
      </c>
      <c r="L653" t="s">
        <v>483</v>
      </c>
      <c r="M653" s="4">
        <v>1</v>
      </c>
      <c r="N653" s="4">
        <v>1</v>
      </c>
      <c r="O653" s="2">
        <v>1</v>
      </c>
      <c r="P653" s="3">
        <v>0.21</v>
      </c>
      <c r="Q653" s="3">
        <v>0.21</v>
      </c>
      <c r="R653" s="3">
        <v>0</v>
      </c>
      <c r="S653" s="2"/>
      <c r="T653" s="5">
        <v>0</v>
      </c>
      <c r="U653" s="4">
        <v>0</v>
      </c>
      <c r="V653" s="4">
        <v>0</v>
      </c>
      <c r="W653" s="2">
        <v>0</v>
      </c>
      <c r="X653" s="4">
        <v>0</v>
      </c>
      <c r="Y653" s="4">
        <v>0</v>
      </c>
      <c r="Z653" s="3">
        <v>0</v>
      </c>
      <c r="AA653" s="3">
        <v>0</v>
      </c>
    </row>
    <row r="654" spans="1:27" x14ac:dyDescent="0.2">
      <c r="A654">
        <f t="shared" si="20"/>
        <v>2</v>
      </c>
      <c r="B654">
        <f t="shared" si="21"/>
        <v>8</v>
      </c>
      <c r="C654" s="1">
        <v>46070</v>
      </c>
      <c r="D654" t="s">
        <v>25</v>
      </c>
      <c r="E654" t="s">
        <v>26</v>
      </c>
      <c r="F654" t="s">
        <v>27</v>
      </c>
      <c r="G654" t="s">
        <v>28</v>
      </c>
      <c r="H654" t="s">
        <v>29</v>
      </c>
      <c r="I654" t="s">
        <v>30</v>
      </c>
      <c r="J654" t="s">
        <v>50</v>
      </c>
      <c r="K654" t="s">
        <v>32</v>
      </c>
      <c r="L654" t="s">
        <v>484</v>
      </c>
      <c r="M654" s="4">
        <v>1</v>
      </c>
      <c r="N654" s="4">
        <v>1</v>
      </c>
      <c r="O654" s="2">
        <v>1</v>
      </c>
      <c r="P654" s="3">
        <v>0.21</v>
      </c>
      <c r="Q654" s="3">
        <v>0.21</v>
      </c>
      <c r="R654" s="3">
        <v>0</v>
      </c>
      <c r="S654" s="2"/>
      <c r="T654" s="5">
        <v>0</v>
      </c>
      <c r="U654" s="4">
        <v>0</v>
      </c>
      <c r="V654" s="4">
        <v>0</v>
      </c>
      <c r="W654" s="2">
        <v>0</v>
      </c>
      <c r="X654" s="4">
        <v>0</v>
      </c>
      <c r="Y654" s="4">
        <v>0</v>
      </c>
      <c r="Z654" s="3">
        <v>0</v>
      </c>
      <c r="AA654" s="3">
        <v>0</v>
      </c>
    </row>
    <row r="655" spans="1:27" x14ac:dyDescent="0.2">
      <c r="A655">
        <f t="shared" si="20"/>
        <v>2</v>
      </c>
      <c r="B655">
        <f t="shared" si="21"/>
        <v>8</v>
      </c>
      <c r="C655" s="1">
        <v>46070</v>
      </c>
      <c r="D655" t="s">
        <v>25</v>
      </c>
      <c r="E655" t="s">
        <v>26</v>
      </c>
      <c r="F655" t="s">
        <v>39</v>
      </c>
      <c r="G655" t="s">
        <v>40</v>
      </c>
      <c r="H655" t="s">
        <v>29</v>
      </c>
      <c r="I655" t="s">
        <v>30</v>
      </c>
      <c r="J655" t="s">
        <v>78</v>
      </c>
      <c r="K655" t="s">
        <v>42</v>
      </c>
      <c r="L655" t="s">
        <v>484</v>
      </c>
      <c r="M655" s="4">
        <v>1</v>
      </c>
      <c r="N655" s="4">
        <v>1</v>
      </c>
      <c r="O655" s="2">
        <v>1</v>
      </c>
      <c r="P655" s="3">
        <v>0.59</v>
      </c>
      <c r="Q655" s="3">
        <v>0.59</v>
      </c>
      <c r="R655" s="3">
        <v>0</v>
      </c>
      <c r="S655" s="2"/>
      <c r="T655" s="5">
        <v>0</v>
      </c>
      <c r="U655" s="4">
        <v>0</v>
      </c>
      <c r="V655" s="4">
        <v>0</v>
      </c>
      <c r="W655" s="2">
        <v>0</v>
      </c>
      <c r="X655" s="4">
        <v>0</v>
      </c>
      <c r="Y655" s="4">
        <v>0</v>
      </c>
      <c r="Z655" s="3">
        <v>0</v>
      </c>
      <c r="AA655" s="3">
        <v>0</v>
      </c>
    </row>
    <row r="656" spans="1:27" x14ac:dyDescent="0.2">
      <c r="A656">
        <f t="shared" si="20"/>
        <v>2</v>
      </c>
      <c r="B656">
        <f t="shared" si="21"/>
        <v>6</v>
      </c>
      <c r="C656" s="1">
        <v>46060</v>
      </c>
      <c r="D656" t="s">
        <v>25</v>
      </c>
      <c r="E656" t="s">
        <v>26</v>
      </c>
      <c r="F656" t="s">
        <v>49</v>
      </c>
      <c r="G656" t="s">
        <v>50</v>
      </c>
      <c r="H656" t="s">
        <v>29</v>
      </c>
      <c r="I656" t="s">
        <v>30</v>
      </c>
      <c r="J656" t="s">
        <v>95</v>
      </c>
      <c r="K656" t="s">
        <v>42</v>
      </c>
      <c r="L656" t="s">
        <v>485</v>
      </c>
      <c r="M656" s="4">
        <v>2</v>
      </c>
      <c r="N656" s="4">
        <v>1</v>
      </c>
      <c r="O656" s="2">
        <v>0.5</v>
      </c>
      <c r="P656" s="3">
        <v>0.48</v>
      </c>
      <c r="Q656" s="3">
        <v>0.48</v>
      </c>
      <c r="R656" s="3">
        <v>0</v>
      </c>
      <c r="S656" s="2"/>
      <c r="T656" s="5">
        <v>0</v>
      </c>
      <c r="U656" s="4">
        <v>0</v>
      </c>
      <c r="V656" s="4">
        <v>0</v>
      </c>
      <c r="W656" s="2">
        <v>0</v>
      </c>
      <c r="X656" s="4">
        <v>0</v>
      </c>
      <c r="Y656" s="4">
        <v>0</v>
      </c>
      <c r="Z656" s="3">
        <v>0</v>
      </c>
      <c r="AA656" s="3">
        <v>0</v>
      </c>
    </row>
    <row r="657" spans="1:27" x14ac:dyDescent="0.2">
      <c r="A657">
        <f t="shared" si="20"/>
        <v>2</v>
      </c>
      <c r="B657">
        <f t="shared" si="21"/>
        <v>8</v>
      </c>
      <c r="C657" s="1">
        <v>46070</v>
      </c>
      <c r="D657" t="s">
        <v>25</v>
      </c>
      <c r="E657" t="s">
        <v>26</v>
      </c>
      <c r="F657" t="s">
        <v>39</v>
      </c>
      <c r="G657" t="s">
        <v>40</v>
      </c>
      <c r="H657" t="s">
        <v>29</v>
      </c>
      <c r="I657" t="s">
        <v>30</v>
      </c>
      <c r="J657" t="s">
        <v>70</v>
      </c>
      <c r="K657" t="s">
        <v>42</v>
      </c>
      <c r="L657" t="s">
        <v>486</v>
      </c>
      <c r="M657" s="4">
        <v>1</v>
      </c>
      <c r="N657" s="4">
        <v>1</v>
      </c>
      <c r="O657" s="2">
        <v>1</v>
      </c>
      <c r="P657" s="3">
        <v>0.64</v>
      </c>
      <c r="Q657" s="3">
        <v>0.64</v>
      </c>
      <c r="R657" s="3">
        <v>0</v>
      </c>
      <c r="S657" s="2"/>
      <c r="T657" s="5">
        <v>0</v>
      </c>
      <c r="U657" s="4">
        <v>0</v>
      </c>
      <c r="V657" s="4">
        <v>0</v>
      </c>
      <c r="W657" s="2">
        <v>0</v>
      </c>
      <c r="X657" s="4">
        <v>0</v>
      </c>
      <c r="Y657" s="4">
        <v>0</v>
      </c>
      <c r="Z657" s="3">
        <v>0</v>
      </c>
      <c r="AA657" s="3">
        <v>0</v>
      </c>
    </row>
    <row r="658" spans="1:27" x14ac:dyDescent="0.2">
      <c r="A658">
        <f t="shared" si="20"/>
        <v>2</v>
      </c>
      <c r="B658">
        <f t="shared" si="21"/>
        <v>6</v>
      </c>
      <c r="C658" s="1">
        <v>46058</v>
      </c>
      <c r="D658" t="s">
        <v>25</v>
      </c>
      <c r="E658" t="s">
        <v>26</v>
      </c>
      <c r="F658" t="s">
        <v>39</v>
      </c>
      <c r="G658" t="s">
        <v>40</v>
      </c>
      <c r="H658" t="s">
        <v>29</v>
      </c>
      <c r="I658" t="s">
        <v>30</v>
      </c>
      <c r="J658" t="s">
        <v>411</v>
      </c>
      <c r="K658" t="s">
        <v>42</v>
      </c>
      <c r="L658" t="s">
        <v>487</v>
      </c>
      <c r="M658" s="4">
        <v>1</v>
      </c>
      <c r="N658" s="4">
        <v>1</v>
      </c>
      <c r="O658" s="2">
        <v>1</v>
      </c>
      <c r="P658" s="3">
        <v>0.48</v>
      </c>
      <c r="Q658" s="3">
        <v>0.48</v>
      </c>
      <c r="R658" s="3">
        <v>0</v>
      </c>
      <c r="S658" s="2"/>
      <c r="T658" s="5">
        <v>0</v>
      </c>
      <c r="U658" s="4">
        <v>0</v>
      </c>
      <c r="V658" s="4">
        <v>0</v>
      </c>
      <c r="W658" s="2">
        <v>0</v>
      </c>
      <c r="X658" s="4">
        <v>0</v>
      </c>
      <c r="Y658" s="4">
        <v>0</v>
      </c>
      <c r="Z658" s="3">
        <v>0</v>
      </c>
      <c r="AA658" s="3">
        <v>0</v>
      </c>
    </row>
    <row r="659" spans="1:27" x14ac:dyDescent="0.2">
      <c r="A659">
        <f t="shared" si="20"/>
        <v>2</v>
      </c>
      <c r="B659">
        <f t="shared" si="21"/>
        <v>6</v>
      </c>
      <c r="C659" s="1">
        <v>46060</v>
      </c>
      <c r="D659" t="s">
        <v>25</v>
      </c>
      <c r="E659" t="s">
        <v>26</v>
      </c>
      <c r="F659" t="s">
        <v>27</v>
      </c>
      <c r="G659" t="s">
        <v>28</v>
      </c>
      <c r="H659" t="s">
        <v>29</v>
      </c>
      <c r="I659" t="s">
        <v>30</v>
      </c>
      <c r="J659" t="s">
        <v>50</v>
      </c>
      <c r="K659" t="s">
        <v>32</v>
      </c>
      <c r="L659" t="s">
        <v>488</v>
      </c>
      <c r="M659" s="4">
        <v>3</v>
      </c>
      <c r="N659" s="4">
        <v>1</v>
      </c>
      <c r="O659" s="2">
        <v>0.33333333333333331</v>
      </c>
      <c r="P659" s="3">
        <v>0.21</v>
      </c>
      <c r="Q659" s="3">
        <v>0.21</v>
      </c>
      <c r="R659" s="3">
        <v>0</v>
      </c>
      <c r="S659" s="2"/>
      <c r="T659" s="5">
        <v>0</v>
      </c>
      <c r="U659" s="4">
        <v>0</v>
      </c>
      <c r="V659" s="4">
        <v>0</v>
      </c>
      <c r="W659" s="2">
        <v>0</v>
      </c>
      <c r="X659" s="4">
        <v>0</v>
      </c>
      <c r="Y659" s="4">
        <v>0</v>
      </c>
      <c r="Z659" s="3">
        <v>0</v>
      </c>
      <c r="AA659" s="3">
        <v>0</v>
      </c>
    </row>
    <row r="660" spans="1:27" x14ac:dyDescent="0.2">
      <c r="A660">
        <f t="shared" si="20"/>
        <v>2</v>
      </c>
      <c r="B660">
        <f t="shared" si="21"/>
        <v>7</v>
      </c>
      <c r="C660" s="1">
        <v>46061</v>
      </c>
      <c r="D660" t="s">
        <v>25</v>
      </c>
      <c r="E660" t="s">
        <v>26</v>
      </c>
      <c r="F660" t="s">
        <v>61</v>
      </c>
      <c r="G660" t="s">
        <v>62</v>
      </c>
      <c r="H660" t="s">
        <v>29</v>
      </c>
      <c r="I660" t="s">
        <v>30</v>
      </c>
      <c r="J660" t="s">
        <v>47</v>
      </c>
      <c r="K660" t="s">
        <v>42</v>
      </c>
      <c r="L660" t="s">
        <v>489</v>
      </c>
      <c r="M660" s="4">
        <v>1</v>
      </c>
      <c r="N660" s="4">
        <v>1</v>
      </c>
      <c r="O660" s="2">
        <v>1</v>
      </c>
      <c r="P660" s="3">
        <v>1.26</v>
      </c>
      <c r="Q660" s="3">
        <v>1.26</v>
      </c>
      <c r="R660" s="3">
        <v>0</v>
      </c>
      <c r="S660" s="2"/>
      <c r="T660" s="5">
        <v>0</v>
      </c>
      <c r="U660" s="4">
        <v>0</v>
      </c>
      <c r="V660" s="4">
        <v>0</v>
      </c>
      <c r="W660" s="2">
        <v>0</v>
      </c>
      <c r="X660" s="4">
        <v>0</v>
      </c>
      <c r="Y660" s="4">
        <v>0</v>
      </c>
      <c r="Z660" s="3">
        <v>0</v>
      </c>
      <c r="AA660" s="3">
        <v>0</v>
      </c>
    </row>
    <row r="661" spans="1:27" x14ac:dyDescent="0.2">
      <c r="A661">
        <f t="shared" si="20"/>
        <v>2</v>
      </c>
      <c r="B661">
        <f t="shared" si="21"/>
        <v>8</v>
      </c>
      <c r="C661" s="1">
        <v>46072</v>
      </c>
      <c r="D661" t="s">
        <v>25</v>
      </c>
      <c r="E661" t="s">
        <v>26</v>
      </c>
      <c r="F661" t="s">
        <v>27</v>
      </c>
      <c r="G661" t="s">
        <v>28</v>
      </c>
      <c r="H661" t="s">
        <v>29</v>
      </c>
      <c r="I661" t="s">
        <v>30</v>
      </c>
      <c r="J661" t="s">
        <v>50</v>
      </c>
      <c r="K661" t="s">
        <v>32</v>
      </c>
      <c r="L661" t="s">
        <v>490</v>
      </c>
      <c r="M661" s="4">
        <v>1</v>
      </c>
      <c r="N661" s="4">
        <v>1</v>
      </c>
      <c r="O661" s="2">
        <v>1</v>
      </c>
      <c r="P661" s="3">
        <v>0.21</v>
      </c>
      <c r="Q661" s="3">
        <v>0.21</v>
      </c>
      <c r="R661" s="3">
        <v>0</v>
      </c>
      <c r="S661" s="2"/>
      <c r="T661" s="5">
        <v>0</v>
      </c>
      <c r="U661" s="4">
        <v>0</v>
      </c>
      <c r="V661" s="4">
        <v>0</v>
      </c>
      <c r="W661" s="2">
        <v>0</v>
      </c>
      <c r="X661" s="4">
        <v>0</v>
      </c>
      <c r="Y661" s="4">
        <v>0</v>
      </c>
      <c r="Z661" s="3">
        <v>0</v>
      </c>
      <c r="AA661" s="3">
        <v>0</v>
      </c>
    </row>
    <row r="662" spans="1:27" x14ac:dyDescent="0.2">
      <c r="A662">
        <f t="shared" si="20"/>
        <v>2</v>
      </c>
      <c r="B662">
        <f t="shared" si="21"/>
        <v>8</v>
      </c>
      <c r="C662" s="1">
        <v>46069</v>
      </c>
      <c r="D662" t="s">
        <v>25</v>
      </c>
      <c r="E662" t="s">
        <v>26</v>
      </c>
      <c r="F662" t="s">
        <v>49</v>
      </c>
      <c r="G662" t="s">
        <v>50</v>
      </c>
      <c r="H662" t="s">
        <v>29</v>
      </c>
      <c r="I662" t="s">
        <v>30</v>
      </c>
      <c r="J662" t="s">
        <v>95</v>
      </c>
      <c r="K662" t="s">
        <v>42</v>
      </c>
      <c r="L662" t="s">
        <v>353</v>
      </c>
      <c r="M662" s="4">
        <v>1</v>
      </c>
      <c r="N662" s="4">
        <v>1</v>
      </c>
      <c r="O662" s="2">
        <v>1</v>
      </c>
      <c r="P662" s="3">
        <v>0.52</v>
      </c>
      <c r="Q662" s="3">
        <v>0.52</v>
      </c>
      <c r="R662" s="3">
        <v>17.09</v>
      </c>
      <c r="S662" s="2">
        <v>3.0427150380339382E-2</v>
      </c>
      <c r="T662" s="5">
        <v>32.865384615384613</v>
      </c>
      <c r="U662" s="4">
        <v>1</v>
      </c>
      <c r="V662" s="4">
        <v>1</v>
      </c>
      <c r="W662" s="2">
        <v>1</v>
      </c>
      <c r="X662" s="4">
        <v>1</v>
      </c>
      <c r="Y662" s="4">
        <v>0</v>
      </c>
      <c r="Z662" s="3">
        <v>17.09</v>
      </c>
      <c r="AA662" s="3">
        <v>0</v>
      </c>
    </row>
    <row r="663" spans="1:27" x14ac:dyDescent="0.2">
      <c r="A663">
        <f t="shared" si="20"/>
        <v>2</v>
      </c>
      <c r="B663">
        <f t="shared" si="21"/>
        <v>6</v>
      </c>
      <c r="C663" s="1">
        <v>46057</v>
      </c>
      <c r="D663" t="s">
        <v>25</v>
      </c>
      <c r="E663" t="s">
        <v>26</v>
      </c>
      <c r="F663" t="s">
        <v>34</v>
      </c>
      <c r="G663" t="s">
        <v>28</v>
      </c>
      <c r="H663" t="s">
        <v>29</v>
      </c>
      <c r="I663" t="s">
        <v>30</v>
      </c>
      <c r="J663" t="s">
        <v>211</v>
      </c>
      <c r="K663" t="s">
        <v>32</v>
      </c>
      <c r="L663" t="s">
        <v>491</v>
      </c>
      <c r="M663" s="4">
        <v>3</v>
      </c>
      <c r="N663" s="4">
        <v>1</v>
      </c>
      <c r="O663" s="2">
        <v>0.33333333333333331</v>
      </c>
      <c r="P663" s="3">
        <v>1.56</v>
      </c>
      <c r="Q663" s="3">
        <v>1.56</v>
      </c>
      <c r="R663" s="3">
        <v>17.989999999999998</v>
      </c>
      <c r="S663" s="2">
        <v>8.6714841578654819E-2</v>
      </c>
      <c r="T663" s="5">
        <v>11.532051282051281</v>
      </c>
      <c r="U663" s="4">
        <v>1</v>
      </c>
      <c r="V663" s="4">
        <v>1</v>
      </c>
      <c r="W663" s="2">
        <v>1</v>
      </c>
      <c r="X663" s="4">
        <v>1</v>
      </c>
      <c r="Y663" s="4">
        <v>0</v>
      </c>
      <c r="Z663" s="3">
        <v>17.989999999999998</v>
      </c>
      <c r="AA663" s="3">
        <v>0</v>
      </c>
    </row>
    <row r="664" spans="1:27" x14ac:dyDescent="0.2">
      <c r="A664">
        <f t="shared" si="20"/>
        <v>2</v>
      </c>
      <c r="B664">
        <f t="shared" si="21"/>
        <v>8</v>
      </c>
      <c r="C664" s="1">
        <v>46074</v>
      </c>
      <c r="D664" t="s">
        <v>25</v>
      </c>
      <c r="E664" t="s">
        <v>26</v>
      </c>
      <c r="F664" t="s">
        <v>39</v>
      </c>
      <c r="G664" t="s">
        <v>40</v>
      </c>
      <c r="H664" t="s">
        <v>29</v>
      </c>
      <c r="I664" t="s">
        <v>30</v>
      </c>
      <c r="J664" t="s">
        <v>41</v>
      </c>
      <c r="K664" t="s">
        <v>42</v>
      </c>
      <c r="L664" t="s">
        <v>492</v>
      </c>
      <c r="M664" s="4">
        <v>2</v>
      </c>
      <c r="N664" s="4">
        <v>1</v>
      </c>
      <c r="O664" s="2">
        <v>0.5</v>
      </c>
      <c r="P664" s="3">
        <v>0.73</v>
      </c>
      <c r="Q664" s="3">
        <v>0.73</v>
      </c>
      <c r="R664" s="3">
        <v>0</v>
      </c>
      <c r="S664" s="2"/>
      <c r="T664" s="5">
        <v>0</v>
      </c>
      <c r="U664" s="4">
        <v>0</v>
      </c>
      <c r="V664" s="4">
        <v>0</v>
      </c>
      <c r="W664" s="2">
        <v>0</v>
      </c>
      <c r="X664" s="4">
        <v>0</v>
      </c>
      <c r="Y664" s="4">
        <v>0</v>
      </c>
      <c r="Z664" s="3">
        <v>0</v>
      </c>
      <c r="AA664" s="3">
        <v>0</v>
      </c>
    </row>
    <row r="665" spans="1:27" x14ac:dyDescent="0.2">
      <c r="A665">
        <f t="shared" si="20"/>
        <v>2</v>
      </c>
      <c r="B665">
        <f t="shared" si="21"/>
        <v>8</v>
      </c>
      <c r="C665" s="1">
        <v>46072</v>
      </c>
      <c r="D665" t="s">
        <v>25</v>
      </c>
      <c r="E665" t="s">
        <v>26</v>
      </c>
      <c r="F665" t="s">
        <v>27</v>
      </c>
      <c r="G665" t="s">
        <v>28</v>
      </c>
      <c r="H665" t="s">
        <v>29</v>
      </c>
      <c r="I665" t="s">
        <v>30</v>
      </c>
      <c r="J665" t="s">
        <v>50</v>
      </c>
      <c r="K665" t="s">
        <v>32</v>
      </c>
      <c r="L665" t="s">
        <v>493</v>
      </c>
      <c r="M665" s="4">
        <v>1</v>
      </c>
      <c r="N665" s="4">
        <v>1</v>
      </c>
      <c r="O665" s="2">
        <v>1</v>
      </c>
      <c r="P665" s="3">
        <v>0.4</v>
      </c>
      <c r="Q665" s="3">
        <v>0.4</v>
      </c>
      <c r="R665" s="3">
        <v>17.09</v>
      </c>
      <c r="S665" s="2">
        <v>2.3405500292568757E-2</v>
      </c>
      <c r="T665" s="5">
        <v>42.724999999999994</v>
      </c>
      <c r="U665" s="4">
        <v>1</v>
      </c>
      <c r="V665" s="4">
        <v>1</v>
      </c>
      <c r="W665" s="2">
        <v>1</v>
      </c>
      <c r="X665" s="4">
        <v>1</v>
      </c>
      <c r="Y665" s="4">
        <v>0</v>
      </c>
      <c r="Z665" s="3">
        <v>17.09</v>
      </c>
      <c r="AA665" s="3">
        <v>0</v>
      </c>
    </row>
    <row r="666" spans="1:27" x14ac:dyDescent="0.2">
      <c r="A666">
        <f t="shared" si="20"/>
        <v>2</v>
      </c>
      <c r="B666">
        <f t="shared" si="21"/>
        <v>8</v>
      </c>
      <c r="C666" s="1">
        <v>46069</v>
      </c>
      <c r="D666" t="s">
        <v>25</v>
      </c>
      <c r="E666" t="s">
        <v>26</v>
      </c>
      <c r="F666" t="s">
        <v>27</v>
      </c>
      <c r="G666" t="s">
        <v>28</v>
      </c>
      <c r="H666" t="s">
        <v>29</v>
      </c>
      <c r="I666" t="s">
        <v>30</v>
      </c>
      <c r="J666" t="s">
        <v>243</v>
      </c>
      <c r="K666" t="s">
        <v>32</v>
      </c>
      <c r="L666" t="s">
        <v>494</v>
      </c>
      <c r="M666" s="4">
        <v>3</v>
      </c>
      <c r="N666" s="4">
        <v>1</v>
      </c>
      <c r="O666" s="2">
        <v>0.33333333333333331</v>
      </c>
      <c r="P666" s="3">
        <v>0.21</v>
      </c>
      <c r="Q666" s="3">
        <v>0.21</v>
      </c>
      <c r="R666" s="3">
        <v>0</v>
      </c>
      <c r="S666" s="2"/>
      <c r="T666" s="5">
        <v>0</v>
      </c>
      <c r="U666" s="4">
        <v>0</v>
      </c>
      <c r="V666" s="4">
        <v>0</v>
      </c>
      <c r="W666" s="2">
        <v>0</v>
      </c>
      <c r="X666" s="4">
        <v>0</v>
      </c>
      <c r="Y666" s="4">
        <v>0</v>
      </c>
      <c r="Z666" s="3">
        <v>0</v>
      </c>
      <c r="AA666" s="3">
        <v>0</v>
      </c>
    </row>
    <row r="667" spans="1:27" x14ac:dyDescent="0.2">
      <c r="A667">
        <f t="shared" si="20"/>
        <v>2</v>
      </c>
      <c r="B667">
        <f t="shared" si="21"/>
        <v>7</v>
      </c>
      <c r="C667" s="1">
        <v>46064</v>
      </c>
      <c r="D667" t="s">
        <v>25</v>
      </c>
      <c r="E667" t="s">
        <v>26</v>
      </c>
      <c r="F667" t="s">
        <v>49</v>
      </c>
      <c r="G667" t="s">
        <v>50</v>
      </c>
      <c r="H667" t="s">
        <v>29</v>
      </c>
      <c r="I667" t="s">
        <v>30</v>
      </c>
      <c r="J667" t="s">
        <v>95</v>
      </c>
      <c r="K667" t="s">
        <v>42</v>
      </c>
      <c r="L667" t="s">
        <v>495</v>
      </c>
      <c r="M667" s="4">
        <v>1</v>
      </c>
      <c r="N667" s="4">
        <v>1</v>
      </c>
      <c r="O667" s="2">
        <v>1</v>
      </c>
      <c r="P667" s="3">
        <v>0.46</v>
      </c>
      <c r="Q667" s="3">
        <v>0.46</v>
      </c>
      <c r="R667" s="3">
        <v>0</v>
      </c>
      <c r="S667" s="2"/>
      <c r="T667" s="5">
        <v>0</v>
      </c>
      <c r="U667" s="4">
        <v>0</v>
      </c>
      <c r="V667" s="4">
        <v>0</v>
      </c>
      <c r="W667" s="2">
        <v>0</v>
      </c>
      <c r="X667" s="4">
        <v>0</v>
      </c>
      <c r="Y667" s="4">
        <v>0</v>
      </c>
      <c r="Z667" s="3">
        <v>0</v>
      </c>
      <c r="AA667" s="3">
        <v>0</v>
      </c>
    </row>
    <row r="668" spans="1:27" x14ac:dyDescent="0.2">
      <c r="A668">
        <f t="shared" si="20"/>
        <v>2</v>
      </c>
      <c r="B668">
        <f t="shared" si="21"/>
        <v>7</v>
      </c>
      <c r="C668" s="1">
        <v>46061</v>
      </c>
      <c r="D668" t="s">
        <v>25</v>
      </c>
      <c r="E668" t="s">
        <v>26</v>
      </c>
      <c r="F668" t="s">
        <v>27</v>
      </c>
      <c r="G668" t="s">
        <v>28</v>
      </c>
      <c r="H668" t="s">
        <v>29</v>
      </c>
      <c r="I668" t="s">
        <v>30</v>
      </c>
      <c r="J668" t="s">
        <v>243</v>
      </c>
      <c r="K668" t="s">
        <v>32</v>
      </c>
      <c r="L668" t="s">
        <v>496</v>
      </c>
      <c r="M668" s="4">
        <v>2</v>
      </c>
      <c r="N668" s="4">
        <v>1</v>
      </c>
      <c r="O668" s="2">
        <v>0.5</v>
      </c>
      <c r="P668" s="3">
        <v>0.21</v>
      </c>
      <c r="Q668" s="3">
        <v>0.21</v>
      </c>
      <c r="R668" s="3">
        <v>0</v>
      </c>
      <c r="S668" s="2"/>
      <c r="T668" s="5">
        <v>0</v>
      </c>
      <c r="U668" s="4">
        <v>0</v>
      </c>
      <c r="V668" s="4">
        <v>0</v>
      </c>
      <c r="W668" s="2">
        <v>0</v>
      </c>
      <c r="X668" s="4">
        <v>0</v>
      </c>
      <c r="Y668" s="4">
        <v>0</v>
      </c>
      <c r="Z668" s="3">
        <v>0</v>
      </c>
      <c r="AA668" s="3">
        <v>0</v>
      </c>
    </row>
    <row r="669" spans="1:27" x14ac:dyDescent="0.2">
      <c r="A669">
        <f t="shared" si="20"/>
        <v>2</v>
      </c>
      <c r="B669">
        <f t="shared" si="21"/>
        <v>6</v>
      </c>
      <c r="C669" s="1">
        <v>46054</v>
      </c>
      <c r="D669" t="s">
        <v>25</v>
      </c>
      <c r="E669" t="s">
        <v>26</v>
      </c>
      <c r="F669" t="s">
        <v>49</v>
      </c>
      <c r="G669" t="s">
        <v>50</v>
      </c>
      <c r="H669" t="s">
        <v>29</v>
      </c>
      <c r="I669" t="s">
        <v>30</v>
      </c>
      <c r="J669" t="s">
        <v>95</v>
      </c>
      <c r="K669" t="s">
        <v>42</v>
      </c>
      <c r="L669" t="s">
        <v>497</v>
      </c>
      <c r="M669" s="4">
        <v>2</v>
      </c>
      <c r="N669" s="4">
        <v>1</v>
      </c>
      <c r="O669" s="2">
        <v>0.5</v>
      </c>
      <c r="P669" s="3">
        <v>0.32</v>
      </c>
      <c r="Q669" s="3">
        <v>0.32</v>
      </c>
      <c r="R669" s="3">
        <v>0</v>
      </c>
      <c r="S669" s="2"/>
      <c r="T669" s="5">
        <v>0</v>
      </c>
      <c r="U669" s="4">
        <v>0</v>
      </c>
      <c r="V669" s="4">
        <v>0</v>
      </c>
      <c r="W669" s="2">
        <v>0</v>
      </c>
      <c r="X669" s="4">
        <v>0</v>
      </c>
      <c r="Y669" s="4">
        <v>0</v>
      </c>
      <c r="Z669" s="3">
        <v>0</v>
      </c>
      <c r="AA669" s="3">
        <v>0</v>
      </c>
    </row>
    <row r="670" spans="1:27" x14ac:dyDescent="0.2">
      <c r="A670">
        <f t="shared" si="20"/>
        <v>2</v>
      </c>
      <c r="B670">
        <f t="shared" si="21"/>
        <v>7</v>
      </c>
      <c r="C670" s="1">
        <v>46065</v>
      </c>
      <c r="D670" t="s">
        <v>25</v>
      </c>
      <c r="E670" t="s">
        <v>26</v>
      </c>
      <c r="F670" t="s">
        <v>34</v>
      </c>
      <c r="G670" t="s">
        <v>273</v>
      </c>
      <c r="H670" t="s">
        <v>29</v>
      </c>
      <c r="I670" t="s">
        <v>30</v>
      </c>
      <c r="J670" t="s">
        <v>154</v>
      </c>
      <c r="K670" t="s">
        <v>87</v>
      </c>
      <c r="L670" t="s">
        <v>218</v>
      </c>
      <c r="M670" s="4">
        <v>1</v>
      </c>
      <c r="N670" s="4">
        <v>1</v>
      </c>
      <c r="O670" s="2">
        <v>1</v>
      </c>
      <c r="P670" s="3">
        <v>0.92</v>
      </c>
      <c r="Q670" s="3">
        <v>0.92</v>
      </c>
      <c r="R670" s="3">
        <v>0</v>
      </c>
      <c r="S670" s="2"/>
      <c r="T670" s="5">
        <v>0</v>
      </c>
      <c r="U670" s="4">
        <v>0</v>
      </c>
      <c r="V670" s="4">
        <v>0</v>
      </c>
      <c r="W670" s="2">
        <v>0</v>
      </c>
      <c r="X670" s="4">
        <v>0</v>
      </c>
      <c r="Y670" s="4">
        <v>0</v>
      </c>
      <c r="Z670" s="3">
        <v>0</v>
      </c>
      <c r="AA670" s="3">
        <v>0</v>
      </c>
    </row>
    <row r="671" spans="1:27" x14ac:dyDescent="0.2">
      <c r="A671">
        <f t="shared" si="20"/>
        <v>2</v>
      </c>
      <c r="B671">
        <f t="shared" si="21"/>
        <v>6</v>
      </c>
      <c r="C671" s="1">
        <v>46054</v>
      </c>
      <c r="D671" t="s">
        <v>25</v>
      </c>
      <c r="E671" t="s">
        <v>26</v>
      </c>
      <c r="F671" t="s">
        <v>27</v>
      </c>
      <c r="G671" t="s">
        <v>28</v>
      </c>
      <c r="H671" t="s">
        <v>29</v>
      </c>
      <c r="I671" t="s">
        <v>30</v>
      </c>
      <c r="J671" t="s">
        <v>101</v>
      </c>
      <c r="K671" t="s">
        <v>32</v>
      </c>
      <c r="L671" t="s">
        <v>498</v>
      </c>
      <c r="M671" s="4">
        <v>4</v>
      </c>
      <c r="N671" s="4">
        <v>1</v>
      </c>
      <c r="O671" s="2">
        <v>0.25</v>
      </c>
      <c r="P671" s="3">
        <v>0.21</v>
      </c>
      <c r="Q671" s="3">
        <v>0.21</v>
      </c>
      <c r="R671" s="3">
        <v>0</v>
      </c>
      <c r="S671" s="2"/>
      <c r="T671" s="5">
        <v>0</v>
      </c>
      <c r="U671" s="4">
        <v>0</v>
      </c>
      <c r="V671" s="4">
        <v>0</v>
      </c>
      <c r="W671" s="2">
        <v>0</v>
      </c>
      <c r="X671" s="4">
        <v>0</v>
      </c>
      <c r="Y671" s="4">
        <v>0</v>
      </c>
      <c r="Z671" s="3">
        <v>0</v>
      </c>
      <c r="AA671" s="3">
        <v>0</v>
      </c>
    </row>
    <row r="672" spans="1:27" x14ac:dyDescent="0.2">
      <c r="A672">
        <f t="shared" si="20"/>
        <v>2</v>
      </c>
      <c r="B672">
        <f t="shared" si="21"/>
        <v>8</v>
      </c>
      <c r="C672" s="1">
        <v>46071</v>
      </c>
      <c r="D672" t="s">
        <v>25</v>
      </c>
      <c r="E672" t="s">
        <v>26</v>
      </c>
      <c r="F672" t="s">
        <v>39</v>
      </c>
      <c r="G672" t="s">
        <v>40</v>
      </c>
      <c r="H672" t="s">
        <v>29</v>
      </c>
      <c r="I672" t="s">
        <v>30</v>
      </c>
      <c r="J672" t="s">
        <v>70</v>
      </c>
      <c r="K672" t="s">
        <v>42</v>
      </c>
      <c r="L672" t="s">
        <v>499</v>
      </c>
      <c r="M672" s="4">
        <v>2</v>
      </c>
      <c r="N672" s="4">
        <v>1</v>
      </c>
      <c r="O672" s="2">
        <v>0.5</v>
      </c>
      <c r="P672" s="3">
        <v>0.5</v>
      </c>
      <c r="Q672" s="3">
        <v>0.5</v>
      </c>
      <c r="R672" s="3">
        <v>0</v>
      </c>
      <c r="S672" s="2"/>
      <c r="T672" s="5">
        <v>0</v>
      </c>
      <c r="U672" s="4">
        <v>0</v>
      </c>
      <c r="V672" s="4">
        <v>0</v>
      </c>
      <c r="W672" s="2">
        <v>0</v>
      </c>
      <c r="X672" s="4">
        <v>0</v>
      </c>
      <c r="Y672" s="4">
        <v>0</v>
      </c>
      <c r="Z672" s="3">
        <v>0</v>
      </c>
      <c r="AA672" s="3">
        <v>0</v>
      </c>
    </row>
    <row r="673" spans="1:27" x14ac:dyDescent="0.2">
      <c r="A673">
        <f t="shared" si="20"/>
        <v>2</v>
      </c>
      <c r="B673">
        <f t="shared" si="21"/>
        <v>8</v>
      </c>
      <c r="C673" s="1">
        <v>46068</v>
      </c>
      <c r="D673" t="s">
        <v>25</v>
      </c>
      <c r="E673" t="s">
        <v>26</v>
      </c>
      <c r="F673" t="s">
        <v>27</v>
      </c>
      <c r="G673" t="s">
        <v>124</v>
      </c>
      <c r="H673" t="s">
        <v>29</v>
      </c>
      <c r="I673" t="s">
        <v>30</v>
      </c>
      <c r="J673" t="s">
        <v>31</v>
      </c>
      <c r="K673" t="s">
        <v>87</v>
      </c>
      <c r="L673" t="s">
        <v>500</v>
      </c>
      <c r="M673" s="4">
        <v>2</v>
      </c>
      <c r="N673" s="4">
        <v>1</v>
      </c>
      <c r="O673" s="2">
        <v>0.5</v>
      </c>
      <c r="P673" s="3">
        <v>0.21</v>
      </c>
      <c r="Q673" s="3">
        <v>0.21</v>
      </c>
      <c r="R673" s="3">
        <v>0</v>
      </c>
      <c r="S673" s="2"/>
      <c r="T673" s="5">
        <v>0</v>
      </c>
      <c r="U673" s="4">
        <v>0</v>
      </c>
      <c r="V673" s="4">
        <v>0</v>
      </c>
      <c r="W673" s="2">
        <v>0</v>
      </c>
      <c r="X673" s="4">
        <v>0</v>
      </c>
      <c r="Y673" s="4">
        <v>0</v>
      </c>
      <c r="Z673" s="3">
        <v>0</v>
      </c>
      <c r="AA673" s="3">
        <v>0</v>
      </c>
    </row>
    <row r="674" spans="1:27" x14ac:dyDescent="0.2">
      <c r="A674">
        <f t="shared" si="20"/>
        <v>2</v>
      </c>
      <c r="B674">
        <f t="shared" si="21"/>
        <v>7</v>
      </c>
      <c r="C674" s="1">
        <v>46063</v>
      </c>
      <c r="D674" t="s">
        <v>25</v>
      </c>
      <c r="E674" t="s">
        <v>26</v>
      </c>
      <c r="F674" t="s">
        <v>53</v>
      </c>
      <c r="G674" t="s">
        <v>54</v>
      </c>
      <c r="H674" t="s">
        <v>29</v>
      </c>
      <c r="I674" t="s">
        <v>30</v>
      </c>
      <c r="J674" t="s">
        <v>47</v>
      </c>
      <c r="K674" t="s">
        <v>42</v>
      </c>
      <c r="L674" t="s">
        <v>501</v>
      </c>
      <c r="M674" s="4">
        <v>1</v>
      </c>
      <c r="N674" s="4">
        <v>1</v>
      </c>
      <c r="O674" s="2">
        <v>1</v>
      </c>
      <c r="P674" s="3">
        <v>1.3</v>
      </c>
      <c r="Q674" s="3">
        <v>1.3</v>
      </c>
      <c r="R674" s="3">
        <v>0</v>
      </c>
      <c r="S674" s="2"/>
      <c r="T674" s="5">
        <v>0</v>
      </c>
      <c r="U674" s="4">
        <v>0</v>
      </c>
      <c r="V674" s="4">
        <v>0</v>
      </c>
      <c r="W674" s="2">
        <v>0</v>
      </c>
      <c r="X674" s="4">
        <v>0</v>
      </c>
      <c r="Y674" s="4">
        <v>0</v>
      </c>
      <c r="Z674" s="3">
        <v>0</v>
      </c>
      <c r="AA674" s="3">
        <v>0</v>
      </c>
    </row>
    <row r="675" spans="1:27" x14ac:dyDescent="0.2">
      <c r="A675">
        <f t="shared" si="20"/>
        <v>2</v>
      </c>
      <c r="B675">
        <f t="shared" si="21"/>
        <v>6</v>
      </c>
      <c r="C675" s="1">
        <v>46055</v>
      </c>
      <c r="D675" t="s">
        <v>25</v>
      </c>
      <c r="E675" t="s">
        <v>26</v>
      </c>
      <c r="F675" t="s">
        <v>61</v>
      </c>
      <c r="G675" t="s">
        <v>62</v>
      </c>
      <c r="H675" t="s">
        <v>29</v>
      </c>
      <c r="I675" t="s">
        <v>30</v>
      </c>
      <c r="J675" t="s">
        <v>95</v>
      </c>
      <c r="K675" t="s">
        <v>42</v>
      </c>
      <c r="L675" t="s">
        <v>502</v>
      </c>
      <c r="M675" s="4">
        <v>1</v>
      </c>
      <c r="N675" s="4">
        <v>1</v>
      </c>
      <c r="O675" s="2">
        <v>1</v>
      </c>
      <c r="P675" s="3">
        <v>1.23</v>
      </c>
      <c r="Q675" s="3">
        <v>1.23</v>
      </c>
      <c r="R675" s="3">
        <v>0</v>
      </c>
      <c r="S675" s="2"/>
      <c r="T675" s="5">
        <v>0</v>
      </c>
      <c r="U675" s="4">
        <v>0</v>
      </c>
      <c r="V675" s="4">
        <v>0</v>
      </c>
      <c r="W675" s="2">
        <v>0</v>
      </c>
      <c r="X675" s="4">
        <v>0</v>
      </c>
      <c r="Y675" s="4">
        <v>0</v>
      </c>
      <c r="Z675" s="3">
        <v>0</v>
      </c>
      <c r="AA675" s="3">
        <v>0</v>
      </c>
    </row>
    <row r="676" spans="1:27" x14ac:dyDescent="0.2">
      <c r="A676">
        <f t="shared" si="20"/>
        <v>2</v>
      </c>
      <c r="B676">
        <f t="shared" si="21"/>
        <v>7</v>
      </c>
      <c r="C676" s="1">
        <v>46064</v>
      </c>
      <c r="D676" t="s">
        <v>25</v>
      </c>
      <c r="E676" t="s">
        <v>26</v>
      </c>
      <c r="F676" t="s">
        <v>27</v>
      </c>
      <c r="G676" t="s">
        <v>28</v>
      </c>
      <c r="H676" t="s">
        <v>29</v>
      </c>
      <c r="I676" t="s">
        <v>30</v>
      </c>
      <c r="J676" t="s">
        <v>119</v>
      </c>
      <c r="K676" t="s">
        <v>32</v>
      </c>
      <c r="L676" t="s">
        <v>503</v>
      </c>
      <c r="M676" s="4">
        <v>2</v>
      </c>
      <c r="N676" s="4">
        <v>1</v>
      </c>
      <c r="O676" s="2">
        <v>0.5</v>
      </c>
      <c r="P676" s="3">
        <v>0.3</v>
      </c>
      <c r="Q676" s="3">
        <v>0.3</v>
      </c>
      <c r="R676" s="3">
        <v>17.09</v>
      </c>
      <c r="S676" s="2">
        <v>1.7554125219426564E-2</v>
      </c>
      <c r="T676" s="5">
        <v>56.966666666666669</v>
      </c>
      <c r="U676" s="4">
        <v>1</v>
      </c>
      <c r="V676" s="4">
        <v>1</v>
      </c>
      <c r="W676" s="2">
        <v>1</v>
      </c>
      <c r="X676" s="4">
        <v>1</v>
      </c>
      <c r="Y676" s="4">
        <v>0</v>
      </c>
      <c r="Z676" s="3">
        <v>17.09</v>
      </c>
      <c r="AA676" s="3">
        <v>0</v>
      </c>
    </row>
    <row r="677" spans="1:27" x14ac:dyDescent="0.2">
      <c r="A677">
        <f t="shared" si="20"/>
        <v>2</v>
      </c>
      <c r="B677">
        <f t="shared" si="21"/>
        <v>8</v>
      </c>
      <c r="C677" s="1">
        <v>46074</v>
      </c>
      <c r="D677" t="s">
        <v>25</v>
      </c>
      <c r="E677" t="s">
        <v>26</v>
      </c>
      <c r="F677" t="s">
        <v>27</v>
      </c>
      <c r="G677" t="s">
        <v>124</v>
      </c>
      <c r="H677" t="s">
        <v>29</v>
      </c>
      <c r="I677" t="s">
        <v>30</v>
      </c>
      <c r="J677" t="s">
        <v>31</v>
      </c>
      <c r="K677" t="s">
        <v>87</v>
      </c>
      <c r="L677" t="s">
        <v>504</v>
      </c>
      <c r="M677" s="4">
        <v>1</v>
      </c>
      <c r="N677" s="4">
        <v>1</v>
      </c>
      <c r="O677" s="2">
        <v>1</v>
      </c>
      <c r="P677" s="3">
        <v>0.21</v>
      </c>
      <c r="Q677" s="3">
        <v>0.21</v>
      </c>
      <c r="R677" s="3">
        <v>0</v>
      </c>
      <c r="S677" s="2"/>
      <c r="T677" s="5">
        <v>0</v>
      </c>
      <c r="U677" s="4">
        <v>0</v>
      </c>
      <c r="V677" s="4">
        <v>0</v>
      </c>
      <c r="W677" s="2">
        <v>0</v>
      </c>
      <c r="X677" s="4">
        <v>0</v>
      </c>
      <c r="Y677" s="4">
        <v>0</v>
      </c>
      <c r="Z677" s="3">
        <v>0</v>
      </c>
      <c r="AA677" s="3">
        <v>0</v>
      </c>
    </row>
    <row r="678" spans="1:27" x14ac:dyDescent="0.2">
      <c r="A678">
        <f t="shared" si="20"/>
        <v>2</v>
      </c>
      <c r="B678">
        <f t="shared" si="21"/>
        <v>7</v>
      </c>
      <c r="C678" s="1">
        <v>46067</v>
      </c>
      <c r="D678" t="s">
        <v>25</v>
      </c>
      <c r="E678" t="s">
        <v>26</v>
      </c>
      <c r="F678" t="s">
        <v>53</v>
      </c>
      <c r="G678" t="s">
        <v>54</v>
      </c>
      <c r="H678" t="s">
        <v>29</v>
      </c>
      <c r="I678" t="s">
        <v>30</v>
      </c>
      <c r="J678" t="s">
        <v>47</v>
      </c>
      <c r="K678" t="s">
        <v>42</v>
      </c>
      <c r="L678" t="s">
        <v>505</v>
      </c>
      <c r="M678" s="4">
        <v>6</v>
      </c>
      <c r="N678" s="4">
        <v>1</v>
      </c>
      <c r="O678" s="2">
        <v>0.16666666666666663</v>
      </c>
      <c r="P678" s="3">
        <v>1.35</v>
      </c>
      <c r="Q678" s="3">
        <v>1.35</v>
      </c>
      <c r="R678" s="3">
        <v>0</v>
      </c>
      <c r="S678" s="2"/>
      <c r="T678" s="5">
        <v>0</v>
      </c>
      <c r="U678" s="4">
        <v>0</v>
      </c>
      <c r="V678" s="4">
        <v>0</v>
      </c>
      <c r="W678" s="2">
        <v>0</v>
      </c>
      <c r="X678" s="4">
        <v>0</v>
      </c>
      <c r="Y678" s="4">
        <v>0</v>
      </c>
      <c r="Z678" s="3">
        <v>0</v>
      </c>
      <c r="AA678" s="3">
        <v>0</v>
      </c>
    </row>
    <row r="679" spans="1:27" x14ac:dyDescent="0.2">
      <c r="A679">
        <f t="shared" si="20"/>
        <v>2</v>
      </c>
      <c r="B679">
        <f t="shared" si="21"/>
        <v>7</v>
      </c>
      <c r="C679" s="1">
        <v>46062</v>
      </c>
      <c r="D679" t="s">
        <v>25</v>
      </c>
      <c r="E679" t="s">
        <v>26</v>
      </c>
      <c r="F679" t="s">
        <v>53</v>
      </c>
      <c r="G679" t="s">
        <v>54</v>
      </c>
      <c r="H679" t="s">
        <v>29</v>
      </c>
      <c r="I679" t="s">
        <v>30</v>
      </c>
      <c r="J679" t="s">
        <v>47</v>
      </c>
      <c r="K679" t="s">
        <v>42</v>
      </c>
      <c r="L679" t="s">
        <v>506</v>
      </c>
      <c r="M679" s="4">
        <v>1</v>
      </c>
      <c r="N679" s="4">
        <v>1</v>
      </c>
      <c r="O679" s="2">
        <v>1</v>
      </c>
      <c r="P679" s="3">
        <v>0.99</v>
      </c>
      <c r="Q679" s="3">
        <v>0.99</v>
      </c>
      <c r="R679" s="3">
        <v>0</v>
      </c>
      <c r="S679" s="2"/>
      <c r="T679" s="5">
        <v>0</v>
      </c>
      <c r="U679" s="4">
        <v>0</v>
      </c>
      <c r="V679" s="4">
        <v>0</v>
      </c>
      <c r="W679" s="2">
        <v>0</v>
      </c>
      <c r="X679" s="4">
        <v>0</v>
      </c>
      <c r="Y679" s="4">
        <v>0</v>
      </c>
      <c r="Z679" s="3">
        <v>0</v>
      </c>
      <c r="AA679" s="3">
        <v>0</v>
      </c>
    </row>
    <row r="680" spans="1:27" x14ac:dyDescent="0.2">
      <c r="A680">
        <f t="shared" si="20"/>
        <v>2</v>
      </c>
      <c r="B680">
        <f t="shared" si="21"/>
        <v>6</v>
      </c>
      <c r="C680" s="1">
        <v>46058</v>
      </c>
      <c r="D680" t="s">
        <v>25</v>
      </c>
      <c r="E680" t="s">
        <v>26</v>
      </c>
      <c r="F680" t="s">
        <v>61</v>
      </c>
      <c r="G680" t="s">
        <v>62</v>
      </c>
      <c r="H680" t="s">
        <v>29</v>
      </c>
      <c r="I680" t="s">
        <v>30</v>
      </c>
      <c r="J680" t="s">
        <v>47</v>
      </c>
      <c r="K680" t="s">
        <v>42</v>
      </c>
      <c r="L680" t="s">
        <v>354</v>
      </c>
      <c r="M680" s="4">
        <v>8</v>
      </c>
      <c r="N680" s="4">
        <v>1</v>
      </c>
      <c r="O680" s="2">
        <v>0.125</v>
      </c>
      <c r="P680" s="3">
        <v>1.45</v>
      </c>
      <c r="Q680" s="3">
        <v>1.45</v>
      </c>
      <c r="R680" s="3">
        <v>0</v>
      </c>
      <c r="S680" s="2"/>
      <c r="T680" s="5">
        <v>0</v>
      </c>
      <c r="U680" s="4">
        <v>0</v>
      </c>
      <c r="V680" s="4">
        <v>0</v>
      </c>
      <c r="W680" s="2">
        <v>0</v>
      </c>
      <c r="X680" s="4">
        <v>0</v>
      </c>
      <c r="Y680" s="4">
        <v>0</v>
      </c>
      <c r="Z680" s="3">
        <v>0</v>
      </c>
      <c r="AA680" s="3">
        <v>0</v>
      </c>
    </row>
    <row r="681" spans="1:27" x14ac:dyDescent="0.2">
      <c r="A681">
        <f t="shared" si="20"/>
        <v>2</v>
      </c>
      <c r="B681">
        <f t="shared" si="21"/>
        <v>7</v>
      </c>
      <c r="C681" s="1">
        <v>46062</v>
      </c>
      <c r="D681" t="s">
        <v>25</v>
      </c>
      <c r="E681" t="s">
        <v>26</v>
      </c>
      <c r="F681" t="s">
        <v>61</v>
      </c>
      <c r="G681" t="s">
        <v>62</v>
      </c>
      <c r="H681" t="s">
        <v>29</v>
      </c>
      <c r="I681" t="s">
        <v>30</v>
      </c>
      <c r="J681" t="s">
        <v>47</v>
      </c>
      <c r="K681" t="s">
        <v>42</v>
      </c>
      <c r="L681" t="s">
        <v>354</v>
      </c>
      <c r="M681" s="4">
        <v>4</v>
      </c>
      <c r="N681" s="4">
        <v>1</v>
      </c>
      <c r="O681" s="2">
        <v>0.25</v>
      </c>
      <c r="P681" s="3">
        <v>1.2</v>
      </c>
      <c r="Q681" s="3">
        <v>1.2</v>
      </c>
      <c r="R681" s="3">
        <v>0</v>
      </c>
      <c r="S681" s="2"/>
      <c r="T681" s="5">
        <v>0</v>
      </c>
      <c r="U681" s="4">
        <v>0</v>
      </c>
      <c r="V681" s="4">
        <v>0</v>
      </c>
      <c r="W681" s="2">
        <v>0</v>
      </c>
      <c r="X681" s="4">
        <v>0</v>
      </c>
      <c r="Y681" s="4">
        <v>0</v>
      </c>
      <c r="Z681" s="3">
        <v>0</v>
      </c>
      <c r="AA681" s="3">
        <v>0</v>
      </c>
    </row>
    <row r="682" spans="1:27" x14ac:dyDescent="0.2">
      <c r="A682">
        <f t="shared" si="20"/>
        <v>2</v>
      </c>
      <c r="B682">
        <f t="shared" si="21"/>
        <v>7</v>
      </c>
      <c r="C682" s="1">
        <v>46064</v>
      </c>
      <c r="D682" t="s">
        <v>25</v>
      </c>
      <c r="E682" t="s">
        <v>26</v>
      </c>
      <c r="F682" t="s">
        <v>61</v>
      </c>
      <c r="G682" t="s">
        <v>62</v>
      </c>
      <c r="H682" t="s">
        <v>29</v>
      </c>
      <c r="I682" t="s">
        <v>30</v>
      </c>
      <c r="J682" t="s">
        <v>47</v>
      </c>
      <c r="K682" t="s">
        <v>42</v>
      </c>
      <c r="L682" t="s">
        <v>354</v>
      </c>
      <c r="M682" s="4">
        <v>23</v>
      </c>
      <c r="N682" s="4">
        <v>1</v>
      </c>
      <c r="O682" s="2">
        <v>4.3478260869565216E-2</v>
      </c>
      <c r="P682" s="3">
        <v>1.18</v>
      </c>
      <c r="Q682" s="3">
        <v>1.18</v>
      </c>
      <c r="R682" s="3">
        <v>0</v>
      </c>
      <c r="S682" s="2"/>
      <c r="T682" s="5">
        <v>0</v>
      </c>
      <c r="U682" s="4">
        <v>0</v>
      </c>
      <c r="V682" s="4">
        <v>0</v>
      </c>
      <c r="W682" s="2">
        <v>0</v>
      </c>
      <c r="X682" s="4">
        <v>0</v>
      </c>
      <c r="Y682" s="4">
        <v>0</v>
      </c>
      <c r="Z682" s="3">
        <v>0</v>
      </c>
      <c r="AA682" s="3">
        <v>0</v>
      </c>
    </row>
    <row r="683" spans="1:27" x14ac:dyDescent="0.2">
      <c r="A683">
        <f t="shared" si="20"/>
        <v>2</v>
      </c>
      <c r="B683">
        <f t="shared" si="21"/>
        <v>6</v>
      </c>
      <c r="C683" s="1">
        <v>46060</v>
      </c>
      <c r="D683" t="s">
        <v>25</v>
      </c>
      <c r="E683" t="s">
        <v>26</v>
      </c>
      <c r="F683" t="s">
        <v>61</v>
      </c>
      <c r="G683" t="s">
        <v>62</v>
      </c>
      <c r="H683" t="s">
        <v>29</v>
      </c>
      <c r="I683" t="s">
        <v>30</v>
      </c>
      <c r="J683" t="s">
        <v>47</v>
      </c>
      <c r="K683" t="s">
        <v>42</v>
      </c>
      <c r="L683" t="s">
        <v>232</v>
      </c>
      <c r="M683" s="4">
        <v>16</v>
      </c>
      <c r="N683" s="4">
        <v>1</v>
      </c>
      <c r="O683" s="2">
        <v>6.25E-2</v>
      </c>
      <c r="P683" s="3">
        <v>1.24</v>
      </c>
      <c r="Q683" s="3">
        <v>1.24</v>
      </c>
      <c r="R683" s="3">
        <v>0</v>
      </c>
      <c r="S683" s="2"/>
      <c r="T683" s="5">
        <v>0</v>
      </c>
      <c r="U683" s="4">
        <v>0</v>
      </c>
      <c r="V683" s="4">
        <v>0</v>
      </c>
      <c r="W683" s="2">
        <v>0</v>
      </c>
      <c r="X683" s="4">
        <v>0</v>
      </c>
      <c r="Y683" s="4">
        <v>0</v>
      </c>
      <c r="Z683" s="3">
        <v>0</v>
      </c>
      <c r="AA683" s="3">
        <v>0</v>
      </c>
    </row>
    <row r="684" spans="1:27" x14ac:dyDescent="0.2">
      <c r="A684">
        <f t="shared" si="20"/>
        <v>2</v>
      </c>
      <c r="B684">
        <f t="shared" si="21"/>
        <v>7</v>
      </c>
      <c r="C684" s="1">
        <v>46065</v>
      </c>
      <c r="D684" t="s">
        <v>25</v>
      </c>
      <c r="E684" t="s">
        <v>26</v>
      </c>
      <c r="F684" t="s">
        <v>112</v>
      </c>
      <c r="G684" t="s">
        <v>113</v>
      </c>
      <c r="H684" t="s">
        <v>29</v>
      </c>
      <c r="I684" t="s">
        <v>30</v>
      </c>
      <c r="J684" t="s">
        <v>111</v>
      </c>
      <c r="K684" t="s">
        <v>32</v>
      </c>
      <c r="L684" t="s">
        <v>507</v>
      </c>
      <c r="M684" s="4">
        <v>1</v>
      </c>
      <c r="N684" s="4">
        <v>1</v>
      </c>
      <c r="O684" s="2">
        <v>1</v>
      </c>
      <c r="P684" s="3">
        <v>0.45</v>
      </c>
      <c r="Q684" s="3">
        <v>0.45</v>
      </c>
      <c r="R684" s="3">
        <v>0</v>
      </c>
      <c r="S684" s="2"/>
      <c r="T684" s="5">
        <v>0</v>
      </c>
      <c r="U684" s="4">
        <v>0</v>
      </c>
      <c r="V684" s="4">
        <v>0</v>
      </c>
      <c r="W684" s="2">
        <v>0</v>
      </c>
      <c r="X684" s="4">
        <v>0</v>
      </c>
      <c r="Y684" s="4">
        <v>0</v>
      </c>
      <c r="Z684" s="3">
        <v>0</v>
      </c>
      <c r="AA684" s="3">
        <v>0</v>
      </c>
    </row>
    <row r="685" spans="1:27" x14ac:dyDescent="0.2">
      <c r="A685">
        <f t="shared" si="20"/>
        <v>2</v>
      </c>
      <c r="B685">
        <f t="shared" si="21"/>
        <v>8</v>
      </c>
      <c r="C685" s="1">
        <v>46068</v>
      </c>
      <c r="D685" t="s">
        <v>25</v>
      </c>
      <c r="E685" t="s">
        <v>26</v>
      </c>
      <c r="F685" t="s">
        <v>53</v>
      </c>
      <c r="G685" t="s">
        <v>54</v>
      </c>
      <c r="H685" t="s">
        <v>29</v>
      </c>
      <c r="I685" t="s">
        <v>30</v>
      </c>
      <c r="J685" t="s">
        <v>47</v>
      </c>
      <c r="K685" t="s">
        <v>42</v>
      </c>
      <c r="L685" t="s">
        <v>508</v>
      </c>
      <c r="M685" s="4">
        <v>1</v>
      </c>
      <c r="N685" s="4">
        <v>1</v>
      </c>
      <c r="O685" s="2">
        <v>1</v>
      </c>
      <c r="P685" s="3">
        <v>1.37</v>
      </c>
      <c r="Q685" s="3">
        <v>1.37</v>
      </c>
      <c r="R685" s="3">
        <v>0</v>
      </c>
      <c r="S685" s="2"/>
      <c r="T685" s="5">
        <v>0</v>
      </c>
      <c r="U685" s="4">
        <v>0</v>
      </c>
      <c r="V685" s="4">
        <v>0</v>
      </c>
      <c r="W685" s="2">
        <v>0</v>
      </c>
      <c r="X685" s="4">
        <v>0</v>
      </c>
      <c r="Y685" s="4">
        <v>0</v>
      </c>
      <c r="Z685" s="3">
        <v>0</v>
      </c>
      <c r="AA685" s="3">
        <v>0</v>
      </c>
    </row>
    <row r="686" spans="1:27" x14ac:dyDescent="0.2">
      <c r="A686">
        <f t="shared" si="20"/>
        <v>2</v>
      </c>
      <c r="B686">
        <f t="shared" si="21"/>
        <v>8</v>
      </c>
      <c r="C686" s="1">
        <v>46073</v>
      </c>
      <c r="D686" t="s">
        <v>25</v>
      </c>
      <c r="E686" t="s">
        <v>26</v>
      </c>
      <c r="F686" t="s">
        <v>112</v>
      </c>
      <c r="G686" t="s">
        <v>62</v>
      </c>
      <c r="H686" t="s">
        <v>29</v>
      </c>
      <c r="I686" t="s">
        <v>30</v>
      </c>
      <c r="J686" t="s">
        <v>173</v>
      </c>
      <c r="K686" t="s">
        <v>32</v>
      </c>
      <c r="L686" t="s">
        <v>509</v>
      </c>
      <c r="M686" s="4">
        <v>1</v>
      </c>
      <c r="N686" s="4">
        <v>1</v>
      </c>
      <c r="O686" s="2">
        <v>1</v>
      </c>
      <c r="P686" s="3">
        <v>0.68</v>
      </c>
      <c r="Q686" s="3">
        <v>0.68</v>
      </c>
      <c r="R686" s="3">
        <v>0</v>
      </c>
      <c r="S686" s="2"/>
      <c r="T686" s="5">
        <v>0</v>
      </c>
      <c r="U686" s="4">
        <v>0</v>
      </c>
      <c r="V686" s="4">
        <v>0</v>
      </c>
      <c r="W686" s="2">
        <v>0</v>
      </c>
      <c r="X686" s="4">
        <v>0</v>
      </c>
      <c r="Y686" s="4">
        <v>0</v>
      </c>
      <c r="Z686" s="3">
        <v>0</v>
      </c>
      <c r="AA686" s="3">
        <v>0</v>
      </c>
    </row>
    <row r="687" spans="1:27" x14ac:dyDescent="0.2">
      <c r="A687">
        <f t="shared" si="20"/>
        <v>2</v>
      </c>
      <c r="B687">
        <f t="shared" si="21"/>
        <v>6</v>
      </c>
      <c r="C687" s="1">
        <v>46054</v>
      </c>
      <c r="D687" t="s">
        <v>25</v>
      </c>
      <c r="E687" t="s">
        <v>26</v>
      </c>
      <c r="F687" t="s">
        <v>61</v>
      </c>
      <c r="G687" t="s">
        <v>62</v>
      </c>
      <c r="H687" t="s">
        <v>29</v>
      </c>
      <c r="I687" t="s">
        <v>30</v>
      </c>
      <c r="J687" t="s">
        <v>95</v>
      </c>
      <c r="K687" t="s">
        <v>42</v>
      </c>
      <c r="L687" t="s">
        <v>510</v>
      </c>
      <c r="M687" s="4">
        <v>6</v>
      </c>
      <c r="N687" s="4">
        <v>1</v>
      </c>
      <c r="O687" s="2">
        <v>0.16666666666666663</v>
      </c>
      <c r="P687" s="3">
        <v>1.1499999999999999</v>
      </c>
      <c r="Q687" s="3">
        <v>1.1499999999999999</v>
      </c>
      <c r="R687" s="3">
        <v>0</v>
      </c>
      <c r="S687" s="2"/>
      <c r="T687" s="5">
        <v>0</v>
      </c>
      <c r="U687" s="4">
        <v>0</v>
      </c>
      <c r="V687" s="4">
        <v>0</v>
      </c>
      <c r="W687" s="2">
        <v>0</v>
      </c>
      <c r="X687" s="4">
        <v>0</v>
      </c>
      <c r="Y687" s="4">
        <v>0</v>
      </c>
      <c r="Z687" s="3">
        <v>0</v>
      </c>
      <c r="AA687" s="3">
        <v>0</v>
      </c>
    </row>
    <row r="688" spans="1:27" x14ac:dyDescent="0.2">
      <c r="A688">
        <f t="shared" si="20"/>
        <v>2</v>
      </c>
      <c r="B688">
        <f t="shared" si="21"/>
        <v>6</v>
      </c>
      <c r="C688" s="1">
        <v>46059</v>
      </c>
      <c r="D688" t="s">
        <v>25</v>
      </c>
      <c r="E688" t="s">
        <v>26</v>
      </c>
      <c r="F688" t="s">
        <v>61</v>
      </c>
      <c r="G688" t="s">
        <v>62</v>
      </c>
      <c r="H688" t="s">
        <v>29</v>
      </c>
      <c r="I688" t="s">
        <v>30</v>
      </c>
      <c r="J688" t="s">
        <v>95</v>
      </c>
      <c r="K688" t="s">
        <v>42</v>
      </c>
      <c r="L688" t="s">
        <v>236</v>
      </c>
      <c r="M688" s="4">
        <v>5</v>
      </c>
      <c r="N688" s="4">
        <v>1</v>
      </c>
      <c r="O688" s="2">
        <v>0.2</v>
      </c>
      <c r="P688" s="3">
        <v>1.31</v>
      </c>
      <c r="Q688" s="3">
        <v>1.31</v>
      </c>
      <c r="R688" s="3">
        <v>0</v>
      </c>
      <c r="S688" s="2"/>
      <c r="T688" s="5">
        <v>0</v>
      </c>
      <c r="U688" s="4">
        <v>0</v>
      </c>
      <c r="V688" s="4">
        <v>0</v>
      </c>
      <c r="W688" s="2">
        <v>0</v>
      </c>
      <c r="X688" s="4">
        <v>0</v>
      </c>
      <c r="Y688" s="4">
        <v>0</v>
      </c>
      <c r="Z688" s="3">
        <v>0</v>
      </c>
      <c r="AA688" s="3">
        <v>0</v>
      </c>
    </row>
    <row r="689" spans="1:27" x14ac:dyDescent="0.2">
      <c r="A689">
        <f t="shared" si="20"/>
        <v>2</v>
      </c>
      <c r="B689">
        <f t="shared" si="21"/>
        <v>8</v>
      </c>
      <c r="C689" s="1">
        <v>46070</v>
      </c>
      <c r="D689" t="s">
        <v>25</v>
      </c>
      <c r="E689" t="s">
        <v>26</v>
      </c>
      <c r="F689" t="s">
        <v>61</v>
      </c>
      <c r="G689" t="s">
        <v>62</v>
      </c>
      <c r="H689" t="s">
        <v>29</v>
      </c>
      <c r="I689" t="s">
        <v>30</v>
      </c>
      <c r="J689" t="s">
        <v>95</v>
      </c>
      <c r="K689" t="s">
        <v>42</v>
      </c>
      <c r="L689" t="s">
        <v>236</v>
      </c>
      <c r="M689" s="4">
        <v>17</v>
      </c>
      <c r="N689" s="4">
        <v>1</v>
      </c>
      <c r="O689" s="2">
        <v>5.8823529411764698E-2</v>
      </c>
      <c r="P689" s="3">
        <v>1.19</v>
      </c>
      <c r="Q689" s="3">
        <v>1.19</v>
      </c>
      <c r="R689" s="3">
        <v>0</v>
      </c>
      <c r="S689" s="2"/>
      <c r="T689" s="5">
        <v>0</v>
      </c>
      <c r="U689" s="4">
        <v>0</v>
      </c>
      <c r="V689" s="4">
        <v>0</v>
      </c>
      <c r="W689" s="2">
        <v>0</v>
      </c>
      <c r="X689" s="4">
        <v>0</v>
      </c>
      <c r="Y689" s="4">
        <v>0</v>
      </c>
      <c r="Z689" s="3">
        <v>0</v>
      </c>
      <c r="AA689" s="3">
        <v>0</v>
      </c>
    </row>
    <row r="690" spans="1:27" x14ac:dyDescent="0.2">
      <c r="A690">
        <f t="shared" si="20"/>
        <v>2</v>
      </c>
      <c r="B690">
        <f t="shared" si="21"/>
        <v>6</v>
      </c>
      <c r="C690" s="1">
        <v>46057</v>
      </c>
      <c r="D690" t="s">
        <v>25</v>
      </c>
      <c r="E690" t="s">
        <v>26</v>
      </c>
      <c r="F690" t="s">
        <v>61</v>
      </c>
      <c r="G690" t="s">
        <v>62</v>
      </c>
      <c r="H690" t="s">
        <v>29</v>
      </c>
      <c r="I690" t="s">
        <v>30</v>
      </c>
      <c r="J690" t="s">
        <v>51</v>
      </c>
      <c r="K690" t="s">
        <v>42</v>
      </c>
      <c r="L690" t="s">
        <v>236</v>
      </c>
      <c r="M690" s="4">
        <v>20</v>
      </c>
      <c r="N690" s="4">
        <v>1</v>
      </c>
      <c r="O690" s="2">
        <v>0.05</v>
      </c>
      <c r="P690" s="3">
        <v>1.28</v>
      </c>
      <c r="Q690" s="3">
        <v>1.28</v>
      </c>
      <c r="R690" s="3">
        <v>0</v>
      </c>
      <c r="S690" s="2"/>
      <c r="T690" s="5">
        <v>0</v>
      </c>
      <c r="U690" s="4">
        <v>0</v>
      </c>
      <c r="V690" s="4">
        <v>0</v>
      </c>
      <c r="W690" s="2">
        <v>0</v>
      </c>
      <c r="X690" s="4">
        <v>0</v>
      </c>
      <c r="Y690" s="4">
        <v>0</v>
      </c>
      <c r="Z690" s="3">
        <v>0</v>
      </c>
      <c r="AA690" s="3">
        <v>0</v>
      </c>
    </row>
    <row r="691" spans="1:27" x14ac:dyDescent="0.2">
      <c r="A691">
        <f t="shared" si="20"/>
        <v>2</v>
      </c>
      <c r="B691">
        <f t="shared" si="21"/>
        <v>7</v>
      </c>
      <c r="C691" s="1">
        <v>46061</v>
      </c>
      <c r="D691" t="s">
        <v>25</v>
      </c>
      <c r="E691" t="s">
        <v>26</v>
      </c>
      <c r="F691" t="s">
        <v>61</v>
      </c>
      <c r="G691" t="s">
        <v>62</v>
      </c>
      <c r="H691" t="s">
        <v>29</v>
      </c>
      <c r="I691" t="s">
        <v>30</v>
      </c>
      <c r="J691" t="s">
        <v>51</v>
      </c>
      <c r="K691" t="s">
        <v>42</v>
      </c>
      <c r="L691" t="s">
        <v>236</v>
      </c>
      <c r="M691" s="4">
        <v>4</v>
      </c>
      <c r="N691" s="4">
        <v>1</v>
      </c>
      <c r="O691" s="2">
        <v>0.25</v>
      </c>
      <c r="P691" s="3">
        <v>1.0900000000000001</v>
      </c>
      <c r="Q691" s="3">
        <v>1.0900000000000001</v>
      </c>
      <c r="R691" s="3">
        <v>0</v>
      </c>
      <c r="S691" s="2"/>
      <c r="T691" s="5">
        <v>0</v>
      </c>
      <c r="U691" s="4">
        <v>0</v>
      </c>
      <c r="V691" s="4">
        <v>0</v>
      </c>
      <c r="W691" s="2">
        <v>0</v>
      </c>
      <c r="X691" s="4">
        <v>0</v>
      </c>
      <c r="Y691" s="4">
        <v>0</v>
      </c>
      <c r="Z691" s="3">
        <v>0</v>
      </c>
      <c r="AA691" s="3">
        <v>0</v>
      </c>
    </row>
    <row r="692" spans="1:27" x14ac:dyDescent="0.2">
      <c r="A692">
        <f t="shared" si="20"/>
        <v>2</v>
      </c>
      <c r="B692">
        <f t="shared" si="21"/>
        <v>8</v>
      </c>
      <c r="C692" s="1">
        <v>46074</v>
      </c>
      <c r="D692" t="s">
        <v>25</v>
      </c>
      <c r="E692" t="s">
        <v>26</v>
      </c>
      <c r="F692" t="s">
        <v>53</v>
      </c>
      <c r="G692" t="s">
        <v>54</v>
      </c>
      <c r="H692" t="s">
        <v>29</v>
      </c>
      <c r="I692" t="s">
        <v>30</v>
      </c>
      <c r="J692" t="s">
        <v>47</v>
      </c>
      <c r="K692" t="s">
        <v>42</v>
      </c>
      <c r="L692" t="s">
        <v>511</v>
      </c>
      <c r="M692" s="4">
        <v>14</v>
      </c>
      <c r="N692" s="4">
        <v>1</v>
      </c>
      <c r="O692" s="2">
        <v>7.1428571428571425E-2</v>
      </c>
      <c r="P692" s="3">
        <v>1.26</v>
      </c>
      <c r="Q692" s="3">
        <v>1.26</v>
      </c>
      <c r="R692" s="3">
        <v>0</v>
      </c>
      <c r="S692" s="2"/>
      <c r="T692" s="5">
        <v>0</v>
      </c>
      <c r="U692" s="4">
        <v>0</v>
      </c>
      <c r="V692" s="4">
        <v>0</v>
      </c>
      <c r="W692" s="2">
        <v>0</v>
      </c>
      <c r="X692" s="4">
        <v>0</v>
      </c>
      <c r="Y692" s="4">
        <v>0</v>
      </c>
      <c r="Z692" s="3">
        <v>0</v>
      </c>
      <c r="AA692" s="3">
        <v>0</v>
      </c>
    </row>
    <row r="693" spans="1:27" x14ac:dyDescent="0.2">
      <c r="A693">
        <f t="shared" si="20"/>
        <v>2</v>
      </c>
      <c r="B693">
        <f t="shared" si="21"/>
        <v>7</v>
      </c>
      <c r="C693" s="1">
        <v>46067</v>
      </c>
      <c r="D693" t="s">
        <v>25</v>
      </c>
      <c r="E693" t="s">
        <v>26</v>
      </c>
      <c r="F693" t="s">
        <v>53</v>
      </c>
      <c r="G693" t="s">
        <v>54</v>
      </c>
      <c r="H693" t="s">
        <v>29</v>
      </c>
      <c r="I693" t="s">
        <v>30</v>
      </c>
      <c r="J693" t="s">
        <v>47</v>
      </c>
      <c r="K693" t="s">
        <v>42</v>
      </c>
      <c r="L693" t="s">
        <v>512</v>
      </c>
      <c r="M693" s="4">
        <v>1</v>
      </c>
      <c r="N693" s="4">
        <v>1</v>
      </c>
      <c r="O693" s="2">
        <v>1</v>
      </c>
      <c r="P693" s="3">
        <v>1.35</v>
      </c>
      <c r="Q693" s="3">
        <v>1.35</v>
      </c>
      <c r="R693" s="3">
        <v>0</v>
      </c>
      <c r="S693" s="2"/>
      <c r="T693" s="5">
        <v>0</v>
      </c>
      <c r="U693" s="4">
        <v>0</v>
      </c>
      <c r="V693" s="4">
        <v>0</v>
      </c>
      <c r="W693" s="2">
        <v>0</v>
      </c>
      <c r="X693" s="4">
        <v>0</v>
      </c>
      <c r="Y693" s="4">
        <v>0</v>
      </c>
      <c r="Z693" s="3">
        <v>0</v>
      </c>
      <c r="AA693" s="3">
        <v>0</v>
      </c>
    </row>
    <row r="694" spans="1:27" x14ac:dyDescent="0.2">
      <c r="A694">
        <f t="shared" si="20"/>
        <v>2</v>
      </c>
      <c r="B694">
        <f t="shared" si="21"/>
        <v>7</v>
      </c>
      <c r="C694" s="1">
        <v>46062</v>
      </c>
      <c r="D694" t="s">
        <v>25</v>
      </c>
      <c r="E694" t="s">
        <v>26</v>
      </c>
      <c r="F694" t="s">
        <v>27</v>
      </c>
      <c r="G694" t="s">
        <v>28</v>
      </c>
      <c r="H694" t="s">
        <v>29</v>
      </c>
      <c r="I694" t="s">
        <v>30</v>
      </c>
      <c r="J694" t="s">
        <v>242</v>
      </c>
      <c r="K694" t="s">
        <v>32</v>
      </c>
      <c r="L694" t="s">
        <v>513</v>
      </c>
      <c r="M694" s="4">
        <v>6</v>
      </c>
      <c r="N694" s="4">
        <v>1</v>
      </c>
      <c r="O694" s="2">
        <v>0.16666666666666663</v>
      </c>
      <c r="P694" s="3">
        <v>0.06</v>
      </c>
      <c r="Q694" s="3">
        <v>0.06</v>
      </c>
      <c r="R694" s="3">
        <v>0</v>
      </c>
      <c r="S694" s="2"/>
      <c r="T694" s="5">
        <v>0</v>
      </c>
      <c r="U694" s="4">
        <v>0</v>
      </c>
      <c r="V694" s="4">
        <v>0</v>
      </c>
      <c r="W694" s="2">
        <v>0</v>
      </c>
      <c r="X694" s="4">
        <v>0</v>
      </c>
      <c r="Y694" s="4">
        <v>0</v>
      </c>
      <c r="Z694" s="3">
        <v>0</v>
      </c>
      <c r="AA694" s="3">
        <v>0</v>
      </c>
    </row>
    <row r="695" spans="1:27" x14ac:dyDescent="0.2">
      <c r="A695">
        <f t="shared" si="20"/>
        <v>2</v>
      </c>
      <c r="B695">
        <f t="shared" si="21"/>
        <v>7</v>
      </c>
      <c r="C695" s="1">
        <v>46065</v>
      </c>
      <c r="D695" t="s">
        <v>25</v>
      </c>
      <c r="E695" t="s">
        <v>26</v>
      </c>
      <c r="F695" t="s">
        <v>53</v>
      </c>
      <c r="G695" t="s">
        <v>54</v>
      </c>
      <c r="H695" t="s">
        <v>29</v>
      </c>
      <c r="I695" t="s">
        <v>30</v>
      </c>
      <c r="J695" t="s">
        <v>95</v>
      </c>
      <c r="K695" t="s">
        <v>42</v>
      </c>
      <c r="L695" t="s">
        <v>514</v>
      </c>
      <c r="M695" s="4">
        <v>1</v>
      </c>
      <c r="N695" s="4">
        <v>1</v>
      </c>
      <c r="O695" s="2">
        <v>1</v>
      </c>
      <c r="P695" s="3">
        <v>0.44</v>
      </c>
      <c r="Q695" s="3">
        <v>0.44</v>
      </c>
      <c r="R695" s="3">
        <v>0</v>
      </c>
      <c r="S695" s="2"/>
      <c r="T695" s="5">
        <v>0</v>
      </c>
      <c r="U695" s="4">
        <v>0</v>
      </c>
      <c r="V695" s="4">
        <v>0</v>
      </c>
      <c r="W695" s="2">
        <v>0</v>
      </c>
      <c r="X695" s="4">
        <v>0</v>
      </c>
      <c r="Y695" s="4">
        <v>0</v>
      </c>
      <c r="Z695" s="3">
        <v>0</v>
      </c>
      <c r="AA695" s="3">
        <v>0</v>
      </c>
    </row>
    <row r="696" spans="1:27" x14ac:dyDescent="0.2">
      <c r="A696">
        <f t="shared" si="20"/>
        <v>2</v>
      </c>
      <c r="B696">
        <f t="shared" si="21"/>
        <v>7</v>
      </c>
      <c r="C696" s="1">
        <v>46061</v>
      </c>
      <c r="D696" t="s">
        <v>25</v>
      </c>
      <c r="E696" t="s">
        <v>26</v>
      </c>
      <c r="F696" t="s">
        <v>49</v>
      </c>
      <c r="G696" t="s">
        <v>50</v>
      </c>
      <c r="H696" t="s">
        <v>29</v>
      </c>
      <c r="I696" t="s">
        <v>30</v>
      </c>
      <c r="J696" t="s">
        <v>95</v>
      </c>
      <c r="K696" t="s">
        <v>42</v>
      </c>
      <c r="L696" t="s">
        <v>515</v>
      </c>
      <c r="M696" s="4">
        <v>2</v>
      </c>
      <c r="N696" s="4">
        <v>1</v>
      </c>
      <c r="O696" s="2">
        <v>0.5</v>
      </c>
      <c r="P696" s="3">
        <v>0.1</v>
      </c>
      <c r="Q696" s="3">
        <v>0.1</v>
      </c>
      <c r="R696" s="3">
        <v>0</v>
      </c>
      <c r="S696" s="2"/>
      <c r="T696" s="5">
        <v>0</v>
      </c>
      <c r="U696" s="4">
        <v>0</v>
      </c>
      <c r="V696" s="4">
        <v>0</v>
      </c>
      <c r="W696" s="2">
        <v>0</v>
      </c>
      <c r="X696" s="4">
        <v>0</v>
      </c>
      <c r="Y696" s="4">
        <v>0</v>
      </c>
      <c r="Z696" s="3">
        <v>0</v>
      </c>
      <c r="AA696" s="3">
        <v>0</v>
      </c>
    </row>
    <row r="697" spans="1:27" x14ac:dyDescent="0.2">
      <c r="A697">
        <f t="shared" si="20"/>
        <v>2</v>
      </c>
      <c r="B697">
        <f t="shared" si="21"/>
        <v>7</v>
      </c>
      <c r="C697" s="1">
        <v>46067</v>
      </c>
      <c r="D697" t="s">
        <v>25</v>
      </c>
      <c r="E697" t="s">
        <v>26</v>
      </c>
      <c r="F697" t="s">
        <v>27</v>
      </c>
      <c r="G697" t="s">
        <v>28</v>
      </c>
      <c r="H697" t="s">
        <v>29</v>
      </c>
      <c r="I697" t="s">
        <v>30</v>
      </c>
      <c r="J697" t="s">
        <v>133</v>
      </c>
      <c r="K697" t="s">
        <v>32</v>
      </c>
      <c r="L697" t="s">
        <v>516</v>
      </c>
      <c r="M697" s="4">
        <v>1</v>
      </c>
      <c r="N697" s="4">
        <v>1</v>
      </c>
      <c r="O697" s="2">
        <v>1</v>
      </c>
      <c r="P697" s="3">
        <v>0.08</v>
      </c>
      <c r="Q697" s="3">
        <v>0.08</v>
      </c>
      <c r="R697" s="3">
        <v>0</v>
      </c>
      <c r="S697" s="2"/>
      <c r="T697" s="5">
        <v>0</v>
      </c>
      <c r="U697" s="4">
        <v>0</v>
      </c>
      <c r="V697" s="4">
        <v>0</v>
      </c>
      <c r="W697" s="2">
        <v>0</v>
      </c>
      <c r="X697" s="4">
        <v>0</v>
      </c>
      <c r="Y697" s="4">
        <v>0</v>
      </c>
      <c r="Z697" s="3">
        <v>0</v>
      </c>
      <c r="AA697" s="3">
        <v>0</v>
      </c>
    </row>
    <row r="698" spans="1:27" x14ac:dyDescent="0.2">
      <c r="A698">
        <f t="shared" si="20"/>
        <v>2</v>
      </c>
      <c r="B698">
        <f t="shared" si="21"/>
        <v>8</v>
      </c>
      <c r="C698" s="1">
        <v>46074</v>
      </c>
      <c r="D698" t="s">
        <v>25</v>
      </c>
      <c r="E698" t="s">
        <v>26</v>
      </c>
      <c r="F698" t="s">
        <v>61</v>
      </c>
      <c r="G698" t="s">
        <v>62</v>
      </c>
      <c r="H698" t="s">
        <v>29</v>
      </c>
      <c r="I698" t="s">
        <v>30</v>
      </c>
      <c r="J698" t="s">
        <v>95</v>
      </c>
      <c r="K698" t="s">
        <v>42</v>
      </c>
      <c r="L698" t="s">
        <v>517</v>
      </c>
      <c r="M698" s="4">
        <v>1</v>
      </c>
      <c r="N698" s="4">
        <v>1</v>
      </c>
      <c r="O698" s="2">
        <v>1</v>
      </c>
      <c r="P698" s="3">
        <v>1.1499999999999999</v>
      </c>
      <c r="Q698" s="3">
        <v>1.1499999999999999</v>
      </c>
      <c r="R698" s="3">
        <v>0</v>
      </c>
      <c r="S698" s="2"/>
      <c r="T698" s="5">
        <v>0</v>
      </c>
      <c r="U698" s="4">
        <v>0</v>
      </c>
      <c r="V698" s="4">
        <v>0</v>
      </c>
      <c r="W698" s="2">
        <v>0</v>
      </c>
      <c r="X698" s="4">
        <v>0</v>
      </c>
      <c r="Y698" s="4">
        <v>0</v>
      </c>
      <c r="Z698" s="3">
        <v>0</v>
      </c>
      <c r="AA698" s="3">
        <v>0</v>
      </c>
    </row>
    <row r="699" spans="1:27" x14ac:dyDescent="0.2">
      <c r="A699">
        <f t="shared" si="20"/>
        <v>2</v>
      </c>
      <c r="B699">
        <f t="shared" si="21"/>
        <v>8</v>
      </c>
      <c r="C699" s="1">
        <v>46070</v>
      </c>
      <c r="D699" t="s">
        <v>25</v>
      </c>
      <c r="E699" t="s">
        <v>26</v>
      </c>
      <c r="F699" t="s">
        <v>53</v>
      </c>
      <c r="G699" t="s">
        <v>54</v>
      </c>
      <c r="H699" t="s">
        <v>29</v>
      </c>
      <c r="I699" t="s">
        <v>30</v>
      </c>
      <c r="J699" t="s">
        <v>95</v>
      </c>
      <c r="K699" t="s">
        <v>42</v>
      </c>
      <c r="L699" t="s">
        <v>517</v>
      </c>
      <c r="M699" s="4">
        <v>1</v>
      </c>
      <c r="N699" s="4">
        <v>1</v>
      </c>
      <c r="O699" s="2">
        <v>1</v>
      </c>
      <c r="P699" s="3">
        <v>0.44</v>
      </c>
      <c r="Q699" s="3">
        <v>0.44</v>
      </c>
      <c r="R699" s="3">
        <v>8.93</v>
      </c>
      <c r="S699" s="2">
        <v>4.9272116461366193E-2</v>
      </c>
      <c r="T699" s="5">
        <v>20.295454545454543</v>
      </c>
      <c r="U699" s="4">
        <v>1</v>
      </c>
      <c r="V699" s="4">
        <v>1</v>
      </c>
      <c r="W699" s="2">
        <v>1</v>
      </c>
      <c r="X699" s="4">
        <v>1</v>
      </c>
      <c r="Y699" s="4">
        <v>0</v>
      </c>
      <c r="Z699" s="3">
        <v>8.93</v>
      </c>
      <c r="AA699" s="3">
        <v>0</v>
      </c>
    </row>
    <row r="700" spans="1:27" x14ac:dyDescent="0.2">
      <c r="A700">
        <f t="shared" si="20"/>
        <v>2</v>
      </c>
      <c r="B700">
        <f t="shared" si="21"/>
        <v>7</v>
      </c>
      <c r="C700" s="1">
        <v>46066</v>
      </c>
      <c r="D700" t="s">
        <v>25</v>
      </c>
      <c r="E700" t="s">
        <v>26</v>
      </c>
      <c r="F700" t="s">
        <v>27</v>
      </c>
      <c r="G700" t="s">
        <v>28</v>
      </c>
      <c r="H700" t="s">
        <v>29</v>
      </c>
      <c r="I700" t="s">
        <v>30</v>
      </c>
      <c r="J700" t="s">
        <v>243</v>
      </c>
      <c r="K700" t="s">
        <v>32</v>
      </c>
      <c r="L700" t="s">
        <v>518</v>
      </c>
      <c r="M700" s="4">
        <v>1</v>
      </c>
      <c r="N700" s="4">
        <v>1</v>
      </c>
      <c r="O700" s="2">
        <v>1</v>
      </c>
      <c r="P700" s="3">
        <v>0.21</v>
      </c>
      <c r="Q700" s="3">
        <v>0.21</v>
      </c>
      <c r="R700" s="3">
        <v>0</v>
      </c>
      <c r="S700" s="2"/>
      <c r="T700" s="5">
        <v>0</v>
      </c>
      <c r="U700" s="4">
        <v>0</v>
      </c>
      <c r="V700" s="4">
        <v>0</v>
      </c>
      <c r="W700" s="2">
        <v>0</v>
      </c>
      <c r="X700" s="4">
        <v>0</v>
      </c>
      <c r="Y700" s="4">
        <v>0</v>
      </c>
      <c r="Z700" s="3">
        <v>0</v>
      </c>
      <c r="AA700" s="3">
        <v>0</v>
      </c>
    </row>
    <row r="701" spans="1:27" x14ac:dyDescent="0.2">
      <c r="A701">
        <f t="shared" si="20"/>
        <v>2</v>
      </c>
      <c r="B701">
        <f t="shared" si="21"/>
        <v>8</v>
      </c>
      <c r="C701" s="1">
        <v>46070</v>
      </c>
      <c r="D701" t="s">
        <v>25</v>
      </c>
      <c r="E701" t="s">
        <v>26</v>
      </c>
      <c r="F701" t="s">
        <v>39</v>
      </c>
      <c r="G701" t="s">
        <v>40</v>
      </c>
      <c r="H701" t="s">
        <v>29</v>
      </c>
      <c r="I701" t="s">
        <v>30</v>
      </c>
      <c r="J701" t="s">
        <v>393</v>
      </c>
      <c r="K701" t="s">
        <v>42</v>
      </c>
      <c r="L701" t="s">
        <v>519</v>
      </c>
      <c r="M701" s="4">
        <v>2</v>
      </c>
      <c r="N701" s="4">
        <v>1</v>
      </c>
      <c r="O701" s="2">
        <v>0.5</v>
      </c>
      <c r="P701" s="3">
        <v>0.65</v>
      </c>
      <c r="Q701" s="3">
        <v>0.65</v>
      </c>
      <c r="R701" s="3">
        <v>0</v>
      </c>
      <c r="S701" s="2"/>
      <c r="T701" s="5">
        <v>0</v>
      </c>
      <c r="U701" s="4">
        <v>0</v>
      </c>
      <c r="V701" s="4">
        <v>0</v>
      </c>
      <c r="W701" s="2">
        <v>0</v>
      </c>
      <c r="X701" s="4">
        <v>0</v>
      </c>
      <c r="Y701" s="4">
        <v>0</v>
      </c>
      <c r="Z701" s="3">
        <v>0</v>
      </c>
      <c r="AA701" s="3">
        <v>0</v>
      </c>
    </row>
    <row r="702" spans="1:27" x14ac:dyDescent="0.2">
      <c r="A702">
        <f t="shared" si="20"/>
        <v>2</v>
      </c>
      <c r="B702">
        <f t="shared" si="21"/>
        <v>8</v>
      </c>
      <c r="C702" s="1">
        <v>46073</v>
      </c>
      <c r="D702" t="s">
        <v>25</v>
      </c>
      <c r="E702" t="s">
        <v>26</v>
      </c>
      <c r="F702" t="s">
        <v>49</v>
      </c>
      <c r="G702" t="s">
        <v>50</v>
      </c>
      <c r="H702" t="s">
        <v>29</v>
      </c>
      <c r="I702" t="s">
        <v>30</v>
      </c>
      <c r="J702" t="s">
        <v>95</v>
      </c>
      <c r="K702" t="s">
        <v>42</v>
      </c>
      <c r="L702" t="s">
        <v>520</v>
      </c>
      <c r="M702" s="4">
        <v>1</v>
      </c>
      <c r="N702" s="4">
        <v>1</v>
      </c>
      <c r="O702" s="2">
        <v>1</v>
      </c>
      <c r="P702" s="3">
        <v>0.5</v>
      </c>
      <c r="Q702" s="3">
        <v>0.5</v>
      </c>
      <c r="R702" s="3">
        <v>0</v>
      </c>
      <c r="S702" s="2"/>
      <c r="T702" s="5">
        <v>0</v>
      </c>
      <c r="U702" s="4">
        <v>0</v>
      </c>
      <c r="V702" s="4">
        <v>0</v>
      </c>
      <c r="W702" s="2">
        <v>0</v>
      </c>
      <c r="X702" s="4">
        <v>0</v>
      </c>
      <c r="Y702" s="4">
        <v>0</v>
      </c>
      <c r="Z702" s="3">
        <v>0</v>
      </c>
      <c r="AA702" s="3">
        <v>0</v>
      </c>
    </row>
    <row r="703" spans="1:27" x14ac:dyDescent="0.2">
      <c r="A703">
        <f t="shared" si="20"/>
        <v>2</v>
      </c>
      <c r="B703">
        <f t="shared" si="21"/>
        <v>6</v>
      </c>
      <c r="C703" s="1">
        <v>46055</v>
      </c>
      <c r="D703" t="s">
        <v>25</v>
      </c>
      <c r="E703" t="s">
        <v>26</v>
      </c>
      <c r="F703" t="s">
        <v>49</v>
      </c>
      <c r="G703" t="s">
        <v>50</v>
      </c>
      <c r="H703" t="s">
        <v>29</v>
      </c>
      <c r="I703" t="s">
        <v>30</v>
      </c>
      <c r="J703" t="s">
        <v>51</v>
      </c>
      <c r="K703" t="s">
        <v>42</v>
      </c>
      <c r="L703" t="s">
        <v>521</v>
      </c>
      <c r="M703" s="4">
        <v>4</v>
      </c>
      <c r="N703" s="4">
        <v>1</v>
      </c>
      <c r="O703" s="2">
        <v>0.25</v>
      </c>
      <c r="P703" s="3">
        <v>0.48</v>
      </c>
      <c r="Q703" s="3">
        <v>0.48</v>
      </c>
      <c r="R703" s="3">
        <v>0</v>
      </c>
      <c r="S703" s="2"/>
      <c r="T703" s="5">
        <v>0</v>
      </c>
      <c r="U703" s="4">
        <v>0</v>
      </c>
      <c r="V703" s="4">
        <v>0</v>
      </c>
      <c r="W703" s="2">
        <v>0</v>
      </c>
      <c r="X703" s="4">
        <v>0</v>
      </c>
      <c r="Y703" s="4">
        <v>0</v>
      </c>
      <c r="Z703" s="3">
        <v>0</v>
      </c>
      <c r="AA703" s="3">
        <v>0</v>
      </c>
    </row>
    <row r="704" spans="1:27" x14ac:dyDescent="0.2">
      <c r="A704">
        <f t="shared" si="20"/>
        <v>2</v>
      </c>
      <c r="B704">
        <f t="shared" si="21"/>
        <v>6</v>
      </c>
      <c r="C704" s="1">
        <v>46059</v>
      </c>
      <c r="D704" t="s">
        <v>25</v>
      </c>
      <c r="E704" t="s">
        <v>26</v>
      </c>
      <c r="F704" t="s">
        <v>49</v>
      </c>
      <c r="G704" t="s">
        <v>50</v>
      </c>
      <c r="H704" t="s">
        <v>29</v>
      </c>
      <c r="I704" t="s">
        <v>30</v>
      </c>
      <c r="J704" t="s">
        <v>95</v>
      </c>
      <c r="K704" t="s">
        <v>42</v>
      </c>
      <c r="L704" t="s">
        <v>522</v>
      </c>
      <c r="M704" s="4">
        <v>1</v>
      </c>
      <c r="N704" s="4">
        <v>1</v>
      </c>
      <c r="O704" s="2">
        <v>1</v>
      </c>
      <c r="P704" s="3">
        <v>0.68</v>
      </c>
      <c r="Q704" s="3">
        <v>0.68</v>
      </c>
      <c r="R704" s="3">
        <v>0</v>
      </c>
      <c r="S704" s="2"/>
      <c r="T704" s="5">
        <v>0</v>
      </c>
      <c r="U704" s="4">
        <v>0</v>
      </c>
      <c r="V704" s="4">
        <v>0</v>
      </c>
      <c r="W704" s="2">
        <v>0</v>
      </c>
      <c r="X704" s="4">
        <v>0</v>
      </c>
      <c r="Y704" s="4">
        <v>0</v>
      </c>
      <c r="Z704" s="3">
        <v>0</v>
      </c>
      <c r="AA704" s="3">
        <v>0</v>
      </c>
    </row>
    <row r="705" spans="1:27" x14ac:dyDescent="0.2">
      <c r="A705">
        <f t="shared" si="20"/>
        <v>2</v>
      </c>
      <c r="B705">
        <f t="shared" si="21"/>
        <v>7</v>
      </c>
      <c r="C705" s="1">
        <v>46066</v>
      </c>
      <c r="D705" t="s">
        <v>25</v>
      </c>
      <c r="E705" t="s">
        <v>26</v>
      </c>
      <c r="F705" t="s">
        <v>27</v>
      </c>
      <c r="G705" t="s">
        <v>28</v>
      </c>
      <c r="H705" t="s">
        <v>29</v>
      </c>
      <c r="I705" t="s">
        <v>30</v>
      </c>
      <c r="J705" t="s">
        <v>243</v>
      </c>
      <c r="K705" t="s">
        <v>32</v>
      </c>
      <c r="L705" t="s">
        <v>523</v>
      </c>
      <c r="M705" s="4">
        <v>6</v>
      </c>
      <c r="N705" s="4">
        <v>1</v>
      </c>
      <c r="O705" s="2">
        <v>0.16666666666666663</v>
      </c>
      <c r="P705" s="3">
        <v>0.2</v>
      </c>
      <c r="Q705" s="3">
        <v>0.2</v>
      </c>
      <c r="R705" s="3">
        <v>0</v>
      </c>
      <c r="S705" s="2"/>
      <c r="T705" s="5">
        <v>0</v>
      </c>
      <c r="U705" s="4">
        <v>0</v>
      </c>
      <c r="V705" s="4">
        <v>0</v>
      </c>
      <c r="W705" s="2">
        <v>0</v>
      </c>
      <c r="X705" s="4">
        <v>0</v>
      </c>
      <c r="Y705" s="4">
        <v>0</v>
      </c>
      <c r="Z705" s="3">
        <v>0</v>
      </c>
      <c r="AA705" s="3">
        <v>0</v>
      </c>
    </row>
    <row r="706" spans="1:27" x14ac:dyDescent="0.2">
      <c r="A706">
        <f t="shared" si="20"/>
        <v>2</v>
      </c>
      <c r="B706">
        <f t="shared" si="21"/>
        <v>7</v>
      </c>
      <c r="C706" s="1">
        <v>46062</v>
      </c>
      <c r="D706" t="s">
        <v>25</v>
      </c>
      <c r="E706" t="s">
        <v>26</v>
      </c>
      <c r="F706" t="s">
        <v>49</v>
      </c>
      <c r="G706" t="s">
        <v>50</v>
      </c>
      <c r="H706" t="s">
        <v>29</v>
      </c>
      <c r="I706" t="s">
        <v>30</v>
      </c>
      <c r="J706" t="s">
        <v>95</v>
      </c>
      <c r="K706" t="s">
        <v>42</v>
      </c>
      <c r="L706" t="s">
        <v>524</v>
      </c>
      <c r="M706" s="4">
        <v>2</v>
      </c>
      <c r="N706" s="4">
        <v>1</v>
      </c>
      <c r="O706" s="2">
        <v>0.5</v>
      </c>
      <c r="P706" s="3">
        <v>0.42</v>
      </c>
      <c r="Q706" s="3">
        <v>0.42</v>
      </c>
      <c r="R706" s="3">
        <v>0</v>
      </c>
      <c r="S706" s="2"/>
      <c r="T706" s="5">
        <v>0</v>
      </c>
      <c r="U706" s="4">
        <v>0</v>
      </c>
      <c r="V706" s="4">
        <v>0</v>
      </c>
      <c r="W706" s="2">
        <v>0</v>
      </c>
      <c r="X706" s="4">
        <v>0</v>
      </c>
      <c r="Y706" s="4">
        <v>0</v>
      </c>
      <c r="Z706" s="3">
        <v>0</v>
      </c>
      <c r="AA706" s="3">
        <v>0</v>
      </c>
    </row>
    <row r="707" spans="1:27" x14ac:dyDescent="0.2">
      <c r="A707">
        <f t="shared" ref="A707:A770" si="22">MONTH(C707)</f>
        <v>2</v>
      </c>
      <c r="B707">
        <f t="shared" ref="B707:B770" si="23">WEEKNUM(C707,1)</f>
        <v>7</v>
      </c>
      <c r="C707" s="1">
        <v>46067</v>
      </c>
      <c r="D707" t="s">
        <v>25</v>
      </c>
      <c r="E707" t="s">
        <v>26</v>
      </c>
      <c r="F707" t="s">
        <v>49</v>
      </c>
      <c r="G707" t="s">
        <v>50</v>
      </c>
      <c r="H707" t="s">
        <v>29</v>
      </c>
      <c r="I707" t="s">
        <v>30</v>
      </c>
      <c r="J707" t="s">
        <v>95</v>
      </c>
      <c r="K707" t="s">
        <v>42</v>
      </c>
      <c r="L707" t="s">
        <v>525</v>
      </c>
      <c r="M707" s="4">
        <v>1</v>
      </c>
      <c r="N707" s="4">
        <v>1</v>
      </c>
      <c r="O707" s="2">
        <v>1</v>
      </c>
      <c r="P707" s="3">
        <v>0.33</v>
      </c>
      <c r="Q707" s="3">
        <v>0.33</v>
      </c>
      <c r="R707" s="3">
        <v>0</v>
      </c>
      <c r="S707" s="2"/>
      <c r="T707" s="5">
        <v>0</v>
      </c>
      <c r="U707" s="4">
        <v>0</v>
      </c>
      <c r="V707" s="4">
        <v>0</v>
      </c>
      <c r="W707" s="2">
        <v>0</v>
      </c>
      <c r="X707" s="4">
        <v>0</v>
      </c>
      <c r="Y707" s="4">
        <v>0</v>
      </c>
      <c r="Z707" s="3">
        <v>0</v>
      </c>
      <c r="AA707" s="3">
        <v>0</v>
      </c>
    </row>
    <row r="708" spans="1:27" x14ac:dyDescent="0.2">
      <c r="A708">
        <f t="shared" si="22"/>
        <v>2</v>
      </c>
      <c r="B708">
        <f t="shared" si="23"/>
        <v>7</v>
      </c>
      <c r="C708" s="1">
        <v>46063</v>
      </c>
      <c r="D708" t="s">
        <v>25</v>
      </c>
      <c r="E708" t="s">
        <v>26</v>
      </c>
      <c r="F708" t="s">
        <v>49</v>
      </c>
      <c r="G708" t="s">
        <v>50</v>
      </c>
      <c r="H708" t="s">
        <v>29</v>
      </c>
      <c r="I708" t="s">
        <v>30</v>
      </c>
      <c r="J708" t="s">
        <v>47</v>
      </c>
      <c r="K708" t="s">
        <v>42</v>
      </c>
      <c r="L708" t="s">
        <v>526</v>
      </c>
      <c r="M708" s="4">
        <v>3</v>
      </c>
      <c r="N708" s="4">
        <v>1</v>
      </c>
      <c r="O708" s="2">
        <v>0.33333333333333331</v>
      </c>
      <c r="P708" s="3">
        <v>0.6</v>
      </c>
      <c r="Q708" s="3">
        <v>0.6</v>
      </c>
      <c r="R708" s="3">
        <v>0</v>
      </c>
      <c r="S708" s="2"/>
      <c r="T708" s="5">
        <v>0</v>
      </c>
      <c r="U708" s="4">
        <v>0</v>
      </c>
      <c r="V708" s="4">
        <v>0</v>
      </c>
      <c r="W708" s="2">
        <v>0</v>
      </c>
      <c r="X708" s="4">
        <v>0</v>
      </c>
      <c r="Y708" s="4">
        <v>0</v>
      </c>
      <c r="Z708" s="3">
        <v>0</v>
      </c>
      <c r="AA708" s="3">
        <v>0</v>
      </c>
    </row>
    <row r="709" spans="1:27" x14ac:dyDescent="0.2">
      <c r="A709">
        <f t="shared" si="22"/>
        <v>2</v>
      </c>
      <c r="B709">
        <f t="shared" si="23"/>
        <v>6</v>
      </c>
      <c r="C709" s="1">
        <v>46054</v>
      </c>
      <c r="D709" t="s">
        <v>25</v>
      </c>
      <c r="E709" t="s">
        <v>26</v>
      </c>
      <c r="F709" t="s">
        <v>49</v>
      </c>
      <c r="G709" t="s">
        <v>50</v>
      </c>
      <c r="H709" t="s">
        <v>29</v>
      </c>
      <c r="I709" t="s">
        <v>30</v>
      </c>
      <c r="J709" t="s">
        <v>47</v>
      </c>
      <c r="K709" t="s">
        <v>42</v>
      </c>
      <c r="L709" t="s">
        <v>527</v>
      </c>
      <c r="M709" s="4">
        <v>6</v>
      </c>
      <c r="N709" s="4">
        <v>1</v>
      </c>
      <c r="O709" s="2">
        <v>0.16666666666666663</v>
      </c>
      <c r="P709" s="3">
        <v>0.51</v>
      </c>
      <c r="Q709" s="3">
        <v>0.51</v>
      </c>
      <c r="R709" s="3">
        <v>0</v>
      </c>
      <c r="S709" s="2"/>
      <c r="T709" s="5">
        <v>0</v>
      </c>
      <c r="U709" s="4">
        <v>0</v>
      </c>
      <c r="V709" s="4">
        <v>0</v>
      </c>
      <c r="W709" s="2">
        <v>0</v>
      </c>
      <c r="X709" s="4">
        <v>0</v>
      </c>
      <c r="Y709" s="4">
        <v>0</v>
      </c>
      <c r="Z709" s="3">
        <v>0</v>
      </c>
      <c r="AA709" s="3">
        <v>0</v>
      </c>
    </row>
    <row r="710" spans="1:27" x14ac:dyDescent="0.2">
      <c r="A710">
        <f t="shared" si="22"/>
        <v>2</v>
      </c>
      <c r="B710">
        <f t="shared" si="23"/>
        <v>6</v>
      </c>
      <c r="C710" s="1">
        <v>46056</v>
      </c>
      <c r="D710" t="s">
        <v>25</v>
      </c>
      <c r="E710" t="s">
        <v>26</v>
      </c>
      <c r="F710" t="s">
        <v>49</v>
      </c>
      <c r="G710" t="s">
        <v>50</v>
      </c>
      <c r="H710" t="s">
        <v>29</v>
      </c>
      <c r="I710" t="s">
        <v>30</v>
      </c>
      <c r="J710" t="s">
        <v>47</v>
      </c>
      <c r="K710" t="s">
        <v>42</v>
      </c>
      <c r="L710" t="s">
        <v>528</v>
      </c>
      <c r="M710" s="4">
        <v>2</v>
      </c>
      <c r="N710" s="4">
        <v>1</v>
      </c>
      <c r="O710" s="2">
        <v>0.5</v>
      </c>
      <c r="P710" s="3">
        <v>0.64</v>
      </c>
      <c r="Q710" s="3">
        <v>0.64</v>
      </c>
      <c r="R710" s="3">
        <v>0</v>
      </c>
      <c r="S710" s="2"/>
      <c r="T710" s="5">
        <v>0</v>
      </c>
      <c r="U710" s="4">
        <v>0</v>
      </c>
      <c r="V710" s="4">
        <v>0</v>
      </c>
      <c r="W710" s="2">
        <v>0</v>
      </c>
      <c r="X710" s="4">
        <v>0</v>
      </c>
      <c r="Y710" s="4">
        <v>0</v>
      </c>
      <c r="Z710" s="3">
        <v>0</v>
      </c>
      <c r="AA710" s="3">
        <v>0</v>
      </c>
    </row>
    <row r="711" spans="1:27" x14ac:dyDescent="0.2">
      <c r="A711">
        <f t="shared" si="22"/>
        <v>2</v>
      </c>
      <c r="B711">
        <f t="shared" si="23"/>
        <v>7</v>
      </c>
      <c r="C711" s="1">
        <v>46062</v>
      </c>
      <c r="D711" t="s">
        <v>25</v>
      </c>
      <c r="E711" t="s">
        <v>26</v>
      </c>
      <c r="F711" t="s">
        <v>27</v>
      </c>
      <c r="G711" t="s">
        <v>28</v>
      </c>
      <c r="H711" t="s">
        <v>29</v>
      </c>
      <c r="I711" t="s">
        <v>30</v>
      </c>
      <c r="J711" t="s">
        <v>133</v>
      </c>
      <c r="K711" t="s">
        <v>32</v>
      </c>
      <c r="L711" t="s">
        <v>529</v>
      </c>
      <c r="M711" s="4">
        <v>1</v>
      </c>
      <c r="N711" s="4">
        <v>1</v>
      </c>
      <c r="O711" s="2">
        <v>1</v>
      </c>
      <c r="P711" s="3">
        <v>0.21</v>
      </c>
      <c r="Q711" s="3">
        <v>0.21</v>
      </c>
      <c r="R711" s="3">
        <v>0</v>
      </c>
      <c r="S711" s="2"/>
      <c r="T711" s="5">
        <v>0</v>
      </c>
      <c r="U711" s="4">
        <v>0</v>
      </c>
      <c r="V711" s="4">
        <v>0</v>
      </c>
      <c r="W711" s="2">
        <v>0</v>
      </c>
      <c r="X711" s="4">
        <v>0</v>
      </c>
      <c r="Y711" s="4">
        <v>0</v>
      </c>
      <c r="Z711" s="3">
        <v>0</v>
      </c>
      <c r="AA711" s="3">
        <v>0</v>
      </c>
    </row>
    <row r="712" spans="1:27" x14ac:dyDescent="0.2">
      <c r="A712">
        <f t="shared" si="22"/>
        <v>2</v>
      </c>
      <c r="B712">
        <f t="shared" si="23"/>
        <v>7</v>
      </c>
      <c r="C712" s="1">
        <v>46064</v>
      </c>
      <c r="D712" t="s">
        <v>25</v>
      </c>
      <c r="E712" t="s">
        <v>26</v>
      </c>
      <c r="F712" t="s">
        <v>27</v>
      </c>
      <c r="G712" t="s">
        <v>28</v>
      </c>
      <c r="H712" t="s">
        <v>29</v>
      </c>
      <c r="I712" t="s">
        <v>30</v>
      </c>
      <c r="J712" t="s">
        <v>44</v>
      </c>
      <c r="K712" t="s">
        <v>32</v>
      </c>
      <c r="L712" t="s">
        <v>530</v>
      </c>
      <c r="M712" s="4">
        <v>3</v>
      </c>
      <c r="N712" s="4">
        <v>1</v>
      </c>
      <c r="O712" s="2">
        <v>0.33333333333333331</v>
      </c>
      <c r="P712" s="3">
        <v>0.21</v>
      </c>
      <c r="Q712" s="3">
        <v>0.21</v>
      </c>
      <c r="R712" s="3">
        <v>0</v>
      </c>
      <c r="S712" s="2"/>
      <c r="T712" s="5">
        <v>0</v>
      </c>
      <c r="U712" s="4">
        <v>0</v>
      </c>
      <c r="V712" s="4">
        <v>0</v>
      </c>
      <c r="W712" s="2">
        <v>0</v>
      </c>
      <c r="X712" s="4">
        <v>0</v>
      </c>
      <c r="Y712" s="4">
        <v>0</v>
      </c>
      <c r="Z712" s="3">
        <v>0</v>
      </c>
      <c r="AA712" s="3">
        <v>0</v>
      </c>
    </row>
    <row r="713" spans="1:27" x14ac:dyDescent="0.2">
      <c r="A713">
        <f t="shared" si="22"/>
        <v>2</v>
      </c>
      <c r="B713">
        <f t="shared" si="23"/>
        <v>8</v>
      </c>
      <c r="C713" s="1">
        <v>46072</v>
      </c>
      <c r="D713" t="s">
        <v>25</v>
      </c>
      <c r="E713" t="s">
        <v>26</v>
      </c>
      <c r="F713" t="s">
        <v>34</v>
      </c>
      <c r="G713" t="s">
        <v>28</v>
      </c>
      <c r="H713" t="s">
        <v>29</v>
      </c>
      <c r="I713" t="s">
        <v>30</v>
      </c>
      <c r="J713" t="s">
        <v>44</v>
      </c>
      <c r="K713" t="s">
        <v>32</v>
      </c>
      <c r="L713" t="s">
        <v>531</v>
      </c>
      <c r="M713" s="4">
        <v>2</v>
      </c>
      <c r="N713" s="4">
        <v>1</v>
      </c>
      <c r="O713" s="2">
        <v>0.5</v>
      </c>
      <c r="P713" s="3">
        <v>1.19</v>
      </c>
      <c r="Q713" s="3">
        <v>1.19</v>
      </c>
      <c r="R713" s="3">
        <v>0</v>
      </c>
      <c r="S713" s="2"/>
      <c r="T713" s="5">
        <v>0</v>
      </c>
      <c r="U713" s="4">
        <v>0</v>
      </c>
      <c r="V713" s="4">
        <v>0</v>
      </c>
      <c r="W713" s="2">
        <v>0</v>
      </c>
      <c r="X713" s="4">
        <v>0</v>
      </c>
      <c r="Y713" s="4">
        <v>0</v>
      </c>
      <c r="Z713" s="3">
        <v>0</v>
      </c>
      <c r="AA713" s="3">
        <v>0</v>
      </c>
    </row>
    <row r="714" spans="1:27" x14ac:dyDescent="0.2">
      <c r="A714">
        <f t="shared" si="22"/>
        <v>2</v>
      </c>
      <c r="B714">
        <f t="shared" si="23"/>
        <v>6</v>
      </c>
      <c r="C714" s="1">
        <v>46060</v>
      </c>
      <c r="D714" t="s">
        <v>25</v>
      </c>
      <c r="E714" t="s">
        <v>26</v>
      </c>
      <c r="F714" t="s">
        <v>49</v>
      </c>
      <c r="G714" t="s">
        <v>50</v>
      </c>
      <c r="H714" t="s">
        <v>29</v>
      </c>
      <c r="I714" t="s">
        <v>30</v>
      </c>
      <c r="J714" t="s">
        <v>47</v>
      </c>
      <c r="K714" t="s">
        <v>42</v>
      </c>
      <c r="L714" t="s">
        <v>44</v>
      </c>
      <c r="M714" s="4">
        <v>9</v>
      </c>
      <c r="N714" s="4">
        <v>1</v>
      </c>
      <c r="O714" s="2">
        <v>0.1111111111111111</v>
      </c>
      <c r="P714" s="3">
        <v>0.63</v>
      </c>
      <c r="Q714" s="3">
        <v>0.63</v>
      </c>
      <c r="R714" s="3">
        <v>0</v>
      </c>
      <c r="S714" s="2"/>
      <c r="T714" s="5">
        <v>0</v>
      </c>
      <c r="U714" s="4">
        <v>0</v>
      </c>
      <c r="V714" s="4">
        <v>0</v>
      </c>
      <c r="W714" s="2">
        <v>0</v>
      </c>
      <c r="X714" s="4">
        <v>0</v>
      </c>
      <c r="Y714" s="4">
        <v>0</v>
      </c>
      <c r="Z714" s="3">
        <v>0</v>
      </c>
      <c r="AA714" s="3">
        <v>0</v>
      </c>
    </row>
    <row r="715" spans="1:27" x14ac:dyDescent="0.2">
      <c r="A715">
        <f t="shared" si="22"/>
        <v>2</v>
      </c>
      <c r="B715">
        <f t="shared" si="23"/>
        <v>7</v>
      </c>
      <c r="C715" s="1">
        <v>46065</v>
      </c>
      <c r="D715" t="s">
        <v>25</v>
      </c>
      <c r="E715" t="s">
        <v>26</v>
      </c>
      <c r="F715" t="s">
        <v>49</v>
      </c>
      <c r="G715" t="s">
        <v>50</v>
      </c>
      <c r="H715" t="s">
        <v>29</v>
      </c>
      <c r="I715" t="s">
        <v>30</v>
      </c>
      <c r="J715" t="s">
        <v>47</v>
      </c>
      <c r="K715" t="s">
        <v>42</v>
      </c>
      <c r="L715" t="s">
        <v>44</v>
      </c>
      <c r="M715" s="4">
        <v>34</v>
      </c>
      <c r="N715" s="4">
        <v>2</v>
      </c>
      <c r="O715" s="2">
        <v>5.8823529411764698E-2</v>
      </c>
      <c r="P715" s="3">
        <v>0.47499999999999998</v>
      </c>
      <c r="Q715" s="3">
        <v>0.95</v>
      </c>
      <c r="R715" s="3">
        <v>0</v>
      </c>
      <c r="S715" s="2"/>
      <c r="T715" s="5">
        <v>0</v>
      </c>
      <c r="U715" s="4">
        <v>0</v>
      </c>
      <c r="V715" s="4">
        <v>0</v>
      </c>
      <c r="W715" s="2">
        <v>0</v>
      </c>
      <c r="X715" s="4">
        <v>0</v>
      </c>
      <c r="Y715" s="4">
        <v>0</v>
      </c>
      <c r="Z715" s="3">
        <v>0</v>
      </c>
      <c r="AA715" s="3">
        <v>0</v>
      </c>
    </row>
    <row r="716" spans="1:27" x14ac:dyDescent="0.2">
      <c r="A716">
        <f t="shared" si="22"/>
        <v>2</v>
      </c>
      <c r="B716">
        <f t="shared" si="23"/>
        <v>7</v>
      </c>
      <c r="C716" s="1">
        <v>46066</v>
      </c>
      <c r="D716" t="s">
        <v>25</v>
      </c>
      <c r="E716" t="s">
        <v>26</v>
      </c>
      <c r="F716" t="s">
        <v>49</v>
      </c>
      <c r="G716" t="s">
        <v>50</v>
      </c>
      <c r="H716" t="s">
        <v>29</v>
      </c>
      <c r="I716" t="s">
        <v>30</v>
      </c>
      <c r="J716" t="s">
        <v>47</v>
      </c>
      <c r="K716" t="s">
        <v>42</v>
      </c>
      <c r="L716" t="s">
        <v>44</v>
      </c>
      <c r="M716" s="4">
        <v>20</v>
      </c>
      <c r="N716" s="4">
        <v>2</v>
      </c>
      <c r="O716" s="2">
        <v>0.1</v>
      </c>
      <c r="P716" s="3">
        <v>0.46</v>
      </c>
      <c r="Q716" s="3">
        <v>0.92</v>
      </c>
      <c r="R716" s="3">
        <v>0</v>
      </c>
      <c r="S716" s="2"/>
      <c r="T716" s="5">
        <v>0</v>
      </c>
      <c r="U716" s="4">
        <v>0</v>
      </c>
      <c r="V716" s="4">
        <v>0</v>
      </c>
      <c r="W716" s="2">
        <v>0</v>
      </c>
      <c r="X716" s="4">
        <v>0</v>
      </c>
      <c r="Y716" s="4">
        <v>0</v>
      </c>
      <c r="Z716" s="3">
        <v>0</v>
      </c>
      <c r="AA716" s="3">
        <v>0</v>
      </c>
    </row>
    <row r="717" spans="1:27" x14ac:dyDescent="0.2">
      <c r="A717">
        <f t="shared" si="22"/>
        <v>2</v>
      </c>
      <c r="B717">
        <f t="shared" si="23"/>
        <v>7</v>
      </c>
      <c r="C717" s="1">
        <v>46067</v>
      </c>
      <c r="D717" t="s">
        <v>25</v>
      </c>
      <c r="E717" t="s">
        <v>26</v>
      </c>
      <c r="F717" t="s">
        <v>49</v>
      </c>
      <c r="G717" t="s">
        <v>50</v>
      </c>
      <c r="H717" t="s">
        <v>29</v>
      </c>
      <c r="I717" t="s">
        <v>30</v>
      </c>
      <c r="J717" t="s">
        <v>47</v>
      </c>
      <c r="K717" t="s">
        <v>42</v>
      </c>
      <c r="L717" t="s">
        <v>44</v>
      </c>
      <c r="M717" s="4">
        <v>12</v>
      </c>
      <c r="N717" s="4">
        <v>1</v>
      </c>
      <c r="O717" s="2">
        <v>8.3333333333333315E-2</v>
      </c>
      <c r="P717" s="3">
        <v>0.54</v>
      </c>
      <c r="Q717" s="3">
        <v>0.54</v>
      </c>
      <c r="R717" s="3">
        <v>0</v>
      </c>
      <c r="S717" s="2"/>
      <c r="T717" s="5">
        <v>0</v>
      </c>
      <c r="U717" s="4">
        <v>0</v>
      </c>
      <c r="V717" s="4">
        <v>0</v>
      </c>
      <c r="W717" s="2">
        <v>0</v>
      </c>
      <c r="X717" s="4">
        <v>0</v>
      </c>
      <c r="Y717" s="4">
        <v>0</v>
      </c>
      <c r="Z717" s="3">
        <v>0</v>
      </c>
      <c r="AA717" s="3">
        <v>0</v>
      </c>
    </row>
    <row r="718" spans="1:27" x14ac:dyDescent="0.2">
      <c r="A718">
        <f t="shared" si="22"/>
        <v>2</v>
      </c>
      <c r="B718">
        <f t="shared" si="23"/>
        <v>8</v>
      </c>
      <c r="C718" s="1">
        <v>46072</v>
      </c>
      <c r="D718" t="s">
        <v>25</v>
      </c>
      <c r="E718" t="s">
        <v>26</v>
      </c>
      <c r="F718" t="s">
        <v>49</v>
      </c>
      <c r="G718" t="s">
        <v>50</v>
      </c>
      <c r="H718" t="s">
        <v>29</v>
      </c>
      <c r="I718" t="s">
        <v>30</v>
      </c>
      <c r="J718" t="s">
        <v>47</v>
      </c>
      <c r="K718" t="s">
        <v>42</v>
      </c>
      <c r="L718" t="s">
        <v>44</v>
      </c>
      <c r="M718" s="4">
        <v>23</v>
      </c>
      <c r="N718" s="4">
        <v>1</v>
      </c>
      <c r="O718" s="2">
        <v>4.3478260869565216E-2</v>
      </c>
      <c r="P718" s="3">
        <v>0.69</v>
      </c>
      <c r="Q718" s="3">
        <v>0.69</v>
      </c>
      <c r="R718" s="3">
        <v>0</v>
      </c>
      <c r="S718" s="2"/>
      <c r="T718" s="5">
        <v>0</v>
      </c>
      <c r="U718" s="4">
        <v>0</v>
      </c>
      <c r="V718" s="4">
        <v>0</v>
      </c>
      <c r="W718" s="2">
        <v>0</v>
      </c>
      <c r="X718" s="4">
        <v>0</v>
      </c>
      <c r="Y718" s="4">
        <v>0</v>
      </c>
      <c r="Z718" s="3">
        <v>0</v>
      </c>
      <c r="AA718" s="3">
        <v>0</v>
      </c>
    </row>
    <row r="719" spans="1:27" x14ac:dyDescent="0.2">
      <c r="A719">
        <f t="shared" si="22"/>
        <v>2</v>
      </c>
      <c r="B719">
        <f t="shared" si="23"/>
        <v>6</v>
      </c>
      <c r="C719" s="1">
        <v>46056</v>
      </c>
      <c r="D719" t="s">
        <v>25</v>
      </c>
      <c r="E719" t="s">
        <v>26</v>
      </c>
      <c r="F719" t="s">
        <v>27</v>
      </c>
      <c r="G719" t="s">
        <v>124</v>
      </c>
      <c r="H719" t="s">
        <v>29</v>
      </c>
      <c r="I719" t="s">
        <v>30</v>
      </c>
      <c r="J719" t="s">
        <v>44</v>
      </c>
      <c r="K719" t="s">
        <v>87</v>
      </c>
      <c r="L719" t="s">
        <v>44</v>
      </c>
      <c r="M719" s="4">
        <v>14</v>
      </c>
      <c r="N719" s="4">
        <v>1</v>
      </c>
      <c r="O719" s="2">
        <v>7.1428571428571425E-2</v>
      </c>
      <c r="P719" s="3">
        <v>0.2</v>
      </c>
      <c r="Q719" s="3">
        <v>0.2</v>
      </c>
      <c r="R719" s="3">
        <v>0</v>
      </c>
      <c r="S719" s="2"/>
      <c r="T719" s="5">
        <v>0</v>
      </c>
      <c r="U719" s="4">
        <v>0</v>
      </c>
      <c r="V719" s="4">
        <v>0</v>
      </c>
      <c r="W719" s="2">
        <v>0</v>
      </c>
      <c r="X719" s="4">
        <v>0</v>
      </c>
      <c r="Y719" s="4">
        <v>0</v>
      </c>
      <c r="Z719" s="3">
        <v>0</v>
      </c>
      <c r="AA719" s="3">
        <v>0</v>
      </c>
    </row>
    <row r="720" spans="1:27" x14ac:dyDescent="0.2">
      <c r="A720">
        <f t="shared" si="22"/>
        <v>2</v>
      </c>
      <c r="B720">
        <f t="shared" si="23"/>
        <v>7</v>
      </c>
      <c r="C720" s="1">
        <v>46066</v>
      </c>
      <c r="D720" t="s">
        <v>25</v>
      </c>
      <c r="E720" t="s">
        <v>26</v>
      </c>
      <c r="F720" t="s">
        <v>27</v>
      </c>
      <c r="G720" t="s">
        <v>124</v>
      </c>
      <c r="H720" t="s">
        <v>29</v>
      </c>
      <c r="I720" t="s">
        <v>30</v>
      </c>
      <c r="J720" t="s">
        <v>44</v>
      </c>
      <c r="K720" t="s">
        <v>87</v>
      </c>
      <c r="L720" t="s">
        <v>44</v>
      </c>
      <c r="M720" s="4">
        <v>4</v>
      </c>
      <c r="N720" s="4">
        <v>1</v>
      </c>
      <c r="O720" s="2">
        <v>0.25</v>
      </c>
      <c r="P720" s="3">
        <v>0.2</v>
      </c>
      <c r="Q720" s="3">
        <v>0.2</v>
      </c>
      <c r="R720" s="3">
        <v>34.18</v>
      </c>
      <c r="S720" s="2">
        <v>5.8513750731421892E-3</v>
      </c>
      <c r="T720" s="5">
        <v>170.89999999999998</v>
      </c>
      <c r="U720" s="4">
        <v>1</v>
      </c>
      <c r="V720" s="4">
        <v>2</v>
      </c>
      <c r="W720" s="2">
        <v>1</v>
      </c>
      <c r="X720" s="4">
        <v>2</v>
      </c>
      <c r="Y720" s="4">
        <v>0</v>
      </c>
      <c r="Z720" s="3">
        <v>34.18</v>
      </c>
      <c r="AA720" s="3">
        <v>0</v>
      </c>
    </row>
    <row r="721" spans="1:27" x14ac:dyDescent="0.2">
      <c r="A721">
        <f t="shared" si="22"/>
        <v>2</v>
      </c>
      <c r="B721">
        <f t="shared" si="23"/>
        <v>7</v>
      </c>
      <c r="C721" s="1">
        <v>46067</v>
      </c>
      <c r="D721" t="s">
        <v>25</v>
      </c>
      <c r="E721" t="s">
        <v>26</v>
      </c>
      <c r="F721" t="s">
        <v>27</v>
      </c>
      <c r="G721" t="s">
        <v>124</v>
      </c>
      <c r="H721" t="s">
        <v>29</v>
      </c>
      <c r="I721" t="s">
        <v>30</v>
      </c>
      <c r="J721" t="s">
        <v>44</v>
      </c>
      <c r="K721" t="s">
        <v>87</v>
      </c>
      <c r="L721" t="s">
        <v>44</v>
      </c>
      <c r="M721" s="4">
        <v>6</v>
      </c>
      <c r="N721" s="4">
        <v>1</v>
      </c>
      <c r="O721" s="2">
        <v>0.16666666666666663</v>
      </c>
      <c r="P721" s="3">
        <v>0.2</v>
      </c>
      <c r="Q721" s="3">
        <v>0.2</v>
      </c>
      <c r="R721" s="3">
        <v>0</v>
      </c>
      <c r="S721" s="2"/>
      <c r="T721" s="5">
        <v>0</v>
      </c>
      <c r="U721" s="4">
        <v>0</v>
      </c>
      <c r="V721" s="4">
        <v>0</v>
      </c>
      <c r="W721" s="2">
        <v>0</v>
      </c>
      <c r="X721" s="4">
        <v>0</v>
      </c>
      <c r="Y721" s="4">
        <v>0</v>
      </c>
      <c r="Z721" s="3">
        <v>0</v>
      </c>
      <c r="AA721" s="3">
        <v>0</v>
      </c>
    </row>
    <row r="722" spans="1:27" x14ac:dyDescent="0.2">
      <c r="A722">
        <f t="shared" si="22"/>
        <v>2</v>
      </c>
      <c r="B722">
        <f t="shared" si="23"/>
        <v>8</v>
      </c>
      <c r="C722" s="1">
        <v>46068</v>
      </c>
      <c r="D722" t="s">
        <v>25</v>
      </c>
      <c r="E722" t="s">
        <v>26</v>
      </c>
      <c r="F722" t="s">
        <v>27</v>
      </c>
      <c r="G722" t="s">
        <v>28</v>
      </c>
      <c r="H722" t="s">
        <v>29</v>
      </c>
      <c r="I722" t="s">
        <v>30</v>
      </c>
      <c r="J722" t="s">
        <v>44</v>
      </c>
      <c r="K722" t="s">
        <v>32</v>
      </c>
      <c r="L722" t="s">
        <v>44</v>
      </c>
      <c r="M722" s="4">
        <v>12</v>
      </c>
      <c r="N722" s="4">
        <v>1</v>
      </c>
      <c r="O722" s="2">
        <v>8.3333333333333315E-2</v>
      </c>
      <c r="P722" s="3">
        <v>0.2</v>
      </c>
      <c r="Q722" s="3">
        <v>0.2</v>
      </c>
      <c r="R722" s="3">
        <v>0</v>
      </c>
      <c r="S722" s="2"/>
      <c r="T722" s="5">
        <v>0</v>
      </c>
      <c r="U722" s="4">
        <v>0</v>
      </c>
      <c r="V722" s="4">
        <v>0</v>
      </c>
      <c r="W722" s="2">
        <v>0</v>
      </c>
      <c r="X722" s="4">
        <v>0</v>
      </c>
      <c r="Y722" s="4">
        <v>0</v>
      </c>
      <c r="Z722" s="3">
        <v>0</v>
      </c>
      <c r="AA722" s="3">
        <v>0</v>
      </c>
    </row>
    <row r="723" spans="1:27" x14ac:dyDescent="0.2">
      <c r="A723">
        <f t="shared" si="22"/>
        <v>2</v>
      </c>
      <c r="B723">
        <f t="shared" si="23"/>
        <v>7</v>
      </c>
      <c r="C723" s="1">
        <v>46061</v>
      </c>
      <c r="D723" t="s">
        <v>25</v>
      </c>
      <c r="E723" t="s">
        <v>26</v>
      </c>
      <c r="F723" t="s">
        <v>39</v>
      </c>
      <c r="G723" t="s">
        <v>40</v>
      </c>
      <c r="H723" t="s">
        <v>29</v>
      </c>
      <c r="I723" t="s">
        <v>30</v>
      </c>
      <c r="J723" t="s">
        <v>41</v>
      </c>
      <c r="K723" t="s">
        <v>42</v>
      </c>
      <c r="L723" t="s">
        <v>263</v>
      </c>
      <c r="M723" s="4">
        <v>2</v>
      </c>
      <c r="N723" s="4">
        <v>1</v>
      </c>
      <c r="O723" s="2">
        <v>0.5</v>
      </c>
      <c r="P723" s="3">
        <v>0.66</v>
      </c>
      <c r="Q723" s="3">
        <v>0.66</v>
      </c>
      <c r="R723" s="3">
        <v>0</v>
      </c>
      <c r="S723" s="2"/>
      <c r="T723" s="5">
        <v>0</v>
      </c>
      <c r="U723" s="4">
        <v>0</v>
      </c>
      <c r="V723" s="4">
        <v>0</v>
      </c>
      <c r="W723" s="2">
        <v>0</v>
      </c>
      <c r="X723" s="4">
        <v>0</v>
      </c>
      <c r="Y723" s="4">
        <v>0</v>
      </c>
      <c r="Z723" s="3">
        <v>0</v>
      </c>
      <c r="AA723" s="3">
        <v>0</v>
      </c>
    </row>
    <row r="724" spans="1:27" x14ac:dyDescent="0.2">
      <c r="A724">
        <f t="shared" si="22"/>
        <v>2</v>
      </c>
      <c r="B724">
        <f t="shared" si="23"/>
        <v>6</v>
      </c>
      <c r="C724" s="1">
        <v>46055</v>
      </c>
      <c r="D724" t="s">
        <v>25</v>
      </c>
      <c r="E724" t="s">
        <v>26</v>
      </c>
      <c r="F724" t="s">
        <v>34</v>
      </c>
      <c r="G724" t="s">
        <v>28</v>
      </c>
      <c r="H724" t="s">
        <v>29</v>
      </c>
      <c r="I724" t="s">
        <v>30</v>
      </c>
      <c r="J724" t="s">
        <v>44</v>
      </c>
      <c r="K724" t="s">
        <v>32</v>
      </c>
      <c r="L724" t="s">
        <v>532</v>
      </c>
      <c r="M724" s="4">
        <v>4</v>
      </c>
      <c r="N724" s="4">
        <v>1</v>
      </c>
      <c r="O724" s="2">
        <v>0.25</v>
      </c>
      <c r="P724" s="3">
        <v>0.92</v>
      </c>
      <c r="Q724" s="3">
        <v>0.92</v>
      </c>
      <c r="R724" s="3">
        <v>0</v>
      </c>
      <c r="S724" s="2"/>
      <c r="T724" s="5">
        <v>0</v>
      </c>
      <c r="U724" s="4">
        <v>0</v>
      </c>
      <c r="V724" s="4">
        <v>0</v>
      </c>
      <c r="W724" s="2">
        <v>0</v>
      </c>
      <c r="X724" s="4">
        <v>0</v>
      </c>
      <c r="Y724" s="4">
        <v>0</v>
      </c>
      <c r="Z724" s="3">
        <v>0</v>
      </c>
      <c r="AA724" s="3">
        <v>0</v>
      </c>
    </row>
    <row r="725" spans="1:27" x14ac:dyDescent="0.2">
      <c r="A725">
        <f t="shared" si="22"/>
        <v>2</v>
      </c>
      <c r="B725">
        <f t="shared" si="23"/>
        <v>6</v>
      </c>
      <c r="C725" s="1">
        <v>46057</v>
      </c>
      <c r="D725" t="s">
        <v>25</v>
      </c>
      <c r="E725" t="s">
        <v>26</v>
      </c>
      <c r="F725" t="s">
        <v>39</v>
      </c>
      <c r="G725" t="s">
        <v>40</v>
      </c>
      <c r="H725" t="s">
        <v>29</v>
      </c>
      <c r="I725" t="s">
        <v>30</v>
      </c>
      <c r="J725" t="s">
        <v>41</v>
      </c>
      <c r="K725" t="s">
        <v>42</v>
      </c>
      <c r="L725" t="s">
        <v>533</v>
      </c>
      <c r="M725" s="4">
        <v>1</v>
      </c>
      <c r="N725" s="4">
        <v>1</v>
      </c>
      <c r="O725" s="2">
        <v>1</v>
      </c>
      <c r="P725" s="3">
        <v>0.72</v>
      </c>
      <c r="Q725" s="3">
        <v>0.72</v>
      </c>
      <c r="R725" s="3">
        <v>0</v>
      </c>
      <c r="S725" s="2"/>
      <c r="T725" s="5">
        <v>0</v>
      </c>
      <c r="U725" s="4">
        <v>0</v>
      </c>
      <c r="V725" s="4">
        <v>0</v>
      </c>
      <c r="W725" s="2">
        <v>0</v>
      </c>
      <c r="X725" s="4">
        <v>0</v>
      </c>
      <c r="Y725" s="4">
        <v>0</v>
      </c>
      <c r="Z725" s="3">
        <v>0</v>
      </c>
      <c r="AA725" s="3">
        <v>0</v>
      </c>
    </row>
    <row r="726" spans="1:27" x14ac:dyDescent="0.2">
      <c r="A726">
        <f t="shared" si="22"/>
        <v>2</v>
      </c>
      <c r="B726">
        <f t="shared" si="23"/>
        <v>6</v>
      </c>
      <c r="C726" s="1">
        <v>46054</v>
      </c>
      <c r="D726" t="s">
        <v>25</v>
      </c>
      <c r="E726" t="s">
        <v>26</v>
      </c>
      <c r="F726" t="s">
        <v>34</v>
      </c>
      <c r="G726" t="s">
        <v>28</v>
      </c>
      <c r="H726" t="s">
        <v>29</v>
      </c>
      <c r="I726" t="s">
        <v>30</v>
      </c>
      <c r="J726" t="s">
        <v>37</v>
      </c>
      <c r="K726" t="s">
        <v>32</v>
      </c>
      <c r="L726" t="s">
        <v>534</v>
      </c>
      <c r="M726" s="4">
        <v>3</v>
      </c>
      <c r="N726" s="4">
        <v>1</v>
      </c>
      <c r="O726" s="2">
        <v>0.33333333333333331</v>
      </c>
      <c r="P726" s="3">
        <v>1.62</v>
      </c>
      <c r="Q726" s="3">
        <v>1.62</v>
      </c>
      <c r="R726" s="3">
        <v>0</v>
      </c>
      <c r="S726" s="2"/>
      <c r="T726" s="5">
        <v>0</v>
      </c>
      <c r="U726" s="4">
        <v>0</v>
      </c>
      <c r="V726" s="4">
        <v>0</v>
      </c>
      <c r="W726" s="2">
        <v>0</v>
      </c>
      <c r="X726" s="4">
        <v>0</v>
      </c>
      <c r="Y726" s="4">
        <v>0</v>
      </c>
      <c r="Z726" s="3">
        <v>0</v>
      </c>
      <c r="AA726" s="3">
        <v>0</v>
      </c>
    </row>
    <row r="727" spans="1:27" x14ac:dyDescent="0.2">
      <c r="A727">
        <f t="shared" si="22"/>
        <v>2</v>
      </c>
      <c r="B727">
        <f t="shared" si="23"/>
        <v>6</v>
      </c>
      <c r="C727" s="1">
        <v>46058</v>
      </c>
      <c r="D727" t="s">
        <v>25</v>
      </c>
      <c r="E727" t="s">
        <v>26</v>
      </c>
      <c r="F727" t="s">
        <v>27</v>
      </c>
      <c r="G727" t="s">
        <v>28</v>
      </c>
      <c r="H727" t="s">
        <v>29</v>
      </c>
      <c r="I727" t="s">
        <v>30</v>
      </c>
      <c r="J727" t="s">
        <v>50</v>
      </c>
      <c r="K727" t="s">
        <v>32</v>
      </c>
      <c r="L727" t="s">
        <v>535</v>
      </c>
      <c r="M727" s="4">
        <v>1</v>
      </c>
      <c r="N727" s="4">
        <v>1</v>
      </c>
      <c r="O727" s="2">
        <v>1</v>
      </c>
      <c r="P727" s="3">
        <v>0.21</v>
      </c>
      <c r="Q727" s="3">
        <v>0.21</v>
      </c>
      <c r="R727" s="3">
        <v>0</v>
      </c>
      <c r="S727" s="2"/>
      <c r="T727" s="5">
        <v>0</v>
      </c>
      <c r="U727" s="4">
        <v>0</v>
      </c>
      <c r="V727" s="4">
        <v>0</v>
      </c>
      <c r="W727" s="2">
        <v>0</v>
      </c>
      <c r="X727" s="4">
        <v>0</v>
      </c>
      <c r="Y727" s="4">
        <v>0</v>
      </c>
      <c r="Z727" s="3">
        <v>0</v>
      </c>
      <c r="AA727" s="3">
        <v>0</v>
      </c>
    </row>
    <row r="728" spans="1:27" x14ac:dyDescent="0.2">
      <c r="A728">
        <f t="shared" si="22"/>
        <v>2</v>
      </c>
      <c r="B728">
        <f t="shared" si="23"/>
        <v>6</v>
      </c>
      <c r="C728" s="1">
        <v>46060</v>
      </c>
      <c r="D728" t="s">
        <v>25</v>
      </c>
      <c r="E728" t="s">
        <v>26</v>
      </c>
      <c r="F728" t="s">
        <v>49</v>
      </c>
      <c r="G728" t="s">
        <v>50</v>
      </c>
      <c r="H728" t="s">
        <v>29</v>
      </c>
      <c r="I728" t="s">
        <v>30</v>
      </c>
      <c r="J728" t="s">
        <v>95</v>
      </c>
      <c r="K728" t="s">
        <v>42</v>
      </c>
      <c r="L728" t="s">
        <v>536</v>
      </c>
      <c r="M728" s="4">
        <v>2</v>
      </c>
      <c r="N728" s="4">
        <v>1</v>
      </c>
      <c r="O728" s="2">
        <v>0.5</v>
      </c>
      <c r="P728" s="3">
        <v>0.57999999999999996</v>
      </c>
      <c r="Q728" s="3">
        <v>0.57999999999999996</v>
      </c>
      <c r="R728" s="3">
        <v>0</v>
      </c>
      <c r="S728" s="2"/>
      <c r="T728" s="5">
        <v>0</v>
      </c>
      <c r="U728" s="4">
        <v>0</v>
      </c>
      <c r="V728" s="4">
        <v>0</v>
      </c>
      <c r="W728" s="2">
        <v>0</v>
      </c>
      <c r="X728" s="4">
        <v>0</v>
      </c>
      <c r="Y728" s="4">
        <v>0</v>
      </c>
      <c r="Z728" s="3">
        <v>0</v>
      </c>
      <c r="AA728" s="3">
        <v>0</v>
      </c>
    </row>
    <row r="729" spans="1:27" x14ac:dyDescent="0.2">
      <c r="A729">
        <f t="shared" si="22"/>
        <v>2</v>
      </c>
      <c r="B729">
        <f t="shared" si="23"/>
        <v>7</v>
      </c>
      <c r="C729" s="1">
        <v>46062</v>
      </c>
      <c r="D729" t="s">
        <v>25</v>
      </c>
      <c r="E729" t="s">
        <v>26</v>
      </c>
      <c r="F729" t="s">
        <v>27</v>
      </c>
      <c r="G729" t="s">
        <v>28</v>
      </c>
      <c r="H729" t="s">
        <v>29</v>
      </c>
      <c r="I729" t="s">
        <v>30</v>
      </c>
      <c r="J729" t="s">
        <v>50</v>
      </c>
      <c r="K729" t="s">
        <v>32</v>
      </c>
      <c r="L729" t="s">
        <v>537</v>
      </c>
      <c r="M729" s="4">
        <v>1</v>
      </c>
      <c r="N729" s="4">
        <v>1</v>
      </c>
      <c r="O729" s="2">
        <v>1</v>
      </c>
      <c r="P729" s="3">
        <v>0.4</v>
      </c>
      <c r="Q729" s="3">
        <v>0.4</v>
      </c>
      <c r="R729" s="3">
        <v>0</v>
      </c>
      <c r="S729" s="2"/>
      <c r="T729" s="5">
        <v>0</v>
      </c>
      <c r="U729" s="4">
        <v>0</v>
      </c>
      <c r="V729" s="4">
        <v>0</v>
      </c>
      <c r="W729" s="2">
        <v>0</v>
      </c>
      <c r="X729" s="4">
        <v>0</v>
      </c>
      <c r="Y729" s="4">
        <v>0</v>
      </c>
      <c r="Z729" s="3">
        <v>0</v>
      </c>
      <c r="AA729" s="3">
        <v>0</v>
      </c>
    </row>
    <row r="730" spans="1:27" x14ac:dyDescent="0.2">
      <c r="A730">
        <f t="shared" si="22"/>
        <v>2</v>
      </c>
      <c r="B730">
        <f t="shared" si="23"/>
        <v>7</v>
      </c>
      <c r="C730" s="1">
        <v>46063</v>
      </c>
      <c r="D730" t="s">
        <v>25</v>
      </c>
      <c r="E730" t="s">
        <v>26</v>
      </c>
      <c r="F730" t="s">
        <v>27</v>
      </c>
      <c r="G730" t="s">
        <v>124</v>
      </c>
      <c r="H730" t="s">
        <v>29</v>
      </c>
      <c r="I730" t="s">
        <v>30</v>
      </c>
      <c r="J730" t="s">
        <v>119</v>
      </c>
      <c r="K730" t="s">
        <v>267</v>
      </c>
      <c r="L730" t="s">
        <v>119</v>
      </c>
      <c r="M730" s="4">
        <v>9</v>
      </c>
      <c r="N730" s="4">
        <v>1</v>
      </c>
      <c r="O730" s="2">
        <v>0.1111111111111111</v>
      </c>
      <c r="P730" s="3">
        <v>0.2</v>
      </c>
      <c r="Q730" s="3">
        <v>0.2</v>
      </c>
      <c r="R730" s="3">
        <v>0</v>
      </c>
      <c r="S730" s="2"/>
      <c r="T730" s="5">
        <v>0</v>
      </c>
      <c r="U730" s="4">
        <v>0</v>
      </c>
      <c r="V730" s="4">
        <v>0</v>
      </c>
      <c r="W730" s="2">
        <v>0</v>
      </c>
      <c r="X730" s="4">
        <v>0</v>
      </c>
      <c r="Y730" s="4">
        <v>0</v>
      </c>
      <c r="Z730" s="3">
        <v>0</v>
      </c>
      <c r="AA730" s="3">
        <v>0</v>
      </c>
    </row>
    <row r="731" spans="1:27" x14ac:dyDescent="0.2">
      <c r="A731">
        <f t="shared" si="22"/>
        <v>2</v>
      </c>
      <c r="B731">
        <f t="shared" si="23"/>
        <v>8</v>
      </c>
      <c r="C731" s="1">
        <v>46071</v>
      </c>
      <c r="D731" t="s">
        <v>25</v>
      </c>
      <c r="E731" t="s">
        <v>26</v>
      </c>
      <c r="F731" t="s">
        <v>27</v>
      </c>
      <c r="G731" t="s">
        <v>124</v>
      </c>
      <c r="H731" t="s">
        <v>29</v>
      </c>
      <c r="I731" t="s">
        <v>30</v>
      </c>
      <c r="J731" t="s">
        <v>119</v>
      </c>
      <c r="K731" t="s">
        <v>267</v>
      </c>
      <c r="L731" t="s">
        <v>119</v>
      </c>
      <c r="M731" s="4">
        <v>6</v>
      </c>
      <c r="N731" s="4">
        <v>1</v>
      </c>
      <c r="O731" s="2">
        <v>0.16666666666666663</v>
      </c>
      <c r="P731" s="3">
        <v>0.2</v>
      </c>
      <c r="Q731" s="3">
        <v>0.2</v>
      </c>
      <c r="R731" s="3">
        <v>17.09</v>
      </c>
      <c r="S731" s="2">
        <v>1.1702750146284377E-2</v>
      </c>
      <c r="T731" s="5">
        <v>85.449999999999989</v>
      </c>
      <c r="U731" s="4">
        <v>1</v>
      </c>
      <c r="V731" s="4">
        <v>1</v>
      </c>
      <c r="W731" s="2">
        <v>1</v>
      </c>
      <c r="X731" s="4">
        <v>1</v>
      </c>
      <c r="Y731" s="4">
        <v>0</v>
      </c>
      <c r="Z731" s="3">
        <v>17.09</v>
      </c>
      <c r="AA731" s="3">
        <v>0</v>
      </c>
    </row>
    <row r="732" spans="1:27" x14ac:dyDescent="0.2">
      <c r="A732">
        <f t="shared" si="22"/>
        <v>2</v>
      </c>
      <c r="B732">
        <f t="shared" si="23"/>
        <v>8</v>
      </c>
      <c r="C732" s="1">
        <v>46072</v>
      </c>
      <c r="D732" t="s">
        <v>25</v>
      </c>
      <c r="E732" t="s">
        <v>26</v>
      </c>
      <c r="F732" t="s">
        <v>27</v>
      </c>
      <c r="G732" t="s">
        <v>124</v>
      </c>
      <c r="H732" t="s">
        <v>29</v>
      </c>
      <c r="I732" t="s">
        <v>30</v>
      </c>
      <c r="J732" t="s">
        <v>119</v>
      </c>
      <c r="K732" t="s">
        <v>267</v>
      </c>
      <c r="L732" t="s">
        <v>119</v>
      </c>
      <c r="M732" s="4">
        <v>17</v>
      </c>
      <c r="N732" s="4">
        <v>2</v>
      </c>
      <c r="O732" s="2">
        <v>0.1176470588235294</v>
      </c>
      <c r="P732" s="3">
        <v>0.20499999999999999</v>
      </c>
      <c r="Q732" s="3">
        <v>0.41</v>
      </c>
      <c r="R732" s="3">
        <v>0</v>
      </c>
      <c r="S732" s="2"/>
      <c r="T732" s="5">
        <v>0</v>
      </c>
      <c r="U732" s="4">
        <v>0</v>
      </c>
      <c r="V732" s="4">
        <v>0</v>
      </c>
      <c r="W732" s="2">
        <v>0</v>
      </c>
      <c r="X732" s="4">
        <v>0</v>
      </c>
      <c r="Y732" s="4">
        <v>0</v>
      </c>
      <c r="Z732" s="3">
        <v>0</v>
      </c>
      <c r="AA732" s="3">
        <v>0</v>
      </c>
    </row>
    <row r="733" spans="1:27" x14ac:dyDescent="0.2">
      <c r="A733">
        <f t="shared" si="22"/>
        <v>2</v>
      </c>
      <c r="B733">
        <f t="shared" si="23"/>
        <v>8</v>
      </c>
      <c r="C733" s="1">
        <v>46072</v>
      </c>
      <c r="D733" t="s">
        <v>25</v>
      </c>
      <c r="E733" t="s">
        <v>26</v>
      </c>
      <c r="F733" t="s">
        <v>49</v>
      </c>
      <c r="G733" t="s">
        <v>50</v>
      </c>
      <c r="H733" t="s">
        <v>29</v>
      </c>
      <c r="I733" t="s">
        <v>30</v>
      </c>
      <c r="J733" t="s">
        <v>95</v>
      </c>
      <c r="K733" t="s">
        <v>42</v>
      </c>
      <c r="L733" t="s">
        <v>538</v>
      </c>
      <c r="M733" s="4">
        <v>1</v>
      </c>
      <c r="N733" s="4">
        <v>1</v>
      </c>
      <c r="O733" s="2">
        <v>1</v>
      </c>
      <c r="P733" s="3">
        <v>0.52</v>
      </c>
      <c r="Q733" s="3">
        <v>0.52</v>
      </c>
      <c r="R733" s="3">
        <v>0</v>
      </c>
      <c r="S733" s="2"/>
      <c r="T733" s="5">
        <v>0</v>
      </c>
      <c r="U733" s="4">
        <v>0</v>
      </c>
      <c r="V733" s="4">
        <v>0</v>
      </c>
      <c r="W733" s="2">
        <v>0</v>
      </c>
      <c r="X733" s="4">
        <v>0</v>
      </c>
      <c r="Y733" s="4">
        <v>0</v>
      </c>
      <c r="Z733" s="3">
        <v>0</v>
      </c>
      <c r="AA733" s="3">
        <v>0</v>
      </c>
    </row>
    <row r="734" spans="1:27" x14ac:dyDescent="0.2">
      <c r="A734">
        <f t="shared" si="22"/>
        <v>2</v>
      </c>
      <c r="B734">
        <f t="shared" si="23"/>
        <v>7</v>
      </c>
      <c r="C734" s="1">
        <v>46061</v>
      </c>
      <c r="D734" t="s">
        <v>25</v>
      </c>
      <c r="E734" t="s">
        <v>26</v>
      </c>
      <c r="F734" t="s">
        <v>49</v>
      </c>
      <c r="G734" t="s">
        <v>50</v>
      </c>
      <c r="H734" t="s">
        <v>29</v>
      </c>
      <c r="I734" t="s">
        <v>30</v>
      </c>
      <c r="J734" t="s">
        <v>47</v>
      </c>
      <c r="K734" t="s">
        <v>42</v>
      </c>
      <c r="L734" t="s">
        <v>243</v>
      </c>
      <c r="M734" s="4">
        <v>27</v>
      </c>
      <c r="N734" s="4">
        <v>1</v>
      </c>
      <c r="O734" s="2">
        <v>3.7037037037037035E-2</v>
      </c>
      <c r="P734" s="3">
        <v>0.62</v>
      </c>
      <c r="Q734" s="3">
        <v>0.62</v>
      </c>
      <c r="R734" s="3">
        <v>0</v>
      </c>
      <c r="S734" s="2"/>
      <c r="T734" s="5">
        <v>0</v>
      </c>
      <c r="U734" s="4">
        <v>0</v>
      </c>
      <c r="V734" s="4">
        <v>0</v>
      </c>
      <c r="W734" s="2">
        <v>0</v>
      </c>
      <c r="X734" s="4">
        <v>0</v>
      </c>
      <c r="Y734" s="4">
        <v>0</v>
      </c>
      <c r="Z734" s="3">
        <v>0</v>
      </c>
      <c r="AA734" s="3">
        <v>0</v>
      </c>
    </row>
    <row r="735" spans="1:27" x14ac:dyDescent="0.2">
      <c r="A735">
        <f t="shared" si="22"/>
        <v>2</v>
      </c>
      <c r="B735">
        <f t="shared" si="23"/>
        <v>6</v>
      </c>
      <c r="C735" s="1">
        <v>46058</v>
      </c>
      <c r="D735" t="s">
        <v>25</v>
      </c>
      <c r="E735" t="s">
        <v>26</v>
      </c>
      <c r="F735" t="s">
        <v>27</v>
      </c>
      <c r="G735" t="s">
        <v>28</v>
      </c>
      <c r="H735" t="s">
        <v>29</v>
      </c>
      <c r="I735" t="s">
        <v>30</v>
      </c>
      <c r="J735" t="s">
        <v>243</v>
      </c>
      <c r="K735" t="s">
        <v>32</v>
      </c>
      <c r="L735" t="s">
        <v>243</v>
      </c>
      <c r="M735" s="4">
        <v>3</v>
      </c>
      <c r="N735" s="4">
        <v>1</v>
      </c>
      <c r="O735" s="2">
        <v>0.33333333333333331</v>
      </c>
      <c r="P735" s="3">
        <v>0.2</v>
      </c>
      <c r="Q735" s="3">
        <v>0.2</v>
      </c>
      <c r="R735" s="3">
        <v>0</v>
      </c>
      <c r="S735" s="2"/>
      <c r="T735" s="5">
        <v>0</v>
      </c>
      <c r="U735" s="4">
        <v>0</v>
      </c>
      <c r="V735" s="4">
        <v>0</v>
      </c>
      <c r="W735" s="2">
        <v>0</v>
      </c>
      <c r="X735" s="4">
        <v>0</v>
      </c>
      <c r="Y735" s="4">
        <v>0</v>
      </c>
      <c r="Z735" s="3">
        <v>0</v>
      </c>
      <c r="AA735" s="3">
        <v>0</v>
      </c>
    </row>
    <row r="736" spans="1:27" x14ac:dyDescent="0.2">
      <c r="A736">
        <f t="shared" si="22"/>
        <v>2</v>
      </c>
      <c r="B736">
        <f t="shared" si="23"/>
        <v>8</v>
      </c>
      <c r="C736" s="1">
        <v>46073</v>
      </c>
      <c r="D736" t="s">
        <v>25</v>
      </c>
      <c r="E736" t="s">
        <v>26</v>
      </c>
      <c r="F736" t="s">
        <v>27</v>
      </c>
      <c r="G736" t="s">
        <v>28</v>
      </c>
      <c r="H736" t="s">
        <v>29</v>
      </c>
      <c r="I736" t="s">
        <v>30</v>
      </c>
      <c r="J736" t="s">
        <v>243</v>
      </c>
      <c r="K736" t="s">
        <v>32</v>
      </c>
      <c r="L736" t="s">
        <v>243</v>
      </c>
      <c r="M736" s="4">
        <v>2</v>
      </c>
      <c r="N736" s="4">
        <v>1</v>
      </c>
      <c r="O736" s="2">
        <v>0.5</v>
      </c>
      <c r="P736" s="3">
        <v>0.2</v>
      </c>
      <c r="Q736" s="3">
        <v>0.2</v>
      </c>
      <c r="R736" s="3">
        <v>17.09</v>
      </c>
      <c r="S736" s="2">
        <v>1.1702750146284377E-2</v>
      </c>
      <c r="T736" s="5">
        <v>85.449999999999989</v>
      </c>
      <c r="U736" s="4">
        <v>1</v>
      </c>
      <c r="V736" s="4">
        <v>1</v>
      </c>
      <c r="W736" s="2">
        <v>1</v>
      </c>
      <c r="X736" s="4">
        <v>1</v>
      </c>
      <c r="Y736" s="4">
        <v>0</v>
      </c>
      <c r="Z736" s="3">
        <v>17.09</v>
      </c>
      <c r="AA736" s="3">
        <v>0</v>
      </c>
    </row>
    <row r="737" spans="1:27" x14ac:dyDescent="0.2">
      <c r="A737">
        <f t="shared" si="22"/>
        <v>2</v>
      </c>
      <c r="B737">
        <f t="shared" si="23"/>
        <v>6</v>
      </c>
      <c r="C737" s="1">
        <v>46057</v>
      </c>
      <c r="D737" t="s">
        <v>25</v>
      </c>
      <c r="E737" t="s">
        <v>26</v>
      </c>
      <c r="F737" t="s">
        <v>39</v>
      </c>
      <c r="G737" t="s">
        <v>40</v>
      </c>
      <c r="H737" t="s">
        <v>29</v>
      </c>
      <c r="I737" t="s">
        <v>30</v>
      </c>
      <c r="J737" t="s">
        <v>539</v>
      </c>
      <c r="K737" t="s">
        <v>42</v>
      </c>
      <c r="L737" t="s">
        <v>540</v>
      </c>
      <c r="M737" s="4">
        <v>2</v>
      </c>
      <c r="N737" s="4">
        <v>1</v>
      </c>
      <c r="O737" s="2">
        <v>0.5</v>
      </c>
      <c r="P737" s="3">
        <v>0.64</v>
      </c>
      <c r="Q737" s="3">
        <v>0.64</v>
      </c>
      <c r="R737" s="3">
        <v>0</v>
      </c>
      <c r="S737" s="2"/>
      <c r="T737" s="5">
        <v>0</v>
      </c>
      <c r="U737" s="4">
        <v>0</v>
      </c>
      <c r="V737" s="4">
        <v>0</v>
      </c>
      <c r="W737" s="2">
        <v>0</v>
      </c>
      <c r="X737" s="4">
        <v>0</v>
      </c>
      <c r="Y737" s="4">
        <v>0</v>
      </c>
      <c r="Z737" s="3">
        <v>0</v>
      </c>
      <c r="AA737" s="3">
        <v>0</v>
      </c>
    </row>
    <row r="738" spans="1:27" x14ac:dyDescent="0.2">
      <c r="A738">
        <f t="shared" si="22"/>
        <v>2</v>
      </c>
      <c r="B738">
        <f t="shared" si="23"/>
        <v>7</v>
      </c>
      <c r="C738" s="1">
        <v>46066</v>
      </c>
      <c r="D738" t="s">
        <v>25</v>
      </c>
      <c r="E738" t="s">
        <v>26</v>
      </c>
      <c r="F738" t="s">
        <v>27</v>
      </c>
      <c r="G738" t="s">
        <v>28</v>
      </c>
      <c r="H738" t="s">
        <v>29</v>
      </c>
      <c r="I738" t="s">
        <v>30</v>
      </c>
      <c r="J738" t="s">
        <v>156</v>
      </c>
      <c r="K738" t="s">
        <v>32</v>
      </c>
      <c r="L738" t="s">
        <v>541</v>
      </c>
      <c r="M738" s="4">
        <v>3</v>
      </c>
      <c r="N738" s="4">
        <v>1</v>
      </c>
      <c r="O738" s="2">
        <v>0.33333333333333331</v>
      </c>
      <c r="P738" s="3">
        <v>0.21</v>
      </c>
      <c r="Q738" s="3">
        <v>0.21</v>
      </c>
      <c r="R738" s="3">
        <v>0</v>
      </c>
      <c r="S738" s="2"/>
      <c r="T738" s="5">
        <v>0</v>
      </c>
      <c r="U738" s="4">
        <v>0</v>
      </c>
      <c r="V738" s="4">
        <v>0</v>
      </c>
      <c r="W738" s="2">
        <v>0</v>
      </c>
      <c r="X738" s="4">
        <v>0</v>
      </c>
      <c r="Y738" s="4">
        <v>0</v>
      </c>
      <c r="Z738" s="3">
        <v>0</v>
      </c>
      <c r="AA738" s="3">
        <v>0</v>
      </c>
    </row>
    <row r="739" spans="1:27" x14ac:dyDescent="0.2">
      <c r="A739">
        <f t="shared" si="22"/>
        <v>2</v>
      </c>
      <c r="B739">
        <f t="shared" si="23"/>
        <v>6</v>
      </c>
      <c r="C739" s="1">
        <v>46058</v>
      </c>
      <c r="D739" t="s">
        <v>25</v>
      </c>
      <c r="E739" t="s">
        <v>26</v>
      </c>
      <c r="F739" t="s">
        <v>49</v>
      </c>
      <c r="G739" t="s">
        <v>50</v>
      </c>
      <c r="H739" t="s">
        <v>29</v>
      </c>
      <c r="I739" t="s">
        <v>30</v>
      </c>
      <c r="J739" t="s">
        <v>95</v>
      </c>
      <c r="K739" t="s">
        <v>42</v>
      </c>
      <c r="L739" t="s">
        <v>542</v>
      </c>
      <c r="M739" s="4">
        <v>1</v>
      </c>
      <c r="N739" s="4">
        <v>1</v>
      </c>
      <c r="O739" s="2">
        <v>1</v>
      </c>
      <c r="P739" s="3">
        <v>0.69</v>
      </c>
      <c r="Q739" s="3">
        <v>0.69</v>
      </c>
      <c r="R739" s="3">
        <v>0</v>
      </c>
      <c r="S739" s="2"/>
      <c r="T739" s="5">
        <v>0</v>
      </c>
      <c r="U739" s="4">
        <v>0</v>
      </c>
      <c r="V739" s="4">
        <v>0</v>
      </c>
      <c r="W739" s="2">
        <v>0</v>
      </c>
      <c r="X739" s="4">
        <v>0</v>
      </c>
      <c r="Y739" s="4">
        <v>0</v>
      </c>
      <c r="Z739" s="3">
        <v>0</v>
      </c>
      <c r="AA739" s="3">
        <v>0</v>
      </c>
    </row>
    <row r="740" spans="1:27" x14ac:dyDescent="0.2">
      <c r="A740">
        <f t="shared" si="22"/>
        <v>2</v>
      </c>
      <c r="B740">
        <f t="shared" si="23"/>
        <v>6</v>
      </c>
      <c r="C740" s="1">
        <v>46059</v>
      </c>
      <c r="D740" t="s">
        <v>25</v>
      </c>
      <c r="E740" t="s">
        <v>26</v>
      </c>
      <c r="F740" t="s">
        <v>34</v>
      </c>
      <c r="G740" t="s">
        <v>28</v>
      </c>
      <c r="H740" t="s">
        <v>29</v>
      </c>
      <c r="I740" t="s">
        <v>30</v>
      </c>
      <c r="J740" t="s">
        <v>257</v>
      </c>
      <c r="K740" t="s">
        <v>32</v>
      </c>
      <c r="L740" t="s">
        <v>374</v>
      </c>
      <c r="M740" s="4">
        <v>5</v>
      </c>
      <c r="N740" s="4">
        <v>1</v>
      </c>
      <c r="O740" s="2">
        <v>0.2</v>
      </c>
      <c r="P740" s="3">
        <v>0.52</v>
      </c>
      <c r="Q740" s="3">
        <v>0.52</v>
      </c>
      <c r="R740" s="3">
        <v>0</v>
      </c>
      <c r="S740" s="2"/>
      <c r="T740" s="5">
        <v>0</v>
      </c>
      <c r="U740" s="4">
        <v>0</v>
      </c>
      <c r="V740" s="4">
        <v>0</v>
      </c>
      <c r="W740" s="2">
        <v>0</v>
      </c>
      <c r="X740" s="4">
        <v>0</v>
      </c>
      <c r="Y740" s="4">
        <v>0</v>
      </c>
      <c r="Z740" s="3">
        <v>0</v>
      </c>
      <c r="AA740" s="3">
        <v>0</v>
      </c>
    </row>
    <row r="741" spans="1:27" x14ac:dyDescent="0.2">
      <c r="A741">
        <f t="shared" si="22"/>
        <v>2</v>
      </c>
      <c r="B741">
        <f t="shared" si="23"/>
        <v>6</v>
      </c>
      <c r="C741" s="1">
        <v>46054</v>
      </c>
      <c r="D741" t="s">
        <v>25</v>
      </c>
      <c r="E741" t="s">
        <v>26</v>
      </c>
      <c r="F741" t="s">
        <v>34</v>
      </c>
      <c r="G741" t="s">
        <v>273</v>
      </c>
      <c r="H741" t="s">
        <v>29</v>
      </c>
      <c r="I741" t="s">
        <v>30</v>
      </c>
      <c r="J741" t="s">
        <v>31</v>
      </c>
      <c r="K741" t="s">
        <v>267</v>
      </c>
      <c r="L741" t="s">
        <v>31</v>
      </c>
      <c r="M741" s="4">
        <v>9</v>
      </c>
      <c r="N741" s="4">
        <v>1</v>
      </c>
      <c r="O741" s="2">
        <v>0.1111111111111111</v>
      </c>
      <c r="P741" s="3">
        <v>0.65</v>
      </c>
      <c r="Q741" s="3">
        <v>0.65</v>
      </c>
      <c r="R741" s="3">
        <v>0</v>
      </c>
      <c r="S741" s="2"/>
      <c r="T741" s="5">
        <v>0</v>
      </c>
      <c r="U741" s="4">
        <v>0</v>
      </c>
      <c r="V741" s="4">
        <v>0</v>
      </c>
      <c r="W741" s="2">
        <v>0</v>
      </c>
      <c r="X741" s="4">
        <v>0</v>
      </c>
      <c r="Y741" s="4">
        <v>0</v>
      </c>
      <c r="Z741" s="3">
        <v>0</v>
      </c>
      <c r="AA741" s="3">
        <v>0</v>
      </c>
    </row>
    <row r="742" spans="1:27" x14ac:dyDescent="0.2">
      <c r="A742">
        <f t="shared" si="22"/>
        <v>2</v>
      </c>
      <c r="B742">
        <f t="shared" si="23"/>
        <v>6</v>
      </c>
      <c r="C742" s="1">
        <v>46057</v>
      </c>
      <c r="D742" t="s">
        <v>25</v>
      </c>
      <c r="E742" t="s">
        <v>26</v>
      </c>
      <c r="F742" t="s">
        <v>34</v>
      </c>
      <c r="G742" t="s">
        <v>273</v>
      </c>
      <c r="H742" t="s">
        <v>29</v>
      </c>
      <c r="I742" t="s">
        <v>30</v>
      </c>
      <c r="J742" t="s">
        <v>31</v>
      </c>
      <c r="K742" t="s">
        <v>267</v>
      </c>
      <c r="L742" t="s">
        <v>31</v>
      </c>
      <c r="M742" s="4">
        <v>31</v>
      </c>
      <c r="N742" s="4">
        <v>1</v>
      </c>
      <c r="O742" s="2">
        <v>3.2258064516129031E-2</v>
      </c>
      <c r="P742" s="3">
        <v>0.9</v>
      </c>
      <c r="Q742" s="3">
        <v>0.9</v>
      </c>
      <c r="R742" s="3">
        <v>17.09</v>
      </c>
      <c r="S742" s="2">
        <v>5.2662375658279699E-2</v>
      </c>
      <c r="T742" s="5">
        <v>18.988888888888887</v>
      </c>
      <c r="U742" s="4">
        <v>1</v>
      </c>
      <c r="V742" s="4">
        <v>1</v>
      </c>
      <c r="W742" s="2">
        <v>1</v>
      </c>
      <c r="X742" s="4">
        <v>1</v>
      </c>
      <c r="Y742" s="4">
        <v>0</v>
      </c>
      <c r="Z742" s="3">
        <v>17.09</v>
      </c>
      <c r="AA742" s="3">
        <v>0</v>
      </c>
    </row>
    <row r="743" spans="1:27" x14ac:dyDescent="0.2">
      <c r="A743">
        <f t="shared" si="22"/>
        <v>2</v>
      </c>
      <c r="B743">
        <f t="shared" si="23"/>
        <v>6</v>
      </c>
      <c r="C743" s="1">
        <v>46060</v>
      </c>
      <c r="D743" t="s">
        <v>25</v>
      </c>
      <c r="E743" t="s">
        <v>26</v>
      </c>
      <c r="F743" t="s">
        <v>34</v>
      </c>
      <c r="G743" t="s">
        <v>273</v>
      </c>
      <c r="H743" t="s">
        <v>29</v>
      </c>
      <c r="I743" t="s">
        <v>30</v>
      </c>
      <c r="J743" t="s">
        <v>31</v>
      </c>
      <c r="K743" t="s">
        <v>267</v>
      </c>
      <c r="L743" t="s">
        <v>31</v>
      </c>
      <c r="M743" s="4">
        <v>50</v>
      </c>
      <c r="N743" s="4">
        <v>1</v>
      </c>
      <c r="O743" s="2">
        <v>0.02</v>
      </c>
      <c r="P743" s="3">
        <v>0.92</v>
      </c>
      <c r="Q743" s="3">
        <v>0.92</v>
      </c>
      <c r="R743" s="3">
        <v>0</v>
      </c>
      <c r="S743" s="2"/>
      <c r="T743" s="5">
        <v>0</v>
      </c>
      <c r="U743" s="4">
        <v>0</v>
      </c>
      <c r="V743" s="4">
        <v>0</v>
      </c>
      <c r="W743" s="2">
        <v>0</v>
      </c>
      <c r="X743" s="4">
        <v>0</v>
      </c>
      <c r="Y743" s="4">
        <v>0</v>
      </c>
      <c r="Z743" s="3">
        <v>0</v>
      </c>
      <c r="AA743" s="3">
        <v>0</v>
      </c>
    </row>
    <row r="744" spans="1:27" x14ac:dyDescent="0.2">
      <c r="A744">
        <f t="shared" si="22"/>
        <v>2</v>
      </c>
      <c r="B744">
        <f t="shared" si="23"/>
        <v>7</v>
      </c>
      <c r="C744" s="1">
        <v>46067</v>
      </c>
      <c r="D744" t="s">
        <v>25</v>
      </c>
      <c r="E744" t="s">
        <v>26</v>
      </c>
      <c r="F744" t="s">
        <v>34</v>
      </c>
      <c r="G744" t="s">
        <v>273</v>
      </c>
      <c r="H744" t="s">
        <v>29</v>
      </c>
      <c r="I744" t="s">
        <v>30</v>
      </c>
      <c r="J744" t="s">
        <v>31</v>
      </c>
      <c r="K744" t="s">
        <v>267</v>
      </c>
      <c r="L744" t="s">
        <v>31</v>
      </c>
      <c r="M744" s="4">
        <v>77</v>
      </c>
      <c r="N744" s="4">
        <v>1</v>
      </c>
      <c r="O744" s="2">
        <v>1.2987012987012986E-2</v>
      </c>
      <c r="P744" s="3">
        <v>0.78</v>
      </c>
      <c r="Q744" s="3">
        <v>0.78</v>
      </c>
      <c r="R744" s="3">
        <v>0</v>
      </c>
      <c r="S744" s="2"/>
      <c r="T744" s="5">
        <v>0</v>
      </c>
      <c r="U744" s="4">
        <v>0</v>
      </c>
      <c r="V744" s="4">
        <v>0</v>
      </c>
      <c r="W744" s="2">
        <v>0</v>
      </c>
      <c r="X744" s="4">
        <v>0</v>
      </c>
      <c r="Y744" s="4">
        <v>0</v>
      </c>
      <c r="Z744" s="3">
        <v>0</v>
      </c>
      <c r="AA744" s="3">
        <v>0</v>
      </c>
    </row>
    <row r="745" spans="1:27" x14ac:dyDescent="0.2">
      <c r="A745">
        <f t="shared" si="22"/>
        <v>2</v>
      </c>
      <c r="B745">
        <f t="shared" si="23"/>
        <v>8</v>
      </c>
      <c r="C745" s="1">
        <v>46071</v>
      </c>
      <c r="D745" t="s">
        <v>25</v>
      </c>
      <c r="E745" t="s">
        <v>26</v>
      </c>
      <c r="F745" t="s">
        <v>34</v>
      </c>
      <c r="G745" t="s">
        <v>273</v>
      </c>
      <c r="H745" t="s">
        <v>29</v>
      </c>
      <c r="I745" t="s">
        <v>30</v>
      </c>
      <c r="J745" t="s">
        <v>31</v>
      </c>
      <c r="K745" t="s">
        <v>267</v>
      </c>
      <c r="L745" t="s">
        <v>31</v>
      </c>
      <c r="M745" s="4">
        <v>55</v>
      </c>
      <c r="N745" s="4">
        <v>1</v>
      </c>
      <c r="O745" s="2">
        <v>1.8181818181818181E-2</v>
      </c>
      <c r="P745" s="3">
        <v>0.73</v>
      </c>
      <c r="Q745" s="3">
        <v>0.73</v>
      </c>
      <c r="R745" s="3">
        <v>0</v>
      </c>
      <c r="S745" s="2"/>
      <c r="T745" s="5">
        <v>0</v>
      </c>
      <c r="U745" s="4">
        <v>0</v>
      </c>
      <c r="V745" s="4">
        <v>0</v>
      </c>
      <c r="W745" s="2">
        <v>0</v>
      </c>
      <c r="X745" s="4">
        <v>0</v>
      </c>
      <c r="Y745" s="4">
        <v>0</v>
      </c>
      <c r="Z745" s="3">
        <v>0</v>
      </c>
      <c r="AA745" s="3">
        <v>0</v>
      </c>
    </row>
    <row r="746" spans="1:27" x14ac:dyDescent="0.2">
      <c r="A746">
        <f t="shared" si="22"/>
        <v>2</v>
      </c>
      <c r="B746">
        <f t="shared" si="23"/>
        <v>7</v>
      </c>
      <c r="C746" s="1">
        <v>46061</v>
      </c>
      <c r="D746" t="s">
        <v>25</v>
      </c>
      <c r="E746" t="s">
        <v>26</v>
      </c>
      <c r="F746" t="s">
        <v>27</v>
      </c>
      <c r="G746" t="s">
        <v>124</v>
      </c>
      <c r="H746" t="s">
        <v>29</v>
      </c>
      <c r="I746" t="s">
        <v>30</v>
      </c>
      <c r="J746" t="s">
        <v>31</v>
      </c>
      <c r="K746" t="s">
        <v>87</v>
      </c>
      <c r="L746" t="s">
        <v>31</v>
      </c>
      <c r="M746" s="4">
        <v>9</v>
      </c>
      <c r="N746" s="4">
        <v>1</v>
      </c>
      <c r="O746" s="2">
        <v>0.1111111111111111</v>
      </c>
      <c r="P746" s="3">
        <v>0.2</v>
      </c>
      <c r="Q746" s="3">
        <v>0.2</v>
      </c>
      <c r="R746" s="3">
        <v>0</v>
      </c>
      <c r="S746" s="2"/>
      <c r="T746" s="5">
        <v>0</v>
      </c>
      <c r="U746" s="4">
        <v>0</v>
      </c>
      <c r="V746" s="4">
        <v>0</v>
      </c>
      <c r="W746" s="2">
        <v>0</v>
      </c>
      <c r="X746" s="4">
        <v>0</v>
      </c>
      <c r="Y746" s="4">
        <v>0</v>
      </c>
      <c r="Z746" s="3">
        <v>0</v>
      </c>
      <c r="AA746" s="3">
        <v>0</v>
      </c>
    </row>
    <row r="747" spans="1:27" x14ac:dyDescent="0.2">
      <c r="A747">
        <f t="shared" si="22"/>
        <v>2</v>
      </c>
      <c r="B747">
        <f t="shared" si="23"/>
        <v>8</v>
      </c>
      <c r="C747" s="1">
        <v>46074</v>
      </c>
      <c r="D747" t="s">
        <v>25</v>
      </c>
      <c r="E747" t="s">
        <v>26</v>
      </c>
      <c r="F747" t="s">
        <v>27</v>
      </c>
      <c r="G747" t="s">
        <v>124</v>
      </c>
      <c r="H747" t="s">
        <v>29</v>
      </c>
      <c r="I747" t="s">
        <v>30</v>
      </c>
      <c r="J747" t="s">
        <v>31</v>
      </c>
      <c r="K747" t="s">
        <v>87</v>
      </c>
      <c r="L747" t="s">
        <v>31</v>
      </c>
      <c r="M747" s="4">
        <v>22</v>
      </c>
      <c r="N747" s="4">
        <v>1</v>
      </c>
      <c r="O747" s="2">
        <v>4.5454545454545463E-2</v>
      </c>
      <c r="P747" s="3">
        <v>0.2</v>
      </c>
      <c r="Q747" s="3">
        <v>0.2</v>
      </c>
      <c r="R747" s="3">
        <v>0</v>
      </c>
      <c r="S747" s="2"/>
      <c r="T747" s="5">
        <v>0</v>
      </c>
      <c r="U747" s="4">
        <v>0</v>
      </c>
      <c r="V747" s="4">
        <v>0</v>
      </c>
      <c r="W747" s="2">
        <v>0</v>
      </c>
      <c r="X747" s="4">
        <v>0</v>
      </c>
      <c r="Y747" s="4">
        <v>0</v>
      </c>
      <c r="Z747" s="3">
        <v>0</v>
      </c>
      <c r="AA747" s="3">
        <v>0</v>
      </c>
    </row>
    <row r="748" spans="1:27" x14ac:dyDescent="0.2">
      <c r="A748">
        <f t="shared" si="22"/>
        <v>2</v>
      </c>
      <c r="B748">
        <f t="shared" si="23"/>
        <v>7</v>
      </c>
      <c r="C748" s="1">
        <v>46064</v>
      </c>
      <c r="D748" t="s">
        <v>25</v>
      </c>
      <c r="E748" t="s">
        <v>26</v>
      </c>
      <c r="F748" t="s">
        <v>27</v>
      </c>
      <c r="G748" t="s">
        <v>124</v>
      </c>
      <c r="H748" t="s">
        <v>29</v>
      </c>
      <c r="I748" t="s">
        <v>30</v>
      </c>
      <c r="J748" t="s">
        <v>31</v>
      </c>
      <c r="K748" t="s">
        <v>267</v>
      </c>
      <c r="L748" t="s">
        <v>31</v>
      </c>
      <c r="M748" s="4">
        <v>5</v>
      </c>
      <c r="N748" s="4">
        <v>1</v>
      </c>
      <c r="O748" s="2">
        <v>0.2</v>
      </c>
      <c r="P748" s="3">
        <v>0.2</v>
      </c>
      <c r="Q748" s="3">
        <v>0.2</v>
      </c>
      <c r="R748" s="3">
        <v>0</v>
      </c>
      <c r="S748" s="2"/>
      <c r="T748" s="5">
        <v>0</v>
      </c>
      <c r="U748" s="4">
        <v>0</v>
      </c>
      <c r="V748" s="4">
        <v>0</v>
      </c>
      <c r="W748" s="2">
        <v>0</v>
      </c>
      <c r="X748" s="4">
        <v>0</v>
      </c>
      <c r="Y748" s="4">
        <v>0</v>
      </c>
      <c r="Z748" s="3">
        <v>0</v>
      </c>
      <c r="AA748" s="3">
        <v>0</v>
      </c>
    </row>
    <row r="749" spans="1:27" x14ac:dyDescent="0.2">
      <c r="A749">
        <f t="shared" si="22"/>
        <v>2</v>
      </c>
      <c r="B749">
        <f t="shared" si="23"/>
        <v>6</v>
      </c>
      <c r="C749" s="1">
        <v>46058</v>
      </c>
      <c r="D749" t="s">
        <v>25</v>
      </c>
      <c r="E749" t="s">
        <v>26</v>
      </c>
      <c r="F749" t="s">
        <v>49</v>
      </c>
      <c r="G749" t="s">
        <v>50</v>
      </c>
      <c r="H749" t="s">
        <v>29</v>
      </c>
      <c r="I749" t="s">
        <v>30</v>
      </c>
      <c r="J749" t="s">
        <v>47</v>
      </c>
      <c r="K749" t="s">
        <v>42</v>
      </c>
      <c r="L749" t="s">
        <v>272</v>
      </c>
      <c r="M749" s="4">
        <v>2</v>
      </c>
      <c r="N749" s="4">
        <v>1</v>
      </c>
      <c r="O749" s="2">
        <v>0.5</v>
      </c>
      <c r="P749" s="3">
        <v>0.76</v>
      </c>
      <c r="Q749" s="3">
        <v>0.76</v>
      </c>
      <c r="R749" s="3">
        <v>17.09</v>
      </c>
      <c r="S749" s="2">
        <v>4.4470450555880628E-2</v>
      </c>
      <c r="T749" s="5">
        <v>22.486842105263158</v>
      </c>
      <c r="U749" s="4">
        <v>1</v>
      </c>
      <c r="V749" s="4">
        <v>1</v>
      </c>
      <c r="W749" s="2">
        <v>1</v>
      </c>
      <c r="X749" s="4">
        <v>0</v>
      </c>
      <c r="Y749" s="4">
        <v>1</v>
      </c>
      <c r="Z749" s="3">
        <v>0</v>
      </c>
      <c r="AA749" s="3">
        <v>17.09</v>
      </c>
    </row>
    <row r="750" spans="1:27" x14ac:dyDescent="0.2">
      <c r="A750">
        <f t="shared" si="22"/>
        <v>2</v>
      </c>
      <c r="B750">
        <f t="shared" si="23"/>
        <v>7</v>
      </c>
      <c r="C750" s="1">
        <v>46061</v>
      </c>
      <c r="D750" t="s">
        <v>25</v>
      </c>
      <c r="E750" t="s">
        <v>26</v>
      </c>
      <c r="F750" t="s">
        <v>49</v>
      </c>
      <c r="G750" t="s">
        <v>50</v>
      </c>
      <c r="H750" t="s">
        <v>29</v>
      </c>
      <c r="I750" t="s">
        <v>30</v>
      </c>
      <c r="J750" t="s">
        <v>47</v>
      </c>
      <c r="K750" t="s">
        <v>42</v>
      </c>
      <c r="L750" t="s">
        <v>272</v>
      </c>
      <c r="M750" s="4">
        <v>14</v>
      </c>
      <c r="N750" s="4">
        <v>1</v>
      </c>
      <c r="O750" s="2">
        <v>7.1428571428571425E-2</v>
      </c>
      <c r="P750" s="3">
        <v>0.62</v>
      </c>
      <c r="Q750" s="3">
        <v>0.62</v>
      </c>
      <c r="R750" s="3">
        <v>0</v>
      </c>
      <c r="S750" s="2"/>
      <c r="T750" s="5">
        <v>0</v>
      </c>
      <c r="U750" s="4">
        <v>0</v>
      </c>
      <c r="V750" s="4">
        <v>0</v>
      </c>
      <c r="W750" s="2">
        <v>0</v>
      </c>
      <c r="X750" s="4">
        <v>0</v>
      </c>
      <c r="Y750" s="4">
        <v>0</v>
      </c>
      <c r="Z750" s="3">
        <v>0</v>
      </c>
      <c r="AA750" s="3">
        <v>0</v>
      </c>
    </row>
    <row r="751" spans="1:27" x14ac:dyDescent="0.2">
      <c r="A751">
        <f t="shared" si="22"/>
        <v>2</v>
      </c>
      <c r="B751">
        <f t="shared" si="23"/>
        <v>8</v>
      </c>
      <c r="C751" s="1">
        <v>46074</v>
      </c>
      <c r="D751" t="s">
        <v>25</v>
      </c>
      <c r="E751" t="s">
        <v>26</v>
      </c>
      <c r="F751" t="s">
        <v>49</v>
      </c>
      <c r="G751" t="s">
        <v>50</v>
      </c>
      <c r="H751" t="s">
        <v>29</v>
      </c>
      <c r="I751" t="s">
        <v>30</v>
      </c>
      <c r="J751" t="s">
        <v>47</v>
      </c>
      <c r="K751" t="s">
        <v>42</v>
      </c>
      <c r="L751" t="s">
        <v>272</v>
      </c>
      <c r="M751" s="4">
        <v>3</v>
      </c>
      <c r="N751" s="4">
        <v>1</v>
      </c>
      <c r="O751" s="2">
        <v>0.33333333333333331</v>
      </c>
      <c r="P751" s="3">
        <v>0.69</v>
      </c>
      <c r="Q751" s="3">
        <v>0.69</v>
      </c>
      <c r="R751" s="3">
        <v>0</v>
      </c>
      <c r="S751" s="2"/>
      <c r="T751" s="5">
        <v>0</v>
      </c>
      <c r="U751" s="4">
        <v>0</v>
      </c>
      <c r="V751" s="4">
        <v>0</v>
      </c>
      <c r="W751" s="2">
        <v>0</v>
      </c>
      <c r="X751" s="4">
        <v>0</v>
      </c>
      <c r="Y751" s="4">
        <v>0</v>
      </c>
      <c r="Z751" s="3">
        <v>0</v>
      </c>
      <c r="AA751" s="3">
        <v>0</v>
      </c>
    </row>
    <row r="752" spans="1:27" x14ac:dyDescent="0.2">
      <c r="A752">
        <f t="shared" si="22"/>
        <v>2</v>
      </c>
      <c r="B752">
        <f t="shared" si="23"/>
        <v>8</v>
      </c>
      <c r="C752" s="1">
        <v>46073</v>
      </c>
      <c r="D752" t="s">
        <v>25</v>
      </c>
      <c r="E752" t="s">
        <v>26</v>
      </c>
      <c r="F752" t="s">
        <v>27</v>
      </c>
      <c r="G752" t="s">
        <v>28</v>
      </c>
      <c r="H752" t="s">
        <v>29</v>
      </c>
      <c r="I752" t="s">
        <v>30</v>
      </c>
      <c r="J752" t="s">
        <v>272</v>
      </c>
      <c r="K752" t="s">
        <v>32</v>
      </c>
      <c r="L752" t="s">
        <v>272</v>
      </c>
      <c r="M752" s="4">
        <v>1</v>
      </c>
      <c r="N752" s="4">
        <v>1</v>
      </c>
      <c r="O752" s="2">
        <v>1</v>
      </c>
      <c r="P752" s="3">
        <v>0.22</v>
      </c>
      <c r="Q752" s="3">
        <v>0.22</v>
      </c>
      <c r="R752" s="3">
        <v>0</v>
      </c>
      <c r="S752" s="2"/>
      <c r="T752" s="5">
        <v>0</v>
      </c>
      <c r="U752" s="4">
        <v>0</v>
      </c>
      <c r="V752" s="4">
        <v>0</v>
      </c>
      <c r="W752" s="2">
        <v>0</v>
      </c>
      <c r="X752" s="4">
        <v>0</v>
      </c>
      <c r="Y752" s="4">
        <v>0</v>
      </c>
      <c r="Z752" s="3">
        <v>0</v>
      </c>
      <c r="AA752" s="3">
        <v>0</v>
      </c>
    </row>
    <row r="753" spans="1:27" x14ac:dyDescent="0.2">
      <c r="A753">
        <f t="shared" si="22"/>
        <v>2</v>
      </c>
      <c r="B753">
        <f t="shared" si="23"/>
        <v>6</v>
      </c>
      <c r="C753" s="1">
        <v>46060</v>
      </c>
      <c r="D753" t="s">
        <v>25</v>
      </c>
      <c r="E753" t="s">
        <v>26</v>
      </c>
      <c r="F753" t="s">
        <v>34</v>
      </c>
      <c r="G753" t="s">
        <v>273</v>
      </c>
      <c r="H753" t="s">
        <v>29</v>
      </c>
      <c r="I753" t="s">
        <v>30</v>
      </c>
      <c r="J753" t="s">
        <v>272</v>
      </c>
      <c r="K753" t="s">
        <v>267</v>
      </c>
      <c r="L753" t="s">
        <v>272</v>
      </c>
      <c r="M753" s="4">
        <v>16</v>
      </c>
      <c r="N753" s="4">
        <v>1</v>
      </c>
      <c r="O753" s="2">
        <v>6.25E-2</v>
      </c>
      <c r="P753" s="3">
        <v>0.53</v>
      </c>
      <c r="Q753" s="3">
        <v>0.53</v>
      </c>
      <c r="R753" s="3">
        <v>0</v>
      </c>
      <c r="S753" s="2"/>
      <c r="T753" s="5">
        <v>0</v>
      </c>
      <c r="U753" s="4">
        <v>0</v>
      </c>
      <c r="V753" s="4">
        <v>0</v>
      </c>
      <c r="W753" s="2">
        <v>0</v>
      </c>
      <c r="X753" s="4">
        <v>0</v>
      </c>
      <c r="Y753" s="4">
        <v>0</v>
      </c>
      <c r="Z753" s="3">
        <v>0</v>
      </c>
      <c r="AA753" s="3">
        <v>0</v>
      </c>
    </row>
    <row r="754" spans="1:27" x14ac:dyDescent="0.2">
      <c r="A754">
        <f t="shared" si="22"/>
        <v>2</v>
      </c>
      <c r="B754">
        <f t="shared" si="23"/>
        <v>8</v>
      </c>
      <c r="C754" s="1">
        <v>46068</v>
      </c>
      <c r="D754" t="s">
        <v>25</v>
      </c>
      <c r="E754" t="s">
        <v>26</v>
      </c>
      <c r="F754" t="s">
        <v>39</v>
      </c>
      <c r="G754" t="s">
        <v>40</v>
      </c>
      <c r="H754" t="s">
        <v>29</v>
      </c>
      <c r="I754" t="s">
        <v>30</v>
      </c>
      <c r="J754" t="s">
        <v>70</v>
      </c>
      <c r="K754" t="s">
        <v>42</v>
      </c>
      <c r="L754" t="s">
        <v>543</v>
      </c>
      <c r="M754" s="4">
        <v>1</v>
      </c>
      <c r="N754" s="4">
        <v>1</v>
      </c>
      <c r="O754" s="2">
        <v>1</v>
      </c>
      <c r="P754" s="3">
        <v>0.56999999999999995</v>
      </c>
      <c r="Q754" s="3">
        <v>0.56999999999999995</v>
      </c>
      <c r="R754" s="3">
        <v>0</v>
      </c>
      <c r="S754" s="2"/>
      <c r="T754" s="5">
        <v>0</v>
      </c>
      <c r="U754" s="4">
        <v>0</v>
      </c>
      <c r="V754" s="4">
        <v>0</v>
      </c>
      <c r="W754" s="2">
        <v>0</v>
      </c>
      <c r="X754" s="4">
        <v>0</v>
      </c>
      <c r="Y754" s="4">
        <v>0</v>
      </c>
      <c r="Z754" s="3">
        <v>0</v>
      </c>
      <c r="AA754" s="3">
        <v>0</v>
      </c>
    </row>
    <row r="755" spans="1:27" x14ac:dyDescent="0.2">
      <c r="A755">
        <f t="shared" si="22"/>
        <v>2</v>
      </c>
      <c r="B755">
        <f t="shared" si="23"/>
        <v>8</v>
      </c>
      <c r="C755" s="1">
        <v>46074</v>
      </c>
      <c r="D755" t="s">
        <v>25</v>
      </c>
      <c r="E755" t="s">
        <v>26</v>
      </c>
      <c r="F755" t="s">
        <v>39</v>
      </c>
      <c r="G755" t="s">
        <v>40</v>
      </c>
      <c r="H755" t="s">
        <v>29</v>
      </c>
      <c r="I755" t="s">
        <v>30</v>
      </c>
      <c r="J755" t="s">
        <v>70</v>
      </c>
      <c r="K755" t="s">
        <v>42</v>
      </c>
      <c r="L755" t="s">
        <v>544</v>
      </c>
      <c r="M755" s="4">
        <v>1</v>
      </c>
      <c r="N755" s="4">
        <v>1</v>
      </c>
      <c r="O755" s="2">
        <v>1</v>
      </c>
      <c r="P755" s="3">
        <v>0.56000000000000005</v>
      </c>
      <c r="Q755" s="3">
        <v>0.56000000000000005</v>
      </c>
      <c r="R755" s="3">
        <v>0</v>
      </c>
      <c r="S755" s="2"/>
      <c r="T755" s="5">
        <v>0</v>
      </c>
      <c r="U755" s="4">
        <v>0</v>
      </c>
      <c r="V755" s="4">
        <v>0</v>
      </c>
      <c r="W755" s="2">
        <v>0</v>
      </c>
      <c r="X755" s="4">
        <v>0</v>
      </c>
      <c r="Y755" s="4">
        <v>0</v>
      </c>
      <c r="Z755" s="3">
        <v>0</v>
      </c>
      <c r="AA755" s="3">
        <v>0</v>
      </c>
    </row>
    <row r="756" spans="1:27" x14ac:dyDescent="0.2">
      <c r="A756">
        <f t="shared" si="22"/>
        <v>2</v>
      </c>
      <c r="B756">
        <f t="shared" si="23"/>
        <v>7</v>
      </c>
      <c r="C756" s="1">
        <v>46061</v>
      </c>
      <c r="D756" t="s">
        <v>25</v>
      </c>
      <c r="E756" t="s">
        <v>26</v>
      </c>
      <c r="F756" t="s">
        <v>27</v>
      </c>
      <c r="G756" t="s">
        <v>124</v>
      </c>
      <c r="H756" t="s">
        <v>29</v>
      </c>
      <c r="I756" t="s">
        <v>30</v>
      </c>
      <c r="J756" t="s">
        <v>31</v>
      </c>
      <c r="K756" t="s">
        <v>87</v>
      </c>
      <c r="L756" t="s">
        <v>545</v>
      </c>
      <c r="M756" s="4">
        <v>2</v>
      </c>
      <c r="N756" s="4">
        <v>1</v>
      </c>
      <c r="O756" s="2">
        <v>0.5</v>
      </c>
      <c r="P756" s="3">
        <v>0.21</v>
      </c>
      <c r="Q756" s="3">
        <v>0.21</v>
      </c>
      <c r="R756" s="3">
        <v>17.09</v>
      </c>
      <c r="S756" s="2">
        <v>1.2287887653598594E-2</v>
      </c>
      <c r="T756" s="5">
        <v>81.38095238095238</v>
      </c>
      <c r="U756" s="4">
        <v>1</v>
      </c>
      <c r="V756" s="4">
        <v>1</v>
      </c>
      <c r="W756" s="2">
        <v>1</v>
      </c>
      <c r="X756" s="4">
        <v>0</v>
      </c>
      <c r="Y756" s="4">
        <v>1</v>
      </c>
      <c r="Z756" s="3">
        <v>0</v>
      </c>
      <c r="AA756" s="3">
        <v>17.09</v>
      </c>
    </row>
    <row r="757" spans="1:27" x14ac:dyDescent="0.2">
      <c r="A757">
        <f t="shared" si="22"/>
        <v>2</v>
      </c>
      <c r="B757">
        <f t="shared" si="23"/>
        <v>7</v>
      </c>
      <c r="C757" s="1">
        <v>46064</v>
      </c>
      <c r="D757" t="s">
        <v>25</v>
      </c>
      <c r="E757" t="s">
        <v>26</v>
      </c>
      <c r="F757" t="s">
        <v>49</v>
      </c>
      <c r="G757" t="s">
        <v>50</v>
      </c>
      <c r="H757" t="s">
        <v>29</v>
      </c>
      <c r="I757" t="s">
        <v>30</v>
      </c>
      <c r="J757" t="s">
        <v>95</v>
      </c>
      <c r="K757" t="s">
        <v>42</v>
      </c>
      <c r="L757" t="s">
        <v>546</v>
      </c>
      <c r="M757" s="4">
        <v>2</v>
      </c>
      <c r="N757" s="4">
        <v>1</v>
      </c>
      <c r="O757" s="2">
        <v>0.5</v>
      </c>
      <c r="P757" s="3">
        <v>0.38</v>
      </c>
      <c r="Q757" s="3">
        <v>0.38</v>
      </c>
      <c r="R757" s="3">
        <v>0</v>
      </c>
      <c r="S757" s="2"/>
      <c r="T757" s="5">
        <v>0</v>
      </c>
      <c r="U757" s="4">
        <v>0</v>
      </c>
      <c r="V757" s="4">
        <v>0</v>
      </c>
      <c r="W757" s="2">
        <v>0</v>
      </c>
      <c r="X757" s="4">
        <v>0</v>
      </c>
      <c r="Y757" s="4">
        <v>0</v>
      </c>
      <c r="Z757" s="3">
        <v>0</v>
      </c>
      <c r="AA757" s="3">
        <v>0</v>
      </c>
    </row>
    <row r="758" spans="1:27" x14ac:dyDescent="0.2">
      <c r="A758">
        <f t="shared" si="22"/>
        <v>2</v>
      </c>
      <c r="B758">
        <f t="shared" si="23"/>
        <v>8</v>
      </c>
      <c r="C758" s="1">
        <v>46072</v>
      </c>
      <c r="D758" t="s">
        <v>25</v>
      </c>
      <c r="E758" t="s">
        <v>26</v>
      </c>
      <c r="F758" t="s">
        <v>49</v>
      </c>
      <c r="G758" t="s">
        <v>50</v>
      </c>
      <c r="H758" t="s">
        <v>29</v>
      </c>
      <c r="I758" t="s">
        <v>30</v>
      </c>
      <c r="J758" t="s">
        <v>95</v>
      </c>
      <c r="K758" t="s">
        <v>42</v>
      </c>
      <c r="L758" t="s">
        <v>547</v>
      </c>
      <c r="M758" s="4">
        <v>1</v>
      </c>
      <c r="N758" s="4">
        <v>1</v>
      </c>
      <c r="O758" s="2">
        <v>1</v>
      </c>
      <c r="P758" s="3">
        <v>0.52</v>
      </c>
      <c r="Q758" s="3">
        <v>0.52</v>
      </c>
      <c r="R758" s="3">
        <v>0</v>
      </c>
      <c r="S758" s="2"/>
      <c r="T758" s="5">
        <v>0</v>
      </c>
      <c r="U758" s="4">
        <v>0</v>
      </c>
      <c r="V758" s="4">
        <v>0</v>
      </c>
      <c r="W758" s="2">
        <v>0</v>
      </c>
      <c r="X758" s="4">
        <v>0</v>
      </c>
      <c r="Y758" s="4">
        <v>0</v>
      </c>
      <c r="Z758" s="3">
        <v>0</v>
      </c>
      <c r="AA758" s="3">
        <v>0</v>
      </c>
    </row>
    <row r="759" spans="1:27" x14ac:dyDescent="0.2">
      <c r="A759">
        <f t="shared" si="22"/>
        <v>2</v>
      </c>
      <c r="B759">
        <f t="shared" si="23"/>
        <v>8</v>
      </c>
      <c r="C759" s="1">
        <v>46070</v>
      </c>
      <c r="D759" t="s">
        <v>25</v>
      </c>
      <c r="E759" t="s">
        <v>26</v>
      </c>
      <c r="F759" t="s">
        <v>49</v>
      </c>
      <c r="G759" t="s">
        <v>50</v>
      </c>
      <c r="H759" t="s">
        <v>29</v>
      </c>
      <c r="I759" t="s">
        <v>30</v>
      </c>
      <c r="J759" t="s">
        <v>47</v>
      </c>
      <c r="K759" t="s">
        <v>42</v>
      </c>
      <c r="L759" t="s">
        <v>548</v>
      </c>
      <c r="M759" s="4">
        <v>73</v>
      </c>
      <c r="N759" s="4">
        <v>1</v>
      </c>
      <c r="O759" s="2">
        <v>1.3698630136986301E-2</v>
      </c>
      <c r="P759" s="3">
        <v>0.7</v>
      </c>
      <c r="Q759" s="3">
        <v>0.7</v>
      </c>
      <c r="R759" s="3">
        <v>0</v>
      </c>
      <c r="S759" s="2"/>
      <c r="T759" s="5">
        <v>0</v>
      </c>
      <c r="U759" s="4">
        <v>0</v>
      </c>
      <c r="V759" s="4">
        <v>0</v>
      </c>
      <c r="W759" s="2">
        <v>0</v>
      </c>
      <c r="X759" s="4">
        <v>0</v>
      </c>
      <c r="Y759" s="4">
        <v>0</v>
      </c>
      <c r="Z759" s="3">
        <v>0</v>
      </c>
      <c r="AA759" s="3">
        <v>0</v>
      </c>
    </row>
    <row r="760" spans="1:27" x14ac:dyDescent="0.2">
      <c r="A760">
        <f t="shared" si="22"/>
        <v>2</v>
      </c>
      <c r="B760">
        <f t="shared" si="23"/>
        <v>6</v>
      </c>
      <c r="C760" s="1">
        <v>46055</v>
      </c>
      <c r="D760" t="s">
        <v>25</v>
      </c>
      <c r="E760" t="s">
        <v>26</v>
      </c>
      <c r="F760" t="s">
        <v>49</v>
      </c>
      <c r="G760" t="s">
        <v>50</v>
      </c>
      <c r="H760" t="s">
        <v>29</v>
      </c>
      <c r="I760" t="s">
        <v>30</v>
      </c>
      <c r="J760" t="s">
        <v>47</v>
      </c>
      <c r="K760" t="s">
        <v>42</v>
      </c>
      <c r="L760" t="s">
        <v>549</v>
      </c>
      <c r="M760" s="4">
        <v>3</v>
      </c>
      <c r="N760" s="4">
        <v>1</v>
      </c>
      <c r="O760" s="2">
        <v>0.33333333333333331</v>
      </c>
      <c r="P760" s="3">
        <v>0.78</v>
      </c>
      <c r="Q760" s="3">
        <v>0.78</v>
      </c>
      <c r="R760" s="3">
        <v>0</v>
      </c>
      <c r="S760" s="2"/>
      <c r="T760" s="5">
        <v>0</v>
      </c>
      <c r="U760" s="4">
        <v>0</v>
      </c>
      <c r="V760" s="4">
        <v>0</v>
      </c>
      <c r="W760" s="2">
        <v>0</v>
      </c>
      <c r="X760" s="4">
        <v>0</v>
      </c>
      <c r="Y760" s="4">
        <v>0</v>
      </c>
      <c r="Z760" s="3">
        <v>0</v>
      </c>
      <c r="AA760" s="3">
        <v>0</v>
      </c>
    </row>
    <row r="761" spans="1:27" x14ac:dyDescent="0.2">
      <c r="A761">
        <f t="shared" si="22"/>
        <v>2</v>
      </c>
      <c r="B761">
        <f t="shared" si="23"/>
        <v>6</v>
      </c>
      <c r="C761" s="1">
        <v>46054</v>
      </c>
      <c r="D761" t="s">
        <v>25</v>
      </c>
      <c r="E761" t="s">
        <v>26</v>
      </c>
      <c r="F761" t="s">
        <v>39</v>
      </c>
      <c r="G761" t="s">
        <v>40</v>
      </c>
      <c r="H761" t="s">
        <v>29</v>
      </c>
      <c r="I761" t="s">
        <v>30</v>
      </c>
      <c r="J761" t="s">
        <v>41</v>
      </c>
      <c r="K761" t="s">
        <v>42</v>
      </c>
      <c r="L761" t="s">
        <v>549</v>
      </c>
      <c r="M761" s="4">
        <v>3</v>
      </c>
      <c r="N761" s="4">
        <v>1</v>
      </c>
      <c r="O761" s="2">
        <v>0.33333333333333331</v>
      </c>
      <c r="P761" s="3">
        <v>0.49</v>
      </c>
      <c r="Q761" s="3">
        <v>0.49</v>
      </c>
      <c r="R761" s="3">
        <v>0</v>
      </c>
      <c r="S761" s="2"/>
      <c r="T761" s="5">
        <v>0</v>
      </c>
      <c r="U761" s="4">
        <v>0</v>
      </c>
      <c r="V761" s="4">
        <v>0</v>
      </c>
      <c r="W761" s="2">
        <v>0</v>
      </c>
      <c r="X761" s="4">
        <v>0</v>
      </c>
      <c r="Y761" s="4">
        <v>0</v>
      </c>
      <c r="Z761" s="3">
        <v>0</v>
      </c>
      <c r="AA761" s="3">
        <v>0</v>
      </c>
    </row>
    <row r="762" spans="1:27" x14ac:dyDescent="0.2">
      <c r="A762">
        <f t="shared" si="22"/>
        <v>2</v>
      </c>
      <c r="B762">
        <f t="shared" si="23"/>
        <v>6</v>
      </c>
      <c r="C762" s="1">
        <v>46057</v>
      </c>
      <c r="D762" t="s">
        <v>25</v>
      </c>
      <c r="E762" t="s">
        <v>26</v>
      </c>
      <c r="F762" t="s">
        <v>49</v>
      </c>
      <c r="G762" t="s">
        <v>50</v>
      </c>
      <c r="H762" t="s">
        <v>29</v>
      </c>
      <c r="I762" t="s">
        <v>30</v>
      </c>
      <c r="J762" t="s">
        <v>47</v>
      </c>
      <c r="K762" t="s">
        <v>42</v>
      </c>
      <c r="L762" t="s">
        <v>101</v>
      </c>
      <c r="M762" s="4">
        <v>10</v>
      </c>
      <c r="N762" s="4">
        <v>1</v>
      </c>
      <c r="O762" s="2">
        <v>0.1</v>
      </c>
      <c r="P762" s="3">
        <v>0.88</v>
      </c>
      <c r="Q762" s="3">
        <v>0.88</v>
      </c>
      <c r="R762" s="3">
        <v>0</v>
      </c>
      <c r="S762" s="2"/>
      <c r="T762" s="5">
        <v>0</v>
      </c>
      <c r="U762" s="4">
        <v>0</v>
      </c>
      <c r="V762" s="4">
        <v>0</v>
      </c>
      <c r="W762" s="2">
        <v>0</v>
      </c>
      <c r="X762" s="4">
        <v>0</v>
      </c>
      <c r="Y762" s="4">
        <v>0</v>
      </c>
      <c r="Z762" s="3">
        <v>0</v>
      </c>
      <c r="AA762" s="3">
        <v>0</v>
      </c>
    </row>
    <row r="763" spans="1:27" x14ac:dyDescent="0.2">
      <c r="A763">
        <f t="shared" si="22"/>
        <v>2</v>
      </c>
      <c r="B763">
        <f t="shared" si="23"/>
        <v>7</v>
      </c>
      <c r="C763" s="1">
        <v>46064</v>
      </c>
      <c r="D763" t="s">
        <v>25</v>
      </c>
      <c r="E763" t="s">
        <v>26</v>
      </c>
      <c r="F763" t="s">
        <v>49</v>
      </c>
      <c r="G763" t="s">
        <v>50</v>
      </c>
      <c r="H763" t="s">
        <v>29</v>
      </c>
      <c r="I763" t="s">
        <v>30</v>
      </c>
      <c r="J763" t="s">
        <v>47</v>
      </c>
      <c r="K763" t="s">
        <v>42</v>
      </c>
      <c r="L763" t="s">
        <v>101</v>
      </c>
      <c r="M763" s="4">
        <v>79</v>
      </c>
      <c r="N763" s="4">
        <v>1</v>
      </c>
      <c r="O763" s="2">
        <v>1.2658227848101267E-2</v>
      </c>
      <c r="P763" s="3">
        <v>0.48</v>
      </c>
      <c r="Q763" s="3">
        <v>0.48</v>
      </c>
      <c r="R763" s="3">
        <v>0</v>
      </c>
      <c r="S763" s="2"/>
      <c r="T763" s="5">
        <v>0</v>
      </c>
      <c r="U763" s="4">
        <v>0</v>
      </c>
      <c r="V763" s="4">
        <v>0</v>
      </c>
      <c r="W763" s="2">
        <v>0</v>
      </c>
      <c r="X763" s="4">
        <v>0</v>
      </c>
      <c r="Y763" s="4">
        <v>0</v>
      </c>
      <c r="Z763" s="3">
        <v>0</v>
      </c>
      <c r="AA763" s="3">
        <v>0</v>
      </c>
    </row>
    <row r="764" spans="1:27" x14ac:dyDescent="0.2">
      <c r="A764">
        <f t="shared" si="22"/>
        <v>2</v>
      </c>
      <c r="B764">
        <f t="shared" si="23"/>
        <v>8</v>
      </c>
      <c r="C764" s="1">
        <v>46070</v>
      </c>
      <c r="D764" t="s">
        <v>25</v>
      </c>
      <c r="E764" t="s">
        <v>26</v>
      </c>
      <c r="F764" t="s">
        <v>49</v>
      </c>
      <c r="G764" t="s">
        <v>50</v>
      </c>
      <c r="H764" t="s">
        <v>29</v>
      </c>
      <c r="I764" t="s">
        <v>30</v>
      </c>
      <c r="J764" t="s">
        <v>47</v>
      </c>
      <c r="K764" t="s">
        <v>42</v>
      </c>
      <c r="L764" t="s">
        <v>101</v>
      </c>
      <c r="M764" s="4">
        <v>19</v>
      </c>
      <c r="N764" s="4">
        <v>1</v>
      </c>
      <c r="O764" s="2">
        <v>5.2631578947368418E-2</v>
      </c>
      <c r="P764" s="3">
        <v>0.7</v>
      </c>
      <c r="Q764" s="3">
        <v>0.7</v>
      </c>
      <c r="R764" s="3">
        <v>17.09</v>
      </c>
      <c r="S764" s="2">
        <v>4.0959625511995314E-2</v>
      </c>
      <c r="T764" s="5">
        <v>24.414285714285715</v>
      </c>
      <c r="U764" s="4">
        <v>1</v>
      </c>
      <c r="V764" s="4">
        <v>1</v>
      </c>
      <c r="W764" s="2">
        <v>1</v>
      </c>
      <c r="X764" s="4">
        <v>1</v>
      </c>
      <c r="Y764" s="4">
        <v>0</v>
      </c>
      <c r="Z764" s="3">
        <v>17.09</v>
      </c>
      <c r="AA764" s="3">
        <v>0</v>
      </c>
    </row>
    <row r="765" spans="1:27" x14ac:dyDescent="0.2">
      <c r="A765">
        <f t="shared" si="22"/>
        <v>2</v>
      </c>
      <c r="B765">
        <f t="shared" si="23"/>
        <v>6</v>
      </c>
      <c r="C765" s="1">
        <v>46059</v>
      </c>
      <c r="D765" t="s">
        <v>25</v>
      </c>
      <c r="E765" t="s">
        <v>26</v>
      </c>
      <c r="F765" t="s">
        <v>34</v>
      </c>
      <c r="G765" t="s">
        <v>273</v>
      </c>
      <c r="H765" t="s">
        <v>29</v>
      </c>
      <c r="I765" t="s">
        <v>30</v>
      </c>
      <c r="J765" t="s">
        <v>101</v>
      </c>
      <c r="K765" t="s">
        <v>267</v>
      </c>
      <c r="L765" t="s">
        <v>101</v>
      </c>
      <c r="M765" s="4">
        <v>4</v>
      </c>
      <c r="N765" s="4">
        <v>1</v>
      </c>
      <c r="O765" s="2">
        <v>0.25</v>
      </c>
      <c r="P765" s="3">
        <v>1.23</v>
      </c>
      <c r="Q765" s="3">
        <v>1.23</v>
      </c>
      <c r="R765" s="3">
        <v>0</v>
      </c>
      <c r="S765" s="2"/>
      <c r="T765" s="5">
        <v>0</v>
      </c>
      <c r="U765" s="4">
        <v>0</v>
      </c>
      <c r="V765" s="4">
        <v>0</v>
      </c>
      <c r="W765" s="2">
        <v>0</v>
      </c>
      <c r="X765" s="4">
        <v>0</v>
      </c>
      <c r="Y765" s="4">
        <v>0</v>
      </c>
      <c r="Z765" s="3">
        <v>0</v>
      </c>
      <c r="AA765" s="3">
        <v>0</v>
      </c>
    </row>
    <row r="766" spans="1:27" x14ac:dyDescent="0.2">
      <c r="A766">
        <f t="shared" si="22"/>
        <v>2</v>
      </c>
      <c r="B766">
        <f t="shared" si="23"/>
        <v>8</v>
      </c>
      <c r="C766" s="1">
        <v>46074</v>
      </c>
      <c r="D766" t="s">
        <v>25</v>
      </c>
      <c r="E766" t="s">
        <v>26</v>
      </c>
      <c r="F766" t="s">
        <v>34</v>
      </c>
      <c r="G766" t="s">
        <v>273</v>
      </c>
      <c r="H766" t="s">
        <v>29</v>
      </c>
      <c r="I766" t="s">
        <v>30</v>
      </c>
      <c r="J766" t="s">
        <v>101</v>
      </c>
      <c r="K766" t="s">
        <v>267</v>
      </c>
      <c r="L766" t="s">
        <v>101</v>
      </c>
      <c r="M766" s="4">
        <v>82</v>
      </c>
      <c r="N766" s="4">
        <v>1</v>
      </c>
      <c r="O766" s="2">
        <v>1.2195121951219513E-2</v>
      </c>
      <c r="P766" s="3">
        <v>1.2</v>
      </c>
      <c r="Q766" s="3">
        <v>1.2</v>
      </c>
      <c r="R766" s="3">
        <v>0</v>
      </c>
      <c r="S766" s="2"/>
      <c r="T766" s="5">
        <v>0</v>
      </c>
      <c r="U766" s="4">
        <v>0</v>
      </c>
      <c r="V766" s="4">
        <v>0</v>
      </c>
      <c r="W766" s="2">
        <v>0</v>
      </c>
      <c r="X766" s="4">
        <v>0</v>
      </c>
      <c r="Y766" s="4">
        <v>0</v>
      </c>
      <c r="Z766" s="3">
        <v>0</v>
      </c>
      <c r="AA766" s="3">
        <v>0</v>
      </c>
    </row>
    <row r="767" spans="1:27" x14ac:dyDescent="0.2">
      <c r="A767">
        <f t="shared" si="22"/>
        <v>2</v>
      </c>
      <c r="B767">
        <f t="shared" si="23"/>
        <v>8</v>
      </c>
      <c r="C767" s="1">
        <v>46074</v>
      </c>
      <c r="D767" t="s">
        <v>25</v>
      </c>
      <c r="E767" t="s">
        <v>26</v>
      </c>
      <c r="F767" t="s">
        <v>39</v>
      </c>
      <c r="G767" t="s">
        <v>40</v>
      </c>
      <c r="H767" t="s">
        <v>29</v>
      </c>
      <c r="I767" t="s">
        <v>30</v>
      </c>
      <c r="J767" t="s">
        <v>70</v>
      </c>
      <c r="K767" t="s">
        <v>42</v>
      </c>
      <c r="L767" t="s">
        <v>101</v>
      </c>
      <c r="M767" s="4">
        <v>1</v>
      </c>
      <c r="N767" s="4">
        <v>1</v>
      </c>
      <c r="O767" s="2">
        <v>1</v>
      </c>
      <c r="P767" s="3">
        <v>0.56000000000000005</v>
      </c>
      <c r="Q767" s="3">
        <v>0.56000000000000005</v>
      </c>
      <c r="R767" s="3">
        <v>17.09</v>
      </c>
      <c r="S767" s="2">
        <v>3.2767700409596263E-2</v>
      </c>
      <c r="T767" s="5">
        <v>30.517857142857139</v>
      </c>
      <c r="U767" s="4">
        <v>1</v>
      </c>
      <c r="V767" s="4">
        <v>1</v>
      </c>
      <c r="W767" s="2">
        <v>1</v>
      </c>
      <c r="X767" s="4">
        <v>1</v>
      </c>
      <c r="Y767" s="4">
        <v>0</v>
      </c>
      <c r="Z767" s="3">
        <v>17.09</v>
      </c>
      <c r="AA767" s="3">
        <v>0</v>
      </c>
    </row>
    <row r="768" spans="1:27" x14ac:dyDescent="0.2">
      <c r="A768">
        <f t="shared" si="22"/>
        <v>2</v>
      </c>
      <c r="B768">
        <f t="shared" si="23"/>
        <v>7</v>
      </c>
      <c r="C768" s="1">
        <v>46062</v>
      </c>
      <c r="D768" t="s">
        <v>25</v>
      </c>
      <c r="E768" t="s">
        <v>26</v>
      </c>
      <c r="F768" t="s">
        <v>39</v>
      </c>
      <c r="G768" t="s">
        <v>40</v>
      </c>
      <c r="H768" t="s">
        <v>29</v>
      </c>
      <c r="I768" t="s">
        <v>30</v>
      </c>
      <c r="J768" t="s">
        <v>41</v>
      </c>
      <c r="K768" t="s">
        <v>42</v>
      </c>
      <c r="L768" t="s">
        <v>101</v>
      </c>
      <c r="M768" s="4">
        <v>27</v>
      </c>
      <c r="N768" s="4">
        <v>2</v>
      </c>
      <c r="O768" s="2">
        <v>7.407407407407407E-2</v>
      </c>
      <c r="P768" s="3">
        <v>0.6</v>
      </c>
      <c r="Q768" s="3">
        <v>1.2</v>
      </c>
      <c r="R768" s="3">
        <v>0</v>
      </c>
      <c r="S768" s="2"/>
      <c r="T768" s="5">
        <v>0</v>
      </c>
      <c r="U768" s="4">
        <v>0</v>
      </c>
      <c r="V768" s="4">
        <v>0</v>
      </c>
      <c r="W768" s="2">
        <v>0</v>
      </c>
      <c r="X768" s="4">
        <v>0</v>
      </c>
      <c r="Y768" s="4">
        <v>0</v>
      </c>
      <c r="Z768" s="3">
        <v>0</v>
      </c>
      <c r="AA768" s="3">
        <v>0</v>
      </c>
    </row>
    <row r="769" spans="1:27" x14ac:dyDescent="0.2">
      <c r="A769">
        <f t="shared" si="22"/>
        <v>2</v>
      </c>
      <c r="B769">
        <f t="shared" si="23"/>
        <v>7</v>
      </c>
      <c r="C769" s="1">
        <v>46064</v>
      </c>
      <c r="D769" t="s">
        <v>25</v>
      </c>
      <c r="E769" t="s">
        <v>26</v>
      </c>
      <c r="F769" t="s">
        <v>27</v>
      </c>
      <c r="G769" t="s">
        <v>28</v>
      </c>
      <c r="H769" t="s">
        <v>29</v>
      </c>
      <c r="I769" t="s">
        <v>30</v>
      </c>
      <c r="J769" t="s">
        <v>311</v>
      </c>
      <c r="K769" t="s">
        <v>32</v>
      </c>
      <c r="L769" t="s">
        <v>101</v>
      </c>
      <c r="M769" s="4">
        <v>1</v>
      </c>
      <c r="N769" s="4">
        <v>1</v>
      </c>
      <c r="O769" s="2">
        <v>1</v>
      </c>
      <c r="P769" s="3">
        <v>0.2</v>
      </c>
      <c r="Q769" s="3">
        <v>0.2</v>
      </c>
      <c r="R769" s="3">
        <v>0</v>
      </c>
      <c r="S769" s="2"/>
      <c r="T769" s="5">
        <v>0</v>
      </c>
      <c r="U769" s="4">
        <v>0</v>
      </c>
      <c r="V769" s="4">
        <v>0</v>
      </c>
      <c r="W769" s="2">
        <v>0</v>
      </c>
      <c r="X769" s="4">
        <v>0</v>
      </c>
      <c r="Y769" s="4">
        <v>0</v>
      </c>
      <c r="Z769" s="3">
        <v>0</v>
      </c>
      <c r="AA769" s="3">
        <v>0</v>
      </c>
    </row>
    <row r="770" spans="1:27" x14ac:dyDescent="0.2">
      <c r="A770">
        <f t="shared" si="22"/>
        <v>2</v>
      </c>
      <c r="B770">
        <f t="shared" si="23"/>
        <v>7</v>
      </c>
      <c r="C770" s="1">
        <v>46066</v>
      </c>
      <c r="D770" t="s">
        <v>25</v>
      </c>
      <c r="E770" t="s">
        <v>26</v>
      </c>
      <c r="F770" t="s">
        <v>49</v>
      </c>
      <c r="G770" t="s">
        <v>50</v>
      </c>
      <c r="H770" t="s">
        <v>29</v>
      </c>
      <c r="I770" t="s">
        <v>30</v>
      </c>
      <c r="J770" t="s">
        <v>47</v>
      </c>
      <c r="K770" t="s">
        <v>42</v>
      </c>
      <c r="L770" t="s">
        <v>99</v>
      </c>
      <c r="M770" s="4">
        <v>11</v>
      </c>
      <c r="N770" s="4">
        <v>1</v>
      </c>
      <c r="O770" s="2">
        <v>9.0909090909090925E-2</v>
      </c>
      <c r="P770" s="3">
        <v>0.46</v>
      </c>
      <c r="Q770" s="3">
        <v>0.46</v>
      </c>
      <c r="R770" s="3">
        <v>17.09</v>
      </c>
      <c r="S770" s="2">
        <v>2.6916325336454067E-2</v>
      </c>
      <c r="T770" s="5">
        <v>37.152173913043477</v>
      </c>
      <c r="U770" s="4">
        <v>1</v>
      </c>
      <c r="V770" s="4">
        <v>1</v>
      </c>
      <c r="W770" s="2">
        <v>1</v>
      </c>
      <c r="X770" s="4">
        <v>0</v>
      </c>
      <c r="Y770" s="4">
        <v>1</v>
      </c>
      <c r="Z770" s="3">
        <v>0</v>
      </c>
      <c r="AA770" s="3">
        <v>17.09</v>
      </c>
    </row>
    <row r="771" spans="1:27" x14ac:dyDescent="0.2">
      <c r="A771">
        <f t="shared" ref="A771:A834" si="24">MONTH(C771)</f>
        <v>2</v>
      </c>
      <c r="B771">
        <f t="shared" ref="B771:B834" si="25">WEEKNUM(C771,1)</f>
        <v>8</v>
      </c>
      <c r="C771" s="1">
        <v>46071</v>
      </c>
      <c r="D771" t="s">
        <v>25</v>
      </c>
      <c r="E771" t="s">
        <v>26</v>
      </c>
      <c r="F771" t="s">
        <v>49</v>
      </c>
      <c r="G771" t="s">
        <v>50</v>
      </c>
      <c r="H771" t="s">
        <v>29</v>
      </c>
      <c r="I771" t="s">
        <v>30</v>
      </c>
      <c r="J771" t="s">
        <v>47</v>
      </c>
      <c r="K771" t="s">
        <v>42</v>
      </c>
      <c r="L771" t="s">
        <v>99</v>
      </c>
      <c r="M771" s="4">
        <v>16</v>
      </c>
      <c r="N771" s="4">
        <v>1</v>
      </c>
      <c r="O771" s="2">
        <v>6.25E-2</v>
      </c>
      <c r="P771" s="3">
        <v>0.85</v>
      </c>
      <c r="Q771" s="3">
        <v>0.85</v>
      </c>
      <c r="R771" s="3">
        <v>0</v>
      </c>
      <c r="S771" s="2"/>
      <c r="T771" s="5">
        <v>0</v>
      </c>
      <c r="U771" s="4">
        <v>0</v>
      </c>
      <c r="V771" s="4">
        <v>0</v>
      </c>
      <c r="W771" s="2">
        <v>0</v>
      </c>
      <c r="X771" s="4">
        <v>0</v>
      </c>
      <c r="Y771" s="4">
        <v>0</v>
      </c>
      <c r="Z771" s="3">
        <v>0</v>
      </c>
      <c r="AA771" s="3">
        <v>0</v>
      </c>
    </row>
    <row r="772" spans="1:27" x14ac:dyDescent="0.2">
      <c r="A772">
        <f t="shared" si="24"/>
        <v>2</v>
      </c>
      <c r="B772">
        <f t="shared" si="25"/>
        <v>8</v>
      </c>
      <c r="C772" s="1">
        <v>46073</v>
      </c>
      <c r="D772" t="s">
        <v>25</v>
      </c>
      <c r="E772" t="s">
        <v>26</v>
      </c>
      <c r="F772" t="s">
        <v>49</v>
      </c>
      <c r="G772" t="s">
        <v>50</v>
      </c>
      <c r="H772" t="s">
        <v>29</v>
      </c>
      <c r="I772" t="s">
        <v>30</v>
      </c>
      <c r="J772" t="s">
        <v>47</v>
      </c>
      <c r="K772" t="s">
        <v>42</v>
      </c>
      <c r="L772" t="s">
        <v>99</v>
      </c>
      <c r="M772" s="4">
        <v>4</v>
      </c>
      <c r="N772" s="4">
        <v>1</v>
      </c>
      <c r="O772" s="2">
        <v>0.25</v>
      </c>
      <c r="P772" s="3">
        <v>0.69</v>
      </c>
      <c r="Q772" s="3">
        <v>0.69</v>
      </c>
      <c r="R772" s="3">
        <v>0</v>
      </c>
      <c r="S772" s="2"/>
      <c r="T772" s="5">
        <v>0</v>
      </c>
      <c r="U772" s="4">
        <v>0</v>
      </c>
      <c r="V772" s="4">
        <v>0</v>
      </c>
      <c r="W772" s="2">
        <v>0</v>
      </c>
      <c r="X772" s="4">
        <v>0</v>
      </c>
      <c r="Y772" s="4">
        <v>0</v>
      </c>
      <c r="Z772" s="3">
        <v>0</v>
      </c>
      <c r="AA772" s="3">
        <v>0</v>
      </c>
    </row>
    <row r="773" spans="1:27" x14ac:dyDescent="0.2">
      <c r="A773">
        <f t="shared" si="24"/>
        <v>2</v>
      </c>
      <c r="B773">
        <f t="shared" si="25"/>
        <v>7</v>
      </c>
      <c r="C773" s="1">
        <v>46065</v>
      </c>
      <c r="D773" t="s">
        <v>25</v>
      </c>
      <c r="E773" t="s">
        <v>26</v>
      </c>
      <c r="F773" t="s">
        <v>27</v>
      </c>
      <c r="G773" t="s">
        <v>28</v>
      </c>
      <c r="H773" t="s">
        <v>29</v>
      </c>
      <c r="I773" t="s">
        <v>30</v>
      </c>
      <c r="J773" t="s">
        <v>280</v>
      </c>
      <c r="K773" t="s">
        <v>32</v>
      </c>
      <c r="L773" t="s">
        <v>99</v>
      </c>
      <c r="M773" s="4">
        <v>4</v>
      </c>
      <c r="N773" s="4">
        <v>1</v>
      </c>
      <c r="O773" s="2">
        <v>0.25</v>
      </c>
      <c r="P773" s="3">
        <v>0.23</v>
      </c>
      <c r="Q773" s="3">
        <v>0.23</v>
      </c>
      <c r="R773" s="3">
        <v>0</v>
      </c>
      <c r="S773" s="2"/>
      <c r="T773" s="5">
        <v>0</v>
      </c>
      <c r="U773" s="4">
        <v>0</v>
      </c>
      <c r="V773" s="4">
        <v>0</v>
      </c>
      <c r="W773" s="2">
        <v>0</v>
      </c>
      <c r="X773" s="4">
        <v>0</v>
      </c>
      <c r="Y773" s="4">
        <v>0</v>
      </c>
      <c r="Z773" s="3">
        <v>0</v>
      </c>
      <c r="AA773" s="3">
        <v>0</v>
      </c>
    </row>
    <row r="774" spans="1:27" x14ac:dyDescent="0.2">
      <c r="A774">
        <f t="shared" si="24"/>
        <v>2</v>
      </c>
      <c r="B774">
        <f t="shared" si="25"/>
        <v>7</v>
      </c>
      <c r="C774" s="1">
        <v>46064</v>
      </c>
      <c r="D774" t="s">
        <v>25</v>
      </c>
      <c r="E774" t="s">
        <v>26</v>
      </c>
      <c r="F774" t="s">
        <v>27</v>
      </c>
      <c r="G774" t="s">
        <v>124</v>
      </c>
      <c r="H774" t="s">
        <v>29</v>
      </c>
      <c r="I774" t="s">
        <v>30</v>
      </c>
      <c r="J774" t="s">
        <v>101</v>
      </c>
      <c r="K774" t="s">
        <v>87</v>
      </c>
      <c r="L774" t="s">
        <v>99</v>
      </c>
      <c r="M774" s="4">
        <v>5</v>
      </c>
      <c r="N774" s="4">
        <v>1</v>
      </c>
      <c r="O774" s="2">
        <v>0.2</v>
      </c>
      <c r="P774" s="3">
        <v>0.2</v>
      </c>
      <c r="Q774" s="3">
        <v>0.2</v>
      </c>
      <c r="R774" s="3">
        <v>0</v>
      </c>
      <c r="S774" s="2"/>
      <c r="T774" s="5">
        <v>0</v>
      </c>
      <c r="U774" s="4">
        <v>0</v>
      </c>
      <c r="V774" s="4">
        <v>0</v>
      </c>
      <c r="W774" s="2">
        <v>0</v>
      </c>
      <c r="X774" s="4">
        <v>0</v>
      </c>
      <c r="Y774" s="4">
        <v>0</v>
      </c>
      <c r="Z774" s="3">
        <v>0</v>
      </c>
      <c r="AA774" s="3">
        <v>0</v>
      </c>
    </row>
    <row r="775" spans="1:27" x14ac:dyDescent="0.2">
      <c r="A775">
        <f t="shared" si="24"/>
        <v>2</v>
      </c>
      <c r="B775">
        <f t="shared" si="25"/>
        <v>8</v>
      </c>
      <c r="C775" s="1">
        <v>46069</v>
      </c>
      <c r="D775" t="s">
        <v>25</v>
      </c>
      <c r="E775" t="s">
        <v>26</v>
      </c>
      <c r="F775" t="s">
        <v>27</v>
      </c>
      <c r="G775" t="s">
        <v>124</v>
      </c>
      <c r="H775" t="s">
        <v>29</v>
      </c>
      <c r="I775" t="s">
        <v>30</v>
      </c>
      <c r="J775" t="s">
        <v>101</v>
      </c>
      <c r="K775" t="s">
        <v>87</v>
      </c>
      <c r="L775" t="s">
        <v>99</v>
      </c>
      <c r="M775" s="4">
        <v>6</v>
      </c>
      <c r="N775" s="4">
        <v>1</v>
      </c>
      <c r="O775" s="2">
        <v>0.16666666666666663</v>
      </c>
      <c r="P775" s="3">
        <v>0.2</v>
      </c>
      <c r="Q775" s="3">
        <v>0.2</v>
      </c>
      <c r="R775" s="3">
        <v>17.09</v>
      </c>
      <c r="S775" s="2">
        <v>1.1702750146284377E-2</v>
      </c>
      <c r="T775" s="5">
        <v>85.449999999999989</v>
      </c>
      <c r="U775" s="4">
        <v>1</v>
      </c>
      <c r="V775" s="4">
        <v>1</v>
      </c>
      <c r="W775" s="2">
        <v>1</v>
      </c>
      <c r="X775" s="4">
        <v>1</v>
      </c>
      <c r="Y775" s="4">
        <v>0</v>
      </c>
      <c r="Z775" s="3">
        <v>17.09</v>
      </c>
      <c r="AA775" s="3">
        <v>0</v>
      </c>
    </row>
    <row r="776" spans="1:27" x14ac:dyDescent="0.2">
      <c r="A776">
        <f t="shared" si="24"/>
        <v>2</v>
      </c>
      <c r="B776">
        <f t="shared" si="25"/>
        <v>8</v>
      </c>
      <c r="C776" s="1">
        <v>46071</v>
      </c>
      <c r="D776" t="s">
        <v>25</v>
      </c>
      <c r="E776" t="s">
        <v>26</v>
      </c>
      <c r="F776" t="s">
        <v>27</v>
      </c>
      <c r="G776" t="s">
        <v>124</v>
      </c>
      <c r="H776" t="s">
        <v>29</v>
      </c>
      <c r="I776" t="s">
        <v>30</v>
      </c>
      <c r="J776" t="s">
        <v>101</v>
      </c>
      <c r="K776" t="s">
        <v>87</v>
      </c>
      <c r="L776" t="s">
        <v>99</v>
      </c>
      <c r="M776" s="4">
        <v>9</v>
      </c>
      <c r="N776" s="4">
        <v>1</v>
      </c>
      <c r="O776" s="2">
        <v>0.1111111111111111</v>
      </c>
      <c r="P776" s="3">
        <v>0.21</v>
      </c>
      <c r="Q776" s="3">
        <v>0.21</v>
      </c>
      <c r="R776" s="3">
        <v>0</v>
      </c>
      <c r="S776" s="2"/>
      <c r="T776" s="5">
        <v>0</v>
      </c>
      <c r="U776" s="4">
        <v>0</v>
      </c>
      <c r="V776" s="4">
        <v>0</v>
      </c>
      <c r="W776" s="2">
        <v>0</v>
      </c>
      <c r="X776" s="4">
        <v>0</v>
      </c>
      <c r="Y776" s="4">
        <v>0</v>
      </c>
      <c r="Z776" s="3">
        <v>0</v>
      </c>
      <c r="AA776" s="3">
        <v>0</v>
      </c>
    </row>
    <row r="777" spans="1:27" x14ac:dyDescent="0.2">
      <c r="A777">
        <f t="shared" si="24"/>
        <v>2</v>
      </c>
      <c r="B777">
        <f t="shared" si="25"/>
        <v>8</v>
      </c>
      <c r="C777" s="1">
        <v>46074</v>
      </c>
      <c r="D777" t="s">
        <v>25</v>
      </c>
      <c r="E777" t="s">
        <v>26</v>
      </c>
      <c r="F777" t="s">
        <v>27</v>
      </c>
      <c r="G777" t="s">
        <v>124</v>
      </c>
      <c r="H777" t="s">
        <v>29</v>
      </c>
      <c r="I777" t="s">
        <v>30</v>
      </c>
      <c r="J777" t="s">
        <v>101</v>
      </c>
      <c r="K777" t="s">
        <v>87</v>
      </c>
      <c r="L777" t="s">
        <v>99</v>
      </c>
      <c r="M777" s="4">
        <v>16</v>
      </c>
      <c r="N777" s="4">
        <v>1</v>
      </c>
      <c r="O777" s="2">
        <v>6.25E-2</v>
      </c>
      <c r="P777" s="3">
        <v>0.2</v>
      </c>
      <c r="Q777" s="3">
        <v>0.2</v>
      </c>
      <c r="R777" s="3">
        <v>0</v>
      </c>
      <c r="S777" s="2"/>
      <c r="T777" s="5">
        <v>0</v>
      </c>
      <c r="U777" s="4">
        <v>0</v>
      </c>
      <c r="V777" s="4">
        <v>0</v>
      </c>
      <c r="W777" s="2">
        <v>0</v>
      </c>
      <c r="X777" s="4">
        <v>0</v>
      </c>
      <c r="Y777" s="4">
        <v>0</v>
      </c>
      <c r="Z777" s="3">
        <v>0</v>
      </c>
      <c r="AA777" s="3">
        <v>0</v>
      </c>
    </row>
    <row r="778" spans="1:27" x14ac:dyDescent="0.2">
      <c r="A778">
        <f t="shared" si="24"/>
        <v>2</v>
      </c>
      <c r="B778">
        <f t="shared" si="25"/>
        <v>7</v>
      </c>
      <c r="C778" s="1">
        <v>46065</v>
      </c>
      <c r="D778" t="s">
        <v>25</v>
      </c>
      <c r="E778" t="s">
        <v>26</v>
      </c>
      <c r="F778" t="s">
        <v>34</v>
      </c>
      <c r="G778" t="s">
        <v>28</v>
      </c>
      <c r="H778" t="s">
        <v>29</v>
      </c>
      <c r="I778" t="s">
        <v>30</v>
      </c>
      <c r="J778" t="s">
        <v>99</v>
      </c>
      <c r="K778" t="s">
        <v>32</v>
      </c>
      <c r="L778" t="s">
        <v>99</v>
      </c>
      <c r="M778" s="4">
        <v>6</v>
      </c>
      <c r="N778" s="4">
        <v>1</v>
      </c>
      <c r="O778" s="2">
        <v>0.16666666666666663</v>
      </c>
      <c r="P778" s="3">
        <v>1.2</v>
      </c>
      <c r="Q778" s="3">
        <v>1.2</v>
      </c>
      <c r="R778" s="3">
        <v>0</v>
      </c>
      <c r="S778" s="2"/>
      <c r="T778" s="5">
        <v>0</v>
      </c>
      <c r="U778" s="4">
        <v>0</v>
      </c>
      <c r="V778" s="4">
        <v>0</v>
      </c>
      <c r="W778" s="2">
        <v>0</v>
      </c>
      <c r="X778" s="4">
        <v>0</v>
      </c>
      <c r="Y778" s="4">
        <v>0</v>
      </c>
      <c r="Z778" s="3">
        <v>0</v>
      </c>
      <c r="AA778" s="3">
        <v>0</v>
      </c>
    </row>
    <row r="779" spans="1:27" x14ac:dyDescent="0.2">
      <c r="A779">
        <f t="shared" si="24"/>
        <v>2</v>
      </c>
      <c r="B779">
        <f t="shared" si="25"/>
        <v>8</v>
      </c>
      <c r="C779" s="1">
        <v>46071</v>
      </c>
      <c r="D779" t="s">
        <v>25</v>
      </c>
      <c r="E779" t="s">
        <v>26</v>
      </c>
      <c r="F779" t="s">
        <v>34</v>
      </c>
      <c r="G779" t="s">
        <v>28</v>
      </c>
      <c r="H779" t="s">
        <v>29</v>
      </c>
      <c r="I779" t="s">
        <v>30</v>
      </c>
      <c r="J779" t="s">
        <v>99</v>
      </c>
      <c r="K779" t="s">
        <v>32</v>
      </c>
      <c r="L779" t="s">
        <v>99</v>
      </c>
      <c r="M779" s="4">
        <v>115</v>
      </c>
      <c r="N779" s="4">
        <v>1</v>
      </c>
      <c r="O779" s="2">
        <v>8.6956521739130436E-3</v>
      </c>
      <c r="P779" s="3">
        <v>1.36</v>
      </c>
      <c r="Q779" s="3">
        <v>1.36</v>
      </c>
      <c r="R779" s="3">
        <v>0</v>
      </c>
      <c r="S779" s="2"/>
      <c r="T779" s="5">
        <v>0</v>
      </c>
      <c r="U779" s="4">
        <v>0</v>
      </c>
      <c r="V779" s="4">
        <v>0</v>
      </c>
      <c r="W779" s="2">
        <v>0</v>
      </c>
      <c r="X779" s="4">
        <v>0</v>
      </c>
      <c r="Y779" s="4">
        <v>0</v>
      </c>
      <c r="Z779" s="3">
        <v>0</v>
      </c>
      <c r="AA779" s="3">
        <v>0</v>
      </c>
    </row>
    <row r="780" spans="1:27" x14ac:dyDescent="0.2">
      <c r="A780">
        <f t="shared" si="24"/>
        <v>2</v>
      </c>
      <c r="B780">
        <f t="shared" si="25"/>
        <v>6</v>
      </c>
      <c r="C780" s="1">
        <v>46054</v>
      </c>
      <c r="D780" t="s">
        <v>25</v>
      </c>
      <c r="E780" t="s">
        <v>26</v>
      </c>
      <c r="F780" t="s">
        <v>34</v>
      </c>
      <c r="G780" t="s">
        <v>273</v>
      </c>
      <c r="H780" t="s">
        <v>29</v>
      </c>
      <c r="I780" t="s">
        <v>30</v>
      </c>
      <c r="J780" t="s">
        <v>99</v>
      </c>
      <c r="K780" t="s">
        <v>267</v>
      </c>
      <c r="L780" t="s">
        <v>99</v>
      </c>
      <c r="M780" s="4">
        <v>71</v>
      </c>
      <c r="N780" s="4">
        <v>1</v>
      </c>
      <c r="O780" s="2">
        <v>1.4084507042253521E-2</v>
      </c>
      <c r="P780" s="3">
        <v>0.65</v>
      </c>
      <c r="Q780" s="3">
        <v>0.65</v>
      </c>
      <c r="R780" s="3">
        <v>0</v>
      </c>
      <c r="S780" s="2"/>
      <c r="T780" s="5">
        <v>0</v>
      </c>
      <c r="U780" s="4">
        <v>0</v>
      </c>
      <c r="V780" s="4">
        <v>0</v>
      </c>
      <c r="W780" s="2">
        <v>0</v>
      </c>
      <c r="X780" s="4">
        <v>0</v>
      </c>
      <c r="Y780" s="4">
        <v>0</v>
      </c>
      <c r="Z780" s="3">
        <v>0</v>
      </c>
      <c r="AA780" s="3">
        <v>0</v>
      </c>
    </row>
    <row r="781" spans="1:27" x14ac:dyDescent="0.2">
      <c r="A781">
        <f t="shared" si="24"/>
        <v>2</v>
      </c>
      <c r="B781">
        <f t="shared" si="25"/>
        <v>6</v>
      </c>
      <c r="C781" s="1">
        <v>46056</v>
      </c>
      <c r="D781" t="s">
        <v>25</v>
      </c>
      <c r="E781" t="s">
        <v>26</v>
      </c>
      <c r="F781" t="s">
        <v>34</v>
      </c>
      <c r="G781" t="s">
        <v>273</v>
      </c>
      <c r="H781" t="s">
        <v>29</v>
      </c>
      <c r="I781" t="s">
        <v>30</v>
      </c>
      <c r="J781" t="s">
        <v>99</v>
      </c>
      <c r="K781" t="s">
        <v>267</v>
      </c>
      <c r="L781" t="s">
        <v>99</v>
      </c>
      <c r="M781" s="4">
        <v>149</v>
      </c>
      <c r="N781" s="4">
        <v>2</v>
      </c>
      <c r="O781" s="2">
        <v>1.342281879194631E-2</v>
      </c>
      <c r="P781" s="3">
        <v>0.81</v>
      </c>
      <c r="Q781" s="3">
        <v>1.62</v>
      </c>
      <c r="R781" s="3">
        <v>17.09</v>
      </c>
      <c r="S781" s="2">
        <v>9.4792276184903476E-2</v>
      </c>
      <c r="T781" s="5">
        <v>10.549382716049381</v>
      </c>
      <c r="U781" s="4">
        <v>1</v>
      </c>
      <c r="V781" s="4">
        <v>1</v>
      </c>
      <c r="W781" s="2">
        <v>0.5</v>
      </c>
      <c r="X781" s="4">
        <v>1</v>
      </c>
      <c r="Y781" s="4">
        <v>0</v>
      </c>
      <c r="Z781" s="3">
        <v>17.09</v>
      </c>
      <c r="AA781" s="3">
        <v>0</v>
      </c>
    </row>
    <row r="782" spans="1:27" x14ac:dyDescent="0.2">
      <c r="A782">
        <f t="shared" si="24"/>
        <v>2</v>
      </c>
      <c r="B782">
        <f t="shared" si="25"/>
        <v>6</v>
      </c>
      <c r="C782" s="1">
        <v>46059</v>
      </c>
      <c r="D782" t="s">
        <v>25</v>
      </c>
      <c r="E782" t="s">
        <v>26</v>
      </c>
      <c r="F782" t="s">
        <v>34</v>
      </c>
      <c r="G782" t="s">
        <v>273</v>
      </c>
      <c r="H782" t="s">
        <v>29</v>
      </c>
      <c r="I782" t="s">
        <v>30</v>
      </c>
      <c r="J782" t="s">
        <v>99</v>
      </c>
      <c r="K782" t="s">
        <v>267</v>
      </c>
      <c r="L782" t="s">
        <v>99</v>
      </c>
      <c r="M782" s="4">
        <v>114</v>
      </c>
      <c r="N782" s="4">
        <v>1</v>
      </c>
      <c r="O782" s="2">
        <v>8.771929824561403E-3</v>
      </c>
      <c r="P782" s="3">
        <v>0.89</v>
      </c>
      <c r="Q782" s="3">
        <v>0.89</v>
      </c>
      <c r="R782" s="3">
        <v>0</v>
      </c>
      <c r="S782" s="2"/>
      <c r="T782" s="5">
        <v>0</v>
      </c>
      <c r="U782" s="4">
        <v>0</v>
      </c>
      <c r="V782" s="4">
        <v>0</v>
      </c>
      <c r="W782" s="2">
        <v>0</v>
      </c>
      <c r="X782" s="4">
        <v>0</v>
      </c>
      <c r="Y782" s="4">
        <v>0</v>
      </c>
      <c r="Z782" s="3">
        <v>0</v>
      </c>
      <c r="AA782" s="3">
        <v>0</v>
      </c>
    </row>
    <row r="783" spans="1:27" x14ac:dyDescent="0.2">
      <c r="A783">
        <f t="shared" si="24"/>
        <v>2</v>
      </c>
      <c r="B783">
        <f t="shared" si="25"/>
        <v>6</v>
      </c>
      <c r="C783" s="1">
        <v>46060</v>
      </c>
      <c r="D783" t="s">
        <v>25</v>
      </c>
      <c r="E783" t="s">
        <v>26</v>
      </c>
      <c r="F783" t="s">
        <v>34</v>
      </c>
      <c r="G783" t="s">
        <v>273</v>
      </c>
      <c r="H783" t="s">
        <v>29</v>
      </c>
      <c r="I783" t="s">
        <v>30</v>
      </c>
      <c r="J783" t="s">
        <v>99</v>
      </c>
      <c r="K783" t="s">
        <v>267</v>
      </c>
      <c r="L783" t="s">
        <v>99</v>
      </c>
      <c r="M783" s="4">
        <v>99</v>
      </c>
      <c r="N783" s="4">
        <v>1</v>
      </c>
      <c r="O783" s="2">
        <v>1.0101010101010102E-2</v>
      </c>
      <c r="P783" s="3">
        <v>0.91</v>
      </c>
      <c r="Q783" s="3">
        <v>0.91</v>
      </c>
      <c r="R783" s="3">
        <v>0</v>
      </c>
      <c r="S783" s="2"/>
      <c r="T783" s="5">
        <v>0</v>
      </c>
      <c r="U783" s="4">
        <v>0</v>
      </c>
      <c r="V783" s="4">
        <v>0</v>
      </c>
      <c r="W783" s="2">
        <v>0</v>
      </c>
      <c r="X783" s="4">
        <v>0</v>
      </c>
      <c r="Y783" s="4">
        <v>0</v>
      </c>
      <c r="Z783" s="3">
        <v>0</v>
      </c>
      <c r="AA783" s="3">
        <v>0</v>
      </c>
    </row>
    <row r="784" spans="1:27" x14ac:dyDescent="0.2">
      <c r="A784">
        <f t="shared" si="24"/>
        <v>2</v>
      </c>
      <c r="B784">
        <f t="shared" si="25"/>
        <v>8</v>
      </c>
      <c r="C784" s="1">
        <v>46069</v>
      </c>
      <c r="D784" t="s">
        <v>25</v>
      </c>
      <c r="E784" t="s">
        <v>26</v>
      </c>
      <c r="F784" t="s">
        <v>27</v>
      </c>
      <c r="G784" t="s">
        <v>28</v>
      </c>
      <c r="H784" t="s">
        <v>29</v>
      </c>
      <c r="I784" t="s">
        <v>30</v>
      </c>
      <c r="J784" t="s">
        <v>280</v>
      </c>
      <c r="K784" t="s">
        <v>32</v>
      </c>
      <c r="L784" t="s">
        <v>550</v>
      </c>
      <c r="M784" s="4">
        <v>1</v>
      </c>
      <c r="N784" s="4">
        <v>1</v>
      </c>
      <c r="O784" s="2">
        <v>1</v>
      </c>
      <c r="P784" s="3">
        <v>0.21</v>
      </c>
      <c r="Q784" s="3">
        <v>0.21</v>
      </c>
      <c r="R784" s="3">
        <v>0</v>
      </c>
      <c r="S784" s="2"/>
      <c r="T784" s="5">
        <v>0</v>
      </c>
      <c r="U784" s="4">
        <v>0</v>
      </c>
      <c r="V784" s="4">
        <v>0</v>
      </c>
      <c r="W784" s="2">
        <v>0</v>
      </c>
      <c r="X784" s="4">
        <v>0</v>
      </c>
      <c r="Y784" s="4">
        <v>0</v>
      </c>
      <c r="Z784" s="3">
        <v>0</v>
      </c>
      <c r="AA784" s="3">
        <v>0</v>
      </c>
    </row>
    <row r="785" spans="1:27" x14ac:dyDescent="0.2">
      <c r="A785">
        <f t="shared" si="24"/>
        <v>2</v>
      </c>
      <c r="B785">
        <f t="shared" si="25"/>
        <v>7</v>
      </c>
      <c r="C785" s="1">
        <v>46064</v>
      </c>
      <c r="D785" t="s">
        <v>25</v>
      </c>
      <c r="E785" t="s">
        <v>26</v>
      </c>
      <c r="F785" t="s">
        <v>27</v>
      </c>
      <c r="G785" t="s">
        <v>124</v>
      </c>
      <c r="H785" t="s">
        <v>29</v>
      </c>
      <c r="I785" t="s">
        <v>30</v>
      </c>
      <c r="J785" t="s">
        <v>101</v>
      </c>
      <c r="K785" t="s">
        <v>87</v>
      </c>
      <c r="L785" t="s">
        <v>551</v>
      </c>
      <c r="M785" s="4">
        <v>1</v>
      </c>
      <c r="N785" s="4">
        <v>1</v>
      </c>
      <c r="O785" s="2">
        <v>1</v>
      </c>
      <c r="P785" s="3">
        <v>0.16</v>
      </c>
      <c r="Q785" s="3">
        <v>0.16</v>
      </c>
      <c r="R785" s="3">
        <v>0</v>
      </c>
      <c r="S785" s="2"/>
      <c r="T785" s="5">
        <v>0</v>
      </c>
      <c r="U785" s="4">
        <v>0</v>
      </c>
      <c r="V785" s="4">
        <v>0</v>
      </c>
      <c r="W785" s="2">
        <v>0</v>
      </c>
      <c r="X785" s="4">
        <v>0</v>
      </c>
      <c r="Y785" s="4">
        <v>0</v>
      </c>
      <c r="Z785" s="3">
        <v>0</v>
      </c>
      <c r="AA785" s="3">
        <v>0</v>
      </c>
    </row>
    <row r="786" spans="1:27" x14ac:dyDescent="0.2">
      <c r="A786">
        <f t="shared" si="24"/>
        <v>2</v>
      </c>
      <c r="B786">
        <f t="shared" si="25"/>
        <v>8</v>
      </c>
      <c r="C786" s="1">
        <v>46069</v>
      </c>
      <c r="D786" t="s">
        <v>25</v>
      </c>
      <c r="E786" t="s">
        <v>26</v>
      </c>
      <c r="F786" t="s">
        <v>39</v>
      </c>
      <c r="G786" t="s">
        <v>40</v>
      </c>
      <c r="H786" t="s">
        <v>29</v>
      </c>
      <c r="I786" t="s">
        <v>30</v>
      </c>
      <c r="J786" t="s">
        <v>41</v>
      </c>
      <c r="K786" t="s">
        <v>42</v>
      </c>
      <c r="L786" t="s">
        <v>552</v>
      </c>
      <c r="M786" s="4">
        <v>4</v>
      </c>
      <c r="N786" s="4">
        <v>2</v>
      </c>
      <c r="O786" s="2">
        <v>0.5</v>
      </c>
      <c r="P786" s="3">
        <v>0.68</v>
      </c>
      <c r="Q786" s="3">
        <v>1.36</v>
      </c>
      <c r="R786" s="3">
        <v>0</v>
      </c>
      <c r="S786" s="2"/>
      <c r="T786" s="5">
        <v>0</v>
      </c>
      <c r="U786" s="4">
        <v>0</v>
      </c>
      <c r="V786" s="4">
        <v>0</v>
      </c>
      <c r="W786" s="2">
        <v>0</v>
      </c>
      <c r="X786" s="4">
        <v>0</v>
      </c>
      <c r="Y786" s="4">
        <v>0</v>
      </c>
      <c r="Z786" s="3">
        <v>0</v>
      </c>
      <c r="AA786" s="3">
        <v>0</v>
      </c>
    </row>
    <row r="787" spans="1:27" x14ac:dyDescent="0.2">
      <c r="A787">
        <f t="shared" si="24"/>
        <v>2</v>
      </c>
      <c r="B787">
        <f t="shared" si="25"/>
        <v>8</v>
      </c>
      <c r="C787" s="1">
        <v>46069</v>
      </c>
      <c r="D787" t="s">
        <v>25</v>
      </c>
      <c r="E787" t="s">
        <v>26</v>
      </c>
      <c r="F787" t="s">
        <v>34</v>
      </c>
      <c r="G787" t="s">
        <v>273</v>
      </c>
      <c r="H787" t="s">
        <v>29</v>
      </c>
      <c r="I787" t="s">
        <v>30</v>
      </c>
      <c r="J787" t="s">
        <v>101</v>
      </c>
      <c r="K787" t="s">
        <v>267</v>
      </c>
      <c r="L787" t="s">
        <v>553</v>
      </c>
      <c r="M787" s="4">
        <v>3</v>
      </c>
      <c r="N787" s="4">
        <v>1</v>
      </c>
      <c r="O787" s="2">
        <v>0.33333333333333331</v>
      </c>
      <c r="P787" s="3">
        <v>1</v>
      </c>
      <c r="Q787" s="3">
        <v>1</v>
      </c>
      <c r="R787" s="3">
        <v>0</v>
      </c>
      <c r="S787" s="2"/>
      <c r="T787" s="5">
        <v>0</v>
      </c>
      <c r="U787" s="4">
        <v>0</v>
      </c>
      <c r="V787" s="4">
        <v>0</v>
      </c>
      <c r="W787" s="2">
        <v>0</v>
      </c>
      <c r="X787" s="4">
        <v>0</v>
      </c>
      <c r="Y787" s="4">
        <v>0</v>
      </c>
      <c r="Z787" s="3">
        <v>0</v>
      </c>
      <c r="AA787" s="3">
        <v>0</v>
      </c>
    </row>
    <row r="788" spans="1:27" x14ac:dyDescent="0.2">
      <c r="A788">
        <f t="shared" si="24"/>
        <v>2</v>
      </c>
      <c r="B788">
        <f t="shared" si="25"/>
        <v>8</v>
      </c>
      <c r="C788" s="1">
        <v>46071</v>
      </c>
      <c r="D788" t="s">
        <v>25</v>
      </c>
      <c r="E788" t="s">
        <v>26</v>
      </c>
      <c r="F788" t="s">
        <v>49</v>
      </c>
      <c r="G788" t="s">
        <v>50</v>
      </c>
      <c r="H788" t="s">
        <v>29</v>
      </c>
      <c r="I788" t="s">
        <v>30</v>
      </c>
      <c r="J788" t="s">
        <v>95</v>
      </c>
      <c r="K788" t="s">
        <v>42</v>
      </c>
      <c r="L788" t="s">
        <v>554</v>
      </c>
      <c r="M788" s="4">
        <v>1</v>
      </c>
      <c r="N788" s="4">
        <v>1</v>
      </c>
      <c r="O788" s="2">
        <v>1</v>
      </c>
      <c r="P788" s="3">
        <v>0.52</v>
      </c>
      <c r="Q788" s="3">
        <v>0.52</v>
      </c>
      <c r="R788" s="3">
        <v>0</v>
      </c>
      <c r="S788" s="2"/>
      <c r="T788" s="5">
        <v>0</v>
      </c>
      <c r="U788" s="4">
        <v>0</v>
      </c>
      <c r="V788" s="4">
        <v>0</v>
      </c>
      <c r="W788" s="2">
        <v>0</v>
      </c>
      <c r="X788" s="4">
        <v>0</v>
      </c>
      <c r="Y788" s="4">
        <v>0</v>
      </c>
      <c r="Z788" s="3">
        <v>0</v>
      </c>
      <c r="AA788" s="3">
        <v>0</v>
      </c>
    </row>
    <row r="789" spans="1:27" x14ac:dyDescent="0.2">
      <c r="A789">
        <f t="shared" si="24"/>
        <v>2</v>
      </c>
      <c r="B789">
        <f t="shared" si="25"/>
        <v>6</v>
      </c>
      <c r="C789" s="1">
        <v>46058</v>
      </c>
      <c r="D789" t="s">
        <v>25</v>
      </c>
      <c r="E789" t="s">
        <v>26</v>
      </c>
      <c r="F789" t="s">
        <v>49</v>
      </c>
      <c r="G789" t="s">
        <v>50</v>
      </c>
      <c r="H789" t="s">
        <v>29</v>
      </c>
      <c r="I789" t="s">
        <v>30</v>
      </c>
      <c r="J789" t="s">
        <v>95</v>
      </c>
      <c r="K789" t="s">
        <v>42</v>
      </c>
      <c r="L789" t="s">
        <v>555</v>
      </c>
      <c r="M789" s="4">
        <v>1</v>
      </c>
      <c r="N789" s="4">
        <v>1</v>
      </c>
      <c r="O789" s="2">
        <v>1</v>
      </c>
      <c r="P789" s="3">
        <v>0.69</v>
      </c>
      <c r="Q789" s="3">
        <v>0.69</v>
      </c>
      <c r="R789" s="3">
        <v>0</v>
      </c>
      <c r="S789" s="2"/>
      <c r="T789" s="5">
        <v>0</v>
      </c>
      <c r="U789" s="4">
        <v>0</v>
      </c>
      <c r="V789" s="4">
        <v>0</v>
      </c>
      <c r="W789" s="2">
        <v>0</v>
      </c>
      <c r="X789" s="4">
        <v>0</v>
      </c>
      <c r="Y789" s="4">
        <v>0</v>
      </c>
      <c r="Z789" s="3">
        <v>0</v>
      </c>
      <c r="AA789" s="3">
        <v>0</v>
      </c>
    </row>
    <row r="790" spans="1:27" x14ac:dyDescent="0.2">
      <c r="A790">
        <f t="shared" si="24"/>
        <v>2</v>
      </c>
      <c r="B790">
        <f t="shared" si="25"/>
        <v>8</v>
      </c>
      <c r="C790" s="1">
        <v>46070</v>
      </c>
      <c r="D790" t="s">
        <v>25</v>
      </c>
      <c r="E790" t="s">
        <v>26</v>
      </c>
      <c r="F790" t="s">
        <v>49</v>
      </c>
      <c r="G790" t="s">
        <v>50</v>
      </c>
      <c r="H790" t="s">
        <v>29</v>
      </c>
      <c r="I790" t="s">
        <v>30</v>
      </c>
      <c r="J790" t="s">
        <v>95</v>
      </c>
      <c r="K790" t="s">
        <v>42</v>
      </c>
      <c r="L790" t="s">
        <v>556</v>
      </c>
      <c r="M790" s="4">
        <v>1</v>
      </c>
      <c r="N790" s="4">
        <v>1</v>
      </c>
      <c r="O790" s="2">
        <v>1</v>
      </c>
      <c r="P790" s="3">
        <v>0.52</v>
      </c>
      <c r="Q790" s="3">
        <v>0.52</v>
      </c>
      <c r="R790" s="3">
        <v>0</v>
      </c>
      <c r="S790" s="2"/>
      <c r="T790" s="5">
        <v>0</v>
      </c>
      <c r="U790" s="4">
        <v>0</v>
      </c>
      <c r="V790" s="4">
        <v>0</v>
      </c>
      <c r="W790" s="2">
        <v>0</v>
      </c>
      <c r="X790" s="4">
        <v>0</v>
      </c>
      <c r="Y790" s="4">
        <v>0</v>
      </c>
      <c r="Z790" s="3">
        <v>0</v>
      </c>
      <c r="AA790" s="3">
        <v>0</v>
      </c>
    </row>
    <row r="791" spans="1:27" x14ac:dyDescent="0.2">
      <c r="A791">
        <f t="shared" si="24"/>
        <v>2</v>
      </c>
      <c r="B791">
        <f t="shared" si="25"/>
        <v>6</v>
      </c>
      <c r="C791" s="1">
        <v>46054</v>
      </c>
      <c r="D791" t="s">
        <v>25</v>
      </c>
      <c r="E791" t="s">
        <v>26</v>
      </c>
      <c r="F791" t="s">
        <v>49</v>
      </c>
      <c r="G791" t="s">
        <v>50</v>
      </c>
      <c r="H791" t="s">
        <v>29</v>
      </c>
      <c r="I791" t="s">
        <v>30</v>
      </c>
      <c r="J791" t="s">
        <v>47</v>
      </c>
      <c r="K791" t="s">
        <v>42</v>
      </c>
      <c r="L791" t="s">
        <v>50</v>
      </c>
      <c r="M791" s="4">
        <v>5</v>
      </c>
      <c r="N791" s="4">
        <v>1</v>
      </c>
      <c r="O791" s="2">
        <v>0.2</v>
      </c>
      <c r="P791" s="3">
        <v>0.53</v>
      </c>
      <c r="Q791" s="3">
        <v>0.53</v>
      </c>
      <c r="R791" s="3">
        <v>0</v>
      </c>
      <c r="S791" s="2"/>
      <c r="T791" s="5">
        <v>0</v>
      </c>
      <c r="U791" s="4">
        <v>0</v>
      </c>
      <c r="V791" s="4">
        <v>0</v>
      </c>
      <c r="W791" s="2">
        <v>0</v>
      </c>
      <c r="X791" s="4">
        <v>0</v>
      </c>
      <c r="Y791" s="4">
        <v>0</v>
      </c>
      <c r="Z791" s="3">
        <v>0</v>
      </c>
      <c r="AA791" s="3">
        <v>0</v>
      </c>
    </row>
    <row r="792" spans="1:27" x14ac:dyDescent="0.2">
      <c r="A792">
        <f t="shared" si="24"/>
        <v>2</v>
      </c>
      <c r="B792">
        <f t="shared" si="25"/>
        <v>6</v>
      </c>
      <c r="C792" s="1">
        <v>46060</v>
      </c>
      <c r="D792" t="s">
        <v>25</v>
      </c>
      <c r="E792" t="s">
        <v>26</v>
      </c>
      <c r="F792" t="s">
        <v>49</v>
      </c>
      <c r="G792" t="s">
        <v>50</v>
      </c>
      <c r="H792" t="s">
        <v>29</v>
      </c>
      <c r="I792" t="s">
        <v>30</v>
      </c>
      <c r="J792" t="s">
        <v>47</v>
      </c>
      <c r="K792" t="s">
        <v>42</v>
      </c>
      <c r="L792" t="s">
        <v>50</v>
      </c>
      <c r="M792" s="4">
        <v>4</v>
      </c>
      <c r="N792" s="4">
        <v>1</v>
      </c>
      <c r="O792" s="2">
        <v>0.25</v>
      </c>
      <c r="P792" s="3">
        <v>0.63</v>
      </c>
      <c r="Q792" s="3">
        <v>0.63</v>
      </c>
      <c r="R792" s="3">
        <v>0</v>
      </c>
      <c r="S792" s="2"/>
      <c r="T792" s="5">
        <v>0</v>
      </c>
      <c r="U792" s="4">
        <v>0</v>
      </c>
      <c r="V792" s="4">
        <v>0</v>
      </c>
      <c r="W792" s="2">
        <v>0</v>
      </c>
      <c r="X792" s="4">
        <v>0</v>
      </c>
      <c r="Y792" s="4">
        <v>0</v>
      </c>
      <c r="Z792" s="3">
        <v>0</v>
      </c>
      <c r="AA792" s="3">
        <v>0</v>
      </c>
    </row>
    <row r="793" spans="1:27" x14ac:dyDescent="0.2">
      <c r="A793">
        <f t="shared" si="24"/>
        <v>2</v>
      </c>
      <c r="B793">
        <f t="shared" si="25"/>
        <v>8</v>
      </c>
      <c r="C793" s="1">
        <v>46074</v>
      </c>
      <c r="D793" t="s">
        <v>25</v>
      </c>
      <c r="E793" t="s">
        <v>26</v>
      </c>
      <c r="F793" t="s">
        <v>34</v>
      </c>
      <c r="G793" t="s">
        <v>28</v>
      </c>
      <c r="H793" t="s">
        <v>29</v>
      </c>
      <c r="I793" t="s">
        <v>30</v>
      </c>
      <c r="J793" t="s">
        <v>50</v>
      </c>
      <c r="K793" t="s">
        <v>32</v>
      </c>
      <c r="L793" t="s">
        <v>50</v>
      </c>
      <c r="M793" s="4">
        <v>13</v>
      </c>
      <c r="N793" s="4">
        <v>1</v>
      </c>
      <c r="O793" s="2">
        <v>7.6923076923076927E-2</v>
      </c>
      <c r="P793" s="3">
        <v>0.49</v>
      </c>
      <c r="Q793" s="3">
        <v>0.49</v>
      </c>
      <c r="R793" s="3">
        <v>0</v>
      </c>
      <c r="S793" s="2"/>
      <c r="T793" s="5">
        <v>0</v>
      </c>
      <c r="U793" s="4">
        <v>0</v>
      </c>
      <c r="V793" s="4">
        <v>0</v>
      </c>
      <c r="W793" s="2">
        <v>0</v>
      </c>
      <c r="X793" s="4">
        <v>0</v>
      </c>
      <c r="Y793" s="4">
        <v>0</v>
      </c>
      <c r="Z793" s="3">
        <v>0</v>
      </c>
      <c r="AA793" s="3">
        <v>0</v>
      </c>
    </row>
    <row r="794" spans="1:27" x14ac:dyDescent="0.2">
      <c r="A794">
        <f t="shared" si="24"/>
        <v>2</v>
      </c>
      <c r="B794">
        <f t="shared" si="25"/>
        <v>8</v>
      </c>
      <c r="C794" s="1">
        <v>46068</v>
      </c>
      <c r="D794" t="s">
        <v>25</v>
      </c>
      <c r="E794" t="s">
        <v>26</v>
      </c>
      <c r="F794" t="s">
        <v>27</v>
      </c>
      <c r="G794" t="s">
        <v>28</v>
      </c>
      <c r="H794" t="s">
        <v>29</v>
      </c>
      <c r="I794" t="s">
        <v>30</v>
      </c>
      <c r="J794" t="s">
        <v>50</v>
      </c>
      <c r="K794" t="s">
        <v>32</v>
      </c>
      <c r="L794" t="s">
        <v>50</v>
      </c>
      <c r="M794" s="4">
        <v>7</v>
      </c>
      <c r="N794" s="4">
        <v>1</v>
      </c>
      <c r="O794" s="2">
        <v>0.14285714285714285</v>
      </c>
      <c r="P794" s="3">
        <v>0.21</v>
      </c>
      <c r="Q794" s="3">
        <v>0.21</v>
      </c>
      <c r="R794" s="3">
        <v>0</v>
      </c>
      <c r="S794" s="2"/>
      <c r="T794" s="5">
        <v>0</v>
      </c>
      <c r="U794" s="4">
        <v>0</v>
      </c>
      <c r="V794" s="4">
        <v>0</v>
      </c>
      <c r="W794" s="2">
        <v>0</v>
      </c>
      <c r="X794" s="4">
        <v>0</v>
      </c>
      <c r="Y794" s="4">
        <v>0</v>
      </c>
      <c r="Z794" s="3">
        <v>0</v>
      </c>
      <c r="AA794" s="3">
        <v>0</v>
      </c>
    </row>
    <row r="795" spans="1:27" x14ac:dyDescent="0.2">
      <c r="A795">
        <f t="shared" si="24"/>
        <v>2</v>
      </c>
      <c r="B795">
        <f t="shared" si="25"/>
        <v>7</v>
      </c>
      <c r="C795" s="1">
        <v>46061</v>
      </c>
      <c r="D795" t="s">
        <v>25</v>
      </c>
      <c r="E795" t="s">
        <v>26</v>
      </c>
      <c r="F795" t="s">
        <v>39</v>
      </c>
      <c r="G795" t="s">
        <v>40</v>
      </c>
      <c r="H795" t="s">
        <v>29</v>
      </c>
      <c r="I795" t="s">
        <v>30</v>
      </c>
      <c r="J795" t="s">
        <v>41</v>
      </c>
      <c r="K795" t="s">
        <v>42</v>
      </c>
      <c r="L795" t="s">
        <v>50</v>
      </c>
      <c r="M795" s="4">
        <v>1</v>
      </c>
      <c r="N795" s="4">
        <v>1</v>
      </c>
      <c r="O795" s="2">
        <v>1</v>
      </c>
      <c r="P795" s="3">
        <v>0.66</v>
      </c>
      <c r="Q795" s="3">
        <v>0.66</v>
      </c>
      <c r="R795" s="3">
        <v>0</v>
      </c>
      <c r="S795" s="2"/>
      <c r="T795" s="5">
        <v>0</v>
      </c>
      <c r="U795" s="4">
        <v>0</v>
      </c>
      <c r="V795" s="4">
        <v>0</v>
      </c>
      <c r="W795" s="2">
        <v>0</v>
      </c>
      <c r="X795" s="4">
        <v>0</v>
      </c>
      <c r="Y795" s="4">
        <v>0</v>
      </c>
      <c r="Z795" s="3">
        <v>0</v>
      </c>
      <c r="AA795" s="3">
        <v>0</v>
      </c>
    </row>
    <row r="796" spans="1:27" x14ac:dyDescent="0.2">
      <c r="A796">
        <f t="shared" si="24"/>
        <v>2</v>
      </c>
      <c r="B796">
        <f t="shared" si="25"/>
        <v>7</v>
      </c>
      <c r="C796" s="1">
        <v>46065</v>
      </c>
      <c r="D796" t="s">
        <v>25</v>
      </c>
      <c r="E796" t="s">
        <v>26</v>
      </c>
      <c r="F796" t="s">
        <v>27</v>
      </c>
      <c r="G796" t="s">
        <v>28</v>
      </c>
      <c r="H796" t="s">
        <v>29</v>
      </c>
      <c r="I796" t="s">
        <v>30</v>
      </c>
      <c r="J796" t="s">
        <v>311</v>
      </c>
      <c r="K796" t="s">
        <v>32</v>
      </c>
      <c r="L796" t="s">
        <v>50</v>
      </c>
      <c r="M796" s="4">
        <v>1</v>
      </c>
      <c r="N796" s="4">
        <v>1</v>
      </c>
      <c r="O796" s="2">
        <v>1</v>
      </c>
      <c r="P796" s="3">
        <v>0.21</v>
      </c>
      <c r="Q796" s="3">
        <v>0.21</v>
      </c>
      <c r="R796" s="3">
        <v>0</v>
      </c>
      <c r="S796" s="2"/>
      <c r="T796" s="5">
        <v>0</v>
      </c>
      <c r="U796" s="4">
        <v>0</v>
      </c>
      <c r="V796" s="4">
        <v>0</v>
      </c>
      <c r="W796" s="2">
        <v>0</v>
      </c>
      <c r="X796" s="4">
        <v>0</v>
      </c>
      <c r="Y796" s="4">
        <v>0</v>
      </c>
      <c r="Z796" s="3">
        <v>0</v>
      </c>
      <c r="AA796" s="3">
        <v>0</v>
      </c>
    </row>
    <row r="797" spans="1:27" x14ac:dyDescent="0.2">
      <c r="A797">
        <f t="shared" si="24"/>
        <v>2</v>
      </c>
      <c r="B797">
        <f t="shared" si="25"/>
        <v>7</v>
      </c>
      <c r="C797" s="1">
        <v>46061</v>
      </c>
      <c r="D797" t="s">
        <v>25</v>
      </c>
      <c r="E797" t="s">
        <v>26</v>
      </c>
      <c r="F797" t="s">
        <v>27</v>
      </c>
      <c r="G797" t="s">
        <v>124</v>
      </c>
      <c r="H797" t="s">
        <v>29</v>
      </c>
      <c r="I797" t="s">
        <v>30</v>
      </c>
      <c r="J797" t="s">
        <v>280</v>
      </c>
      <c r="K797" t="s">
        <v>87</v>
      </c>
      <c r="L797" t="s">
        <v>280</v>
      </c>
      <c r="M797" s="4">
        <v>6</v>
      </c>
      <c r="N797" s="4">
        <v>1</v>
      </c>
      <c r="O797" s="2">
        <v>0.16666666666666663</v>
      </c>
      <c r="P797" s="3">
        <v>0.2</v>
      </c>
      <c r="Q797" s="3">
        <v>0.2</v>
      </c>
      <c r="R797" s="3">
        <v>0</v>
      </c>
      <c r="S797" s="2"/>
      <c r="T797" s="5">
        <v>0</v>
      </c>
      <c r="U797" s="4">
        <v>0</v>
      </c>
      <c r="V797" s="4">
        <v>0</v>
      </c>
      <c r="W797" s="2">
        <v>0</v>
      </c>
      <c r="X797" s="4">
        <v>0</v>
      </c>
      <c r="Y797" s="4">
        <v>0</v>
      </c>
      <c r="Z797" s="3">
        <v>0</v>
      </c>
      <c r="AA797" s="3">
        <v>0</v>
      </c>
    </row>
    <row r="798" spans="1:27" x14ac:dyDescent="0.2">
      <c r="A798">
        <f t="shared" si="24"/>
        <v>2</v>
      </c>
      <c r="B798">
        <f t="shared" si="25"/>
        <v>6</v>
      </c>
      <c r="C798" s="1">
        <v>46060</v>
      </c>
      <c r="D798" t="s">
        <v>25</v>
      </c>
      <c r="E798" t="s">
        <v>26</v>
      </c>
      <c r="F798" t="s">
        <v>39</v>
      </c>
      <c r="G798" t="s">
        <v>40</v>
      </c>
      <c r="H798" t="s">
        <v>29</v>
      </c>
      <c r="I798" t="s">
        <v>30</v>
      </c>
      <c r="J798" t="s">
        <v>78</v>
      </c>
      <c r="K798" t="s">
        <v>42</v>
      </c>
      <c r="L798" t="s">
        <v>280</v>
      </c>
      <c r="M798" s="4">
        <v>1</v>
      </c>
      <c r="N798" s="4">
        <v>1</v>
      </c>
      <c r="O798" s="2">
        <v>1</v>
      </c>
      <c r="P798" s="3">
        <v>0.55000000000000004</v>
      </c>
      <c r="Q798" s="3">
        <v>0.55000000000000004</v>
      </c>
      <c r="R798" s="3">
        <v>0</v>
      </c>
      <c r="S798" s="2"/>
      <c r="T798" s="5">
        <v>0</v>
      </c>
      <c r="U798" s="4">
        <v>0</v>
      </c>
      <c r="V798" s="4">
        <v>0</v>
      </c>
      <c r="W798" s="2">
        <v>0</v>
      </c>
      <c r="X798" s="4">
        <v>0</v>
      </c>
      <c r="Y798" s="4">
        <v>0</v>
      </c>
      <c r="Z798" s="3">
        <v>0</v>
      </c>
      <c r="AA798" s="3">
        <v>0</v>
      </c>
    </row>
    <row r="799" spans="1:27" x14ac:dyDescent="0.2">
      <c r="A799">
        <f t="shared" si="24"/>
        <v>2</v>
      </c>
      <c r="B799">
        <f t="shared" si="25"/>
        <v>6</v>
      </c>
      <c r="C799" s="1">
        <v>46059</v>
      </c>
      <c r="D799" t="s">
        <v>25</v>
      </c>
      <c r="E799" t="s">
        <v>26</v>
      </c>
      <c r="F799" t="s">
        <v>49</v>
      </c>
      <c r="G799" t="s">
        <v>50</v>
      </c>
      <c r="H799" t="s">
        <v>29</v>
      </c>
      <c r="I799" t="s">
        <v>30</v>
      </c>
      <c r="J799" t="s">
        <v>47</v>
      </c>
      <c r="K799" t="s">
        <v>42</v>
      </c>
      <c r="L799" t="s">
        <v>281</v>
      </c>
      <c r="M799" s="4">
        <v>2</v>
      </c>
      <c r="N799" s="4">
        <v>1</v>
      </c>
      <c r="O799" s="2">
        <v>0.5</v>
      </c>
      <c r="P799" s="3">
        <v>0.8</v>
      </c>
      <c r="Q799" s="3">
        <v>0.8</v>
      </c>
      <c r="R799" s="3">
        <v>0</v>
      </c>
      <c r="S799" s="2"/>
      <c r="T799" s="5">
        <v>0</v>
      </c>
      <c r="U799" s="4">
        <v>0</v>
      </c>
      <c r="V799" s="4">
        <v>0</v>
      </c>
      <c r="W799" s="2">
        <v>0</v>
      </c>
      <c r="X799" s="4">
        <v>0</v>
      </c>
      <c r="Y799" s="4">
        <v>0</v>
      </c>
      <c r="Z799" s="3">
        <v>0</v>
      </c>
      <c r="AA799" s="3">
        <v>0</v>
      </c>
    </row>
    <row r="800" spans="1:27" x14ac:dyDescent="0.2">
      <c r="A800">
        <f t="shared" si="24"/>
        <v>2</v>
      </c>
      <c r="B800">
        <f t="shared" si="25"/>
        <v>8</v>
      </c>
      <c r="C800" s="1">
        <v>46071</v>
      </c>
      <c r="D800" t="s">
        <v>25</v>
      </c>
      <c r="E800" t="s">
        <v>26</v>
      </c>
      <c r="F800" t="s">
        <v>39</v>
      </c>
      <c r="G800" t="s">
        <v>40</v>
      </c>
      <c r="H800" t="s">
        <v>29</v>
      </c>
      <c r="I800" t="s">
        <v>30</v>
      </c>
      <c r="J800" t="s">
        <v>41</v>
      </c>
      <c r="K800" t="s">
        <v>42</v>
      </c>
      <c r="L800" t="s">
        <v>281</v>
      </c>
      <c r="M800" s="4">
        <v>7</v>
      </c>
      <c r="N800" s="4">
        <v>1</v>
      </c>
      <c r="O800" s="2">
        <v>0.14285714285714285</v>
      </c>
      <c r="P800" s="3">
        <v>0.68</v>
      </c>
      <c r="Q800" s="3">
        <v>0.68</v>
      </c>
      <c r="R800" s="3">
        <v>0</v>
      </c>
      <c r="S800" s="2"/>
      <c r="T800" s="5">
        <v>0</v>
      </c>
      <c r="U800" s="4">
        <v>0</v>
      </c>
      <c r="V800" s="4">
        <v>0</v>
      </c>
      <c r="W800" s="2">
        <v>0</v>
      </c>
      <c r="X800" s="4">
        <v>0</v>
      </c>
      <c r="Y800" s="4">
        <v>0</v>
      </c>
      <c r="Z800" s="3">
        <v>0</v>
      </c>
      <c r="AA800" s="3">
        <v>0</v>
      </c>
    </row>
    <row r="801" spans="1:27" x14ac:dyDescent="0.2">
      <c r="A801">
        <f t="shared" si="24"/>
        <v>2</v>
      </c>
      <c r="B801">
        <f t="shared" si="25"/>
        <v>7</v>
      </c>
      <c r="C801" s="1">
        <v>46063</v>
      </c>
      <c r="D801" t="s">
        <v>25</v>
      </c>
      <c r="E801" t="s">
        <v>26</v>
      </c>
      <c r="F801" t="s">
        <v>34</v>
      </c>
      <c r="G801" t="s">
        <v>28</v>
      </c>
      <c r="H801" t="s">
        <v>29</v>
      </c>
      <c r="I801" t="s">
        <v>30</v>
      </c>
      <c r="J801" t="s">
        <v>50</v>
      </c>
      <c r="K801" t="s">
        <v>32</v>
      </c>
      <c r="L801" t="s">
        <v>557</v>
      </c>
      <c r="M801" s="4">
        <v>2</v>
      </c>
      <c r="N801" s="4">
        <v>1</v>
      </c>
      <c r="O801" s="2">
        <v>0.5</v>
      </c>
      <c r="P801" s="3">
        <v>0.99</v>
      </c>
      <c r="Q801" s="3">
        <v>0.99</v>
      </c>
      <c r="R801" s="3">
        <v>0</v>
      </c>
      <c r="S801" s="2"/>
      <c r="T801" s="5">
        <v>0</v>
      </c>
      <c r="U801" s="4">
        <v>0</v>
      </c>
      <c r="V801" s="4">
        <v>0</v>
      </c>
      <c r="W801" s="2">
        <v>0</v>
      </c>
      <c r="X801" s="4">
        <v>0</v>
      </c>
      <c r="Y801" s="4">
        <v>0</v>
      </c>
      <c r="Z801" s="3">
        <v>0</v>
      </c>
      <c r="AA801" s="3">
        <v>0</v>
      </c>
    </row>
    <row r="802" spans="1:27" x14ac:dyDescent="0.2">
      <c r="A802">
        <f t="shared" si="24"/>
        <v>2</v>
      </c>
      <c r="B802">
        <f t="shared" si="25"/>
        <v>8</v>
      </c>
      <c r="C802" s="1">
        <v>46072</v>
      </c>
      <c r="D802" t="s">
        <v>25</v>
      </c>
      <c r="E802" t="s">
        <v>26</v>
      </c>
      <c r="F802" t="s">
        <v>27</v>
      </c>
      <c r="G802" t="s">
        <v>28</v>
      </c>
      <c r="H802" t="s">
        <v>29</v>
      </c>
      <c r="I802" t="s">
        <v>30</v>
      </c>
      <c r="J802" t="s">
        <v>50</v>
      </c>
      <c r="K802" t="s">
        <v>32</v>
      </c>
      <c r="L802" t="s">
        <v>558</v>
      </c>
      <c r="M802" s="4">
        <v>1</v>
      </c>
      <c r="N802" s="4">
        <v>1</v>
      </c>
      <c r="O802" s="2">
        <v>1</v>
      </c>
      <c r="P802" s="3">
        <v>0.21</v>
      </c>
      <c r="Q802" s="3">
        <v>0.21</v>
      </c>
      <c r="R802" s="3">
        <v>0</v>
      </c>
      <c r="S802" s="2"/>
      <c r="T802" s="5">
        <v>0</v>
      </c>
      <c r="U802" s="4">
        <v>0</v>
      </c>
      <c r="V802" s="4">
        <v>0</v>
      </c>
      <c r="W802" s="2">
        <v>0</v>
      </c>
      <c r="X802" s="4">
        <v>0</v>
      </c>
      <c r="Y802" s="4">
        <v>0</v>
      </c>
      <c r="Z802" s="3">
        <v>0</v>
      </c>
      <c r="AA802" s="3">
        <v>0</v>
      </c>
    </row>
    <row r="803" spans="1:27" x14ac:dyDescent="0.2">
      <c r="A803">
        <f t="shared" si="24"/>
        <v>2</v>
      </c>
      <c r="B803">
        <f t="shared" si="25"/>
        <v>8</v>
      </c>
      <c r="C803" s="1">
        <v>46070</v>
      </c>
      <c r="D803" t="s">
        <v>25</v>
      </c>
      <c r="E803" t="s">
        <v>26</v>
      </c>
      <c r="F803" t="s">
        <v>34</v>
      </c>
      <c r="G803" t="s">
        <v>28</v>
      </c>
      <c r="H803" t="s">
        <v>29</v>
      </c>
      <c r="I803" t="s">
        <v>30</v>
      </c>
      <c r="J803" t="s">
        <v>154</v>
      </c>
      <c r="K803" t="s">
        <v>32</v>
      </c>
      <c r="L803" t="s">
        <v>559</v>
      </c>
      <c r="M803" s="4">
        <v>2</v>
      </c>
      <c r="N803" s="4">
        <v>1</v>
      </c>
      <c r="O803" s="2">
        <v>0.5</v>
      </c>
      <c r="P803" s="3">
        <v>0.75</v>
      </c>
      <c r="Q803" s="3">
        <v>0.75</v>
      </c>
      <c r="R803" s="3">
        <v>0</v>
      </c>
      <c r="S803" s="2"/>
      <c r="T803" s="5">
        <v>0</v>
      </c>
      <c r="U803" s="4">
        <v>0</v>
      </c>
      <c r="V803" s="4">
        <v>0</v>
      </c>
      <c r="W803" s="2">
        <v>0</v>
      </c>
      <c r="X803" s="4">
        <v>0</v>
      </c>
      <c r="Y803" s="4">
        <v>0</v>
      </c>
      <c r="Z803" s="3">
        <v>0</v>
      </c>
      <c r="AA803" s="3">
        <v>0</v>
      </c>
    </row>
    <row r="804" spans="1:27" x14ac:dyDescent="0.2">
      <c r="A804">
        <f t="shared" si="24"/>
        <v>2</v>
      </c>
      <c r="B804">
        <f t="shared" si="25"/>
        <v>6</v>
      </c>
      <c r="C804" s="1">
        <v>46056</v>
      </c>
      <c r="D804" t="s">
        <v>25</v>
      </c>
      <c r="E804" t="s">
        <v>26</v>
      </c>
      <c r="F804" t="s">
        <v>39</v>
      </c>
      <c r="G804" t="s">
        <v>40</v>
      </c>
      <c r="H804" t="s">
        <v>29</v>
      </c>
      <c r="I804" t="s">
        <v>30</v>
      </c>
      <c r="J804" t="s">
        <v>41</v>
      </c>
      <c r="K804" t="s">
        <v>42</v>
      </c>
      <c r="L804" t="s">
        <v>560</v>
      </c>
      <c r="M804" s="4">
        <v>1</v>
      </c>
      <c r="N804" s="4">
        <v>1</v>
      </c>
      <c r="O804" s="2">
        <v>1</v>
      </c>
      <c r="P804" s="3">
        <v>0.79</v>
      </c>
      <c r="Q804" s="3">
        <v>0.79</v>
      </c>
      <c r="R804" s="3">
        <v>0</v>
      </c>
      <c r="S804" s="2"/>
      <c r="T804" s="5">
        <v>0</v>
      </c>
      <c r="U804" s="4">
        <v>0</v>
      </c>
      <c r="V804" s="4">
        <v>0</v>
      </c>
      <c r="W804" s="2">
        <v>0</v>
      </c>
      <c r="X804" s="4">
        <v>0</v>
      </c>
      <c r="Y804" s="4">
        <v>0</v>
      </c>
      <c r="Z804" s="3">
        <v>0</v>
      </c>
      <c r="AA804" s="3">
        <v>0</v>
      </c>
    </row>
    <row r="805" spans="1:27" x14ac:dyDescent="0.2">
      <c r="A805">
        <f t="shared" si="24"/>
        <v>2</v>
      </c>
      <c r="B805">
        <f t="shared" si="25"/>
        <v>8</v>
      </c>
      <c r="C805" s="1">
        <v>46071</v>
      </c>
      <c r="D805" t="s">
        <v>25</v>
      </c>
      <c r="E805" t="s">
        <v>26</v>
      </c>
      <c r="F805" t="s">
        <v>27</v>
      </c>
      <c r="G805" t="s">
        <v>28</v>
      </c>
      <c r="H805" t="s">
        <v>29</v>
      </c>
      <c r="I805" t="s">
        <v>30</v>
      </c>
      <c r="J805" t="s">
        <v>311</v>
      </c>
      <c r="K805" t="s">
        <v>32</v>
      </c>
      <c r="L805" t="s">
        <v>561</v>
      </c>
      <c r="M805" s="4">
        <v>1</v>
      </c>
      <c r="N805" s="4">
        <v>1</v>
      </c>
      <c r="O805" s="2">
        <v>1</v>
      </c>
      <c r="P805" s="3">
        <v>0.2</v>
      </c>
      <c r="Q805" s="3">
        <v>0.2</v>
      </c>
      <c r="R805" s="3">
        <v>0</v>
      </c>
      <c r="S805" s="2"/>
      <c r="T805" s="5">
        <v>0</v>
      </c>
      <c r="U805" s="4">
        <v>0</v>
      </c>
      <c r="V805" s="4">
        <v>0</v>
      </c>
      <c r="W805" s="2">
        <v>0</v>
      </c>
      <c r="X805" s="4">
        <v>0</v>
      </c>
      <c r="Y805" s="4">
        <v>0</v>
      </c>
      <c r="Z805" s="3">
        <v>0</v>
      </c>
      <c r="AA805" s="3">
        <v>0</v>
      </c>
    </row>
    <row r="806" spans="1:27" x14ac:dyDescent="0.2">
      <c r="A806">
        <f t="shared" si="24"/>
        <v>2</v>
      </c>
      <c r="B806">
        <f t="shared" si="25"/>
        <v>7</v>
      </c>
      <c r="C806" s="1">
        <v>46066</v>
      </c>
      <c r="D806" t="s">
        <v>25</v>
      </c>
      <c r="E806" t="s">
        <v>26</v>
      </c>
      <c r="F806" t="s">
        <v>49</v>
      </c>
      <c r="G806" t="s">
        <v>50</v>
      </c>
      <c r="H806" t="s">
        <v>29</v>
      </c>
      <c r="I806" t="s">
        <v>30</v>
      </c>
      <c r="J806" t="s">
        <v>95</v>
      </c>
      <c r="K806" t="s">
        <v>42</v>
      </c>
      <c r="L806" t="s">
        <v>562</v>
      </c>
      <c r="M806" s="4">
        <v>1</v>
      </c>
      <c r="N806" s="4">
        <v>1</v>
      </c>
      <c r="O806" s="2">
        <v>1</v>
      </c>
      <c r="P806" s="3">
        <v>0.35</v>
      </c>
      <c r="Q806" s="3">
        <v>0.35</v>
      </c>
      <c r="R806" s="3">
        <v>0</v>
      </c>
      <c r="S806" s="2"/>
      <c r="T806" s="5">
        <v>0</v>
      </c>
      <c r="U806" s="4">
        <v>0</v>
      </c>
      <c r="V806" s="4">
        <v>0</v>
      </c>
      <c r="W806" s="2">
        <v>0</v>
      </c>
      <c r="X806" s="4">
        <v>0</v>
      </c>
      <c r="Y806" s="4">
        <v>0</v>
      </c>
      <c r="Z806" s="3">
        <v>0</v>
      </c>
      <c r="AA806" s="3">
        <v>0</v>
      </c>
    </row>
    <row r="807" spans="1:27" x14ac:dyDescent="0.2">
      <c r="A807">
        <f t="shared" si="24"/>
        <v>2</v>
      </c>
      <c r="B807">
        <f t="shared" si="25"/>
        <v>6</v>
      </c>
      <c r="C807" s="1">
        <v>46058</v>
      </c>
      <c r="D807" t="s">
        <v>25</v>
      </c>
      <c r="E807" t="s">
        <v>26</v>
      </c>
      <c r="F807" t="s">
        <v>27</v>
      </c>
      <c r="G807" t="s">
        <v>28</v>
      </c>
      <c r="H807" t="s">
        <v>29</v>
      </c>
      <c r="I807" t="s">
        <v>30</v>
      </c>
      <c r="J807" t="s">
        <v>50</v>
      </c>
      <c r="K807" t="s">
        <v>32</v>
      </c>
      <c r="L807" t="s">
        <v>563</v>
      </c>
      <c r="M807" s="4">
        <v>12</v>
      </c>
      <c r="N807" s="4">
        <v>1</v>
      </c>
      <c r="O807" s="2">
        <v>8.3333333333333315E-2</v>
      </c>
      <c r="P807" s="3">
        <v>0.2</v>
      </c>
      <c r="Q807" s="3">
        <v>0.2</v>
      </c>
      <c r="R807" s="3">
        <v>0</v>
      </c>
      <c r="S807" s="2"/>
      <c r="T807" s="5">
        <v>0</v>
      </c>
      <c r="U807" s="4">
        <v>0</v>
      </c>
      <c r="V807" s="4">
        <v>0</v>
      </c>
      <c r="W807" s="2">
        <v>0</v>
      </c>
      <c r="X807" s="4">
        <v>0</v>
      </c>
      <c r="Y807" s="4">
        <v>0</v>
      </c>
      <c r="Z807" s="3">
        <v>0</v>
      </c>
      <c r="AA807" s="3">
        <v>0</v>
      </c>
    </row>
    <row r="808" spans="1:27" x14ac:dyDescent="0.2">
      <c r="A808">
        <f t="shared" si="24"/>
        <v>2</v>
      </c>
      <c r="B808">
        <f t="shared" si="25"/>
        <v>6</v>
      </c>
      <c r="C808" s="1">
        <v>46058</v>
      </c>
      <c r="D808" t="s">
        <v>25</v>
      </c>
      <c r="E808" t="s">
        <v>26</v>
      </c>
      <c r="F808" t="s">
        <v>53</v>
      </c>
      <c r="G808" t="s">
        <v>54</v>
      </c>
      <c r="H808" t="s">
        <v>29</v>
      </c>
      <c r="I808" t="s">
        <v>30</v>
      </c>
      <c r="J808" t="s">
        <v>95</v>
      </c>
      <c r="K808" t="s">
        <v>42</v>
      </c>
      <c r="L808" t="s">
        <v>564</v>
      </c>
      <c r="M808" s="4">
        <v>1</v>
      </c>
      <c r="N808" s="4">
        <v>1</v>
      </c>
      <c r="O808" s="2">
        <v>1</v>
      </c>
      <c r="P808" s="3">
        <v>0.44</v>
      </c>
      <c r="Q808" s="3">
        <v>0.44</v>
      </c>
      <c r="R808" s="3">
        <v>0</v>
      </c>
      <c r="S808" s="2"/>
      <c r="T808" s="5">
        <v>0</v>
      </c>
      <c r="U808" s="4">
        <v>0</v>
      </c>
      <c r="V808" s="4">
        <v>0</v>
      </c>
      <c r="W808" s="2">
        <v>0</v>
      </c>
      <c r="X808" s="4">
        <v>0</v>
      </c>
      <c r="Y808" s="4">
        <v>0</v>
      </c>
      <c r="Z808" s="3">
        <v>0</v>
      </c>
      <c r="AA808" s="3">
        <v>0</v>
      </c>
    </row>
    <row r="809" spans="1:27" x14ac:dyDescent="0.2">
      <c r="A809">
        <f t="shared" si="24"/>
        <v>2</v>
      </c>
      <c r="B809">
        <f t="shared" si="25"/>
        <v>7</v>
      </c>
      <c r="C809" s="1">
        <v>46067</v>
      </c>
      <c r="D809" t="s">
        <v>25</v>
      </c>
      <c r="E809" t="s">
        <v>26</v>
      </c>
      <c r="F809" t="s">
        <v>27</v>
      </c>
      <c r="G809" t="s">
        <v>28</v>
      </c>
      <c r="H809" t="s">
        <v>29</v>
      </c>
      <c r="I809" t="s">
        <v>30</v>
      </c>
      <c r="J809" t="s">
        <v>119</v>
      </c>
      <c r="K809" t="s">
        <v>32</v>
      </c>
      <c r="L809" t="s">
        <v>565</v>
      </c>
      <c r="M809" s="4">
        <v>3</v>
      </c>
      <c r="N809" s="4">
        <v>1</v>
      </c>
      <c r="O809" s="2">
        <v>0.33333333333333331</v>
      </c>
      <c r="P809" s="3">
        <v>0.16</v>
      </c>
      <c r="Q809" s="3">
        <v>0.16</v>
      </c>
      <c r="R809" s="3">
        <v>0</v>
      </c>
      <c r="S809" s="2"/>
      <c r="T809" s="5">
        <v>0</v>
      </c>
      <c r="U809" s="4">
        <v>0</v>
      </c>
      <c r="V809" s="4">
        <v>0</v>
      </c>
      <c r="W809" s="2">
        <v>0</v>
      </c>
      <c r="X809" s="4">
        <v>0</v>
      </c>
      <c r="Y809" s="4">
        <v>0</v>
      </c>
      <c r="Z809" s="3">
        <v>0</v>
      </c>
      <c r="AA809" s="3">
        <v>0</v>
      </c>
    </row>
    <row r="810" spans="1:27" x14ac:dyDescent="0.2">
      <c r="A810">
        <f t="shared" si="24"/>
        <v>2</v>
      </c>
      <c r="B810">
        <f t="shared" si="25"/>
        <v>6</v>
      </c>
      <c r="C810" s="1">
        <v>46056</v>
      </c>
      <c r="D810" t="s">
        <v>25</v>
      </c>
      <c r="E810" t="s">
        <v>26</v>
      </c>
      <c r="F810" t="s">
        <v>61</v>
      </c>
      <c r="G810" t="s">
        <v>62</v>
      </c>
      <c r="H810" t="s">
        <v>29</v>
      </c>
      <c r="I810" t="s">
        <v>30</v>
      </c>
      <c r="J810" t="s">
        <v>95</v>
      </c>
      <c r="K810" t="s">
        <v>42</v>
      </c>
      <c r="L810" t="s">
        <v>566</v>
      </c>
      <c r="M810" s="4">
        <v>46</v>
      </c>
      <c r="N810" s="4">
        <v>1</v>
      </c>
      <c r="O810" s="2">
        <v>2.1739130434782608E-2</v>
      </c>
      <c r="P810" s="3">
        <v>1.03</v>
      </c>
      <c r="Q810" s="3">
        <v>1.03</v>
      </c>
      <c r="R810" s="3">
        <v>0</v>
      </c>
      <c r="S810" s="2"/>
      <c r="T810" s="5">
        <v>0</v>
      </c>
      <c r="U810" s="4">
        <v>0</v>
      </c>
      <c r="V810" s="4">
        <v>0</v>
      </c>
      <c r="W810" s="2">
        <v>0</v>
      </c>
      <c r="X810" s="4">
        <v>0</v>
      </c>
      <c r="Y810" s="4">
        <v>0</v>
      </c>
      <c r="Z810" s="3">
        <v>0</v>
      </c>
      <c r="AA810" s="3">
        <v>0</v>
      </c>
    </row>
    <row r="811" spans="1:27" x14ac:dyDescent="0.2">
      <c r="A811">
        <f t="shared" si="24"/>
        <v>2</v>
      </c>
      <c r="B811">
        <f t="shared" si="25"/>
        <v>6</v>
      </c>
      <c r="C811" s="1">
        <v>46058</v>
      </c>
      <c r="D811" t="s">
        <v>25</v>
      </c>
      <c r="E811" t="s">
        <v>26</v>
      </c>
      <c r="F811" t="s">
        <v>27</v>
      </c>
      <c r="G811" t="s">
        <v>28</v>
      </c>
      <c r="H811" t="s">
        <v>29</v>
      </c>
      <c r="I811" t="s">
        <v>30</v>
      </c>
      <c r="J811" t="s">
        <v>253</v>
      </c>
      <c r="K811" t="s">
        <v>32</v>
      </c>
      <c r="L811" t="s">
        <v>567</v>
      </c>
      <c r="M811" s="4">
        <v>1</v>
      </c>
      <c r="N811" s="4">
        <v>1</v>
      </c>
      <c r="O811" s="2">
        <v>1</v>
      </c>
      <c r="P811" s="3">
        <v>0.21</v>
      </c>
      <c r="Q811" s="3">
        <v>0.21</v>
      </c>
      <c r="R811" s="3">
        <v>0</v>
      </c>
      <c r="S811" s="2"/>
      <c r="T811" s="5">
        <v>0</v>
      </c>
      <c r="U811" s="4">
        <v>0</v>
      </c>
      <c r="V811" s="4">
        <v>0</v>
      </c>
      <c r="W811" s="2">
        <v>0</v>
      </c>
      <c r="X811" s="4">
        <v>0</v>
      </c>
      <c r="Y811" s="4">
        <v>0</v>
      </c>
      <c r="Z811" s="3">
        <v>0</v>
      </c>
      <c r="AA811" s="3">
        <v>0</v>
      </c>
    </row>
    <row r="812" spans="1:27" x14ac:dyDescent="0.2">
      <c r="A812">
        <f t="shared" si="24"/>
        <v>2</v>
      </c>
      <c r="B812">
        <f t="shared" si="25"/>
        <v>8</v>
      </c>
      <c r="C812" s="1">
        <v>46069</v>
      </c>
      <c r="D812" t="s">
        <v>25</v>
      </c>
      <c r="E812" t="s">
        <v>26</v>
      </c>
      <c r="F812" t="s">
        <v>53</v>
      </c>
      <c r="G812" t="s">
        <v>54</v>
      </c>
      <c r="H812" t="s">
        <v>29</v>
      </c>
      <c r="I812" t="s">
        <v>30</v>
      </c>
      <c r="J812" t="s">
        <v>47</v>
      </c>
      <c r="K812" t="s">
        <v>42</v>
      </c>
      <c r="L812" t="s">
        <v>568</v>
      </c>
      <c r="M812" s="4">
        <v>1</v>
      </c>
      <c r="N812" s="4">
        <v>1</v>
      </c>
      <c r="O812" s="2">
        <v>1</v>
      </c>
      <c r="P812" s="3">
        <v>0.99</v>
      </c>
      <c r="Q812" s="3">
        <v>0.99</v>
      </c>
      <c r="R812" s="3">
        <v>0</v>
      </c>
      <c r="S812" s="2"/>
      <c r="T812" s="5">
        <v>0</v>
      </c>
      <c r="U812" s="4">
        <v>0</v>
      </c>
      <c r="V812" s="4">
        <v>0</v>
      </c>
      <c r="W812" s="2">
        <v>0</v>
      </c>
      <c r="X812" s="4">
        <v>0</v>
      </c>
      <c r="Y812" s="4">
        <v>0</v>
      </c>
      <c r="Z812" s="3">
        <v>0</v>
      </c>
      <c r="AA812" s="3">
        <v>0</v>
      </c>
    </row>
    <row r="813" spans="1:27" x14ac:dyDescent="0.2">
      <c r="A813">
        <f t="shared" si="24"/>
        <v>2</v>
      </c>
      <c r="B813">
        <f t="shared" si="25"/>
        <v>7</v>
      </c>
      <c r="C813" s="1">
        <v>46062</v>
      </c>
      <c r="D813" t="s">
        <v>25</v>
      </c>
      <c r="E813" t="s">
        <v>26</v>
      </c>
      <c r="F813" t="s">
        <v>49</v>
      </c>
      <c r="G813" t="s">
        <v>50</v>
      </c>
      <c r="H813" t="s">
        <v>29</v>
      </c>
      <c r="I813" t="s">
        <v>30</v>
      </c>
      <c r="J813" t="s">
        <v>95</v>
      </c>
      <c r="K813" t="s">
        <v>42</v>
      </c>
      <c r="L813" t="s">
        <v>569</v>
      </c>
      <c r="M813" s="4">
        <v>1</v>
      </c>
      <c r="N813" s="4">
        <v>1</v>
      </c>
      <c r="O813" s="2">
        <v>1</v>
      </c>
      <c r="P813" s="3">
        <v>0.42</v>
      </c>
      <c r="Q813" s="3">
        <v>0.42</v>
      </c>
      <c r="R813" s="3">
        <v>0</v>
      </c>
      <c r="S813" s="2"/>
      <c r="T813" s="5">
        <v>0</v>
      </c>
      <c r="U813" s="4">
        <v>0</v>
      </c>
      <c r="V813" s="4">
        <v>0</v>
      </c>
      <c r="W813" s="2">
        <v>0</v>
      </c>
      <c r="X813" s="4">
        <v>0</v>
      </c>
      <c r="Y813" s="4">
        <v>0</v>
      </c>
      <c r="Z813" s="3">
        <v>0</v>
      </c>
      <c r="AA813" s="3">
        <v>0</v>
      </c>
    </row>
    <row r="814" spans="1:27" x14ac:dyDescent="0.2">
      <c r="A814">
        <f t="shared" si="24"/>
        <v>2</v>
      </c>
      <c r="B814">
        <f t="shared" si="25"/>
        <v>7</v>
      </c>
      <c r="C814" s="1">
        <v>46066</v>
      </c>
      <c r="D814" t="s">
        <v>25</v>
      </c>
      <c r="E814" t="s">
        <v>26</v>
      </c>
      <c r="F814" t="s">
        <v>49</v>
      </c>
      <c r="G814" t="s">
        <v>50</v>
      </c>
      <c r="H814" t="s">
        <v>29</v>
      </c>
      <c r="I814" t="s">
        <v>30</v>
      </c>
      <c r="J814" t="s">
        <v>95</v>
      </c>
      <c r="K814" t="s">
        <v>42</v>
      </c>
      <c r="L814" t="s">
        <v>570</v>
      </c>
      <c r="M814" s="4">
        <v>2</v>
      </c>
      <c r="N814" s="4">
        <v>1</v>
      </c>
      <c r="O814" s="2">
        <v>0.5</v>
      </c>
      <c r="P814" s="3">
        <v>0.35</v>
      </c>
      <c r="Q814" s="3">
        <v>0.35</v>
      </c>
      <c r="R814" s="3">
        <v>0</v>
      </c>
      <c r="S814" s="2"/>
      <c r="T814" s="5">
        <v>0</v>
      </c>
      <c r="U814" s="4">
        <v>0</v>
      </c>
      <c r="V814" s="4">
        <v>0</v>
      </c>
      <c r="W814" s="2">
        <v>0</v>
      </c>
      <c r="X814" s="4">
        <v>0</v>
      </c>
      <c r="Y814" s="4">
        <v>0</v>
      </c>
      <c r="Z814" s="3">
        <v>0</v>
      </c>
      <c r="AA814" s="3">
        <v>0</v>
      </c>
    </row>
    <row r="815" spans="1:27" x14ac:dyDescent="0.2">
      <c r="A815">
        <f t="shared" si="24"/>
        <v>2</v>
      </c>
      <c r="B815">
        <f t="shared" si="25"/>
        <v>7</v>
      </c>
      <c r="C815" s="1">
        <v>46065</v>
      </c>
      <c r="D815" t="s">
        <v>25</v>
      </c>
      <c r="E815" t="s">
        <v>26</v>
      </c>
      <c r="F815" t="s">
        <v>27</v>
      </c>
      <c r="G815" t="s">
        <v>28</v>
      </c>
      <c r="H815" t="s">
        <v>29</v>
      </c>
      <c r="I815" t="s">
        <v>30</v>
      </c>
      <c r="J815" t="s">
        <v>243</v>
      </c>
      <c r="K815" t="s">
        <v>32</v>
      </c>
      <c r="L815" t="s">
        <v>571</v>
      </c>
      <c r="M815" s="4">
        <v>2</v>
      </c>
      <c r="N815" s="4">
        <v>1</v>
      </c>
      <c r="O815" s="2">
        <v>0.5</v>
      </c>
      <c r="P815" s="3">
        <v>0.21</v>
      </c>
      <c r="Q815" s="3">
        <v>0.21</v>
      </c>
      <c r="R815" s="3">
        <v>0</v>
      </c>
      <c r="S815" s="2"/>
      <c r="T815" s="5">
        <v>0</v>
      </c>
      <c r="U815" s="4">
        <v>0</v>
      </c>
      <c r="V815" s="4">
        <v>0</v>
      </c>
      <c r="W815" s="2">
        <v>0</v>
      </c>
      <c r="X815" s="4">
        <v>0</v>
      </c>
      <c r="Y815" s="4">
        <v>0</v>
      </c>
      <c r="Z815" s="3">
        <v>0</v>
      </c>
      <c r="AA815" s="3">
        <v>0</v>
      </c>
    </row>
    <row r="816" spans="1:27" x14ac:dyDescent="0.2">
      <c r="A816">
        <f t="shared" si="24"/>
        <v>2</v>
      </c>
      <c r="B816">
        <f t="shared" si="25"/>
        <v>7</v>
      </c>
      <c r="C816" s="1">
        <v>46065</v>
      </c>
      <c r="D816" t="s">
        <v>25</v>
      </c>
      <c r="E816" t="s">
        <v>26</v>
      </c>
      <c r="F816" t="s">
        <v>61</v>
      </c>
      <c r="G816" t="s">
        <v>62</v>
      </c>
      <c r="H816" t="s">
        <v>29</v>
      </c>
      <c r="I816" t="s">
        <v>30</v>
      </c>
      <c r="J816" t="s">
        <v>95</v>
      </c>
      <c r="K816" t="s">
        <v>42</v>
      </c>
      <c r="L816" t="s">
        <v>572</v>
      </c>
      <c r="M816" s="4">
        <v>4</v>
      </c>
      <c r="N816" s="4">
        <v>1</v>
      </c>
      <c r="O816" s="2">
        <v>0.25</v>
      </c>
      <c r="P816" s="3">
        <v>1.05</v>
      </c>
      <c r="Q816" s="3">
        <v>1.05</v>
      </c>
      <c r="R816" s="3">
        <v>0</v>
      </c>
      <c r="S816" s="2"/>
      <c r="T816" s="5">
        <v>0</v>
      </c>
      <c r="U816" s="4">
        <v>0</v>
      </c>
      <c r="V816" s="4">
        <v>0</v>
      </c>
      <c r="W816" s="2">
        <v>0</v>
      </c>
      <c r="X816" s="4">
        <v>0</v>
      </c>
      <c r="Y816" s="4">
        <v>0</v>
      </c>
      <c r="Z816" s="3">
        <v>0</v>
      </c>
      <c r="AA816" s="3">
        <v>0</v>
      </c>
    </row>
    <row r="817" spans="1:27" x14ac:dyDescent="0.2">
      <c r="A817">
        <f t="shared" si="24"/>
        <v>2</v>
      </c>
      <c r="B817">
        <f t="shared" si="25"/>
        <v>7</v>
      </c>
      <c r="C817" s="1">
        <v>46065</v>
      </c>
      <c r="D817" t="s">
        <v>25</v>
      </c>
      <c r="E817" t="s">
        <v>26</v>
      </c>
      <c r="F817" t="s">
        <v>61</v>
      </c>
      <c r="G817" t="s">
        <v>62</v>
      </c>
      <c r="H817" t="s">
        <v>29</v>
      </c>
      <c r="I817" t="s">
        <v>30</v>
      </c>
      <c r="J817" t="s">
        <v>95</v>
      </c>
      <c r="K817" t="s">
        <v>42</v>
      </c>
      <c r="L817" t="s">
        <v>573</v>
      </c>
      <c r="M817" s="4">
        <v>1</v>
      </c>
      <c r="N817" s="4">
        <v>1</v>
      </c>
      <c r="O817" s="2">
        <v>1</v>
      </c>
      <c r="P817" s="3">
        <v>1.05</v>
      </c>
      <c r="Q817" s="3">
        <v>1.05</v>
      </c>
      <c r="R817" s="3">
        <v>0</v>
      </c>
      <c r="S817" s="2"/>
      <c r="T817" s="5">
        <v>0</v>
      </c>
      <c r="U817" s="4">
        <v>0</v>
      </c>
      <c r="V817" s="4">
        <v>0</v>
      </c>
      <c r="W817" s="2">
        <v>0</v>
      </c>
      <c r="X817" s="4">
        <v>0</v>
      </c>
      <c r="Y817" s="4">
        <v>0</v>
      </c>
      <c r="Z817" s="3">
        <v>0</v>
      </c>
      <c r="AA817" s="3">
        <v>0</v>
      </c>
    </row>
    <row r="818" spans="1:27" x14ac:dyDescent="0.2">
      <c r="A818">
        <f t="shared" si="24"/>
        <v>2</v>
      </c>
      <c r="B818">
        <f t="shared" si="25"/>
        <v>7</v>
      </c>
      <c r="C818" s="1">
        <v>46062</v>
      </c>
      <c r="D818" t="s">
        <v>25</v>
      </c>
      <c r="E818" t="s">
        <v>26</v>
      </c>
      <c r="F818" t="s">
        <v>61</v>
      </c>
      <c r="G818" t="s">
        <v>62</v>
      </c>
      <c r="H818" t="s">
        <v>29</v>
      </c>
      <c r="I818" t="s">
        <v>30</v>
      </c>
      <c r="J818" t="s">
        <v>95</v>
      </c>
      <c r="K818" t="s">
        <v>42</v>
      </c>
      <c r="L818" t="s">
        <v>385</v>
      </c>
      <c r="M818" s="4">
        <v>2</v>
      </c>
      <c r="N818" s="4">
        <v>1</v>
      </c>
      <c r="O818" s="2">
        <v>0.5</v>
      </c>
      <c r="P818" s="3">
        <v>1</v>
      </c>
      <c r="Q818" s="3">
        <v>1</v>
      </c>
      <c r="R818" s="3">
        <v>0</v>
      </c>
      <c r="S818" s="2"/>
      <c r="T818" s="5">
        <v>0</v>
      </c>
      <c r="U818" s="4">
        <v>0</v>
      </c>
      <c r="V818" s="4">
        <v>0</v>
      </c>
      <c r="W818" s="2">
        <v>0</v>
      </c>
      <c r="X818" s="4">
        <v>0</v>
      </c>
      <c r="Y818" s="4">
        <v>0</v>
      </c>
      <c r="Z818" s="3">
        <v>0</v>
      </c>
      <c r="AA818" s="3">
        <v>0</v>
      </c>
    </row>
    <row r="819" spans="1:27" x14ac:dyDescent="0.2">
      <c r="A819">
        <f t="shared" si="24"/>
        <v>2</v>
      </c>
      <c r="B819">
        <f t="shared" si="25"/>
        <v>6</v>
      </c>
      <c r="C819" s="1">
        <v>46059</v>
      </c>
      <c r="D819" t="s">
        <v>25</v>
      </c>
      <c r="E819" t="s">
        <v>26</v>
      </c>
      <c r="F819" t="s">
        <v>49</v>
      </c>
      <c r="G819" t="s">
        <v>50</v>
      </c>
      <c r="H819" t="s">
        <v>29</v>
      </c>
      <c r="I819" t="s">
        <v>30</v>
      </c>
      <c r="J819" t="s">
        <v>95</v>
      </c>
      <c r="K819" t="s">
        <v>42</v>
      </c>
      <c r="L819" t="s">
        <v>574</v>
      </c>
      <c r="M819" s="4">
        <v>1</v>
      </c>
      <c r="N819" s="4">
        <v>1</v>
      </c>
      <c r="O819" s="2">
        <v>1</v>
      </c>
      <c r="P819" s="3">
        <v>0.61</v>
      </c>
      <c r="Q819" s="3">
        <v>0.61</v>
      </c>
      <c r="R819" s="3">
        <v>0</v>
      </c>
      <c r="S819" s="2"/>
      <c r="T819" s="5">
        <v>0</v>
      </c>
      <c r="U819" s="4">
        <v>0</v>
      </c>
      <c r="V819" s="4">
        <v>0</v>
      </c>
      <c r="W819" s="2">
        <v>0</v>
      </c>
      <c r="X819" s="4">
        <v>0</v>
      </c>
      <c r="Y819" s="4">
        <v>0</v>
      </c>
      <c r="Z819" s="3">
        <v>0</v>
      </c>
      <c r="AA819" s="3">
        <v>0</v>
      </c>
    </row>
    <row r="820" spans="1:27" x14ac:dyDescent="0.2">
      <c r="A820">
        <f t="shared" si="24"/>
        <v>2</v>
      </c>
      <c r="B820">
        <f t="shared" si="25"/>
        <v>6</v>
      </c>
      <c r="C820" s="1">
        <v>46054</v>
      </c>
      <c r="D820" t="s">
        <v>25</v>
      </c>
      <c r="E820" t="s">
        <v>26</v>
      </c>
      <c r="F820" t="s">
        <v>61</v>
      </c>
      <c r="G820" t="s">
        <v>62</v>
      </c>
      <c r="H820" t="s">
        <v>29</v>
      </c>
      <c r="I820" t="s">
        <v>30</v>
      </c>
      <c r="J820" t="s">
        <v>95</v>
      </c>
      <c r="K820" t="s">
        <v>42</v>
      </c>
      <c r="L820" t="s">
        <v>575</v>
      </c>
      <c r="M820" s="4">
        <v>17</v>
      </c>
      <c r="N820" s="4">
        <v>1</v>
      </c>
      <c r="O820" s="2">
        <v>5.8823529411764698E-2</v>
      </c>
      <c r="P820" s="3">
        <v>1.1499999999999999</v>
      </c>
      <c r="Q820" s="3">
        <v>1.1499999999999999</v>
      </c>
      <c r="R820" s="3">
        <v>0</v>
      </c>
      <c r="S820" s="2"/>
      <c r="T820" s="5">
        <v>0</v>
      </c>
      <c r="U820" s="4">
        <v>0</v>
      </c>
      <c r="V820" s="4">
        <v>0</v>
      </c>
      <c r="W820" s="2">
        <v>0</v>
      </c>
      <c r="X820" s="4">
        <v>0</v>
      </c>
      <c r="Y820" s="4">
        <v>0</v>
      </c>
      <c r="Z820" s="3">
        <v>0</v>
      </c>
      <c r="AA820" s="3">
        <v>0</v>
      </c>
    </row>
    <row r="821" spans="1:27" x14ac:dyDescent="0.2">
      <c r="A821">
        <f t="shared" si="24"/>
        <v>2</v>
      </c>
      <c r="B821">
        <f t="shared" si="25"/>
        <v>7</v>
      </c>
      <c r="C821" s="1">
        <v>46063</v>
      </c>
      <c r="D821" t="s">
        <v>25</v>
      </c>
      <c r="E821" t="s">
        <v>26</v>
      </c>
      <c r="F821" t="s">
        <v>49</v>
      </c>
      <c r="G821" t="s">
        <v>50</v>
      </c>
      <c r="H821" t="s">
        <v>29</v>
      </c>
      <c r="I821" t="s">
        <v>30</v>
      </c>
      <c r="J821" t="s">
        <v>47</v>
      </c>
      <c r="K821" t="s">
        <v>42</v>
      </c>
      <c r="L821" t="s">
        <v>293</v>
      </c>
      <c r="M821" s="4">
        <v>19</v>
      </c>
      <c r="N821" s="4">
        <v>1</v>
      </c>
      <c r="O821" s="2">
        <v>5.2631578947368418E-2</v>
      </c>
      <c r="P821" s="3">
        <v>0.45</v>
      </c>
      <c r="Q821" s="3">
        <v>0.45</v>
      </c>
      <c r="R821" s="3">
        <v>0</v>
      </c>
      <c r="S821" s="2"/>
      <c r="T821" s="5">
        <v>0</v>
      </c>
      <c r="U821" s="4">
        <v>0</v>
      </c>
      <c r="V821" s="4">
        <v>0</v>
      </c>
      <c r="W821" s="2">
        <v>0</v>
      </c>
      <c r="X821" s="4">
        <v>0</v>
      </c>
      <c r="Y821" s="4">
        <v>0</v>
      </c>
      <c r="Z821" s="3">
        <v>0</v>
      </c>
      <c r="AA821" s="3">
        <v>0</v>
      </c>
    </row>
    <row r="822" spans="1:27" x14ac:dyDescent="0.2">
      <c r="A822">
        <f t="shared" si="24"/>
        <v>2</v>
      </c>
      <c r="B822">
        <f t="shared" si="25"/>
        <v>8</v>
      </c>
      <c r="C822" s="1">
        <v>46069</v>
      </c>
      <c r="D822" t="s">
        <v>25</v>
      </c>
      <c r="E822" t="s">
        <v>26</v>
      </c>
      <c r="F822" t="s">
        <v>27</v>
      </c>
      <c r="G822" t="s">
        <v>28</v>
      </c>
      <c r="H822" t="s">
        <v>29</v>
      </c>
      <c r="I822" t="s">
        <v>30</v>
      </c>
      <c r="J822" t="s">
        <v>50</v>
      </c>
      <c r="K822" t="s">
        <v>32</v>
      </c>
      <c r="L822" t="s">
        <v>293</v>
      </c>
      <c r="M822" s="4">
        <v>1</v>
      </c>
      <c r="N822" s="4">
        <v>1</v>
      </c>
      <c r="O822" s="2">
        <v>1</v>
      </c>
      <c r="P822" s="3">
        <v>0.21</v>
      </c>
      <c r="Q822" s="3">
        <v>0.21</v>
      </c>
      <c r="R822" s="3">
        <v>0</v>
      </c>
      <c r="S822" s="2"/>
      <c r="T822" s="5">
        <v>0</v>
      </c>
      <c r="U822" s="4">
        <v>0</v>
      </c>
      <c r="V822" s="4">
        <v>0</v>
      </c>
      <c r="W822" s="2">
        <v>0</v>
      </c>
      <c r="X822" s="4">
        <v>0</v>
      </c>
      <c r="Y822" s="4">
        <v>0</v>
      </c>
      <c r="Z822" s="3">
        <v>0</v>
      </c>
      <c r="AA822" s="3">
        <v>0</v>
      </c>
    </row>
    <row r="823" spans="1:27" x14ac:dyDescent="0.2">
      <c r="A823">
        <f t="shared" si="24"/>
        <v>2</v>
      </c>
      <c r="B823">
        <f t="shared" si="25"/>
        <v>7</v>
      </c>
      <c r="C823" s="1">
        <v>46063</v>
      </c>
      <c r="D823" t="s">
        <v>25</v>
      </c>
      <c r="E823" t="s">
        <v>26</v>
      </c>
      <c r="F823" t="s">
        <v>39</v>
      </c>
      <c r="G823" t="s">
        <v>40</v>
      </c>
      <c r="H823" t="s">
        <v>29</v>
      </c>
      <c r="I823" t="s">
        <v>30</v>
      </c>
      <c r="J823" t="s">
        <v>78</v>
      </c>
      <c r="K823" t="s">
        <v>42</v>
      </c>
      <c r="L823" t="s">
        <v>293</v>
      </c>
      <c r="M823" s="4">
        <v>1</v>
      </c>
      <c r="N823" s="4">
        <v>1</v>
      </c>
      <c r="O823" s="2">
        <v>1</v>
      </c>
      <c r="P823" s="3">
        <v>0.56999999999999995</v>
      </c>
      <c r="Q823" s="3">
        <v>0.56999999999999995</v>
      </c>
      <c r="R823" s="3">
        <v>0</v>
      </c>
      <c r="S823" s="2"/>
      <c r="T823" s="5">
        <v>0</v>
      </c>
      <c r="U823" s="4">
        <v>0</v>
      </c>
      <c r="V823" s="4">
        <v>0</v>
      </c>
      <c r="W823" s="2">
        <v>0</v>
      </c>
      <c r="X823" s="4">
        <v>0</v>
      </c>
      <c r="Y823" s="4">
        <v>0</v>
      </c>
      <c r="Z823" s="3">
        <v>0</v>
      </c>
      <c r="AA823" s="3">
        <v>0</v>
      </c>
    </row>
    <row r="824" spans="1:27" x14ac:dyDescent="0.2">
      <c r="A824">
        <f t="shared" si="24"/>
        <v>2</v>
      </c>
      <c r="B824">
        <f t="shared" si="25"/>
        <v>7</v>
      </c>
      <c r="C824" s="1">
        <v>46064</v>
      </c>
      <c r="D824" t="s">
        <v>25</v>
      </c>
      <c r="E824" t="s">
        <v>26</v>
      </c>
      <c r="F824" t="s">
        <v>34</v>
      </c>
      <c r="G824" t="s">
        <v>28</v>
      </c>
      <c r="H824" t="s">
        <v>29</v>
      </c>
      <c r="I824" t="s">
        <v>30</v>
      </c>
      <c r="J824" t="s">
        <v>50</v>
      </c>
      <c r="K824" t="s">
        <v>32</v>
      </c>
      <c r="L824" t="s">
        <v>576</v>
      </c>
      <c r="M824" s="4">
        <v>4</v>
      </c>
      <c r="N824" s="4">
        <v>1</v>
      </c>
      <c r="O824" s="2">
        <v>0.25</v>
      </c>
      <c r="P824" s="3">
        <v>0.77</v>
      </c>
      <c r="Q824" s="3">
        <v>0.77</v>
      </c>
      <c r="R824" s="3">
        <v>0</v>
      </c>
      <c r="S824" s="2"/>
      <c r="T824" s="5">
        <v>0</v>
      </c>
      <c r="U824" s="4">
        <v>0</v>
      </c>
      <c r="V824" s="4">
        <v>0</v>
      </c>
      <c r="W824" s="2">
        <v>0</v>
      </c>
      <c r="X824" s="4">
        <v>0</v>
      </c>
      <c r="Y824" s="4">
        <v>0</v>
      </c>
      <c r="Z824" s="3">
        <v>0</v>
      </c>
      <c r="AA824" s="3">
        <v>0</v>
      </c>
    </row>
    <row r="825" spans="1:27" x14ac:dyDescent="0.2">
      <c r="A825">
        <f t="shared" si="24"/>
        <v>2</v>
      </c>
      <c r="B825">
        <f t="shared" si="25"/>
        <v>8</v>
      </c>
      <c r="C825" s="1">
        <v>46071</v>
      </c>
      <c r="D825" t="s">
        <v>25</v>
      </c>
      <c r="E825" t="s">
        <v>26</v>
      </c>
      <c r="F825" t="s">
        <v>27</v>
      </c>
      <c r="G825" t="s">
        <v>28</v>
      </c>
      <c r="H825" t="s">
        <v>29</v>
      </c>
      <c r="I825" t="s">
        <v>30</v>
      </c>
      <c r="J825" t="s">
        <v>119</v>
      </c>
      <c r="K825" t="s">
        <v>32</v>
      </c>
      <c r="L825" t="s">
        <v>577</v>
      </c>
      <c r="M825" s="4">
        <v>1</v>
      </c>
      <c r="N825" s="4">
        <v>1</v>
      </c>
      <c r="O825" s="2">
        <v>1</v>
      </c>
      <c r="P825" s="3">
        <v>0.16</v>
      </c>
      <c r="Q825" s="3">
        <v>0.16</v>
      </c>
      <c r="R825" s="3">
        <v>0</v>
      </c>
      <c r="S825" s="2"/>
      <c r="T825" s="5">
        <v>0</v>
      </c>
      <c r="U825" s="4">
        <v>0</v>
      </c>
      <c r="V825" s="4">
        <v>0</v>
      </c>
      <c r="W825" s="2">
        <v>0</v>
      </c>
      <c r="X825" s="4">
        <v>0</v>
      </c>
      <c r="Y825" s="4">
        <v>0</v>
      </c>
      <c r="Z825" s="3">
        <v>0</v>
      </c>
      <c r="AA825" s="3">
        <v>0</v>
      </c>
    </row>
    <row r="826" spans="1:27" x14ac:dyDescent="0.2">
      <c r="A826">
        <f t="shared" si="24"/>
        <v>2</v>
      </c>
      <c r="B826">
        <f t="shared" si="25"/>
        <v>7</v>
      </c>
      <c r="C826" s="1">
        <v>46062</v>
      </c>
      <c r="D826" t="s">
        <v>25</v>
      </c>
      <c r="E826" t="s">
        <v>26</v>
      </c>
      <c r="F826" t="s">
        <v>27</v>
      </c>
      <c r="G826" t="s">
        <v>28</v>
      </c>
      <c r="H826" t="s">
        <v>29</v>
      </c>
      <c r="I826" t="s">
        <v>30</v>
      </c>
      <c r="J826" t="s">
        <v>243</v>
      </c>
      <c r="K826" t="s">
        <v>32</v>
      </c>
      <c r="L826" t="s">
        <v>299</v>
      </c>
      <c r="M826" s="4">
        <v>2</v>
      </c>
      <c r="N826" s="4">
        <v>1</v>
      </c>
      <c r="O826" s="2">
        <v>0.5</v>
      </c>
      <c r="P826" s="3">
        <v>0.21</v>
      </c>
      <c r="Q826" s="3">
        <v>0.21</v>
      </c>
      <c r="R826" s="3">
        <v>0</v>
      </c>
      <c r="S826" s="2"/>
      <c r="T826" s="5">
        <v>0</v>
      </c>
      <c r="U826" s="4">
        <v>0</v>
      </c>
      <c r="V826" s="4">
        <v>0</v>
      </c>
      <c r="W826" s="2">
        <v>0</v>
      </c>
      <c r="X826" s="4">
        <v>0</v>
      </c>
      <c r="Y826" s="4">
        <v>0</v>
      </c>
      <c r="Z826" s="3">
        <v>0</v>
      </c>
      <c r="AA826" s="3">
        <v>0</v>
      </c>
    </row>
    <row r="827" spans="1:27" x14ac:dyDescent="0.2">
      <c r="A827">
        <f t="shared" si="24"/>
        <v>2</v>
      </c>
      <c r="B827">
        <f t="shared" si="25"/>
        <v>8</v>
      </c>
      <c r="C827" s="1">
        <v>46068</v>
      </c>
      <c r="D827" t="s">
        <v>25</v>
      </c>
      <c r="E827" t="s">
        <v>26</v>
      </c>
      <c r="F827" t="s">
        <v>27</v>
      </c>
      <c r="G827" t="s">
        <v>28</v>
      </c>
      <c r="H827" t="s">
        <v>29</v>
      </c>
      <c r="I827" t="s">
        <v>30</v>
      </c>
      <c r="J827" t="s">
        <v>243</v>
      </c>
      <c r="K827" t="s">
        <v>32</v>
      </c>
      <c r="L827" t="s">
        <v>387</v>
      </c>
      <c r="M827" s="4">
        <v>4</v>
      </c>
      <c r="N827" s="4">
        <v>1</v>
      </c>
      <c r="O827" s="2">
        <v>0.25</v>
      </c>
      <c r="P827" s="3">
        <v>0.21</v>
      </c>
      <c r="Q827" s="3">
        <v>0.21</v>
      </c>
      <c r="R827" s="3">
        <v>0</v>
      </c>
      <c r="S827" s="2"/>
      <c r="T827" s="5">
        <v>0</v>
      </c>
      <c r="U827" s="4">
        <v>0</v>
      </c>
      <c r="V827" s="4">
        <v>0</v>
      </c>
      <c r="W827" s="2">
        <v>0</v>
      </c>
      <c r="X827" s="4">
        <v>0</v>
      </c>
      <c r="Y827" s="4">
        <v>0</v>
      </c>
      <c r="Z827" s="3">
        <v>0</v>
      </c>
      <c r="AA827" s="3">
        <v>0</v>
      </c>
    </row>
    <row r="828" spans="1:27" x14ac:dyDescent="0.2">
      <c r="A828">
        <f t="shared" si="24"/>
        <v>2</v>
      </c>
      <c r="B828">
        <f t="shared" si="25"/>
        <v>7</v>
      </c>
      <c r="C828" s="1">
        <v>46067</v>
      </c>
      <c r="D828" t="s">
        <v>25</v>
      </c>
      <c r="E828" t="s">
        <v>26</v>
      </c>
      <c r="F828" t="s">
        <v>27</v>
      </c>
      <c r="G828" t="s">
        <v>28</v>
      </c>
      <c r="H828" t="s">
        <v>29</v>
      </c>
      <c r="I828" t="s">
        <v>30</v>
      </c>
      <c r="J828" t="s">
        <v>50</v>
      </c>
      <c r="K828" t="s">
        <v>32</v>
      </c>
      <c r="L828" t="s">
        <v>302</v>
      </c>
      <c r="M828" s="4">
        <v>3</v>
      </c>
      <c r="N828" s="4">
        <v>1</v>
      </c>
      <c r="O828" s="2">
        <v>0.33333333333333331</v>
      </c>
      <c r="P828" s="3">
        <v>0.21</v>
      </c>
      <c r="Q828" s="3">
        <v>0.21</v>
      </c>
      <c r="R828" s="3">
        <v>0</v>
      </c>
      <c r="S828" s="2"/>
      <c r="T828" s="5">
        <v>0</v>
      </c>
      <c r="U828" s="4">
        <v>0</v>
      </c>
      <c r="V828" s="4">
        <v>0</v>
      </c>
      <c r="W828" s="2">
        <v>0</v>
      </c>
      <c r="X828" s="4">
        <v>0</v>
      </c>
      <c r="Y828" s="4">
        <v>0</v>
      </c>
      <c r="Z828" s="3">
        <v>0</v>
      </c>
      <c r="AA828" s="3">
        <v>0</v>
      </c>
    </row>
    <row r="829" spans="1:27" x14ac:dyDescent="0.2">
      <c r="A829">
        <f t="shared" si="24"/>
        <v>2</v>
      </c>
      <c r="B829">
        <f t="shared" si="25"/>
        <v>6</v>
      </c>
      <c r="C829" s="1">
        <v>46056</v>
      </c>
      <c r="D829" t="s">
        <v>25</v>
      </c>
      <c r="E829" t="s">
        <v>26</v>
      </c>
      <c r="F829" t="s">
        <v>49</v>
      </c>
      <c r="G829" t="s">
        <v>50</v>
      </c>
      <c r="H829" t="s">
        <v>29</v>
      </c>
      <c r="I829" t="s">
        <v>30</v>
      </c>
      <c r="J829" t="s">
        <v>51</v>
      </c>
      <c r="K829" t="s">
        <v>42</v>
      </c>
      <c r="L829" t="s">
        <v>578</v>
      </c>
      <c r="M829" s="4">
        <v>2</v>
      </c>
      <c r="N829" s="4">
        <v>1</v>
      </c>
      <c r="O829" s="2">
        <v>0.5</v>
      </c>
      <c r="P829" s="3">
        <v>0.16</v>
      </c>
      <c r="Q829" s="3">
        <v>0.16</v>
      </c>
      <c r="R829" s="3">
        <v>0</v>
      </c>
      <c r="S829" s="2"/>
      <c r="T829" s="5">
        <v>0</v>
      </c>
      <c r="U829" s="4">
        <v>0</v>
      </c>
      <c r="V829" s="4">
        <v>0</v>
      </c>
      <c r="W829" s="2">
        <v>0</v>
      </c>
      <c r="X829" s="4">
        <v>0</v>
      </c>
      <c r="Y829" s="4">
        <v>0</v>
      </c>
      <c r="Z829" s="3">
        <v>0</v>
      </c>
      <c r="AA829" s="3">
        <v>0</v>
      </c>
    </row>
    <row r="830" spans="1:27" x14ac:dyDescent="0.2">
      <c r="A830">
        <f t="shared" si="24"/>
        <v>2</v>
      </c>
      <c r="B830">
        <f t="shared" si="25"/>
        <v>8</v>
      </c>
      <c r="C830" s="1">
        <v>46068</v>
      </c>
      <c r="D830" t="s">
        <v>25</v>
      </c>
      <c r="E830" t="s">
        <v>26</v>
      </c>
      <c r="F830" t="s">
        <v>34</v>
      </c>
      <c r="G830" t="s">
        <v>273</v>
      </c>
      <c r="H830" t="s">
        <v>29</v>
      </c>
      <c r="I830" t="s">
        <v>30</v>
      </c>
      <c r="J830" t="s">
        <v>280</v>
      </c>
      <c r="K830" t="s">
        <v>87</v>
      </c>
      <c r="L830" t="s">
        <v>579</v>
      </c>
      <c r="M830" s="4">
        <v>2</v>
      </c>
      <c r="N830" s="4">
        <v>1</v>
      </c>
      <c r="O830" s="2">
        <v>0.5</v>
      </c>
      <c r="P830" s="3">
        <v>0.68</v>
      </c>
      <c r="Q830" s="3">
        <v>0.68</v>
      </c>
      <c r="R830" s="3">
        <v>0</v>
      </c>
      <c r="S830" s="2"/>
      <c r="T830" s="5">
        <v>0</v>
      </c>
      <c r="U830" s="4">
        <v>0</v>
      </c>
      <c r="V830" s="4">
        <v>0</v>
      </c>
      <c r="W830" s="2">
        <v>0</v>
      </c>
      <c r="X830" s="4">
        <v>0</v>
      </c>
      <c r="Y830" s="4">
        <v>0</v>
      </c>
      <c r="Z830" s="3">
        <v>0</v>
      </c>
      <c r="AA830" s="3">
        <v>0</v>
      </c>
    </row>
    <row r="831" spans="1:27" x14ac:dyDescent="0.2">
      <c r="A831">
        <f t="shared" si="24"/>
        <v>2</v>
      </c>
      <c r="B831">
        <f t="shared" si="25"/>
        <v>8</v>
      </c>
      <c r="C831" s="1">
        <v>46070</v>
      </c>
      <c r="D831" t="s">
        <v>25</v>
      </c>
      <c r="E831" t="s">
        <v>26</v>
      </c>
      <c r="F831" t="s">
        <v>27</v>
      </c>
      <c r="G831" t="s">
        <v>28</v>
      </c>
      <c r="H831" t="s">
        <v>29</v>
      </c>
      <c r="I831" t="s">
        <v>30</v>
      </c>
      <c r="J831" t="s">
        <v>311</v>
      </c>
      <c r="K831" t="s">
        <v>32</v>
      </c>
      <c r="L831" t="s">
        <v>580</v>
      </c>
      <c r="M831" s="4">
        <v>1</v>
      </c>
      <c r="N831" s="4">
        <v>1</v>
      </c>
      <c r="O831" s="2">
        <v>1</v>
      </c>
      <c r="P831" s="3">
        <v>0.21</v>
      </c>
      <c r="Q831" s="3">
        <v>0.21</v>
      </c>
      <c r="R831" s="3">
        <v>17.09</v>
      </c>
      <c r="S831" s="2">
        <v>1.2287887653598594E-2</v>
      </c>
      <c r="T831" s="5">
        <v>81.38095238095238</v>
      </c>
      <c r="U831" s="4">
        <v>1</v>
      </c>
      <c r="V831" s="4">
        <v>1</v>
      </c>
      <c r="W831" s="2">
        <v>1</v>
      </c>
      <c r="X831" s="4">
        <v>1</v>
      </c>
      <c r="Y831" s="4">
        <v>0</v>
      </c>
      <c r="Z831" s="3">
        <v>17.09</v>
      </c>
      <c r="AA831" s="3">
        <v>0</v>
      </c>
    </row>
    <row r="832" spans="1:27" x14ac:dyDescent="0.2">
      <c r="A832">
        <f t="shared" si="24"/>
        <v>2</v>
      </c>
      <c r="B832">
        <f t="shared" si="25"/>
        <v>7</v>
      </c>
      <c r="C832" s="1">
        <v>46062</v>
      </c>
      <c r="D832" t="s">
        <v>25</v>
      </c>
      <c r="E832" t="s">
        <v>26</v>
      </c>
      <c r="F832" t="s">
        <v>34</v>
      </c>
      <c r="G832" t="s">
        <v>28</v>
      </c>
      <c r="H832" t="s">
        <v>29</v>
      </c>
      <c r="I832" t="s">
        <v>30</v>
      </c>
      <c r="J832" t="s">
        <v>37</v>
      </c>
      <c r="K832" t="s">
        <v>32</v>
      </c>
      <c r="L832" t="s">
        <v>37</v>
      </c>
      <c r="M832" s="4">
        <v>7</v>
      </c>
      <c r="N832" s="4">
        <v>1</v>
      </c>
      <c r="O832" s="2">
        <v>0.14285714285714285</v>
      </c>
      <c r="P832" s="3">
        <v>1.37</v>
      </c>
      <c r="Q832" s="3">
        <v>1.37</v>
      </c>
      <c r="R832" s="3">
        <v>0</v>
      </c>
      <c r="S832" s="2"/>
      <c r="T832" s="5">
        <v>0</v>
      </c>
      <c r="U832" s="4">
        <v>0</v>
      </c>
      <c r="V832" s="4">
        <v>0</v>
      </c>
      <c r="W832" s="2">
        <v>0</v>
      </c>
      <c r="X832" s="4">
        <v>0</v>
      </c>
      <c r="Y832" s="4">
        <v>0</v>
      </c>
      <c r="Z832" s="3">
        <v>0</v>
      </c>
      <c r="AA832" s="3">
        <v>0</v>
      </c>
    </row>
    <row r="833" spans="1:27" x14ac:dyDescent="0.2">
      <c r="A833">
        <f t="shared" si="24"/>
        <v>2</v>
      </c>
      <c r="B833">
        <f t="shared" si="25"/>
        <v>7</v>
      </c>
      <c r="C833" s="1">
        <v>46062</v>
      </c>
      <c r="D833" t="s">
        <v>25</v>
      </c>
      <c r="E833" t="s">
        <v>26</v>
      </c>
      <c r="F833" t="s">
        <v>49</v>
      </c>
      <c r="G833" t="s">
        <v>50</v>
      </c>
      <c r="H833" t="s">
        <v>29</v>
      </c>
      <c r="I833" t="s">
        <v>30</v>
      </c>
      <c r="J833" t="s">
        <v>47</v>
      </c>
      <c r="K833" t="s">
        <v>42</v>
      </c>
      <c r="L833" t="s">
        <v>305</v>
      </c>
      <c r="M833" s="4">
        <v>9</v>
      </c>
      <c r="N833" s="4">
        <v>1</v>
      </c>
      <c r="O833" s="2">
        <v>0.1111111111111111</v>
      </c>
      <c r="P833" s="3">
        <v>0.6</v>
      </c>
      <c r="Q833" s="3">
        <v>0.6</v>
      </c>
      <c r="R833" s="3">
        <v>0</v>
      </c>
      <c r="S833" s="2"/>
      <c r="T833" s="5">
        <v>0</v>
      </c>
      <c r="U833" s="4">
        <v>0</v>
      </c>
      <c r="V833" s="4">
        <v>0</v>
      </c>
      <c r="W833" s="2">
        <v>0</v>
      </c>
      <c r="X833" s="4">
        <v>0</v>
      </c>
      <c r="Y833" s="4">
        <v>0</v>
      </c>
      <c r="Z833" s="3">
        <v>0</v>
      </c>
      <c r="AA833" s="3">
        <v>0</v>
      </c>
    </row>
    <row r="834" spans="1:27" x14ac:dyDescent="0.2">
      <c r="A834">
        <f t="shared" si="24"/>
        <v>2</v>
      </c>
      <c r="B834">
        <f t="shared" si="25"/>
        <v>6</v>
      </c>
      <c r="C834" s="1">
        <v>46060</v>
      </c>
      <c r="D834" t="s">
        <v>25</v>
      </c>
      <c r="E834" t="s">
        <v>26</v>
      </c>
      <c r="F834" t="s">
        <v>27</v>
      </c>
      <c r="G834" t="s">
        <v>124</v>
      </c>
      <c r="H834" t="s">
        <v>29</v>
      </c>
      <c r="I834" t="s">
        <v>30</v>
      </c>
      <c r="J834" t="s">
        <v>44</v>
      </c>
      <c r="K834" t="s">
        <v>87</v>
      </c>
      <c r="L834" t="s">
        <v>305</v>
      </c>
      <c r="M834" s="4">
        <v>14</v>
      </c>
      <c r="N834" s="4">
        <v>2</v>
      </c>
      <c r="O834" s="2">
        <v>0.14285714285714285</v>
      </c>
      <c r="P834" s="3">
        <v>0.2</v>
      </c>
      <c r="Q834" s="3">
        <v>0.4</v>
      </c>
      <c r="R834" s="3">
        <v>0</v>
      </c>
      <c r="S834" s="2"/>
      <c r="T834" s="5">
        <v>0</v>
      </c>
      <c r="U834" s="4">
        <v>0</v>
      </c>
      <c r="V834" s="4">
        <v>0</v>
      </c>
      <c r="W834" s="2">
        <v>0</v>
      </c>
      <c r="X834" s="4">
        <v>0</v>
      </c>
      <c r="Y834" s="4">
        <v>0</v>
      </c>
      <c r="Z834" s="3">
        <v>0</v>
      </c>
      <c r="AA834" s="3">
        <v>0</v>
      </c>
    </row>
    <row r="835" spans="1:27" x14ac:dyDescent="0.2">
      <c r="A835">
        <f t="shared" ref="A835:A898" si="26">MONTH(C835)</f>
        <v>2</v>
      </c>
      <c r="B835">
        <f t="shared" ref="B835:B898" si="27">WEEKNUM(C835,1)</f>
        <v>8</v>
      </c>
      <c r="C835" s="1">
        <v>46069</v>
      </c>
      <c r="D835" t="s">
        <v>25</v>
      </c>
      <c r="E835" t="s">
        <v>26</v>
      </c>
      <c r="F835" t="s">
        <v>27</v>
      </c>
      <c r="G835" t="s">
        <v>124</v>
      </c>
      <c r="H835" t="s">
        <v>29</v>
      </c>
      <c r="I835" t="s">
        <v>30</v>
      </c>
      <c r="J835" t="s">
        <v>44</v>
      </c>
      <c r="K835" t="s">
        <v>87</v>
      </c>
      <c r="L835" t="s">
        <v>305</v>
      </c>
      <c r="M835" s="4">
        <v>25</v>
      </c>
      <c r="N835" s="4">
        <v>1</v>
      </c>
      <c r="O835" s="2">
        <v>0.04</v>
      </c>
      <c r="P835" s="3">
        <v>0.2</v>
      </c>
      <c r="Q835" s="3">
        <v>0.2</v>
      </c>
      <c r="R835" s="3">
        <v>0</v>
      </c>
      <c r="S835" s="2"/>
      <c r="T835" s="5">
        <v>0</v>
      </c>
      <c r="U835" s="4">
        <v>0</v>
      </c>
      <c r="V835" s="4">
        <v>0</v>
      </c>
      <c r="W835" s="2">
        <v>0</v>
      </c>
      <c r="X835" s="4">
        <v>0</v>
      </c>
      <c r="Y835" s="4">
        <v>0</v>
      </c>
      <c r="Z835" s="3">
        <v>0</v>
      </c>
      <c r="AA835" s="3">
        <v>0</v>
      </c>
    </row>
    <row r="836" spans="1:27" x14ac:dyDescent="0.2">
      <c r="A836">
        <f t="shared" si="26"/>
        <v>2</v>
      </c>
      <c r="B836">
        <f t="shared" si="27"/>
        <v>6</v>
      </c>
      <c r="C836" s="1">
        <v>46058</v>
      </c>
      <c r="D836" t="s">
        <v>25</v>
      </c>
      <c r="E836" t="s">
        <v>26</v>
      </c>
      <c r="F836" t="s">
        <v>39</v>
      </c>
      <c r="G836" t="s">
        <v>40</v>
      </c>
      <c r="H836" t="s">
        <v>29</v>
      </c>
      <c r="I836" t="s">
        <v>30</v>
      </c>
      <c r="J836" t="s">
        <v>78</v>
      </c>
      <c r="K836" t="s">
        <v>42</v>
      </c>
      <c r="L836" t="s">
        <v>305</v>
      </c>
      <c r="M836" s="4">
        <v>4</v>
      </c>
      <c r="N836" s="4">
        <v>1</v>
      </c>
      <c r="O836" s="2">
        <v>0.25</v>
      </c>
      <c r="P836" s="3">
        <v>0.62</v>
      </c>
      <c r="Q836" s="3">
        <v>0.62</v>
      </c>
      <c r="R836" s="3">
        <v>0</v>
      </c>
      <c r="S836" s="2"/>
      <c r="T836" s="5">
        <v>0</v>
      </c>
      <c r="U836" s="4">
        <v>0</v>
      </c>
      <c r="V836" s="4">
        <v>0</v>
      </c>
      <c r="W836" s="2">
        <v>0</v>
      </c>
      <c r="X836" s="4">
        <v>0</v>
      </c>
      <c r="Y836" s="4">
        <v>0</v>
      </c>
      <c r="Z836" s="3">
        <v>0</v>
      </c>
      <c r="AA836" s="3">
        <v>0</v>
      </c>
    </row>
    <row r="837" spans="1:27" x14ac:dyDescent="0.2">
      <c r="A837">
        <f t="shared" si="26"/>
        <v>2</v>
      </c>
      <c r="B837">
        <f t="shared" si="27"/>
        <v>7</v>
      </c>
      <c r="C837" s="1">
        <v>46062</v>
      </c>
      <c r="D837" t="s">
        <v>25</v>
      </c>
      <c r="E837" t="s">
        <v>26</v>
      </c>
      <c r="F837" t="s">
        <v>39</v>
      </c>
      <c r="G837" t="s">
        <v>40</v>
      </c>
      <c r="H837" t="s">
        <v>29</v>
      </c>
      <c r="I837" t="s">
        <v>30</v>
      </c>
      <c r="J837" t="s">
        <v>539</v>
      </c>
      <c r="K837" t="s">
        <v>42</v>
      </c>
      <c r="L837" t="s">
        <v>305</v>
      </c>
      <c r="M837" s="4">
        <v>9</v>
      </c>
      <c r="N837" s="4">
        <v>1</v>
      </c>
      <c r="O837" s="2">
        <v>0.1111111111111111</v>
      </c>
      <c r="P837" s="3">
        <v>0.56000000000000005</v>
      </c>
      <c r="Q837" s="3">
        <v>0.56000000000000005</v>
      </c>
      <c r="R837" s="3">
        <v>17.09</v>
      </c>
      <c r="S837" s="2">
        <v>3.2767700409596263E-2</v>
      </c>
      <c r="T837" s="5">
        <v>30.517857142857139</v>
      </c>
      <c r="U837" s="4">
        <v>1</v>
      </c>
      <c r="V837" s="4">
        <v>1</v>
      </c>
      <c r="W837" s="2">
        <v>1</v>
      </c>
      <c r="X837" s="4">
        <v>0</v>
      </c>
      <c r="Y837" s="4">
        <v>1</v>
      </c>
      <c r="Z837" s="3">
        <v>0</v>
      </c>
      <c r="AA837" s="3">
        <v>17.09</v>
      </c>
    </row>
    <row r="838" spans="1:27" x14ac:dyDescent="0.2">
      <c r="A838">
        <f t="shared" si="26"/>
        <v>2</v>
      </c>
      <c r="B838">
        <f t="shared" si="27"/>
        <v>6</v>
      </c>
      <c r="C838" s="1">
        <v>46059</v>
      </c>
      <c r="D838" t="s">
        <v>25</v>
      </c>
      <c r="E838" t="s">
        <v>26</v>
      </c>
      <c r="F838" t="s">
        <v>39</v>
      </c>
      <c r="G838" t="s">
        <v>40</v>
      </c>
      <c r="H838" t="s">
        <v>29</v>
      </c>
      <c r="I838" t="s">
        <v>30</v>
      </c>
      <c r="J838" t="s">
        <v>41</v>
      </c>
      <c r="K838" t="s">
        <v>42</v>
      </c>
      <c r="L838" t="s">
        <v>305</v>
      </c>
      <c r="M838" s="4">
        <v>1</v>
      </c>
      <c r="N838" s="4">
        <v>1</v>
      </c>
      <c r="O838" s="2">
        <v>1</v>
      </c>
      <c r="P838" s="3">
        <v>0.72</v>
      </c>
      <c r="Q838" s="3">
        <v>0.72</v>
      </c>
      <c r="R838" s="3">
        <v>0</v>
      </c>
      <c r="S838" s="2"/>
      <c r="T838" s="5">
        <v>0</v>
      </c>
      <c r="U838" s="4">
        <v>0</v>
      </c>
      <c r="V838" s="4">
        <v>0</v>
      </c>
      <c r="W838" s="2">
        <v>0</v>
      </c>
      <c r="X838" s="4">
        <v>0</v>
      </c>
      <c r="Y838" s="4">
        <v>0</v>
      </c>
      <c r="Z838" s="3">
        <v>0</v>
      </c>
      <c r="AA838" s="3">
        <v>0</v>
      </c>
    </row>
    <row r="839" spans="1:27" x14ac:dyDescent="0.2">
      <c r="A839">
        <f t="shared" si="26"/>
        <v>2</v>
      </c>
      <c r="B839">
        <f t="shared" si="27"/>
        <v>8</v>
      </c>
      <c r="C839" s="1">
        <v>46072</v>
      </c>
      <c r="D839" t="s">
        <v>25</v>
      </c>
      <c r="E839" t="s">
        <v>26</v>
      </c>
      <c r="F839" t="s">
        <v>39</v>
      </c>
      <c r="G839" t="s">
        <v>40</v>
      </c>
      <c r="H839" t="s">
        <v>29</v>
      </c>
      <c r="I839" t="s">
        <v>30</v>
      </c>
      <c r="J839" t="s">
        <v>41</v>
      </c>
      <c r="K839" t="s">
        <v>42</v>
      </c>
      <c r="L839" t="s">
        <v>305</v>
      </c>
      <c r="M839" s="4">
        <v>9</v>
      </c>
      <c r="N839" s="4">
        <v>2</v>
      </c>
      <c r="O839" s="2">
        <v>0.22222222222222221</v>
      </c>
      <c r="P839" s="3">
        <v>0.68</v>
      </c>
      <c r="Q839" s="3">
        <v>1.36</v>
      </c>
      <c r="R839" s="3">
        <v>0</v>
      </c>
      <c r="S839" s="2"/>
      <c r="T839" s="5">
        <v>0</v>
      </c>
      <c r="U839" s="4">
        <v>0</v>
      </c>
      <c r="V839" s="4">
        <v>0</v>
      </c>
      <c r="W839" s="2">
        <v>0</v>
      </c>
      <c r="X839" s="4">
        <v>0</v>
      </c>
      <c r="Y839" s="4">
        <v>0</v>
      </c>
      <c r="Z839" s="3">
        <v>0</v>
      </c>
      <c r="AA839" s="3">
        <v>0</v>
      </c>
    </row>
    <row r="840" spans="1:27" x14ac:dyDescent="0.2">
      <c r="A840">
        <f t="shared" si="26"/>
        <v>2</v>
      </c>
      <c r="B840">
        <f t="shared" si="27"/>
        <v>7</v>
      </c>
      <c r="C840" s="1">
        <v>46064</v>
      </c>
      <c r="D840" t="s">
        <v>25</v>
      </c>
      <c r="E840" t="s">
        <v>26</v>
      </c>
      <c r="F840" t="s">
        <v>34</v>
      </c>
      <c r="G840" t="s">
        <v>28</v>
      </c>
      <c r="H840" t="s">
        <v>29</v>
      </c>
      <c r="I840" t="s">
        <v>30</v>
      </c>
      <c r="J840" t="s">
        <v>37</v>
      </c>
      <c r="K840" t="s">
        <v>32</v>
      </c>
      <c r="L840" t="s">
        <v>305</v>
      </c>
      <c r="M840" s="4">
        <v>2</v>
      </c>
      <c r="N840" s="4">
        <v>1</v>
      </c>
      <c r="O840" s="2">
        <v>0.5</v>
      </c>
      <c r="P840" s="3">
        <v>1.27</v>
      </c>
      <c r="Q840" s="3">
        <v>1.27</v>
      </c>
      <c r="R840" s="3">
        <v>17.09</v>
      </c>
      <c r="S840" s="2">
        <v>7.4312463428905795E-2</v>
      </c>
      <c r="T840" s="5">
        <v>13.456692913385826</v>
      </c>
      <c r="U840" s="4">
        <v>1</v>
      </c>
      <c r="V840" s="4">
        <v>1</v>
      </c>
      <c r="W840" s="2">
        <v>1</v>
      </c>
      <c r="X840" s="4">
        <v>1</v>
      </c>
      <c r="Y840" s="4">
        <v>0</v>
      </c>
      <c r="Z840" s="3">
        <v>17.09</v>
      </c>
      <c r="AA840" s="3">
        <v>0</v>
      </c>
    </row>
    <row r="841" spans="1:27" x14ac:dyDescent="0.2">
      <c r="A841">
        <f t="shared" si="26"/>
        <v>2</v>
      </c>
      <c r="B841">
        <f t="shared" si="27"/>
        <v>8</v>
      </c>
      <c r="C841" s="1">
        <v>46072</v>
      </c>
      <c r="D841" t="s">
        <v>25</v>
      </c>
      <c r="E841" t="s">
        <v>26</v>
      </c>
      <c r="F841" t="s">
        <v>34</v>
      </c>
      <c r="G841" t="s">
        <v>273</v>
      </c>
      <c r="H841" t="s">
        <v>29</v>
      </c>
      <c r="I841" t="s">
        <v>30</v>
      </c>
      <c r="J841" t="s">
        <v>37</v>
      </c>
      <c r="K841" t="s">
        <v>87</v>
      </c>
      <c r="L841" t="s">
        <v>305</v>
      </c>
      <c r="M841" s="4">
        <v>26</v>
      </c>
      <c r="N841" s="4">
        <v>1</v>
      </c>
      <c r="O841" s="2">
        <v>3.8461538461538464E-2</v>
      </c>
      <c r="P841" s="3">
        <v>1.52</v>
      </c>
      <c r="Q841" s="3">
        <v>1.52</v>
      </c>
      <c r="R841" s="3">
        <v>0</v>
      </c>
      <c r="S841" s="2"/>
      <c r="T841" s="5">
        <v>0</v>
      </c>
      <c r="U841" s="4">
        <v>0</v>
      </c>
      <c r="V841" s="4">
        <v>0</v>
      </c>
      <c r="W841" s="2">
        <v>0</v>
      </c>
      <c r="X841" s="4">
        <v>0</v>
      </c>
      <c r="Y841" s="4">
        <v>0</v>
      </c>
      <c r="Z841" s="3">
        <v>0</v>
      </c>
      <c r="AA841" s="3">
        <v>0</v>
      </c>
    </row>
    <row r="842" spans="1:27" x14ac:dyDescent="0.2">
      <c r="A842">
        <f t="shared" si="26"/>
        <v>2</v>
      </c>
      <c r="B842">
        <f t="shared" si="27"/>
        <v>8</v>
      </c>
      <c r="C842" s="1">
        <v>46074</v>
      </c>
      <c r="D842" t="s">
        <v>25</v>
      </c>
      <c r="E842" t="s">
        <v>26</v>
      </c>
      <c r="F842" t="s">
        <v>34</v>
      </c>
      <c r="G842" t="s">
        <v>273</v>
      </c>
      <c r="H842" t="s">
        <v>29</v>
      </c>
      <c r="I842" t="s">
        <v>30</v>
      </c>
      <c r="J842" t="s">
        <v>37</v>
      </c>
      <c r="K842" t="s">
        <v>87</v>
      </c>
      <c r="L842" t="s">
        <v>305</v>
      </c>
      <c r="M842" s="4">
        <v>82</v>
      </c>
      <c r="N842" s="4">
        <v>1</v>
      </c>
      <c r="O842" s="2">
        <v>1.2195121951219513E-2</v>
      </c>
      <c r="P842" s="3">
        <v>1</v>
      </c>
      <c r="Q842" s="3">
        <v>1</v>
      </c>
      <c r="R842" s="3">
        <v>0</v>
      </c>
      <c r="S842" s="2"/>
      <c r="T842" s="5">
        <v>0</v>
      </c>
      <c r="U842" s="4">
        <v>0</v>
      </c>
      <c r="V842" s="4">
        <v>0</v>
      </c>
      <c r="W842" s="2">
        <v>0</v>
      </c>
      <c r="X842" s="4">
        <v>0</v>
      </c>
      <c r="Y842" s="4">
        <v>0</v>
      </c>
      <c r="Z842" s="3">
        <v>0</v>
      </c>
      <c r="AA842" s="3">
        <v>0</v>
      </c>
    </row>
    <row r="843" spans="1:27" x14ac:dyDescent="0.2">
      <c r="A843">
        <f t="shared" si="26"/>
        <v>2</v>
      </c>
      <c r="B843">
        <f t="shared" si="27"/>
        <v>6</v>
      </c>
      <c r="C843" s="1">
        <v>46057</v>
      </c>
      <c r="D843" t="s">
        <v>25</v>
      </c>
      <c r="E843" t="s">
        <v>26</v>
      </c>
      <c r="F843" t="s">
        <v>49</v>
      </c>
      <c r="G843" t="s">
        <v>50</v>
      </c>
      <c r="H843" t="s">
        <v>29</v>
      </c>
      <c r="I843" t="s">
        <v>30</v>
      </c>
      <c r="J843" t="s">
        <v>51</v>
      </c>
      <c r="K843" t="s">
        <v>42</v>
      </c>
      <c r="L843" t="s">
        <v>581</v>
      </c>
      <c r="M843" s="4">
        <v>1</v>
      </c>
      <c r="N843" s="4">
        <v>1</v>
      </c>
      <c r="O843" s="2">
        <v>1</v>
      </c>
      <c r="P843" s="3">
        <v>0.57999999999999996</v>
      </c>
      <c r="Q843" s="3">
        <v>0.57999999999999996</v>
      </c>
      <c r="R843" s="3">
        <v>0</v>
      </c>
      <c r="S843" s="2"/>
      <c r="T843" s="5">
        <v>0</v>
      </c>
      <c r="U843" s="4">
        <v>0</v>
      </c>
      <c r="V843" s="4">
        <v>0</v>
      </c>
      <c r="W843" s="2">
        <v>0</v>
      </c>
      <c r="X843" s="4">
        <v>0</v>
      </c>
      <c r="Y843" s="4">
        <v>0</v>
      </c>
      <c r="Z843" s="3">
        <v>0</v>
      </c>
      <c r="AA843" s="3">
        <v>0</v>
      </c>
    </row>
    <row r="844" spans="1:27" x14ac:dyDescent="0.2">
      <c r="A844">
        <f t="shared" si="26"/>
        <v>2</v>
      </c>
      <c r="B844">
        <f t="shared" si="27"/>
        <v>7</v>
      </c>
      <c r="C844" s="1">
        <v>46064</v>
      </c>
      <c r="D844" t="s">
        <v>25</v>
      </c>
      <c r="E844" t="s">
        <v>26</v>
      </c>
      <c r="F844" t="s">
        <v>49</v>
      </c>
      <c r="G844" t="s">
        <v>50</v>
      </c>
      <c r="H844" t="s">
        <v>29</v>
      </c>
      <c r="I844" t="s">
        <v>30</v>
      </c>
      <c r="J844" t="s">
        <v>95</v>
      </c>
      <c r="K844" t="s">
        <v>42</v>
      </c>
      <c r="L844" t="s">
        <v>582</v>
      </c>
      <c r="M844" s="4">
        <v>1</v>
      </c>
      <c r="N844" s="4">
        <v>1</v>
      </c>
      <c r="O844" s="2">
        <v>1</v>
      </c>
      <c r="P844" s="3">
        <v>0.38</v>
      </c>
      <c r="Q844" s="3">
        <v>0.38</v>
      </c>
      <c r="R844" s="3">
        <v>0</v>
      </c>
      <c r="S844" s="2"/>
      <c r="T844" s="5">
        <v>0</v>
      </c>
      <c r="U844" s="4">
        <v>0</v>
      </c>
      <c r="V844" s="4">
        <v>0</v>
      </c>
      <c r="W844" s="2">
        <v>0</v>
      </c>
      <c r="X844" s="4">
        <v>0</v>
      </c>
      <c r="Y844" s="4">
        <v>0</v>
      </c>
      <c r="Z844" s="3">
        <v>0</v>
      </c>
      <c r="AA844" s="3">
        <v>0</v>
      </c>
    </row>
    <row r="845" spans="1:27" x14ac:dyDescent="0.2">
      <c r="A845">
        <f t="shared" si="26"/>
        <v>2</v>
      </c>
      <c r="B845">
        <f t="shared" si="27"/>
        <v>8</v>
      </c>
      <c r="C845" s="1">
        <v>46068</v>
      </c>
      <c r="D845" t="s">
        <v>25</v>
      </c>
      <c r="E845" t="s">
        <v>26</v>
      </c>
      <c r="F845" t="s">
        <v>49</v>
      </c>
      <c r="G845" t="s">
        <v>50</v>
      </c>
      <c r="H845" t="s">
        <v>29</v>
      </c>
      <c r="I845" t="s">
        <v>30</v>
      </c>
      <c r="J845" t="s">
        <v>47</v>
      </c>
      <c r="K845" t="s">
        <v>42</v>
      </c>
      <c r="L845" t="s">
        <v>583</v>
      </c>
      <c r="M845" s="4">
        <v>2</v>
      </c>
      <c r="N845" s="4">
        <v>1</v>
      </c>
      <c r="O845" s="2">
        <v>0.5</v>
      </c>
      <c r="P845" s="3">
        <v>0.47</v>
      </c>
      <c r="Q845" s="3">
        <v>0.47</v>
      </c>
      <c r="R845" s="3">
        <v>0</v>
      </c>
      <c r="S845" s="2"/>
      <c r="T845" s="5">
        <v>0</v>
      </c>
      <c r="U845" s="4">
        <v>0</v>
      </c>
      <c r="V845" s="4">
        <v>0</v>
      </c>
      <c r="W845" s="2">
        <v>0</v>
      </c>
      <c r="X845" s="4">
        <v>0</v>
      </c>
      <c r="Y845" s="4">
        <v>0</v>
      </c>
      <c r="Z845" s="3">
        <v>0</v>
      </c>
      <c r="AA845" s="3">
        <v>0</v>
      </c>
    </row>
    <row r="846" spans="1:27" x14ac:dyDescent="0.2">
      <c r="A846">
        <f t="shared" si="26"/>
        <v>2</v>
      </c>
      <c r="B846">
        <f t="shared" si="27"/>
        <v>8</v>
      </c>
      <c r="C846" s="1">
        <v>46070</v>
      </c>
      <c r="D846" t="s">
        <v>25</v>
      </c>
      <c r="E846" t="s">
        <v>26</v>
      </c>
      <c r="F846" t="s">
        <v>27</v>
      </c>
      <c r="G846" t="s">
        <v>124</v>
      </c>
      <c r="H846" t="s">
        <v>29</v>
      </c>
      <c r="I846" t="s">
        <v>30</v>
      </c>
      <c r="J846" t="s">
        <v>31</v>
      </c>
      <c r="K846" t="s">
        <v>87</v>
      </c>
      <c r="L846" t="s">
        <v>584</v>
      </c>
      <c r="M846" s="4">
        <v>1</v>
      </c>
      <c r="N846" s="4">
        <v>1</v>
      </c>
      <c r="O846" s="2">
        <v>1</v>
      </c>
      <c r="P846" s="3">
        <v>0.2</v>
      </c>
      <c r="Q846" s="3">
        <v>0.2</v>
      </c>
      <c r="R846" s="3">
        <v>0</v>
      </c>
      <c r="S846" s="2"/>
      <c r="T846" s="5">
        <v>0</v>
      </c>
      <c r="U846" s="4">
        <v>0</v>
      </c>
      <c r="V846" s="4">
        <v>0</v>
      </c>
      <c r="W846" s="2">
        <v>0</v>
      </c>
      <c r="X846" s="4">
        <v>0</v>
      </c>
      <c r="Y846" s="4">
        <v>0</v>
      </c>
      <c r="Z846" s="3">
        <v>0</v>
      </c>
      <c r="AA846" s="3">
        <v>0</v>
      </c>
    </row>
    <row r="847" spans="1:27" x14ac:dyDescent="0.2">
      <c r="A847">
        <f t="shared" si="26"/>
        <v>2</v>
      </c>
      <c r="B847">
        <f t="shared" si="27"/>
        <v>7</v>
      </c>
      <c r="C847" s="1">
        <v>46061</v>
      </c>
      <c r="D847" t="s">
        <v>25</v>
      </c>
      <c r="E847" t="s">
        <v>26</v>
      </c>
      <c r="F847" t="s">
        <v>49</v>
      </c>
      <c r="G847" t="s">
        <v>50</v>
      </c>
      <c r="H847" t="s">
        <v>29</v>
      </c>
      <c r="I847" t="s">
        <v>30</v>
      </c>
      <c r="J847" t="s">
        <v>47</v>
      </c>
      <c r="K847" t="s">
        <v>42</v>
      </c>
      <c r="L847" t="s">
        <v>306</v>
      </c>
      <c r="M847" s="4">
        <v>8</v>
      </c>
      <c r="N847" s="4">
        <v>1</v>
      </c>
      <c r="O847" s="2">
        <v>0.125</v>
      </c>
      <c r="P847" s="3">
        <v>0.63</v>
      </c>
      <c r="Q847" s="3">
        <v>0.63</v>
      </c>
      <c r="R847" s="3">
        <v>0</v>
      </c>
      <c r="S847" s="2"/>
      <c r="T847" s="5">
        <v>0</v>
      </c>
      <c r="U847" s="4">
        <v>0</v>
      </c>
      <c r="V847" s="4">
        <v>0</v>
      </c>
      <c r="W847" s="2">
        <v>0</v>
      </c>
      <c r="X847" s="4">
        <v>0</v>
      </c>
      <c r="Y847" s="4">
        <v>0</v>
      </c>
      <c r="Z847" s="3">
        <v>0</v>
      </c>
      <c r="AA847" s="3">
        <v>0</v>
      </c>
    </row>
    <row r="848" spans="1:27" x14ac:dyDescent="0.2">
      <c r="A848">
        <f t="shared" si="26"/>
        <v>2</v>
      </c>
      <c r="B848">
        <f t="shared" si="27"/>
        <v>7</v>
      </c>
      <c r="C848" s="1">
        <v>46062</v>
      </c>
      <c r="D848" t="s">
        <v>25</v>
      </c>
      <c r="E848" t="s">
        <v>26</v>
      </c>
      <c r="F848" t="s">
        <v>49</v>
      </c>
      <c r="G848" t="s">
        <v>50</v>
      </c>
      <c r="H848" t="s">
        <v>29</v>
      </c>
      <c r="I848" t="s">
        <v>30</v>
      </c>
      <c r="J848" t="s">
        <v>47</v>
      </c>
      <c r="K848" t="s">
        <v>42</v>
      </c>
      <c r="L848" t="s">
        <v>306</v>
      </c>
      <c r="M848" s="4">
        <v>2</v>
      </c>
      <c r="N848" s="4">
        <v>1</v>
      </c>
      <c r="O848" s="2">
        <v>0.5</v>
      </c>
      <c r="P848" s="3">
        <v>0.6</v>
      </c>
      <c r="Q848" s="3">
        <v>0.6</v>
      </c>
      <c r="R848" s="3">
        <v>17.09</v>
      </c>
      <c r="S848" s="2">
        <v>3.5108250438853128E-2</v>
      </c>
      <c r="T848" s="5">
        <v>28.483333333333334</v>
      </c>
      <c r="U848" s="4">
        <v>1</v>
      </c>
      <c r="V848" s="4">
        <v>1</v>
      </c>
      <c r="W848" s="2">
        <v>1</v>
      </c>
      <c r="X848" s="4">
        <v>1</v>
      </c>
      <c r="Y848" s="4">
        <v>0</v>
      </c>
      <c r="Z848" s="3">
        <v>17.09</v>
      </c>
      <c r="AA848" s="3">
        <v>0</v>
      </c>
    </row>
    <row r="849" spans="1:27" x14ac:dyDescent="0.2">
      <c r="A849">
        <f t="shared" si="26"/>
        <v>2</v>
      </c>
      <c r="B849">
        <f t="shared" si="27"/>
        <v>8</v>
      </c>
      <c r="C849" s="1">
        <v>46072</v>
      </c>
      <c r="D849" t="s">
        <v>25</v>
      </c>
      <c r="E849" t="s">
        <v>26</v>
      </c>
      <c r="F849" t="s">
        <v>49</v>
      </c>
      <c r="G849" t="s">
        <v>50</v>
      </c>
      <c r="H849" t="s">
        <v>29</v>
      </c>
      <c r="I849" t="s">
        <v>30</v>
      </c>
      <c r="J849" t="s">
        <v>47</v>
      </c>
      <c r="K849" t="s">
        <v>42</v>
      </c>
      <c r="L849" t="s">
        <v>306</v>
      </c>
      <c r="M849" s="4">
        <v>20</v>
      </c>
      <c r="N849" s="4">
        <v>1</v>
      </c>
      <c r="O849" s="2">
        <v>0.05</v>
      </c>
      <c r="P849" s="3">
        <v>0.69</v>
      </c>
      <c r="Q849" s="3">
        <v>0.69</v>
      </c>
      <c r="R849" s="3">
        <v>0</v>
      </c>
      <c r="S849" s="2"/>
      <c r="T849" s="5">
        <v>0</v>
      </c>
      <c r="U849" s="4">
        <v>0</v>
      </c>
      <c r="V849" s="4">
        <v>0</v>
      </c>
      <c r="W849" s="2">
        <v>0</v>
      </c>
      <c r="X849" s="4">
        <v>0</v>
      </c>
      <c r="Y849" s="4">
        <v>0</v>
      </c>
      <c r="Z849" s="3">
        <v>0</v>
      </c>
      <c r="AA849" s="3">
        <v>0</v>
      </c>
    </row>
    <row r="850" spans="1:27" x14ac:dyDescent="0.2">
      <c r="A850">
        <f t="shared" si="26"/>
        <v>2</v>
      </c>
      <c r="B850">
        <f t="shared" si="27"/>
        <v>7</v>
      </c>
      <c r="C850" s="1">
        <v>46064</v>
      </c>
      <c r="D850" t="s">
        <v>25</v>
      </c>
      <c r="E850" t="s">
        <v>26</v>
      </c>
      <c r="F850" t="s">
        <v>34</v>
      </c>
      <c r="G850" t="s">
        <v>273</v>
      </c>
      <c r="H850" t="s">
        <v>29</v>
      </c>
      <c r="I850" t="s">
        <v>30</v>
      </c>
      <c r="J850" t="s">
        <v>306</v>
      </c>
      <c r="K850" t="s">
        <v>87</v>
      </c>
      <c r="L850" t="s">
        <v>306</v>
      </c>
      <c r="M850" s="4">
        <v>2</v>
      </c>
      <c r="N850" s="4">
        <v>1</v>
      </c>
      <c r="O850" s="2">
        <v>0.5</v>
      </c>
      <c r="P850" s="3">
        <v>0</v>
      </c>
      <c r="Q850" s="3">
        <v>0</v>
      </c>
      <c r="R850" s="3">
        <v>0</v>
      </c>
      <c r="S850" s="2"/>
      <c r="T850" s="5"/>
      <c r="U850" s="4">
        <v>0</v>
      </c>
      <c r="V850" s="4">
        <v>0</v>
      </c>
      <c r="W850" s="2">
        <v>0</v>
      </c>
      <c r="X850" s="4">
        <v>0</v>
      </c>
      <c r="Y850" s="4">
        <v>0</v>
      </c>
      <c r="Z850" s="3">
        <v>0</v>
      </c>
      <c r="AA850" s="3">
        <v>0</v>
      </c>
    </row>
    <row r="851" spans="1:27" x14ac:dyDescent="0.2">
      <c r="A851">
        <f t="shared" si="26"/>
        <v>2</v>
      </c>
      <c r="B851">
        <f t="shared" si="27"/>
        <v>7</v>
      </c>
      <c r="C851" s="1">
        <v>46061</v>
      </c>
      <c r="D851" t="s">
        <v>25</v>
      </c>
      <c r="E851" t="s">
        <v>26</v>
      </c>
      <c r="F851" t="s">
        <v>34</v>
      </c>
      <c r="G851" t="s">
        <v>273</v>
      </c>
      <c r="H851" t="s">
        <v>29</v>
      </c>
      <c r="I851" t="s">
        <v>30</v>
      </c>
      <c r="J851" t="s">
        <v>306</v>
      </c>
      <c r="K851" t="s">
        <v>267</v>
      </c>
      <c r="L851" t="s">
        <v>306</v>
      </c>
      <c r="M851" s="4">
        <v>15</v>
      </c>
      <c r="N851" s="4">
        <v>1</v>
      </c>
      <c r="O851" s="2">
        <v>6.6666666666666666E-2</v>
      </c>
      <c r="P851" s="3">
        <v>1.1000000000000001</v>
      </c>
      <c r="Q851" s="3">
        <v>1.1000000000000001</v>
      </c>
      <c r="R851" s="3">
        <v>0</v>
      </c>
      <c r="S851" s="2"/>
      <c r="T851" s="5">
        <v>0</v>
      </c>
      <c r="U851" s="4">
        <v>0</v>
      </c>
      <c r="V851" s="4">
        <v>0</v>
      </c>
      <c r="W851" s="2">
        <v>0</v>
      </c>
      <c r="X851" s="4">
        <v>0</v>
      </c>
      <c r="Y851" s="4">
        <v>0</v>
      </c>
      <c r="Z851" s="3">
        <v>0</v>
      </c>
      <c r="AA851" s="3">
        <v>0</v>
      </c>
    </row>
    <row r="852" spans="1:27" x14ac:dyDescent="0.2">
      <c r="A852">
        <f t="shared" si="26"/>
        <v>2</v>
      </c>
      <c r="B852">
        <f t="shared" si="27"/>
        <v>7</v>
      </c>
      <c r="C852" s="1">
        <v>46066</v>
      </c>
      <c r="D852" t="s">
        <v>25</v>
      </c>
      <c r="E852" t="s">
        <v>26</v>
      </c>
      <c r="F852" t="s">
        <v>34</v>
      </c>
      <c r="G852" t="s">
        <v>273</v>
      </c>
      <c r="H852" t="s">
        <v>29</v>
      </c>
      <c r="I852" t="s">
        <v>30</v>
      </c>
      <c r="J852" t="s">
        <v>306</v>
      </c>
      <c r="K852" t="s">
        <v>267</v>
      </c>
      <c r="L852" t="s">
        <v>306</v>
      </c>
      <c r="M852" s="4">
        <v>45</v>
      </c>
      <c r="N852" s="4">
        <v>2</v>
      </c>
      <c r="O852" s="2">
        <v>4.4444444444444453E-2</v>
      </c>
      <c r="P852" s="3">
        <v>1.06</v>
      </c>
      <c r="Q852" s="3">
        <v>2.12</v>
      </c>
      <c r="R852" s="3">
        <v>0</v>
      </c>
      <c r="S852" s="2"/>
      <c r="T852" s="5">
        <v>0</v>
      </c>
      <c r="U852" s="4">
        <v>0</v>
      </c>
      <c r="V852" s="4">
        <v>0</v>
      </c>
      <c r="W852" s="2">
        <v>0</v>
      </c>
      <c r="X852" s="4">
        <v>0</v>
      </c>
      <c r="Y852" s="4">
        <v>0</v>
      </c>
      <c r="Z852" s="3">
        <v>0</v>
      </c>
      <c r="AA852" s="3">
        <v>0</v>
      </c>
    </row>
    <row r="853" spans="1:27" x14ac:dyDescent="0.2">
      <c r="A853">
        <f t="shared" si="26"/>
        <v>2</v>
      </c>
      <c r="B853">
        <f t="shared" si="27"/>
        <v>7</v>
      </c>
      <c r="C853" s="1">
        <v>46063</v>
      </c>
      <c r="D853" t="s">
        <v>25</v>
      </c>
      <c r="E853" t="s">
        <v>26</v>
      </c>
      <c r="F853" t="s">
        <v>27</v>
      </c>
      <c r="G853" t="s">
        <v>124</v>
      </c>
      <c r="H853" t="s">
        <v>29</v>
      </c>
      <c r="I853" t="s">
        <v>30</v>
      </c>
      <c r="J853" t="s">
        <v>306</v>
      </c>
      <c r="K853" t="s">
        <v>87</v>
      </c>
      <c r="L853" t="s">
        <v>306</v>
      </c>
      <c r="M853" s="4">
        <v>21</v>
      </c>
      <c r="N853" s="4">
        <v>3</v>
      </c>
      <c r="O853" s="2">
        <v>0.14285714285714285</v>
      </c>
      <c r="P853" s="3">
        <v>0.19999999999999998</v>
      </c>
      <c r="Q853" s="3">
        <v>0.6</v>
      </c>
      <c r="R853" s="3">
        <v>16.989999999999998</v>
      </c>
      <c r="S853" s="2">
        <v>3.5314891112419075E-2</v>
      </c>
      <c r="T853" s="5">
        <v>28.316666666666666</v>
      </c>
      <c r="U853" s="4">
        <v>1</v>
      </c>
      <c r="V853" s="4">
        <v>1</v>
      </c>
      <c r="W853" s="2">
        <v>0.33333333333333331</v>
      </c>
      <c r="X853" s="4">
        <v>1</v>
      </c>
      <c r="Y853" s="4">
        <v>0</v>
      </c>
      <c r="Z853" s="3">
        <v>16.989999999999998</v>
      </c>
      <c r="AA853" s="3">
        <v>0</v>
      </c>
    </row>
    <row r="854" spans="1:27" x14ac:dyDescent="0.2">
      <c r="A854">
        <f t="shared" si="26"/>
        <v>2</v>
      </c>
      <c r="B854">
        <f t="shared" si="27"/>
        <v>8</v>
      </c>
      <c r="C854" s="1">
        <v>46068</v>
      </c>
      <c r="D854" t="s">
        <v>25</v>
      </c>
      <c r="E854" t="s">
        <v>26</v>
      </c>
      <c r="F854" t="s">
        <v>27</v>
      </c>
      <c r="G854" t="s">
        <v>124</v>
      </c>
      <c r="H854" t="s">
        <v>29</v>
      </c>
      <c r="I854" t="s">
        <v>30</v>
      </c>
      <c r="J854" t="s">
        <v>306</v>
      </c>
      <c r="K854" t="s">
        <v>87</v>
      </c>
      <c r="L854" t="s">
        <v>306</v>
      </c>
      <c r="M854" s="4">
        <v>35</v>
      </c>
      <c r="N854" s="4">
        <v>2</v>
      </c>
      <c r="O854" s="2">
        <v>5.7142857142857141E-2</v>
      </c>
      <c r="P854" s="3">
        <v>0.2</v>
      </c>
      <c r="Q854" s="3">
        <v>0.4</v>
      </c>
      <c r="R854" s="3">
        <v>0</v>
      </c>
      <c r="S854" s="2"/>
      <c r="T854" s="5">
        <v>0</v>
      </c>
      <c r="U854" s="4">
        <v>0</v>
      </c>
      <c r="V854" s="4">
        <v>0</v>
      </c>
      <c r="W854" s="2">
        <v>0</v>
      </c>
      <c r="X854" s="4">
        <v>0</v>
      </c>
      <c r="Y854" s="4">
        <v>0</v>
      </c>
      <c r="Z854" s="3">
        <v>0</v>
      </c>
      <c r="AA854" s="3">
        <v>0</v>
      </c>
    </row>
    <row r="855" spans="1:27" x14ac:dyDescent="0.2">
      <c r="A855">
        <f t="shared" si="26"/>
        <v>2</v>
      </c>
      <c r="B855">
        <f t="shared" si="27"/>
        <v>8</v>
      </c>
      <c r="C855" s="1">
        <v>46068</v>
      </c>
      <c r="D855" t="s">
        <v>25</v>
      </c>
      <c r="E855" t="s">
        <v>26</v>
      </c>
      <c r="F855" t="s">
        <v>39</v>
      </c>
      <c r="G855" t="s">
        <v>40</v>
      </c>
      <c r="H855" t="s">
        <v>29</v>
      </c>
      <c r="I855" t="s">
        <v>30</v>
      </c>
      <c r="J855" t="s">
        <v>70</v>
      </c>
      <c r="K855" t="s">
        <v>42</v>
      </c>
      <c r="L855" t="s">
        <v>306</v>
      </c>
      <c r="M855" s="4">
        <v>3</v>
      </c>
      <c r="N855" s="4">
        <v>1</v>
      </c>
      <c r="O855" s="2">
        <v>0.33333333333333331</v>
      </c>
      <c r="P855" s="3">
        <v>0.56999999999999995</v>
      </c>
      <c r="Q855" s="3">
        <v>0.56999999999999995</v>
      </c>
      <c r="R855" s="3">
        <v>0</v>
      </c>
      <c r="S855" s="2"/>
      <c r="T855" s="5">
        <v>0</v>
      </c>
      <c r="U855" s="4">
        <v>0</v>
      </c>
      <c r="V855" s="4">
        <v>0</v>
      </c>
      <c r="W855" s="2">
        <v>0</v>
      </c>
      <c r="X855" s="4">
        <v>0</v>
      </c>
      <c r="Y855" s="4">
        <v>0</v>
      </c>
      <c r="Z855" s="3">
        <v>0</v>
      </c>
      <c r="AA855" s="3">
        <v>0</v>
      </c>
    </row>
    <row r="856" spans="1:27" x14ac:dyDescent="0.2">
      <c r="A856">
        <f t="shared" si="26"/>
        <v>2</v>
      </c>
      <c r="B856">
        <f t="shared" si="27"/>
        <v>8</v>
      </c>
      <c r="C856" s="1">
        <v>46070</v>
      </c>
      <c r="D856" t="s">
        <v>25</v>
      </c>
      <c r="E856" t="s">
        <v>26</v>
      </c>
      <c r="F856" t="s">
        <v>39</v>
      </c>
      <c r="G856" t="s">
        <v>40</v>
      </c>
      <c r="H856" t="s">
        <v>29</v>
      </c>
      <c r="I856" t="s">
        <v>30</v>
      </c>
      <c r="J856" t="s">
        <v>78</v>
      </c>
      <c r="K856" t="s">
        <v>42</v>
      </c>
      <c r="L856" t="s">
        <v>306</v>
      </c>
      <c r="M856" s="4">
        <v>28</v>
      </c>
      <c r="N856" s="4">
        <v>1</v>
      </c>
      <c r="O856" s="2">
        <v>3.5714285714285712E-2</v>
      </c>
      <c r="P856" s="3">
        <v>0.59</v>
      </c>
      <c r="Q856" s="3">
        <v>0.59</v>
      </c>
      <c r="R856" s="3">
        <v>0</v>
      </c>
      <c r="S856" s="2"/>
      <c r="T856" s="5">
        <v>0</v>
      </c>
      <c r="U856" s="4">
        <v>0</v>
      </c>
      <c r="V856" s="4">
        <v>0</v>
      </c>
      <c r="W856" s="2">
        <v>0</v>
      </c>
      <c r="X856" s="4">
        <v>0</v>
      </c>
      <c r="Y856" s="4">
        <v>0</v>
      </c>
      <c r="Z856" s="3">
        <v>0</v>
      </c>
      <c r="AA856" s="3">
        <v>0</v>
      </c>
    </row>
    <row r="857" spans="1:27" x14ac:dyDescent="0.2">
      <c r="A857">
        <f t="shared" si="26"/>
        <v>2</v>
      </c>
      <c r="B857">
        <f t="shared" si="27"/>
        <v>8</v>
      </c>
      <c r="C857" s="1">
        <v>46071</v>
      </c>
      <c r="D857" t="s">
        <v>25</v>
      </c>
      <c r="E857" t="s">
        <v>26</v>
      </c>
      <c r="F857" t="s">
        <v>39</v>
      </c>
      <c r="G857" t="s">
        <v>40</v>
      </c>
      <c r="H857" t="s">
        <v>29</v>
      </c>
      <c r="I857" t="s">
        <v>30</v>
      </c>
      <c r="J857" t="s">
        <v>78</v>
      </c>
      <c r="K857" t="s">
        <v>42</v>
      </c>
      <c r="L857" t="s">
        <v>306</v>
      </c>
      <c r="M857" s="4">
        <v>2</v>
      </c>
      <c r="N857" s="4">
        <v>1</v>
      </c>
      <c r="O857" s="2">
        <v>0.5</v>
      </c>
      <c r="P857" s="3">
        <v>0.59</v>
      </c>
      <c r="Q857" s="3">
        <v>0.59</v>
      </c>
      <c r="R857" s="3">
        <v>0</v>
      </c>
      <c r="S857" s="2"/>
      <c r="T857" s="5">
        <v>0</v>
      </c>
      <c r="U857" s="4">
        <v>0</v>
      </c>
      <c r="V857" s="4">
        <v>0</v>
      </c>
      <c r="W857" s="2">
        <v>0</v>
      </c>
      <c r="X857" s="4">
        <v>0</v>
      </c>
      <c r="Y857" s="4">
        <v>0</v>
      </c>
      <c r="Z857" s="3">
        <v>0</v>
      </c>
      <c r="AA857" s="3">
        <v>0</v>
      </c>
    </row>
    <row r="858" spans="1:27" x14ac:dyDescent="0.2">
      <c r="A858">
        <f t="shared" si="26"/>
        <v>2</v>
      </c>
      <c r="B858">
        <f t="shared" si="27"/>
        <v>7</v>
      </c>
      <c r="C858" s="1">
        <v>46067</v>
      </c>
      <c r="D858" t="s">
        <v>25</v>
      </c>
      <c r="E858" t="s">
        <v>26</v>
      </c>
      <c r="F858" t="s">
        <v>27</v>
      </c>
      <c r="G858" t="s">
        <v>28</v>
      </c>
      <c r="H858" t="s">
        <v>29</v>
      </c>
      <c r="I858" t="s">
        <v>30</v>
      </c>
      <c r="J858" t="s">
        <v>311</v>
      </c>
      <c r="K858" t="s">
        <v>32</v>
      </c>
      <c r="L858" t="s">
        <v>306</v>
      </c>
      <c r="M858" s="4">
        <v>12</v>
      </c>
      <c r="N858" s="4">
        <v>1</v>
      </c>
      <c r="O858" s="2">
        <v>8.3333333333333315E-2</v>
      </c>
      <c r="P858" s="3">
        <v>0.21</v>
      </c>
      <c r="Q858" s="3">
        <v>0.21</v>
      </c>
      <c r="R858" s="3">
        <v>0</v>
      </c>
      <c r="S858" s="2"/>
      <c r="T858" s="5">
        <v>0</v>
      </c>
      <c r="U858" s="4">
        <v>0</v>
      </c>
      <c r="V858" s="4">
        <v>0</v>
      </c>
      <c r="W858" s="2">
        <v>0</v>
      </c>
      <c r="X858" s="4">
        <v>0</v>
      </c>
      <c r="Y858" s="4">
        <v>0</v>
      </c>
      <c r="Z858" s="3">
        <v>0</v>
      </c>
      <c r="AA858" s="3">
        <v>0</v>
      </c>
    </row>
    <row r="859" spans="1:27" x14ac:dyDescent="0.2">
      <c r="A859">
        <f t="shared" si="26"/>
        <v>2</v>
      </c>
      <c r="B859">
        <f t="shared" si="27"/>
        <v>6</v>
      </c>
      <c r="C859" s="1">
        <v>46056</v>
      </c>
      <c r="D859" t="s">
        <v>25</v>
      </c>
      <c r="E859" t="s">
        <v>26</v>
      </c>
      <c r="F859" t="s">
        <v>34</v>
      </c>
      <c r="G859" t="s">
        <v>28</v>
      </c>
      <c r="H859" t="s">
        <v>29</v>
      </c>
      <c r="I859" t="s">
        <v>30</v>
      </c>
      <c r="J859" t="s">
        <v>37</v>
      </c>
      <c r="K859" t="s">
        <v>32</v>
      </c>
      <c r="L859" t="s">
        <v>306</v>
      </c>
      <c r="M859" s="4">
        <v>5</v>
      </c>
      <c r="N859" s="4">
        <v>1</v>
      </c>
      <c r="O859" s="2">
        <v>0.2</v>
      </c>
      <c r="P859" s="3">
        <v>1.33</v>
      </c>
      <c r="Q859" s="3">
        <v>1.33</v>
      </c>
      <c r="R859" s="3">
        <v>0</v>
      </c>
      <c r="S859" s="2"/>
      <c r="T859" s="5">
        <v>0</v>
      </c>
      <c r="U859" s="4">
        <v>0</v>
      </c>
      <c r="V859" s="4">
        <v>0</v>
      </c>
      <c r="W859" s="2">
        <v>0</v>
      </c>
      <c r="X859" s="4">
        <v>0</v>
      </c>
      <c r="Y859" s="4">
        <v>0</v>
      </c>
      <c r="Z859" s="3">
        <v>0</v>
      </c>
      <c r="AA859" s="3">
        <v>0</v>
      </c>
    </row>
    <row r="860" spans="1:27" x14ac:dyDescent="0.2">
      <c r="A860">
        <f t="shared" si="26"/>
        <v>2</v>
      </c>
      <c r="B860">
        <f t="shared" si="27"/>
        <v>7</v>
      </c>
      <c r="C860" s="1">
        <v>46062</v>
      </c>
      <c r="D860" t="s">
        <v>25</v>
      </c>
      <c r="E860" t="s">
        <v>26</v>
      </c>
      <c r="F860" t="s">
        <v>34</v>
      </c>
      <c r="G860" t="s">
        <v>28</v>
      </c>
      <c r="H860" t="s">
        <v>29</v>
      </c>
      <c r="I860" t="s">
        <v>30</v>
      </c>
      <c r="J860" t="s">
        <v>211</v>
      </c>
      <c r="K860" t="s">
        <v>32</v>
      </c>
      <c r="L860" t="s">
        <v>306</v>
      </c>
      <c r="M860" s="4">
        <v>49</v>
      </c>
      <c r="N860" s="4">
        <v>1</v>
      </c>
      <c r="O860" s="2">
        <v>2.0408163265306124E-2</v>
      </c>
      <c r="P860" s="3">
        <v>1.45</v>
      </c>
      <c r="Q860" s="3">
        <v>1.45</v>
      </c>
      <c r="R860" s="3">
        <v>0</v>
      </c>
      <c r="S860" s="2"/>
      <c r="T860" s="5">
        <v>0</v>
      </c>
      <c r="U860" s="4">
        <v>0</v>
      </c>
      <c r="V860" s="4">
        <v>0</v>
      </c>
      <c r="W860" s="2">
        <v>0</v>
      </c>
      <c r="X860" s="4">
        <v>0</v>
      </c>
      <c r="Y860" s="4">
        <v>0</v>
      </c>
      <c r="Z860" s="3">
        <v>0</v>
      </c>
      <c r="AA860" s="3">
        <v>0</v>
      </c>
    </row>
    <row r="861" spans="1:27" x14ac:dyDescent="0.2">
      <c r="A861">
        <f t="shared" si="26"/>
        <v>2</v>
      </c>
      <c r="B861">
        <f t="shared" si="27"/>
        <v>7</v>
      </c>
      <c r="C861" s="1">
        <v>46063</v>
      </c>
      <c r="D861" t="s">
        <v>25</v>
      </c>
      <c r="E861" t="s">
        <v>26</v>
      </c>
      <c r="F861" t="s">
        <v>34</v>
      </c>
      <c r="G861" t="s">
        <v>28</v>
      </c>
      <c r="H861" t="s">
        <v>29</v>
      </c>
      <c r="I861" t="s">
        <v>30</v>
      </c>
      <c r="J861" t="s">
        <v>211</v>
      </c>
      <c r="K861" t="s">
        <v>32</v>
      </c>
      <c r="L861" t="s">
        <v>306</v>
      </c>
      <c r="M861" s="4">
        <v>92</v>
      </c>
      <c r="N861" s="4">
        <v>1</v>
      </c>
      <c r="O861" s="2">
        <v>1.0869565217391304E-2</v>
      </c>
      <c r="P861" s="3">
        <v>1.4</v>
      </c>
      <c r="Q861" s="3">
        <v>1.4</v>
      </c>
      <c r="R861" s="3">
        <v>0</v>
      </c>
      <c r="S861" s="2"/>
      <c r="T861" s="5">
        <v>0</v>
      </c>
      <c r="U861" s="4">
        <v>0</v>
      </c>
      <c r="V861" s="4">
        <v>0</v>
      </c>
      <c r="W861" s="2">
        <v>0</v>
      </c>
      <c r="X861" s="4">
        <v>0</v>
      </c>
      <c r="Y861" s="4">
        <v>0</v>
      </c>
      <c r="Z861" s="3">
        <v>0</v>
      </c>
      <c r="AA861" s="3">
        <v>0</v>
      </c>
    </row>
    <row r="862" spans="1:27" x14ac:dyDescent="0.2">
      <c r="A862">
        <f t="shared" si="26"/>
        <v>2</v>
      </c>
      <c r="B862">
        <f t="shared" si="27"/>
        <v>8</v>
      </c>
      <c r="C862" s="1">
        <v>46068</v>
      </c>
      <c r="D862" t="s">
        <v>25</v>
      </c>
      <c r="E862" t="s">
        <v>26</v>
      </c>
      <c r="F862" t="s">
        <v>34</v>
      </c>
      <c r="G862" t="s">
        <v>273</v>
      </c>
      <c r="H862" t="s">
        <v>29</v>
      </c>
      <c r="I862" t="s">
        <v>30</v>
      </c>
      <c r="J862" t="s">
        <v>306</v>
      </c>
      <c r="K862" t="s">
        <v>87</v>
      </c>
      <c r="L862" t="s">
        <v>585</v>
      </c>
      <c r="M862" s="4">
        <v>2</v>
      </c>
      <c r="N862" s="4">
        <v>1</v>
      </c>
      <c r="O862" s="2">
        <v>0.5</v>
      </c>
      <c r="P862" s="3">
        <v>1.37</v>
      </c>
      <c r="Q862" s="3">
        <v>1.37</v>
      </c>
      <c r="R862" s="3">
        <v>0</v>
      </c>
      <c r="S862" s="2"/>
      <c r="T862" s="5">
        <v>0</v>
      </c>
      <c r="U862" s="4">
        <v>0</v>
      </c>
      <c r="V862" s="4">
        <v>0</v>
      </c>
      <c r="W862" s="2">
        <v>0</v>
      </c>
      <c r="X862" s="4">
        <v>0</v>
      </c>
      <c r="Y862" s="4">
        <v>0</v>
      </c>
      <c r="Z862" s="3">
        <v>0</v>
      </c>
      <c r="AA862" s="3">
        <v>0</v>
      </c>
    </row>
    <row r="863" spans="1:27" x14ac:dyDescent="0.2">
      <c r="A863">
        <f t="shared" si="26"/>
        <v>2</v>
      </c>
      <c r="B863">
        <f t="shared" si="27"/>
        <v>8</v>
      </c>
      <c r="C863" s="1">
        <v>46070</v>
      </c>
      <c r="D863" t="s">
        <v>25</v>
      </c>
      <c r="E863" t="s">
        <v>26</v>
      </c>
      <c r="F863" t="s">
        <v>34</v>
      </c>
      <c r="G863" t="s">
        <v>273</v>
      </c>
      <c r="H863" t="s">
        <v>29</v>
      </c>
      <c r="I863" t="s">
        <v>30</v>
      </c>
      <c r="J863" t="s">
        <v>306</v>
      </c>
      <c r="K863" t="s">
        <v>87</v>
      </c>
      <c r="L863" t="s">
        <v>585</v>
      </c>
      <c r="M863" s="4">
        <v>3</v>
      </c>
      <c r="N863" s="4">
        <v>1</v>
      </c>
      <c r="O863" s="2">
        <v>0.33333333333333331</v>
      </c>
      <c r="P863" s="3">
        <v>1.42</v>
      </c>
      <c r="Q863" s="3">
        <v>1.42</v>
      </c>
      <c r="R863" s="3">
        <v>0</v>
      </c>
      <c r="S863" s="2"/>
      <c r="T863" s="5">
        <v>0</v>
      </c>
      <c r="U863" s="4">
        <v>0</v>
      </c>
      <c r="V863" s="4">
        <v>0</v>
      </c>
      <c r="W863" s="2">
        <v>0</v>
      </c>
      <c r="X863" s="4">
        <v>0</v>
      </c>
      <c r="Y863" s="4">
        <v>0</v>
      </c>
      <c r="Z863" s="3">
        <v>0</v>
      </c>
      <c r="AA863" s="3">
        <v>0</v>
      </c>
    </row>
    <row r="864" spans="1:27" x14ac:dyDescent="0.2">
      <c r="A864">
        <f t="shared" si="26"/>
        <v>2</v>
      </c>
      <c r="B864">
        <f t="shared" si="27"/>
        <v>8</v>
      </c>
      <c r="C864" s="1">
        <v>46073</v>
      </c>
      <c r="D864" t="s">
        <v>25</v>
      </c>
      <c r="E864" t="s">
        <v>26</v>
      </c>
      <c r="F864" t="s">
        <v>34</v>
      </c>
      <c r="G864" t="s">
        <v>273</v>
      </c>
      <c r="H864" t="s">
        <v>29</v>
      </c>
      <c r="I864" t="s">
        <v>30</v>
      </c>
      <c r="J864" t="s">
        <v>306</v>
      </c>
      <c r="K864" t="s">
        <v>87</v>
      </c>
      <c r="L864" t="s">
        <v>586</v>
      </c>
      <c r="M864" s="4">
        <v>2</v>
      </c>
      <c r="N864" s="4">
        <v>1</v>
      </c>
      <c r="O864" s="2">
        <v>0.5</v>
      </c>
      <c r="P864" s="3">
        <v>1.33</v>
      </c>
      <c r="Q864" s="3">
        <v>1.33</v>
      </c>
      <c r="R864" s="3">
        <v>0</v>
      </c>
      <c r="S864" s="2"/>
      <c r="T864" s="5">
        <v>0</v>
      </c>
      <c r="U864" s="4">
        <v>0</v>
      </c>
      <c r="V864" s="4">
        <v>0</v>
      </c>
      <c r="W864" s="2">
        <v>0</v>
      </c>
      <c r="X864" s="4">
        <v>0</v>
      </c>
      <c r="Y864" s="4">
        <v>0</v>
      </c>
      <c r="Z864" s="3">
        <v>0</v>
      </c>
      <c r="AA864" s="3">
        <v>0</v>
      </c>
    </row>
    <row r="865" spans="1:27" x14ac:dyDescent="0.2">
      <c r="A865">
        <f t="shared" si="26"/>
        <v>2</v>
      </c>
      <c r="B865">
        <f t="shared" si="27"/>
        <v>7</v>
      </c>
      <c r="C865" s="1">
        <v>46065</v>
      </c>
      <c r="D865" t="s">
        <v>25</v>
      </c>
      <c r="E865" t="s">
        <v>26</v>
      </c>
      <c r="F865" t="s">
        <v>27</v>
      </c>
      <c r="G865" t="s">
        <v>124</v>
      </c>
      <c r="H865" t="s">
        <v>29</v>
      </c>
      <c r="I865" t="s">
        <v>30</v>
      </c>
      <c r="J865" t="s">
        <v>311</v>
      </c>
      <c r="K865" t="s">
        <v>87</v>
      </c>
      <c r="L865" t="s">
        <v>311</v>
      </c>
      <c r="M865" s="4">
        <v>2</v>
      </c>
      <c r="N865" s="4">
        <v>1</v>
      </c>
      <c r="O865" s="2">
        <v>0.5</v>
      </c>
      <c r="P865" s="3">
        <v>0.2</v>
      </c>
      <c r="Q865" s="3">
        <v>0.2</v>
      </c>
      <c r="R865" s="3">
        <v>0</v>
      </c>
      <c r="S865" s="2"/>
      <c r="T865" s="5">
        <v>0</v>
      </c>
      <c r="U865" s="4">
        <v>0</v>
      </c>
      <c r="V865" s="4">
        <v>0</v>
      </c>
      <c r="W865" s="2">
        <v>0</v>
      </c>
      <c r="X865" s="4">
        <v>0</v>
      </c>
      <c r="Y865" s="4">
        <v>0</v>
      </c>
      <c r="Z865" s="3">
        <v>0</v>
      </c>
      <c r="AA865" s="3">
        <v>0</v>
      </c>
    </row>
    <row r="866" spans="1:27" x14ac:dyDescent="0.2">
      <c r="A866">
        <f t="shared" si="26"/>
        <v>2</v>
      </c>
      <c r="B866">
        <f t="shared" si="27"/>
        <v>7</v>
      </c>
      <c r="C866" s="1">
        <v>46065</v>
      </c>
      <c r="D866" t="s">
        <v>25</v>
      </c>
      <c r="E866" t="s">
        <v>26</v>
      </c>
      <c r="F866" t="s">
        <v>34</v>
      </c>
      <c r="G866" t="s">
        <v>273</v>
      </c>
      <c r="H866" t="s">
        <v>29</v>
      </c>
      <c r="I866" t="s">
        <v>30</v>
      </c>
      <c r="J866" t="s">
        <v>280</v>
      </c>
      <c r="K866" t="s">
        <v>87</v>
      </c>
      <c r="L866" t="s">
        <v>587</v>
      </c>
      <c r="M866" s="4">
        <v>1</v>
      </c>
      <c r="N866" s="4">
        <v>1</v>
      </c>
      <c r="O866" s="2">
        <v>1</v>
      </c>
      <c r="P866" s="3">
        <v>0.96</v>
      </c>
      <c r="Q866" s="3">
        <v>0.96</v>
      </c>
      <c r="R866" s="3">
        <v>0</v>
      </c>
      <c r="S866" s="2"/>
      <c r="T866" s="5">
        <v>0</v>
      </c>
      <c r="U866" s="4">
        <v>0</v>
      </c>
      <c r="V866" s="4">
        <v>0</v>
      </c>
      <c r="W866" s="2">
        <v>0</v>
      </c>
      <c r="X866" s="4">
        <v>0</v>
      </c>
      <c r="Y866" s="4">
        <v>0</v>
      </c>
      <c r="Z866" s="3">
        <v>0</v>
      </c>
      <c r="AA866" s="3">
        <v>0</v>
      </c>
    </row>
    <row r="867" spans="1:27" x14ac:dyDescent="0.2">
      <c r="A867">
        <f t="shared" si="26"/>
        <v>2</v>
      </c>
      <c r="B867">
        <f t="shared" si="27"/>
        <v>6</v>
      </c>
      <c r="C867" s="1">
        <v>46054</v>
      </c>
      <c r="D867" t="s">
        <v>25</v>
      </c>
      <c r="E867" t="s">
        <v>26</v>
      </c>
      <c r="F867" t="s">
        <v>39</v>
      </c>
      <c r="G867" t="s">
        <v>40</v>
      </c>
      <c r="H867" t="s">
        <v>29</v>
      </c>
      <c r="I867" t="s">
        <v>30</v>
      </c>
      <c r="J867" t="s">
        <v>41</v>
      </c>
      <c r="K867" t="s">
        <v>42</v>
      </c>
      <c r="L867" t="s">
        <v>587</v>
      </c>
      <c r="M867" s="4">
        <v>2</v>
      </c>
      <c r="N867" s="4">
        <v>1</v>
      </c>
      <c r="O867" s="2">
        <v>0.5</v>
      </c>
      <c r="P867" s="3">
        <v>0.5</v>
      </c>
      <c r="Q867" s="3">
        <v>0.5</v>
      </c>
      <c r="R867" s="3">
        <v>0</v>
      </c>
      <c r="S867" s="2"/>
      <c r="T867" s="5">
        <v>0</v>
      </c>
      <c r="U867" s="4">
        <v>0</v>
      </c>
      <c r="V867" s="4">
        <v>0</v>
      </c>
      <c r="W867" s="2">
        <v>0</v>
      </c>
      <c r="X867" s="4">
        <v>0</v>
      </c>
      <c r="Y867" s="4">
        <v>0</v>
      </c>
      <c r="Z867" s="3">
        <v>0</v>
      </c>
      <c r="AA867" s="3">
        <v>0</v>
      </c>
    </row>
    <row r="868" spans="1:27" x14ac:dyDescent="0.2">
      <c r="A868">
        <f t="shared" si="26"/>
        <v>2</v>
      </c>
      <c r="B868">
        <f t="shared" si="27"/>
        <v>8</v>
      </c>
      <c r="C868" s="1">
        <v>46070</v>
      </c>
      <c r="D868" t="s">
        <v>25</v>
      </c>
      <c r="E868" t="s">
        <v>26</v>
      </c>
      <c r="F868" t="s">
        <v>27</v>
      </c>
      <c r="G868" t="s">
        <v>124</v>
      </c>
      <c r="H868" t="s">
        <v>29</v>
      </c>
      <c r="I868" t="s">
        <v>30</v>
      </c>
      <c r="J868" t="s">
        <v>311</v>
      </c>
      <c r="K868" t="s">
        <v>87</v>
      </c>
      <c r="L868" t="s">
        <v>588</v>
      </c>
      <c r="M868" s="4">
        <v>2</v>
      </c>
      <c r="N868" s="4">
        <v>1</v>
      </c>
      <c r="O868" s="2">
        <v>0.5</v>
      </c>
      <c r="P868" s="3">
        <v>0.21</v>
      </c>
      <c r="Q868" s="3">
        <v>0.21</v>
      </c>
      <c r="R868" s="3">
        <v>17.09</v>
      </c>
      <c r="S868" s="2">
        <v>1.2287887653598594E-2</v>
      </c>
      <c r="T868" s="5">
        <v>81.38095238095238</v>
      </c>
      <c r="U868" s="4">
        <v>1</v>
      </c>
      <c r="V868" s="4">
        <v>1</v>
      </c>
      <c r="W868" s="2">
        <v>1</v>
      </c>
      <c r="X868" s="4">
        <v>1</v>
      </c>
      <c r="Y868" s="4">
        <v>0</v>
      </c>
      <c r="Z868" s="3">
        <v>17.09</v>
      </c>
      <c r="AA868" s="3">
        <v>0</v>
      </c>
    </row>
    <row r="869" spans="1:27" x14ac:dyDescent="0.2">
      <c r="A869">
        <f t="shared" si="26"/>
        <v>2</v>
      </c>
      <c r="B869">
        <f t="shared" si="27"/>
        <v>7</v>
      </c>
      <c r="C869" s="1">
        <v>46063</v>
      </c>
      <c r="D869" t="s">
        <v>25</v>
      </c>
      <c r="E869" t="s">
        <v>26</v>
      </c>
      <c r="F869" t="s">
        <v>39</v>
      </c>
      <c r="G869" t="s">
        <v>40</v>
      </c>
      <c r="H869" t="s">
        <v>29</v>
      </c>
      <c r="I869" t="s">
        <v>30</v>
      </c>
      <c r="J869" t="s">
        <v>41</v>
      </c>
      <c r="K869" t="s">
        <v>42</v>
      </c>
      <c r="L869" t="s">
        <v>589</v>
      </c>
      <c r="M869" s="4">
        <v>2</v>
      </c>
      <c r="N869" s="4">
        <v>2</v>
      </c>
      <c r="O869" s="2">
        <v>1</v>
      </c>
      <c r="P869" s="3">
        <v>0.6</v>
      </c>
      <c r="Q869" s="3">
        <v>1.2</v>
      </c>
      <c r="R869" s="3">
        <v>0</v>
      </c>
      <c r="S869" s="2"/>
      <c r="T869" s="5">
        <v>0</v>
      </c>
      <c r="U869" s="4">
        <v>0</v>
      </c>
      <c r="V869" s="4">
        <v>0</v>
      </c>
      <c r="W869" s="2">
        <v>0</v>
      </c>
      <c r="X869" s="4">
        <v>0</v>
      </c>
      <c r="Y869" s="4">
        <v>0</v>
      </c>
      <c r="Z869" s="3">
        <v>0</v>
      </c>
      <c r="AA869" s="3">
        <v>0</v>
      </c>
    </row>
    <row r="870" spans="1:27" x14ac:dyDescent="0.2">
      <c r="A870">
        <f t="shared" si="26"/>
        <v>2</v>
      </c>
      <c r="B870">
        <f t="shared" si="27"/>
        <v>6</v>
      </c>
      <c r="C870" s="1">
        <v>46060</v>
      </c>
      <c r="D870" t="s">
        <v>25</v>
      </c>
      <c r="E870" t="s">
        <v>26</v>
      </c>
      <c r="F870" t="s">
        <v>27</v>
      </c>
      <c r="G870" t="s">
        <v>28</v>
      </c>
      <c r="H870" t="s">
        <v>29</v>
      </c>
      <c r="I870" t="s">
        <v>30</v>
      </c>
      <c r="J870" t="s">
        <v>311</v>
      </c>
      <c r="K870" t="s">
        <v>32</v>
      </c>
      <c r="L870" t="s">
        <v>590</v>
      </c>
      <c r="M870" s="4">
        <v>2</v>
      </c>
      <c r="N870" s="4">
        <v>1</v>
      </c>
      <c r="O870" s="2">
        <v>0.5</v>
      </c>
      <c r="P870" s="3">
        <v>0.21</v>
      </c>
      <c r="Q870" s="3">
        <v>0.21</v>
      </c>
      <c r="R870" s="3">
        <v>0</v>
      </c>
      <c r="S870" s="2"/>
      <c r="T870" s="5">
        <v>0</v>
      </c>
      <c r="U870" s="4">
        <v>0</v>
      </c>
      <c r="V870" s="4">
        <v>0</v>
      </c>
      <c r="W870" s="2">
        <v>0</v>
      </c>
      <c r="X870" s="4">
        <v>0</v>
      </c>
      <c r="Y870" s="4">
        <v>0</v>
      </c>
      <c r="Z870" s="3">
        <v>0</v>
      </c>
      <c r="AA870" s="3">
        <v>0</v>
      </c>
    </row>
    <row r="871" spans="1:27" x14ac:dyDescent="0.2">
      <c r="A871">
        <f t="shared" si="26"/>
        <v>2</v>
      </c>
      <c r="B871">
        <f t="shared" si="27"/>
        <v>6</v>
      </c>
      <c r="C871" s="1">
        <v>46056</v>
      </c>
      <c r="D871" t="s">
        <v>25</v>
      </c>
      <c r="E871" t="s">
        <v>26</v>
      </c>
      <c r="F871" t="s">
        <v>49</v>
      </c>
      <c r="G871" t="s">
        <v>50</v>
      </c>
      <c r="H871" t="s">
        <v>29</v>
      </c>
      <c r="I871" t="s">
        <v>30</v>
      </c>
      <c r="J871" t="s">
        <v>95</v>
      </c>
      <c r="K871" t="s">
        <v>42</v>
      </c>
      <c r="L871" t="s">
        <v>591</v>
      </c>
      <c r="M871" s="4">
        <v>1</v>
      </c>
      <c r="N871" s="4">
        <v>1</v>
      </c>
      <c r="O871" s="2">
        <v>1</v>
      </c>
      <c r="P871" s="3">
        <v>0.47</v>
      </c>
      <c r="Q871" s="3">
        <v>0.47</v>
      </c>
      <c r="R871" s="3">
        <v>0</v>
      </c>
      <c r="S871" s="2"/>
      <c r="T871" s="5">
        <v>0</v>
      </c>
      <c r="U871" s="4">
        <v>0</v>
      </c>
      <c r="V871" s="4">
        <v>0</v>
      </c>
      <c r="W871" s="2">
        <v>0</v>
      </c>
      <c r="X871" s="4">
        <v>0</v>
      </c>
      <c r="Y871" s="4">
        <v>0</v>
      </c>
      <c r="Z871" s="3">
        <v>0</v>
      </c>
      <c r="AA871" s="3">
        <v>0</v>
      </c>
    </row>
    <row r="872" spans="1:27" x14ac:dyDescent="0.2">
      <c r="A872">
        <f t="shared" si="26"/>
        <v>2</v>
      </c>
      <c r="B872">
        <f t="shared" si="27"/>
        <v>7</v>
      </c>
      <c r="C872" s="1">
        <v>46066</v>
      </c>
      <c r="D872" t="s">
        <v>25</v>
      </c>
      <c r="E872" t="s">
        <v>26</v>
      </c>
      <c r="F872" t="s">
        <v>27</v>
      </c>
      <c r="G872" t="s">
        <v>28</v>
      </c>
      <c r="H872" t="s">
        <v>29</v>
      </c>
      <c r="I872" t="s">
        <v>30</v>
      </c>
      <c r="J872" t="s">
        <v>44</v>
      </c>
      <c r="K872" t="s">
        <v>32</v>
      </c>
      <c r="L872" t="s">
        <v>592</v>
      </c>
      <c r="M872" s="4">
        <v>1</v>
      </c>
      <c r="N872" s="4">
        <v>1</v>
      </c>
      <c r="O872" s="2">
        <v>1</v>
      </c>
      <c r="P872" s="3">
        <v>0.21</v>
      </c>
      <c r="Q872" s="3">
        <v>0.21</v>
      </c>
      <c r="R872" s="3">
        <v>0</v>
      </c>
      <c r="S872" s="2"/>
      <c r="T872" s="5">
        <v>0</v>
      </c>
      <c r="U872" s="4">
        <v>0</v>
      </c>
      <c r="V872" s="4">
        <v>0</v>
      </c>
      <c r="W872" s="2">
        <v>0</v>
      </c>
      <c r="X872" s="4">
        <v>0</v>
      </c>
      <c r="Y872" s="4">
        <v>0</v>
      </c>
      <c r="Z872" s="3">
        <v>0</v>
      </c>
      <c r="AA872" s="3">
        <v>0</v>
      </c>
    </row>
    <row r="873" spans="1:27" x14ac:dyDescent="0.2">
      <c r="A873">
        <f t="shared" si="26"/>
        <v>2</v>
      </c>
      <c r="B873">
        <f t="shared" si="27"/>
        <v>7</v>
      </c>
      <c r="C873" s="1">
        <v>46067</v>
      </c>
      <c r="D873" t="s">
        <v>25</v>
      </c>
      <c r="E873" t="s">
        <v>26</v>
      </c>
      <c r="F873" t="s">
        <v>34</v>
      </c>
      <c r="G873" t="s">
        <v>28</v>
      </c>
      <c r="H873" t="s">
        <v>29</v>
      </c>
      <c r="I873" t="s">
        <v>30</v>
      </c>
      <c r="J873" t="s">
        <v>154</v>
      </c>
      <c r="K873" t="s">
        <v>32</v>
      </c>
      <c r="L873" t="s">
        <v>154</v>
      </c>
      <c r="M873" s="4">
        <v>5</v>
      </c>
      <c r="N873" s="4">
        <v>1</v>
      </c>
      <c r="O873" s="2">
        <v>0.2</v>
      </c>
      <c r="P873" s="3">
        <v>0.9</v>
      </c>
      <c r="Q873" s="3">
        <v>0.9</v>
      </c>
      <c r="R873" s="3">
        <v>0</v>
      </c>
      <c r="S873" s="2"/>
      <c r="T873" s="5">
        <v>0</v>
      </c>
      <c r="U873" s="4">
        <v>0</v>
      </c>
      <c r="V873" s="4">
        <v>0</v>
      </c>
      <c r="W873" s="2">
        <v>0</v>
      </c>
      <c r="X873" s="4">
        <v>0</v>
      </c>
      <c r="Y873" s="4">
        <v>0</v>
      </c>
      <c r="Z873" s="3">
        <v>0</v>
      </c>
      <c r="AA873" s="3">
        <v>0</v>
      </c>
    </row>
    <row r="874" spans="1:27" x14ac:dyDescent="0.2">
      <c r="A874">
        <f t="shared" si="26"/>
        <v>2</v>
      </c>
      <c r="B874">
        <f t="shared" si="27"/>
        <v>6</v>
      </c>
      <c r="C874" s="1">
        <v>46056</v>
      </c>
      <c r="D874" t="s">
        <v>25</v>
      </c>
      <c r="E874" t="s">
        <v>26</v>
      </c>
      <c r="F874" t="s">
        <v>39</v>
      </c>
      <c r="G874" t="s">
        <v>40</v>
      </c>
      <c r="H874" t="s">
        <v>29</v>
      </c>
      <c r="I874" t="s">
        <v>30</v>
      </c>
      <c r="J874" t="s">
        <v>393</v>
      </c>
      <c r="K874" t="s">
        <v>42</v>
      </c>
      <c r="L874" t="s">
        <v>593</v>
      </c>
      <c r="M874" s="4">
        <v>2</v>
      </c>
      <c r="N874" s="4">
        <v>1</v>
      </c>
      <c r="O874" s="2">
        <v>0.5</v>
      </c>
      <c r="P874" s="3">
        <v>0.69</v>
      </c>
      <c r="Q874" s="3">
        <v>0.69</v>
      </c>
      <c r="R874" s="3">
        <v>0</v>
      </c>
      <c r="S874" s="2"/>
      <c r="T874" s="5">
        <v>0</v>
      </c>
      <c r="U874" s="4">
        <v>0</v>
      </c>
      <c r="V874" s="4">
        <v>0</v>
      </c>
      <c r="W874" s="2">
        <v>0</v>
      </c>
      <c r="X874" s="4">
        <v>0</v>
      </c>
      <c r="Y874" s="4">
        <v>0</v>
      </c>
      <c r="Z874" s="3">
        <v>0</v>
      </c>
      <c r="AA874" s="3">
        <v>0</v>
      </c>
    </row>
    <row r="875" spans="1:27" x14ac:dyDescent="0.2">
      <c r="A875">
        <f t="shared" si="26"/>
        <v>2</v>
      </c>
      <c r="B875">
        <f t="shared" si="27"/>
        <v>7</v>
      </c>
      <c r="C875" s="1">
        <v>46063</v>
      </c>
      <c r="D875" t="s">
        <v>25</v>
      </c>
      <c r="E875" t="s">
        <v>26</v>
      </c>
      <c r="F875" t="s">
        <v>39</v>
      </c>
      <c r="G875" t="s">
        <v>40</v>
      </c>
      <c r="H875" t="s">
        <v>29</v>
      </c>
      <c r="I875" t="s">
        <v>30</v>
      </c>
      <c r="J875" t="s">
        <v>393</v>
      </c>
      <c r="K875" t="s">
        <v>42</v>
      </c>
      <c r="L875" t="s">
        <v>594</v>
      </c>
      <c r="M875" s="4">
        <v>2</v>
      </c>
      <c r="N875" s="4">
        <v>1</v>
      </c>
      <c r="O875" s="2">
        <v>0.5</v>
      </c>
      <c r="P875" s="3">
        <v>0.43</v>
      </c>
      <c r="Q875" s="3">
        <v>0.43</v>
      </c>
      <c r="R875" s="3">
        <v>0</v>
      </c>
      <c r="S875" s="2"/>
      <c r="T875" s="5">
        <v>0</v>
      </c>
      <c r="U875" s="4">
        <v>0</v>
      </c>
      <c r="V875" s="4">
        <v>0</v>
      </c>
      <c r="W875" s="2">
        <v>0</v>
      </c>
      <c r="X875" s="4">
        <v>0</v>
      </c>
      <c r="Y875" s="4">
        <v>0</v>
      </c>
      <c r="Z875" s="3">
        <v>0</v>
      </c>
      <c r="AA875" s="3">
        <v>0</v>
      </c>
    </row>
    <row r="876" spans="1:27" x14ac:dyDescent="0.2">
      <c r="A876">
        <f t="shared" si="26"/>
        <v>2</v>
      </c>
      <c r="B876">
        <f t="shared" si="27"/>
        <v>7</v>
      </c>
      <c r="C876" s="1">
        <v>46065</v>
      </c>
      <c r="D876" t="s">
        <v>25</v>
      </c>
      <c r="E876" t="s">
        <v>26</v>
      </c>
      <c r="F876" t="s">
        <v>49</v>
      </c>
      <c r="G876" t="s">
        <v>50</v>
      </c>
      <c r="H876" t="s">
        <v>29</v>
      </c>
      <c r="I876" t="s">
        <v>30</v>
      </c>
      <c r="J876" t="s">
        <v>95</v>
      </c>
      <c r="K876" t="s">
        <v>42</v>
      </c>
      <c r="L876" t="s">
        <v>595</v>
      </c>
      <c r="M876" s="4">
        <v>1</v>
      </c>
      <c r="N876" s="4">
        <v>1</v>
      </c>
      <c r="O876" s="2">
        <v>1</v>
      </c>
      <c r="P876" s="3">
        <v>0.35</v>
      </c>
      <c r="Q876" s="3">
        <v>0.35</v>
      </c>
      <c r="R876" s="3">
        <v>0</v>
      </c>
      <c r="S876" s="2"/>
      <c r="T876" s="5">
        <v>0</v>
      </c>
      <c r="U876" s="4">
        <v>0</v>
      </c>
      <c r="V876" s="4">
        <v>0</v>
      </c>
      <c r="W876" s="2">
        <v>0</v>
      </c>
      <c r="X876" s="4">
        <v>0</v>
      </c>
      <c r="Y876" s="4">
        <v>0</v>
      </c>
      <c r="Z876" s="3">
        <v>0</v>
      </c>
      <c r="AA876" s="3">
        <v>0</v>
      </c>
    </row>
    <row r="877" spans="1:27" x14ac:dyDescent="0.2">
      <c r="A877">
        <f t="shared" si="26"/>
        <v>2</v>
      </c>
      <c r="B877">
        <f t="shared" si="27"/>
        <v>8</v>
      </c>
      <c r="C877" s="1">
        <v>46071</v>
      </c>
      <c r="D877" t="s">
        <v>25</v>
      </c>
      <c r="E877" t="s">
        <v>26</v>
      </c>
      <c r="F877" t="s">
        <v>27</v>
      </c>
      <c r="G877" t="s">
        <v>124</v>
      </c>
      <c r="H877" t="s">
        <v>29</v>
      </c>
      <c r="I877" t="s">
        <v>30</v>
      </c>
      <c r="J877" t="s">
        <v>154</v>
      </c>
      <c r="K877" t="s">
        <v>87</v>
      </c>
      <c r="L877" t="s">
        <v>596</v>
      </c>
      <c r="M877" s="4">
        <v>1</v>
      </c>
      <c r="N877" s="4">
        <v>1</v>
      </c>
      <c r="O877" s="2">
        <v>1</v>
      </c>
      <c r="P877" s="3">
        <v>0.2</v>
      </c>
      <c r="Q877" s="3">
        <v>0.2</v>
      </c>
      <c r="R877" s="3">
        <v>0</v>
      </c>
      <c r="S877" s="2"/>
      <c r="T877" s="5">
        <v>0</v>
      </c>
      <c r="U877" s="4">
        <v>0</v>
      </c>
      <c r="V877" s="4">
        <v>0</v>
      </c>
      <c r="W877" s="2">
        <v>0</v>
      </c>
      <c r="X877" s="4">
        <v>0</v>
      </c>
      <c r="Y877" s="4">
        <v>0</v>
      </c>
      <c r="Z877" s="3">
        <v>0</v>
      </c>
      <c r="AA877" s="3">
        <v>0</v>
      </c>
    </row>
    <row r="878" spans="1:27" x14ac:dyDescent="0.2">
      <c r="A878">
        <f t="shared" si="26"/>
        <v>2</v>
      </c>
      <c r="B878">
        <f t="shared" si="27"/>
        <v>6</v>
      </c>
      <c r="C878" s="1">
        <v>46058</v>
      </c>
      <c r="D878" t="s">
        <v>25</v>
      </c>
      <c r="E878" t="s">
        <v>26</v>
      </c>
      <c r="F878" t="s">
        <v>27</v>
      </c>
      <c r="G878" t="s">
        <v>28</v>
      </c>
      <c r="H878" t="s">
        <v>29</v>
      </c>
      <c r="I878" t="s">
        <v>30</v>
      </c>
      <c r="J878" t="s">
        <v>101</v>
      </c>
      <c r="K878" t="s">
        <v>32</v>
      </c>
      <c r="L878" t="s">
        <v>597</v>
      </c>
      <c r="M878" s="4">
        <v>1</v>
      </c>
      <c r="N878" s="4">
        <v>1</v>
      </c>
      <c r="O878" s="2">
        <v>1</v>
      </c>
      <c r="P878" s="3">
        <v>0.21</v>
      </c>
      <c r="Q878" s="3">
        <v>0.21</v>
      </c>
      <c r="R878" s="3">
        <v>0</v>
      </c>
      <c r="S878" s="2"/>
      <c r="T878" s="5">
        <v>0</v>
      </c>
      <c r="U878" s="4">
        <v>0</v>
      </c>
      <c r="V878" s="4">
        <v>0</v>
      </c>
      <c r="W878" s="2">
        <v>0</v>
      </c>
      <c r="X878" s="4">
        <v>0</v>
      </c>
      <c r="Y878" s="4">
        <v>0</v>
      </c>
      <c r="Z878" s="3">
        <v>0</v>
      </c>
      <c r="AA878" s="3">
        <v>0</v>
      </c>
    </row>
    <row r="879" spans="1:27" x14ac:dyDescent="0.2">
      <c r="A879">
        <f t="shared" si="26"/>
        <v>2</v>
      </c>
      <c r="B879">
        <f t="shared" si="27"/>
        <v>6</v>
      </c>
      <c r="C879" s="1">
        <v>46055</v>
      </c>
      <c r="D879" t="s">
        <v>25</v>
      </c>
      <c r="E879" t="s">
        <v>26</v>
      </c>
      <c r="F879" t="s">
        <v>49</v>
      </c>
      <c r="G879" t="s">
        <v>50</v>
      </c>
      <c r="H879" t="s">
        <v>29</v>
      </c>
      <c r="I879" t="s">
        <v>30</v>
      </c>
      <c r="J879" t="s">
        <v>95</v>
      </c>
      <c r="K879" t="s">
        <v>42</v>
      </c>
      <c r="L879" t="s">
        <v>598</v>
      </c>
      <c r="M879" s="4">
        <v>1</v>
      </c>
      <c r="N879" s="4">
        <v>1</v>
      </c>
      <c r="O879" s="2">
        <v>1</v>
      </c>
      <c r="P879" s="3">
        <v>0.47</v>
      </c>
      <c r="Q879" s="3">
        <v>0.47</v>
      </c>
      <c r="R879" s="3">
        <v>0</v>
      </c>
      <c r="S879" s="2"/>
      <c r="T879" s="5">
        <v>0</v>
      </c>
      <c r="U879" s="4">
        <v>0</v>
      </c>
      <c r="V879" s="4">
        <v>0</v>
      </c>
      <c r="W879" s="2">
        <v>0</v>
      </c>
      <c r="X879" s="4">
        <v>0</v>
      </c>
      <c r="Y879" s="4">
        <v>0</v>
      </c>
      <c r="Z879" s="3">
        <v>0</v>
      </c>
      <c r="AA879" s="3">
        <v>0</v>
      </c>
    </row>
    <row r="880" spans="1:27" x14ac:dyDescent="0.2">
      <c r="A880">
        <f t="shared" si="26"/>
        <v>2</v>
      </c>
      <c r="B880">
        <f t="shared" si="27"/>
        <v>7</v>
      </c>
      <c r="C880" s="1">
        <v>46061</v>
      </c>
      <c r="D880" t="s">
        <v>25</v>
      </c>
      <c r="E880" t="s">
        <v>26</v>
      </c>
      <c r="F880" t="s">
        <v>34</v>
      </c>
      <c r="G880" t="s">
        <v>28</v>
      </c>
      <c r="H880" t="s">
        <v>29</v>
      </c>
      <c r="I880" t="s">
        <v>30</v>
      </c>
      <c r="J880" t="s">
        <v>37</v>
      </c>
      <c r="K880" t="s">
        <v>32</v>
      </c>
      <c r="L880" t="s">
        <v>599</v>
      </c>
      <c r="M880" s="4">
        <v>3</v>
      </c>
      <c r="N880" s="4">
        <v>1</v>
      </c>
      <c r="O880" s="2">
        <v>0.33333333333333331</v>
      </c>
      <c r="P880" s="3">
        <v>1.2</v>
      </c>
      <c r="Q880" s="3">
        <v>1.2</v>
      </c>
      <c r="R880" s="3">
        <v>0</v>
      </c>
      <c r="S880" s="2"/>
      <c r="T880" s="5">
        <v>0</v>
      </c>
      <c r="U880" s="4">
        <v>0</v>
      </c>
      <c r="V880" s="4">
        <v>0</v>
      </c>
      <c r="W880" s="2">
        <v>0</v>
      </c>
      <c r="X880" s="4">
        <v>0</v>
      </c>
      <c r="Y880" s="4">
        <v>0</v>
      </c>
      <c r="Z880" s="3">
        <v>0</v>
      </c>
      <c r="AA880" s="3">
        <v>0</v>
      </c>
    </row>
    <row r="881" spans="1:27" x14ac:dyDescent="0.2">
      <c r="A881">
        <f t="shared" si="26"/>
        <v>2</v>
      </c>
      <c r="B881">
        <f t="shared" si="27"/>
        <v>9</v>
      </c>
      <c r="C881" s="1">
        <v>46077</v>
      </c>
      <c r="D881" t="s">
        <v>25</v>
      </c>
      <c r="E881" t="s">
        <v>26</v>
      </c>
      <c r="F881" t="s">
        <v>49</v>
      </c>
      <c r="G881" t="s">
        <v>50</v>
      </c>
      <c r="H881" t="s">
        <v>29</v>
      </c>
      <c r="I881" t="s">
        <v>30</v>
      </c>
      <c r="J881" t="s">
        <v>95</v>
      </c>
      <c r="K881" t="s">
        <v>42</v>
      </c>
      <c r="L881" t="s">
        <v>600</v>
      </c>
      <c r="M881" s="4">
        <v>1</v>
      </c>
      <c r="N881" s="4">
        <v>1</v>
      </c>
      <c r="O881" s="2">
        <v>1</v>
      </c>
      <c r="P881" s="3">
        <v>0.32</v>
      </c>
      <c r="Q881" s="3">
        <v>0.32</v>
      </c>
      <c r="R881" s="3">
        <v>0</v>
      </c>
      <c r="S881" s="2"/>
      <c r="T881" s="5">
        <v>0</v>
      </c>
      <c r="U881" s="4">
        <v>0</v>
      </c>
      <c r="V881" s="4">
        <v>0</v>
      </c>
      <c r="W881" s="2">
        <v>0</v>
      </c>
      <c r="X881" s="4">
        <v>0</v>
      </c>
      <c r="Y881" s="4">
        <v>0</v>
      </c>
      <c r="Z881" s="3">
        <v>0</v>
      </c>
      <c r="AA881" s="3">
        <v>0</v>
      </c>
    </row>
    <row r="882" spans="1:27" x14ac:dyDescent="0.2">
      <c r="A882">
        <f t="shared" si="26"/>
        <v>2</v>
      </c>
      <c r="B882">
        <f t="shared" si="27"/>
        <v>9</v>
      </c>
      <c r="C882" s="1">
        <v>46075</v>
      </c>
      <c r="D882" t="s">
        <v>25</v>
      </c>
      <c r="E882" t="s">
        <v>26</v>
      </c>
      <c r="F882" t="s">
        <v>61</v>
      </c>
      <c r="G882" t="s">
        <v>62</v>
      </c>
      <c r="H882" t="s">
        <v>29</v>
      </c>
      <c r="I882" t="s">
        <v>30</v>
      </c>
      <c r="J882" t="s">
        <v>47</v>
      </c>
      <c r="K882" t="s">
        <v>42</v>
      </c>
      <c r="L882" t="s">
        <v>601</v>
      </c>
      <c r="M882" s="4">
        <v>2</v>
      </c>
      <c r="N882" s="4">
        <v>1</v>
      </c>
      <c r="O882" s="2">
        <v>0.5</v>
      </c>
      <c r="P882" s="3">
        <v>1.23</v>
      </c>
      <c r="Q882" s="3">
        <v>1.23</v>
      </c>
      <c r="R882" s="3">
        <v>0</v>
      </c>
      <c r="S882" s="2"/>
      <c r="T882" s="5">
        <v>0</v>
      </c>
      <c r="U882" s="4">
        <v>0</v>
      </c>
      <c r="V882" s="4">
        <v>0</v>
      </c>
      <c r="W882" s="2">
        <v>0</v>
      </c>
      <c r="X882" s="4">
        <v>0</v>
      </c>
      <c r="Y882" s="4">
        <v>0</v>
      </c>
      <c r="Z882" s="3">
        <v>0</v>
      </c>
      <c r="AA882" s="3">
        <v>0</v>
      </c>
    </row>
    <row r="883" spans="1:27" x14ac:dyDescent="0.2">
      <c r="A883">
        <f t="shared" si="26"/>
        <v>2</v>
      </c>
      <c r="B883">
        <f t="shared" si="27"/>
        <v>9</v>
      </c>
      <c r="C883" s="1">
        <v>46076</v>
      </c>
      <c r="D883" t="s">
        <v>25</v>
      </c>
      <c r="E883" t="s">
        <v>26</v>
      </c>
      <c r="F883" t="s">
        <v>112</v>
      </c>
      <c r="G883" t="s">
        <v>62</v>
      </c>
      <c r="H883" t="s">
        <v>29</v>
      </c>
      <c r="I883" t="s">
        <v>30</v>
      </c>
      <c r="J883" t="s">
        <v>173</v>
      </c>
      <c r="K883" t="s">
        <v>32</v>
      </c>
      <c r="L883" t="s">
        <v>602</v>
      </c>
      <c r="M883" s="4">
        <v>2</v>
      </c>
      <c r="N883" s="4">
        <v>1</v>
      </c>
      <c r="O883" s="2">
        <v>0.5</v>
      </c>
      <c r="P883" s="3">
        <v>0.68</v>
      </c>
      <c r="Q883" s="3">
        <v>0.68</v>
      </c>
      <c r="R883" s="3">
        <v>0</v>
      </c>
      <c r="S883" s="2"/>
      <c r="T883" s="5">
        <v>0</v>
      </c>
      <c r="U883" s="4">
        <v>0</v>
      </c>
      <c r="V883" s="4">
        <v>0</v>
      </c>
      <c r="W883" s="2">
        <v>0</v>
      </c>
      <c r="X883" s="4">
        <v>0</v>
      </c>
      <c r="Y883" s="4">
        <v>0</v>
      </c>
      <c r="Z883" s="3">
        <v>0</v>
      </c>
      <c r="AA883" s="3">
        <v>0</v>
      </c>
    </row>
    <row r="884" spans="1:27" x14ac:dyDescent="0.2">
      <c r="A884">
        <f t="shared" si="26"/>
        <v>2</v>
      </c>
      <c r="B884">
        <f t="shared" si="27"/>
        <v>9</v>
      </c>
      <c r="C884" s="1">
        <v>46077</v>
      </c>
      <c r="D884" t="s">
        <v>25</v>
      </c>
      <c r="E884" t="s">
        <v>26</v>
      </c>
      <c r="F884" t="s">
        <v>49</v>
      </c>
      <c r="G884" t="s">
        <v>50</v>
      </c>
      <c r="H884" t="s">
        <v>29</v>
      </c>
      <c r="I884" t="s">
        <v>30</v>
      </c>
      <c r="J884" t="s">
        <v>95</v>
      </c>
      <c r="K884" t="s">
        <v>42</v>
      </c>
      <c r="L884" t="s">
        <v>603</v>
      </c>
      <c r="M884" s="4">
        <v>1</v>
      </c>
      <c r="N884" s="4">
        <v>1</v>
      </c>
      <c r="O884" s="2">
        <v>1</v>
      </c>
      <c r="P884" s="3">
        <v>0.32</v>
      </c>
      <c r="Q884" s="3">
        <v>0.32</v>
      </c>
      <c r="R884" s="3">
        <v>0</v>
      </c>
      <c r="S884" s="2"/>
      <c r="T884" s="5">
        <v>0</v>
      </c>
      <c r="U884" s="4">
        <v>0</v>
      </c>
      <c r="V884" s="4">
        <v>0</v>
      </c>
      <c r="W884" s="2">
        <v>0</v>
      </c>
      <c r="X884" s="4">
        <v>0</v>
      </c>
      <c r="Y884" s="4">
        <v>0</v>
      </c>
      <c r="Z884" s="3">
        <v>0</v>
      </c>
      <c r="AA884" s="3">
        <v>0</v>
      </c>
    </row>
    <row r="885" spans="1:27" x14ac:dyDescent="0.2">
      <c r="A885">
        <f t="shared" si="26"/>
        <v>2</v>
      </c>
      <c r="B885">
        <f t="shared" si="27"/>
        <v>9</v>
      </c>
      <c r="C885" s="1">
        <v>46078</v>
      </c>
      <c r="D885" t="s">
        <v>25</v>
      </c>
      <c r="E885" t="s">
        <v>26</v>
      </c>
      <c r="F885" t="s">
        <v>39</v>
      </c>
      <c r="G885" t="s">
        <v>40</v>
      </c>
      <c r="H885" t="s">
        <v>29</v>
      </c>
      <c r="I885" t="s">
        <v>30</v>
      </c>
      <c r="J885" t="s">
        <v>70</v>
      </c>
      <c r="K885" t="s">
        <v>42</v>
      </c>
      <c r="L885" t="s">
        <v>604</v>
      </c>
      <c r="M885" s="4">
        <v>1</v>
      </c>
      <c r="N885" s="4">
        <v>1</v>
      </c>
      <c r="O885" s="2">
        <v>1</v>
      </c>
      <c r="P885" s="3">
        <v>0.57999999999999996</v>
      </c>
      <c r="Q885" s="3">
        <v>0.57999999999999996</v>
      </c>
      <c r="R885" s="3">
        <v>0</v>
      </c>
      <c r="S885" s="2"/>
      <c r="T885" s="5">
        <v>0</v>
      </c>
      <c r="U885" s="4">
        <v>0</v>
      </c>
      <c r="V885" s="4">
        <v>0</v>
      </c>
      <c r="W885" s="2">
        <v>0</v>
      </c>
      <c r="X885" s="4">
        <v>0</v>
      </c>
      <c r="Y885" s="4">
        <v>0</v>
      </c>
      <c r="Z885" s="3">
        <v>0</v>
      </c>
      <c r="AA885" s="3">
        <v>0</v>
      </c>
    </row>
    <row r="886" spans="1:27" x14ac:dyDescent="0.2">
      <c r="A886">
        <f t="shared" si="26"/>
        <v>2</v>
      </c>
      <c r="B886">
        <f t="shared" si="27"/>
        <v>9</v>
      </c>
      <c r="C886" s="1">
        <v>46079</v>
      </c>
      <c r="D886" t="s">
        <v>25</v>
      </c>
      <c r="E886" t="s">
        <v>26</v>
      </c>
      <c r="F886" t="s">
        <v>45</v>
      </c>
      <c r="G886" t="s">
        <v>46</v>
      </c>
      <c r="H886" t="s">
        <v>29</v>
      </c>
      <c r="I886" t="s">
        <v>30</v>
      </c>
      <c r="J886" t="s">
        <v>95</v>
      </c>
      <c r="K886" t="s">
        <v>42</v>
      </c>
      <c r="L886" t="s">
        <v>605</v>
      </c>
      <c r="M886" s="4">
        <v>1</v>
      </c>
      <c r="N886" s="4">
        <v>1</v>
      </c>
      <c r="O886" s="2">
        <v>1</v>
      </c>
      <c r="P886" s="3">
        <v>0.36</v>
      </c>
      <c r="Q886" s="3">
        <v>0.36</v>
      </c>
      <c r="R886" s="3">
        <v>0</v>
      </c>
      <c r="S886" s="2"/>
      <c r="T886" s="5">
        <v>0</v>
      </c>
      <c r="U886" s="4">
        <v>0</v>
      </c>
      <c r="V886" s="4">
        <v>0</v>
      </c>
      <c r="W886" s="2">
        <v>0</v>
      </c>
      <c r="X886" s="4">
        <v>0</v>
      </c>
      <c r="Y886" s="4">
        <v>0</v>
      </c>
      <c r="Z886" s="3">
        <v>0</v>
      </c>
      <c r="AA886" s="3">
        <v>0</v>
      </c>
    </row>
    <row r="887" spans="1:27" x14ac:dyDescent="0.2">
      <c r="A887">
        <f t="shared" si="26"/>
        <v>2</v>
      </c>
      <c r="B887">
        <f t="shared" si="27"/>
        <v>9</v>
      </c>
      <c r="C887" s="1">
        <v>46080</v>
      </c>
      <c r="D887" t="s">
        <v>25</v>
      </c>
      <c r="E887" t="s">
        <v>26</v>
      </c>
      <c r="F887" t="s">
        <v>49</v>
      </c>
      <c r="G887" t="s">
        <v>50</v>
      </c>
      <c r="H887" t="s">
        <v>29</v>
      </c>
      <c r="I887" t="s">
        <v>30</v>
      </c>
      <c r="J887" t="s">
        <v>51</v>
      </c>
      <c r="K887" t="s">
        <v>42</v>
      </c>
      <c r="L887" t="s">
        <v>606</v>
      </c>
      <c r="M887" s="4">
        <v>1</v>
      </c>
      <c r="N887" s="4">
        <v>1</v>
      </c>
      <c r="O887" s="2">
        <v>1</v>
      </c>
      <c r="P887" s="3">
        <v>0.53</v>
      </c>
      <c r="Q887" s="3">
        <v>0.53</v>
      </c>
      <c r="R887" s="3">
        <v>0</v>
      </c>
      <c r="S887" s="2"/>
      <c r="T887" s="5">
        <v>0</v>
      </c>
      <c r="U887" s="4">
        <v>0</v>
      </c>
      <c r="V887" s="4">
        <v>0</v>
      </c>
      <c r="W887" s="2">
        <v>0</v>
      </c>
      <c r="X887" s="4">
        <v>0</v>
      </c>
      <c r="Y887" s="4">
        <v>0</v>
      </c>
      <c r="Z887" s="3">
        <v>0</v>
      </c>
      <c r="AA887" s="3">
        <v>0</v>
      </c>
    </row>
    <row r="888" spans="1:27" x14ac:dyDescent="0.2">
      <c r="A888">
        <f t="shared" si="26"/>
        <v>2</v>
      </c>
      <c r="B888">
        <f t="shared" si="27"/>
        <v>9</v>
      </c>
      <c r="C888" s="1">
        <v>46077</v>
      </c>
      <c r="D888" t="s">
        <v>25</v>
      </c>
      <c r="E888" t="s">
        <v>26</v>
      </c>
      <c r="F888" t="s">
        <v>61</v>
      </c>
      <c r="G888" t="s">
        <v>62</v>
      </c>
      <c r="H888" t="s">
        <v>29</v>
      </c>
      <c r="I888" t="s">
        <v>30</v>
      </c>
      <c r="J888" t="s">
        <v>51</v>
      </c>
      <c r="K888" t="s">
        <v>42</v>
      </c>
      <c r="L888" t="s">
        <v>407</v>
      </c>
      <c r="M888" s="4">
        <v>21</v>
      </c>
      <c r="N888" s="4">
        <v>1</v>
      </c>
      <c r="O888" s="2">
        <v>4.7619047619047623E-2</v>
      </c>
      <c r="P888" s="3">
        <v>1.06</v>
      </c>
      <c r="Q888" s="3">
        <v>1.06</v>
      </c>
      <c r="R888" s="3">
        <v>0</v>
      </c>
      <c r="S888" s="2"/>
      <c r="T888" s="5">
        <v>0</v>
      </c>
      <c r="U888" s="4">
        <v>0</v>
      </c>
      <c r="V888" s="4">
        <v>0</v>
      </c>
      <c r="W888" s="2">
        <v>0</v>
      </c>
      <c r="X888" s="4">
        <v>0</v>
      </c>
      <c r="Y888" s="4">
        <v>0</v>
      </c>
      <c r="Z888" s="3">
        <v>0</v>
      </c>
      <c r="AA888" s="3">
        <v>0</v>
      </c>
    </row>
    <row r="889" spans="1:27" x14ac:dyDescent="0.2">
      <c r="A889">
        <f t="shared" si="26"/>
        <v>2</v>
      </c>
      <c r="B889">
        <f t="shared" si="27"/>
        <v>9</v>
      </c>
      <c r="C889" s="1">
        <v>46081</v>
      </c>
      <c r="D889" t="s">
        <v>25</v>
      </c>
      <c r="E889" t="s">
        <v>26</v>
      </c>
      <c r="F889" t="s">
        <v>49</v>
      </c>
      <c r="G889" t="s">
        <v>50</v>
      </c>
      <c r="H889" t="s">
        <v>29</v>
      </c>
      <c r="I889" t="s">
        <v>30</v>
      </c>
      <c r="J889" t="s">
        <v>51</v>
      </c>
      <c r="K889" t="s">
        <v>42</v>
      </c>
      <c r="L889" t="s">
        <v>68</v>
      </c>
      <c r="M889" s="4">
        <v>12</v>
      </c>
      <c r="N889" s="4">
        <v>1</v>
      </c>
      <c r="O889" s="2">
        <v>8.3333333333333315E-2</v>
      </c>
      <c r="P889" s="3">
        <v>0.6</v>
      </c>
      <c r="Q889" s="3">
        <v>0.6</v>
      </c>
      <c r="R889" s="3">
        <v>0</v>
      </c>
      <c r="S889" s="2"/>
      <c r="T889" s="5">
        <v>0</v>
      </c>
      <c r="U889" s="4">
        <v>0</v>
      </c>
      <c r="V889" s="4">
        <v>0</v>
      </c>
      <c r="W889" s="2">
        <v>0</v>
      </c>
      <c r="X889" s="4">
        <v>0</v>
      </c>
      <c r="Y889" s="4">
        <v>0</v>
      </c>
      <c r="Z889" s="3">
        <v>0</v>
      </c>
      <c r="AA889" s="3">
        <v>0</v>
      </c>
    </row>
    <row r="890" spans="1:27" x14ac:dyDescent="0.2">
      <c r="A890">
        <f t="shared" si="26"/>
        <v>2</v>
      </c>
      <c r="B890">
        <f t="shared" si="27"/>
        <v>9</v>
      </c>
      <c r="C890" s="1">
        <v>46075</v>
      </c>
      <c r="D890" t="s">
        <v>25</v>
      </c>
      <c r="E890" t="s">
        <v>26</v>
      </c>
      <c r="F890" t="s">
        <v>49</v>
      </c>
      <c r="G890" t="s">
        <v>50</v>
      </c>
      <c r="H890" t="s">
        <v>29</v>
      </c>
      <c r="I890" t="s">
        <v>30</v>
      </c>
      <c r="J890" t="s">
        <v>51</v>
      </c>
      <c r="K890" t="s">
        <v>42</v>
      </c>
      <c r="L890" t="s">
        <v>607</v>
      </c>
      <c r="M890" s="4">
        <v>1</v>
      </c>
      <c r="N890" s="4">
        <v>1</v>
      </c>
      <c r="O890" s="2">
        <v>1</v>
      </c>
      <c r="P890" s="3">
        <v>0.46</v>
      </c>
      <c r="Q890" s="3">
        <v>0.46</v>
      </c>
      <c r="R890" s="3">
        <v>0</v>
      </c>
      <c r="S890" s="2"/>
      <c r="T890" s="5">
        <v>0</v>
      </c>
      <c r="U890" s="4">
        <v>0</v>
      </c>
      <c r="V890" s="4">
        <v>0</v>
      </c>
      <c r="W890" s="2">
        <v>0</v>
      </c>
      <c r="X890" s="4">
        <v>0</v>
      </c>
      <c r="Y890" s="4">
        <v>0</v>
      </c>
      <c r="Z890" s="3">
        <v>0</v>
      </c>
      <c r="AA890" s="3">
        <v>0</v>
      </c>
    </row>
    <row r="891" spans="1:27" x14ac:dyDescent="0.2">
      <c r="A891">
        <f t="shared" si="26"/>
        <v>2</v>
      </c>
      <c r="B891">
        <f t="shared" si="27"/>
        <v>9</v>
      </c>
      <c r="C891" s="1">
        <v>46075</v>
      </c>
      <c r="D891" t="s">
        <v>25</v>
      </c>
      <c r="E891" t="s">
        <v>26</v>
      </c>
      <c r="F891" t="s">
        <v>39</v>
      </c>
      <c r="G891" t="s">
        <v>40</v>
      </c>
      <c r="H891" t="s">
        <v>29</v>
      </c>
      <c r="I891" t="s">
        <v>30</v>
      </c>
      <c r="J891" t="s">
        <v>70</v>
      </c>
      <c r="K891" t="s">
        <v>42</v>
      </c>
      <c r="L891" t="s">
        <v>71</v>
      </c>
      <c r="M891" s="4">
        <v>173</v>
      </c>
      <c r="N891" s="4">
        <v>3</v>
      </c>
      <c r="O891" s="2">
        <v>1.7341040462427744E-2</v>
      </c>
      <c r="P891" s="3">
        <v>0.52333333333333332</v>
      </c>
      <c r="Q891" s="3">
        <v>1.57</v>
      </c>
      <c r="R891" s="3">
        <v>0</v>
      </c>
      <c r="S891" s="2"/>
      <c r="T891" s="5">
        <v>0</v>
      </c>
      <c r="U891" s="4">
        <v>0</v>
      </c>
      <c r="V891" s="4">
        <v>0</v>
      </c>
      <c r="W891" s="2">
        <v>0</v>
      </c>
      <c r="X891" s="4">
        <v>0</v>
      </c>
      <c r="Y891" s="4">
        <v>0</v>
      </c>
      <c r="Z891" s="3">
        <v>0</v>
      </c>
      <c r="AA891" s="3">
        <v>0</v>
      </c>
    </row>
    <row r="892" spans="1:27" x14ac:dyDescent="0.2">
      <c r="A892">
        <f t="shared" si="26"/>
        <v>2</v>
      </c>
      <c r="B892">
        <f t="shared" si="27"/>
        <v>9</v>
      </c>
      <c r="C892" s="1">
        <v>46077</v>
      </c>
      <c r="D892" t="s">
        <v>25</v>
      </c>
      <c r="E892" t="s">
        <v>26</v>
      </c>
      <c r="F892" t="s">
        <v>39</v>
      </c>
      <c r="G892" t="s">
        <v>40</v>
      </c>
      <c r="H892" t="s">
        <v>29</v>
      </c>
      <c r="I892" t="s">
        <v>30</v>
      </c>
      <c r="J892" t="s">
        <v>70</v>
      </c>
      <c r="K892" t="s">
        <v>42</v>
      </c>
      <c r="L892" t="s">
        <v>71</v>
      </c>
      <c r="M892" s="4">
        <v>406</v>
      </c>
      <c r="N892" s="4">
        <v>3</v>
      </c>
      <c r="O892" s="2">
        <v>7.3891625615763552E-3</v>
      </c>
      <c r="P892" s="3">
        <v>0.54</v>
      </c>
      <c r="Q892" s="3">
        <v>1.62</v>
      </c>
      <c r="R892" s="3">
        <v>0</v>
      </c>
      <c r="S892" s="2"/>
      <c r="T892" s="5">
        <v>0</v>
      </c>
      <c r="U892" s="4">
        <v>0</v>
      </c>
      <c r="V892" s="4">
        <v>0</v>
      </c>
      <c r="W892" s="2">
        <v>0</v>
      </c>
      <c r="X892" s="4">
        <v>0</v>
      </c>
      <c r="Y892" s="4">
        <v>0</v>
      </c>
      <c r="Z892" s="3">
        <v>0</v>
      </c>
      <c r="AA892" s="3">
        <v>0</v>
      </c>
    </row>
    <row r="893" spans="1:27" x14ac:dyDescent="0.2">
      <c r="A893">
        <f t="shared" si="26"/>
        <v>2</v>
      </c>
      <c r="B893">
        <f t="shared" si="27"/>
        <v>9</v>
      </c>
      <c r="C893" s="1">
        <v>46078</v>
      </c>
      <c r="D893" t="s">
        <v>25</v>
      </c>
      <c r="E893" t="s">
        <v>26</v>
      </c>
      <c r="F893" t="s">
        <v>39</v>
      </c>
      <c r="G893" t="s">
        <v>40</v>
      </c>
      <c r="H893" t="s">
        <v>29</v>
      </c>
      <c r="I893" t="s">
        <v>30</v>
      </c>
      <c r="J893" t="s">
        <v>70</v>
      </c>
      <c r="K893" t="s">
        <v>42</v>
      </c>
      <c r="L893" t="s">
        <v>71</v>
      </c>
      <c r="M893" s="4">
        <v>37</v>
      </c>
      <c r="N893" s="4">
        <v>1</v>
      </c>
      <c r="O893" s="2">
        <v>2.7027027027027025E-2</v>
      </c>
      <c r="P893" s="3">
        <v>0.56000000000000005</v>
      </c>
      <c r="Q893" s="3">
        <v>0.56000000000000005</v>
      </c>
      <c r="R893" s="3">
        <v>0</v>
      </c>
      <c r="S893" s="2"/>
      <c r="T893" s="5">
        <v>0</v>
      </c>
      <c r="U893" s="4">
        <v>0</v>
      </c>
      <c r="V893" s="4">
        <v>0</v>
      </c>
      <c r="W893" s="2">
        <v>0</v>
      </c>
      <c r="X893" s="4">
        <v>0</v>
      </c>
      <c r="Y893" s="4">
        <v>0</v>
      </c>
      <c r="Z893" s="3">
        <v>0</v>
      </c>
      <c r="AA893" s="3">
        <v>0</v>
      </c>
    </row>
    <row r="894" spans="1:27" x14ac:dyDescent="0.2">
      <c r="A894">
        <f t="shared" si="26"/>
        <v>2</v>
      </c>
      <c r="B894">
        <f t="shared" si="27"/>
        <v>9</v>
      </c>
      <c r="C894" s="1">
        <v>46081</v>
      </c>
      <c r="D894" t="s">
        <v>25</v>
      </c>
      <c r="E894" t="s">
        <v>26</v>
      </c>
      <c r="F894" t="s">
        <v>39</v>
      </c>
      <c r="G894" t="s">
        <v>40</v>
      </c>
      <c r="H894" t="s">
        <v>29</v>
      </c>
      <c r="I894" t="s">
        <v>30</v>
      </c>
      <c r="J894" t="s">
        <v>70</v>
      </c>
      <c r="K894" t="s">
        <v>42</v>
      </c>
      <c r="L894" t="s">
        <v>71</v>
      </c>
      <c r="M894" s="4">
        <v>323</v>
      </c>
      <c r="N894" s="4">
        <v>4</v>
      </c>
      <c r="O894" s="2">
        <v>1.238390092879257E-2</v>
      </c>
      <c r="P894" s="3">
        <v>0.58750000000000002</v>
      </c>
      <c r="Q894" s="3">
        <v>2.35</v>
      </c>
      <c r="R894" s="3">
        <v>0</v>
      </c>
      <c r="S894" s="2"/>
      <c r="T894" s="5">
        <v>0</v>
      </c>
      <c r="U894" s="4">
        <v>0</v>
      </c>
      <c r="V894" s="4">
        <v>0</v>
      </c>
      <c r="W894" s="2">
        <v>0</v>
      </c>
      <c r="X894" s="4">
        <v>0</v>
      </c>
      <c r="Y894" s="4">
        <v>0</v>
      </c>
      <c r="Z894" s="3">
        <v>0</v>
      </c>
      <c r="AA894" s="3">
        <v>0</v>
      </c>
    </row>
    <row r="895" spans="1:27" x14ac:dyDescent="0.2">
      <c r="A895">
        <f t="shared" si="26"/>
        <v>2</v>
      </c>
      <c r="B895">
        <f t="shared" si="27"/>
        <v>9</v>
      </c>
      <c r="C895" s="1">
        <v>46080</v>
      </c>
      <c r="D895" t="s">
        <v>25</v>
      </c>
      <c r="E895" t="s">
        <v>26</v>
      </c>
      <c r="F895" t="s">
        <v>39</v>
      </c>
      <c r="G895" t="s">
        <v>40</v>
      </c>
      <c r="H895" t="s">
        <v>29</v>
      </c>
      <c r="I895" t="s">
        <v>30</v>
      </c>
      <c r="J895" t="s">
        <v>41</v>
      </c>
      <c r="K895" t="s">
        <v>42</v>
      </c>
      <c r="L895" t="s">
        <v>75</v>
      </c>
      <c r="M895" s="4">
        <v>99</v>
      </c>
      <c r="N895" s="4">
        <v>2</v>
      </c>
      <c r="O895" s="2">
        <v>2.0202020202020204E-2</v>
      </c>
      <c r="P895" s="3">
        <v>0.70499999999999996</v>
      </c>
      <c r="Q895" s="3">
        <v>1.41</v>
      </c>
      <c r="R895" s="3">
        <v>0</v>
      </c>
      <c r="S895" s="2"/>
      <c r="T895" s="5">
        <v>0</v>
      </c>
      <c r="U895" s="4">
        <v>0</v>
      </c>
      <c r="V895" s="4">
        <v>0</v>
      </c>
      <c r="W895" s="2">
        <v>0</v>
      </c>
      <c r="X895" s="4">
        <v>0</v>
      </c>
      <c r="Y895" s="4">
        <v>0</v>
      </c>
      <c r="Z895" s="3">
        <v>0</v>
      </c>
      <c r="AA895" s="3">
        <v>0</v>
      </c>
    </row>
    <row r="896" spans="1:27" x14ac:dyDescent="0.2">
      <c r="A896">
        <f t="shared" si="26"/>
        <v>2</v>
      </c>
      <c r="B896">
        <f t="shared" si="27"/>
        <v>9</v>
      </c>
      <c r="C896" s="1">
        <v>46078</v>
      </c>
      <c r="D896" t="s">
        <v>25</v>
      </c>
      <c r="E896" t="s">
        <v>26</v>
      </c>
      <c r="F896" t="s">
        <v>49</v>
      </c>
      <c r="G896" t="s">
        <v>50</v>
      </c>
      <c r="H896" t="s">
        <v>29</v>
      </c>
      <c r="I896" t="s">
        <v>30</v>
      </c>
      <c r="J896" t="s">
        <v>51</v>
      </c>
      <c r="K896" t="s">
        <v>42</v>
      </c>
      <c r="L896" t="s">
        <v>608</v>
      </c>
      <c r="M896" s="4">
        <v>1</v>
      </c>
      <c r="N896" s="4">
        <v>1</v>
      </c>
      <c r="O896" s="2">
        <v>1</v>
      </c>
      <c r="P896" s="3">
        <v>0.1</v>
      </c>
      <c r="Q896" s="3">
        <v>0.1</v>
      </c>
      <c r="R896" s="3">
        <v>0</v>
      </c>
      <c r="S896" s="2"/>
      <c r="T896" s="5">
        <v>0</v>
      </c>
      <c r="U896" s="4">
        <v>0</v>
      </c>
      <c r="V896" s="4">
        <v>0</v>
      </c>
      <c r="W896" s="2">
        <v>0</v>
      </c>
      <c r="X896" s="4">
        <v>0</v>
      </c>
      <c r="Y896" s="4">
        <v>0</v>
      </c>
      <c r="Z896" s="3">
        <v>0</v>
      </c>
      <c r="AA896" s="3">
        <v>0</v>
      </c>
    </row>
    <row r="897" spans="1:27" x14ac:dyDescent="0.2">
      <c r="A897">
        <f t="shared" si="26"/>
        <v>2</v>
      </c>
      <c r="B897">
        <f t="shared" si="27"/>
        <v>9</v>
      </c>
      <c r="C897" s="1">
        <v>46079</v>
      </c>
      <c r="D897" t="s">
        <v>25</v>
      </c>
      <c r="E897" t="s">
        <v>26</v>
      </c>
      <c r="F897" t="s">
        <v>39</v>
      </c>
      <c r="G897" t="s">
        <v>40</v>
      </c>
      <c r="H897" t="s">
        <v>29</v>
      </c>
      <c r="I897" t="s">
        <v>30</v>
      </c>
      <c r="J897" t="s">
        <v>78</v>
      </c>
      <c r="K897" t="s">
        <v>42</v>
      </c>
      <c r="L897" t="s">
        <v>79</v>
      </c>
      <c r="M897" s="4">
        <v>261</v>
      </c>
      <c r="N897" s="4">
        <v>5</v>
      </c>
      <c r="O897" s="2">
        <v>1.9157088122605363E-2</v>
      </c>
      <c r="P897" s="3">
        <v>0.45</v>
      </c>
      <c r="Q897" s="3">
        <v>2.25</v>
      </c>
      <c r="R897" s="3">
        <v>0</v>
      </c>
      <c r="S897" s="2"/>
      <c r="T897" s="5">
        <v>0</v>
      </c>
      <c r="U897" s="4">
        <v>0</v>
      </c>
      <c r="V897" s="4">
        <v>0</v>
      </c>
      <c r="W897" s="2">
        <v>0</v>
      </c>
      <c r="X897" s="4">
        <v>0</v>
      </c>
      <c r="Y897" s="4">
        <v>0</v>
      </c>
      <c r="Z897" s="3">
        <v>0</v>
      </c>
      <c r="AA897" s="3">
        <v>0</v>
      </c>
    </row>
    <row r="898" spans="1:27" x14ac:dyDescent="0.2">
      <c r="A898">
        <f t="shared" si="26"/>
        <v>2</v>
      </c>
      <c r="B898">
        <f t="shared" si="27"/>
        <v>9</v>
      </c>
      <c r="C898" s="1">
        <v>46080</v>
      </c>
      <c r="D898" t="s">
        <v>25</v>
      </c>
      <c r="E898" t="s">
        <v>26</v>
      </c>
      <c r="F898" t="s">
        <v>49</v>
      </c>
      <c r="G898" t="s">
        <v>50</v>
      </c>
      <c r="H898" t="s">
        <v>29</v>
      </c>
      <c r="I898" t="s">
        <v>30</v>
      </c>
      <c r="J898" t="s">
        <v>51</v>
      </c>
      <c r="K898" t="s">
        <v>42</v>
      </c>
      <c r="L898" t="s">
        <v>609</v>
      </c>
      <c r="M898" s="4">
        <v>1</v>
      </c>
      <c r="N898" s="4">
        <v>1</v>
      </c>
      <c r="O898" s="2">
        <v>1</v>
      </c>
      <c r="P898" s="3">
        <v>0.53</v>
      </c>
      <c r="Q898" s="3">
        <v>0.53</v>
      </c>
      <c r="R898" s="3">
        <v>0</v>
      </c>
      <c r="S898" s="2"/>
      <c r="T898" s="5">
        <v>0</v>
      </c>
      <c r="U898" s="4">
        <v>0</v>
      </c>
      <c r="V898" s="4">
        <v>0</v>
      </c>
      <c r="W898" s="2">
        <v>0</v>
      </c>
      <c r="X898" s="4">
        <v>0</v>
      </c>
      <c r="Y898" s="4">
        <v>0</v>
      </c>
      <c r="Z898" s="3">
        <v>0</v>
      </c>
      <c r="AA898" s="3">
        <v>0</v>
      </c>
    </row>
    <row r="899" spans="1:27" x14ac:dyDescent="0.2">
      <c r="A899">
        <f t="shared" ref="A899:A962" si="28">MONTH(C899)</f>
        <v>2</v>
      </c>
      <c r="B899">
        <f t="shared" ref="B899:B962" si="29">WEEKNUM(C899,1)</f>
        <v>9</v>
      </c>
      <c r="C899" s="1">
        <v>46080</v>
      </c>
      <c r="D899" t="s">
        <v>25</v>
      </c>
      <c r="E899" t="s">
        <v>26</v>
      </c>
      <c r="F899" t="s">
        <v>53</v>
      </c>
      <c r="G899" t="s">
        <v>54</v>
      </c>
      <c r="H899" t="s">
        <v>29</v>
      </c>
      <c r="I899" t="s">
        <v>30</v>
      </c>
      <c r="J899" t="s">
        <v>47</v>
      </c>
      <c r="K899" t="s">
        <v>42</v>
      </c>
      <c r="L899" t="s">
        <v>97</v>
      </c>
      <c r="M899" s="4">
        <v>7</v>
      </c>
      <c r="N899" s="4">
        <v>1</v>
      </c>
      <c r="O899" s="2">
        <v>0.14285714285714285</v>
      </c>
      <c r="P899" s="3">
        <v>0.93</v>
      </c>
      <c r="Q899" s="3">
        <v>0.93</v>
      </c>
      <c r="R899" s="3">
        <v>0</v>
      </c>
      <c r="S899" s="2"/>
      <c r="T899" s="5">
        <v>0</v>
      </c>
      <c r="U899" s="4">
        <v>0</v>
      </c>
      <c r="V899" s="4">
        <v>0</v>
      </c>
      <c r="W899" s="2">
        <v>0</v>
      </c>
      <c r="X899" s="4">
        <v>0</v>
      </c>
      <c r="Y899" s="4">
        <v>0</v>
      </c>
      <c r="Z899" s="3">
        <v>0</v>
      </c>
      <c r="AA899" s="3">
        <v>0</v>
      </c>
    </row>
    <row r="900" spans="1:27" x14ac:dyDescent="0.2">
      <c r="A900">
        <f t="shared" si="28"/>
        <v>2</v>
      </c>
      <c r="B900">
        <f t="shared" si="29"/>
        <v>9</v>
      </c>
      <c r="C900" s="1">
        <v>46075</v>
      </c>
      <c r="D900" t="s">
        <v>25</v>
      </c>
      <c r="E900" t="s">
        <v>26</v>
      </c>
      <c r="F900" t="s">
        <v>53</v>
      </c>
      <c r="G900" t="s">
        <v>54</v>
      </c>
      <c r="H900" t="s">
        <v>29</v>
      </c>
      <c r="I900" t="s">
        <v>30</v>
      </c>
      <c r="J900" t="s">
        <v>47</v>
      </c>
      <c r="K900" t="s">
        <v>42</v>
      </c>
      <c r="L900" t="s">
        <v>610</v>
      </c>
      <c r="M900" s="4">
        <v>2</v>
      </c>
      <c r="N900" s="4">
        <v>1</v>
      </c>
      <c r="O900" s="2">
        <v>0.5</v>
      </c>
      <c r="P900" s="3">
        <v>0.97</v>
      </c>
      <c r="Q900" s="3">
        <v>0.97</v>
      </c>
      <c r="R900" s="3">
        <v>0</v>
      </c>
      <c r="S900" s="2"/>
      <c r="T900" s="5">
        <v>0</v>
      </c>
      <c r="U900" s="4">
        <v>0</v>
      </c>
      <c r="V900" s="4">
        <v>0</v>
      </c>
      <c r="W900" s="2">
        <v>0</v>
      </c>
      <c r="X900" s="4">
        <v>0</v>
      </c>
      <c r="Y900" s="4">
        <v>0</v>
      </c>
      <c r="Z900" s="3">
        <v>0</v>
      </c>
      <c r="AA900" s="3">
        <v>0</v>
      </c>
    </row>
    <row r="901" spans="1:27" x14ac:dyDescent="0.2">
      <c r="A901">
        <f t="shared" si="28"/>
        <v>2</v>
      </c>
      <c r="B901">
        <f t="shared" si="29"/>
        <v>9</v>
      </c>
      <c r="C901" s="1">
        <v>46078</v>
      </c>
      <c r="D901" t="s">
        <v>25</v>
      </c>
      <c r="E901" t="s">
        <v>26</v>
      </c>
      <c r="F901" t="s">
        <v>53</v>
      </c>
      <c r="G901" t="s">
        <v>54</v>
      </c>
      <c r="H901" t="s">
        <v>29</v>
      </c>
      <c r="I901" t="s">
        <v>30</v>
      </c>
      <c r="J901" t="s">
        <v>95</v>
      </c>
      <c r="K901" t="s">
        <v>42</v>
      </c>
      <c r="L901" t="s">
        <v>611</v>
      </c>
      <c r="M901" s="4">
        <v>1</v>
      </c>
      <c r="N901" s="4">
        <v>1</v>
      </c>
      <c r="O901" s="2">
        <v>1</v>
      </c>
      <c r="P901" s="3">
        <v>0.44</v>
      </c>
      <c r="Q901" s="3">
        <v>0.44</v>
      </c>
      <c r="R901" s="3">
        <v>0</v>
      </c>
      <c r="S901" s="2"/>
      <c r="T901" s="5">
        <v>0</v>
      </c>
      <c r="U901" s="4">
        <v>0</v>
      </c>
      <c r="V901" s="4">
        <v>0</v>
      </c>
      <c r="W901" s="2">
        <v>0</v>
      </c>
      <c r="X901" s="4">
        <v>0</v>
      </c>
      <c r="Y901" s="4">
        <v>0</v>
      </c>
      <c r="Z901" s="3">
        <v>0</v>
      </c>
      <c r="AA901" s="3">
        <v>0</v>
      </c>
    </row>
    <row r="902" spans="1:27" x14ac:dyDescent="0.2">
      <c r="A902">
        <f t="shared" si="28"/>
        <v>2</v>
      </c>
      <c r="B902">
        <f t="shared" si="29"/>
        <v>9</v>
      </c>
      <c r="C902" s="1">
        <v>46080</v>
      </c>
      <c r="D902" t="s">
        <v>25</v>
      </c>
      <c r="E902" t="s">
        <v>26</v>
      </c>
      <c r="F902" t="s">
        <v>53</v>
      </c>
      <c r="G902" t="s">
        <v>54</v>
      </c>
      <c r="H902" t="s">
        <v>29</v>
      </c>
      <c r="I902" t="s">
        <v>30</v>
      </c>
      <c r="J902" t="s">
        <v>47</v>
      </c>
      <c r="K902" t="s">
        <v>42</v>
      </c>
      <c r="L902" t="s">
        <v>612</v>
      </c>
      <c r="M902" s="4">
        <v>1</v>
      </c>
      <c r="N902" s="4">
        <v>1</v>
      </c>
      <c r="O902" s="2">
        <v>1</v>
      </c>
      <c r="P902" s="3">
        <v>0.99</v>
      </c>
      <c r="Q902" s="3">
        <v>0.99</v>
      </c>
      <c r="R902" s="3">
        <v>0</v>
      </c>
      <c r="S902" s="2"/>
      <c r="T902" s="5">
        <v>0</v>
      </c>
      <c r="U902" s="4">
        <v>0</v>
      </c>
      <c r="V902" s="4">
        <v>0</v>
      </c>
      <c r="W902" s="2">
        <v>0</v>
      </c>
      <c r="X902" s="4">
        <v>0</v>
      </c>
      <c r="Y902" s="4">
        <v>0</v>
      </c>
      <c r="Z902" s="3">
        <v>0</v>
      </c>
      <c r="AA902" s="3">
        <v>0</v>
      </c>
    </row>
    <row r="903" spans="1:27" x14ac:dyDescent="0.2">
      <c r="A903">
        <f t="shared" si="28"/>
        <v>2</v>
      </c>
      <c r="B903">
        <f t="shared" si="29"/>
        <v>9</v>
      </c>
      <c r="C903" s="1">
        <v>46078</v>
      </c>
      <c r="D903" t="s">
        <v>25</v>
      </c>
      <c r="E903" t="s">
        <v>26</v>
      </c>
      <c r="F903" t="s">
        <v>53</v>
      </c>
      <c r="G903" t="s">
        <v>54</v>
      </c>
      <c r="H903" t="s">
        <v>29</v>
      </c>
      <c r="I903" t="s">
        <v>30</v>
      </c>
      <c r="J903" t="s">
        <v>47</v>
      </c>
      <c r="K903" t="s">
        <v>42</v>
      </c>
      <c r="L903" t="s">
        <v>431</v>
      </c>
      <c r="M903" s="4">
        <v>16</v>
      </c>
      <c r="N903" s="4">
        <v>1</v>
      </c>
      <c r="O903" s="2">
        <v>6.25E-2</v>
      </c>
      <c r="P903" s="3">
        <v>1.36</v>
      </c>
      <c r="Q903" s="3">
        <v>1.36</v>
      </c>
      <c r="R903" s="3">
        <v>8.93</v>
      </c>
      <c r="S903" s="2">
        <v>0.15229563269876822</v>
      </c>
      <c r="T903" s="5">
        <v>6.5661764705882346</v>
      </c>
      <c r="U903" s="4">
        <v>1</v>
      </c>
      <c r="V903" s="4">
        <v>1</v>
      </c>
      <c r="W903" s="2">
        <v>1</v>
      </c>
      <c r="X903" s="4">
        <v>1</v>
      </c>
      <c r="Y903" s="4">
        <v>0</v>
      </c>
      <c r="Z903" s="3">
        <v>8.93</v>
      </c>
      <c r="AA903" s="3">
        <v>0</v>
      </c>
    </row>
    <row r="904" spans="1:27" x14ac:dyDescent="0.2">
      <c r="A904">
        <f t="shared" si="28"/>
        <v>2</v>
      </c>
      <c r="B904">
        <f t="shared" si="29"/>
        <v>9</v>
      </c>
      <c r="C904" s="1">
        <v>46075</v>
      </c>
      <c r="D904" t="s">
        <v>25</v>
      </c>
      <c r="E904" t="s">
        <v>26</v>
      </c>
      <c r="F904" t="s">
        <v>53</v>
      </c>
      <c r="G904" t="s">
        <v>54</v>
      </c>
      <c r="H904" t="s">
        <v>29</v>
      </c>
      <c r="I904" t="s">
        <v>30</v>
      </c>
      <c r="J904" t="s">
        <v>47</v>
      </c>
      <c r="K904" t="s">
        <v>42</v>
      </c>
      <c r="L904" t="s">
        <v>111</v>
      </c>
      <c r="M904" s="4">
        <v>26</v>
      </c>
      <c r="N904" s="4">
        <v>1</v>
      </c>
      <c r="O904" s="2">
        <v>3.8461538461538464E-2</v>
      </c>
      <c r="P904" s="3">
        <v>0.6</v>
      </c>
      <c r="Q904" s="3">
        <v>0.6</v>
      </c>
      <c r="R904" s="3">
        <v>0</v>
      </c>
      <c r="S904" s="2"/>
      <c r="T904" s="5">
        <v>0</v>
      </c>
      <c r="U904" s="4">
        <v>0</v>
      </c>
      <c r="V904" s="4">
        <v>0</v>
      </c>
      <c r="W904" s="2">
        <v>0</v>
      </c>
      <c r="X904" s="4">
        <v>0</v>
      </c>
      <c r="Y904" s="4">
        <v>0</v>
      </c>
      <c r="Z904" s="3">
        <v>0</v>
      </c>
      <c r="AA904" s="3">
        <v>0</v>
      </c>
    </row>
    <row r="905" spans="1:27" x14ac:dyDescent="0.2">
      <c r="A905">
        <f t="shared" si="28"/>
        <v>2</v>
      </c>
      <c r="B905">
        <f t="shared" si="29"/>
        <v>9</v>
      </c>
      <c r="C905" s="1">
        <v>46077</v>
      </c>
      <c r="D905" t="s">
        <v>25</v>
      </c>
      <c r="E905" t="s">
        <v>26</v>
      </c>
      <c r="F905" t="s">
        <v>53</v>
      </c>
      <c r="G905" t="s">
        <v>54</v>
      </c>
      <c r="H905" t="s">
        <v>29</v>
      </c>
      <c r="I905" t="s">
        <v>30</v>
      </c>
      <c r="J905" t="s">
        <v>47</v>
      </c>
      <c r="K905" t="s">
        <v>42</v>
      </c>
      <c r="L905" t="s">
        <v>111</v>
      </c>
      <c r="M905" s="4">
        <v>6</v>
      </c>
      <c r="N905" s="4">
        <v>1</v>
      </c>
      <c r="O905" s="2">
        <v>0.16666666666666663</v>
      </c>
      <c r="P905" s="3">
        <v>0.99</v>
      </c>
      <c r="Q905" s="3">
        <v>0.99</v>
      </c>
      <c r="R905" s="3">
        <v>0</v>
      </c>
      <c r="S905" s="2"/>
      <c r="T905" s="5">
        <v>0</v>
      </c>
      <c r="U905" s="4">
        <v>0</v>
      </c>
      <c r="V905" s="4">
        <v>0</v>
      </c>
      <c r="W905" s="2">
        <v>0</v>
      </c>
      <c r="X905" s="4">
        <v>0</v>
      </c>
      <c r="Y905" s="4">
        <v>0</v>
      </c>
      <c r="Z905" s="3">
        <v>0</v>
      </c>
      <c r="AA905" s="3">
        <v>0</v>
      </c>
    </row>
    <row r="906" spans="1:27" x14ac:dyDescent="0.2">
      <c r="A906">
        <f t="shared" si="28"/>
        <v>2</v>
      </c>
      <c r="B906">
        <f t="shared" si="29"/>
        <v>9</v>
      </c>
      <c r="C906" s="1">
        <v>46077</v>
      </c>
      <c r="D906" t="s">
        <v>25</v>
      </c>
      <c r="E906" t="s">
        <v>26</v>
      </c>
      <c r="F906" t="s">
        <v>53</v>
      </c>
      <c r="G906" t="s">
        <v>54</v>
      </c>
      <c r="H906" t="s">
        <v>29</v>
      </c>
      <c r="I906" t="s">
        <v>30</v>
      </c>
      <c r="J906" t="s">
        <v>47</v>
      </c>
      <c r="K906" t="s">
        <v>42</v>
      </c>
      <c r="L906" t="s">
        <v>613</v>
      </c>
      <c r="M906" s="4">
        <v>32</v>
      </c>
      <c r="N906" s="4">
        <v>1</v>
      </c>
      <c r="O906" s="2">
        <v>3.125E-2</v>
      </c>
      <c r="P906" s="3">
        <v>0.6</v>
      </c>
      <c r="Q906" s="3">
        <v>0.6</v>
      </c>
      <c r="R906" s="3">
        <v>0</v>
      </c>
      <c r="S906" s="2"/>
      <c r="T906" s="5">
        <v>0</v>
      </c>
      <c r="U906" s="4">
        <v>0</v>
      </c>
      <c r="V906" s="4">
        <v>0</v>
      </c>
      <c r="W906" s="2">
        <v>0</v>
      </c>
      <c r="X906" s="4">
        <v>0</v>
      </c>
      <c r="Y906" s="4">
        <v>0</v>
      </c>
      <c r="Z906" s="3">
        <v>0</v>
      </c>
      <c r="AA906" s="3">
        <v>0</v>
      </c>
    </row>
    <row r="907" spans="1:27" x14ac:dyDescent="0.2">
      <c r="A907">
        <f t="shared" si="28"/>
        <v>2</v>
      </c>
      <c r="B907">
        <f t="shared" si="29"/>
        <v>9</v>
      </c>
      <c r="C907" s="1">
        <v>46077</v>
      </c>
      <c r="D907" t="s">
        <v>25</v>
      </c>
      <c r="E907" t="s">
        <v>26</v>
      </c>
      <c r="F907" t="s">
        <v>34</v>
      </c>
      <c r="G907" t="s">
        <v>28</v>
      </c>
      <c r="H907" t="s">
        <v>29</v>
      </c>
      <c r="I907" t="s">
        <v>30</v>
      </c>
      <c r="J907" t="s">
        <v>50</v>
      </c>
      <c r="K907" t="s">
        <v>32</v>
      </c>
      <c r="L907" t="s">
        <v>614</v>
      </c>
      <c r="M907" s="4">
        <v>1</v>
      </c>
      <c r="N907" s="4">
        <v>1</v>
      </c>
      <c r="O907" s="2">
        <v>1</v>
      </c>
      <c r="P907" s="3">
        <v>0.8</v>
      </c>
      <c r="Q907" s="3">
        <v>0.8</v>
      </c>
      <c r="R907" s="3">
        <v>17.09</v>
      </c>
      <c r="S907" s="2">
        <v>4.6811000585137513E-2</v>
      </c>
      <c r="T907" s="5">
        <v>21.362499999999997</v>
      </c>
      <c r="U907" s="4">
        <v>1</v>
      </c>
      <c r="V907" s="4">
        <v>1</v>
      </c>
      <c r="W907" s="2">
        <v>1</v>
      </c>
      <c r="X907" s="4">
        <v>0</v>
      </c>
      <c r="Y907" s="4">
        <v>1</v>
      </c>
      <c r="Z907" s="3">
        <v>0</v>
      </c>
      <c r="AA907" s="3">
        <v>17.09</v>
      </c>
    </row>
    <row r="908" spans="1:27" x14ac:dyDescent="0.2">
      <c r="A908">
        <f t="shared" si="28"/>
        <v>2</v>
      </c>
      <c r="B908">
        <f t="shared" si="29"/>
        <v>9</v>
      </c>
      <c r="C908" s="1">
        <v>46076</v>
      </c>
      <c r="D908" t="s">
        <v>25</v>
      </c>
      <c r="E908" t="s">
        <v>26</v>
      </c>
      <c r="F908" t="s">
        <v>49</v>
      </c>
      <c r="G908" t="s">
        <v>50</v>
      </c>
      <c r="H908" t="s">
        <v>29</v>
      </c>
      <c r="I908" t="s">
        <v>30</v>
      </c>
      <c r="J908" t="s">
        <v>95</v>
      </c>
      <c r="K908" t="s">
        <v>42</v>
      </c>
      <c r="L908" t="s">
        <v>615</v>
      </c>
      <c r="M908" s="4">
        <v>1</v>
      </c>
      <c r="N908" s="4">
        <v>1</v>
      </c>
      <c r="O908" s="2">
        <v>1</v>
      </c>
      <c r="P908" s="3">
        <v>0.35</v>
      </c>
      <c r="Q908" s="3">
        <v>0.35</v>
      </c>
      <c r="R908" s="3">
        <v>0</v>
      </c>
      <c r="S908" s="2"/>
      <c r="T908" s="5">
        <v>0</v>
      </c>
      <c r="U908" s="4">
        <v>0</v>
      </c>
      <c r="V908" s="4">
        <v>0</v>
      </c>
      <c r="W908" s="2">
        <v>0</v>
      </c>
      <c r="X908" s="4">
        <v>0</v>
      </c>
      <c r="Y908" s="4">
        <v>0</v>
      </c>
      <c r="Z908" s="3">
        <v>0</v>
      </c>
      <c r="AA908" s="3">
        <v>0</v>
      </c>
    </row>
    <row r="909" spans="1:27" x14ac:dyDescent="0.2">
      <c r="A909">
        <f t="shared" si="28"/>
        <v>2</v>
      </c>
      <c r="B909">
        <f t="shared" si="29"/>
        <v>9</v>
      </c>
      <c r="C909" s="1">
        <v>46077</v>
      </c>
      <c r="D909" t="s">
        <v>25</v>
      </c>
      <c r="E909" t="s">
        <v>26</v>
      </c>
      <c r="F909" t="s">
        <v>53</v>
      </c>
      <c r="G909" t="s">
        <v>54</v>
      </c>
      <c r="H909" t="s">
        <v>29</v>
      </c>
      <c r="I909" t="s">
        <v>30</v>
      </c>
      <c r="J909" t="s">
        <v>95</v>
      </c>
      <c r="K909" t="s">
        <v>42</v>
      </c>
      <c r="L909" t="s">
        <v>616</v>
      </c>
      <c r="M909" s="4">
        <v>3</v>
      </c>
      <c r="N909" s="4">
        <v>1</v>
      </c>
      <c r="O909" s="2">
        <v>0.33333333333333331</v>
      </c>
      <c r="P909" s="3">
        <v>0.44</v>
      </c>
      <c r="Q909" s="3">
        <v>0.44</v>
      </c>
      <c r="R909" s="3">
        <v>0</v>
      </c>
      <c r="S909" s="2"/>
      <c r="T909" s="5">
        <v>0</v>
      </c>
      <c r="U909" s="4">
        <v>0</v>
      </c>
      <c r="V909" s="4">
        <v>0</v>
      </c>
      <c r="W909" s="2">
        <v>0</v>
      </c>
      <c r="X909" s="4">
        <v>0</v>
      </c>
      <c r="Y909" s="4">
        <v>0</v>
      </c>
      <c r="Z909" s="3">
        <v>0</v>
      </c>
      <c r="AA909" s="3">
        <v>0</v>
      </c>
    </row>
    <row r="910" spans="1:27" x14ac:dyDescent="0.2">
      <c r="A910">
        <f t="shared" si="28"/>
        <v>2</v>
      </c>
      <c r="B910">
        <f t="shared" si="29"/>
        <v>9</v>
      </c>
      <c r="C910" s="1">
        <v>46078</v>
      </c>
      <c r="D910" t="s">
        <v>25</v>
      </c>
      <c r="E910" t="s">
        <v>26</v>
      </c>
      <c r="F910" t="s">
        <v>49</v>
      </c>
      <c r="G910" t="s">
        <v>50</v>
      </c>
      <c r="H910" t="s">
        <v>29</v>
      </c>
      <c r="I910" t="s">
        <v>30</v>
      </c>
      <c r="J910" t="s">
        <v>95</v>
      </c>
      <c r="K910" t="s">
        <v>42</v>
      </c>
      <c r="L910" t="s">
        <v>617</v>
      </c>
      <c r="M910" s="4">
        <v>1</v>
      </c>
      <c r="N910" s="4">
        <v>1</v>
      </c>
      <c r="O910" s="2">
        <v>1</v>
      </c>
      <c r="P910" s="3">
        <v>0.46</v>
      </c>
      <c r="Q910" s="3">
        <v>0.46</v>
      </c>
      <c r="R910" s="3">
        <v>0</v>
      </c>
      <c r="S910" s="2"/>
      <c r="T910" s="5">
        <v>0</v>
      </c>
      <c r="U910" s="4">
        <v>0</v>
      </c>
      <c r="V910" s="4">
        <v>0</v>
      </c>
      <c r="W910" s="2">
        <v>0</v>
      </c>
      <c r="X910" s="4">
        <v>0</v>
      </c>
      <c r="Y910" s="4">
        <v>0</v>
      </c>
      <c r="Z910" s="3">
        <v>0</v>
      </c>
      <c r="AA910" s="3">
        <v>0</v>
      </c>
    </row>
    <row r="911" spans="1:27" x14ac:dyDescent="0.2">
      <c r="A911">
        <f t="shared" si="28"/>
        <v>2</v>
      </c>
      <c r="B911">
        <f t="shared" si="29"/>
        <v>9</v>
      </c>
      <c r="C911" s="1">
        <v>46075</v>
      </c>
      <c r="D911" t="s">
        <v>25</v>
      </c>
      <c r="E911" t="s">
        <v>26</v>
      </c>
      <c r="F911" t="s">
        <v>27</v>
      </c>
      <c r="G911" t="s">
        <v>28</v>
      </c>
      <c r="H911" t="s">
        <v>29</v>
      </c>
      <c r="I911" t="s">
        <v>30</v>
      </c>
      <c r="J911" t="s">
        <v>101</v>
      </c>
      <c r="K911" t="s">
        <v>32</v>
      </c>
      <c r="L911" t="s">
        <v>618</v>
      </c>
      <c r="M911" s="4">
        <v>1</v>
      </c>
      <c r="N911" s="4">
        <v>1</v>
      </c>
      <c r="O911" s="2">
        <v>1</v>
      </c>
      <c r="P911" s="3">
        <v>0.21</v>
      </c>
      <c r="Q911" s="3">
        <v>0.21</v>
      </c>
      <c r="R911" s="3">
        <v>0</v>
      </c>
      <c r="S911" s="2"/>
      <c r="T911" s="5">
        <v>0</v>
      </c>
      <c r="U911" s="4">
        <v>0</v>
      </c>
      <c r="V911" s="4">
        <v>0</v>
      </c>
      <c r="W911" s="2">
        <v>0</v>
      </c>
      <c r="X911" s="4">
        <v>0</v>
      </c>
      <c r="Y911" s="4">
        <v>0</v>
      </c>
      <c r="Z911" s="3">
        <v>0</v>
      </c>
      <c r="AA911" s="3">
        <v>0</v>
      </c>
    </row>
    <row r="912" spans="1:27" x14ac:dyDescent="0.2">
      <c r="A912">
        <f t="shared" si="28"/>
        <v>2</v>
      </c>
      <c r="B912">
        <f t="shared" si="29"/>
        <v>9</v>
      </c>
      <c r="C912" s="1">
        <v>46076</v>
      </c>
      <c r="D912" t="s">
        <v>25</v>
      </c>
      <c r="E912" t="s">
        <v>26</v>
      </c>
      <c r="F912" t="s">
        <v>34</v>
      </c>
      <c r="G912" t="s">
        <v>28</v>
      </c>
      <c r="H912" t="s">
        <v>29</v>
      </c>
      <c r="I912" t="s">
        <v>30</v>
      </c>
      <c r="J912" t="s">
        <v>37</v>
      </c>
      <c r="K912" t="s">
        <v>32</v>
      </c>
      <c r="L912" t="s">
        <v>619</v>
      </c>
      <c r="M912" s="4">
        <v>6</v>
      </c>
      <c r="N912" s="4">
        <v>1</v>
      </c>
      <c r="O912" s="2">
        <v>0.16666666666666663</v>
      </c>
      <c r="P912" s="3">
        <v>1.65</v>
      </c>
      <c r="Q912" s="3">
        <v>1.65</v>
      </c>
      <c r="R912" s="3">
        <v>0</v>
      </c>
      <c r="S912" s="2"/>
      <c r="T912" s="5">
        <v>0</v>
      </c>
      <c r="U912" s="4">
        <v>0</v>
      </c>
      <c r="V912" s="4">
        <v>0</v>
      </c>
      <c r="W912" s="2">
        <v>0</v>
      </c>
      <c r="X912" s="4">
        <v>0</v>
      </c>
      <c r="Y912" s="4">
        <v>0</v>
      </c>
      <c r="Z912" s="3">
        <v>0</v>
      </c>
      <c r="AA912" s="3">
        <v>0</v>
      </c>
    </row>
    <row r="913" spans="1:27" x14ac:dyDescent="0.2">
      <c r="A913">
        <f t="shared" si="28"/>
        <v>2</v>
      </c>
      <c r="B913">
        <f t="shared" si="29"/>
        <v>9</v>
      </c>
      <c r="C913" s="1">
        <v>46081</v>
      </c>
      <c r="D913" t="s">
        <v>25</v>
      </c>
      <c r="E913" t="s">
        <v>26</v>
      </c>
      <c r="F913" t="s">
        <v>27</v>
      </c>
      <c r="G913" t="s">
        <v>28</v>
      </c>
      <c r="H913" t="s">
        <v>29</v>
      </c>
      <c r="I913" t="s">
        <v>30</v>
      </c>
      <c r="J913" t="s">
        <v>50</v>
      </c>
      <c r="K913" t="s">
        <v>32</v>
      </c>
      <c r="L913" t="s">
        <v>620</v>
      </c>
      <c r="M913" s="4">
        <v>15</v>
      </c>
      <c r="N913" s="4">
        <v>1</v>
      </c>
      <c r="O913" s="2">
        <v>6.6666666666666666E-2</v>
      </c>
      <c r="P913" s="3">
        <v>0.2</v>
      </c>
      <c r="Q913" s="3">
        <v>0.2</v>
      </c>
      <c r="R913" s="3">
        <v>0</v>
      </c>
      <c r="S913" s="2"/>
      <c r="T913" s="5">
        <v>0</v>
      </c>
      <c r="U913" s="4">
        <v>0</v>
      </c>
      <c r="V913" s="4">
        <v>0</v>
      </c>
      <c r="W913" s="2">
        <v>0</v>
      </c>
      <c r="X913" s="4">
        <v>0</v>
      </c>
      <c r="Y913" s="4">
        <v>0</v>
      </c>
      <c r="Z913" s="3">
        <v>0</v>
      </c>
      <c r="AA913" s="3">
        <v>0</v>
      </c>
    </row>
    <row r="914" spans="1:27" x14ac:dyDescent="0.2">
      <c r="A914">
        <f t="shared" si="28"/>
        <v>2</v>
      </c>
      <c r="B914">
        <f t="shared" si="29"/>
        <v>9</v>
      </c>
      <c r="C914" s="1">
        <v>46076</v>
      </c>
      <c r="D914" t="s">
        <v>25</v>
      </c>
      <c r="E914" t="s">
        <v>26</v>
      </c>
      <c r="F914" t="s">
        <v>49</v>
      </c>
      <c r="G914" t="s">
        <v>50</v>
      </c>
      <c r="H914" t="s">
        <v>29</v>
      </c>
      <c r="I914" t="s">
        <v>30</v>
      </c>
      <c r="J914" t="s">
        <v>95</v>
      </c>
      <c r="K914" t="s">
        <v>42</v>
      </c>
      <c r="L914" t="s">
        <v>337</v>
      </c>
      <c r="M914" s="4">
        <v>1</v>
      </c>
      <c r="N914" s="4">
        <v>1</v>
      </c>
      <c r="O914" s="2">
        <v>1</v>
      </c>
      <c r="P914" s="3">
        <v>0.42</v>
      </c>
      <c r="Q914" s="3">
        <v>0.42</v>
      </c>
      <c r="R914" s="3">
        <v>0</v>
      </c>
      <c r="S914" s="2"/>
      <c r="T914" s="5">
        <v>0</v>
      </c>
      <c r="U914" s="4">
        <v>0</v>
      </c>
      <c r="V914" s="4">
        <v>0</v>
      </c>
      <c r="W914" s="2">
        <v>0</v>
      </c>
      <c r="X914" s="4">
        <v>0</v>
      </c>
      <c r="Y914" s="4">
        <v>0</v>
      </c>
      <c r="Z914" s="3">
        <v>0</v>
      </c>
      <c r="AA914" s="3">
        <v>0</v>
      </c>
    </row>
    <row r="915" spans="1:27" x14ac:dyDescent="0.2">
      <c r="A915">
        <f t="shared" si="28"/>
        <v>2</v>
      </c>
      <c r="B915">
        <f t="shared" si="29"/>
        <v>9</v>
      </c>
      <c r="C915" s="1">
        <v>46076</v>
      </c>
      <c r="D915" t="s">
        <v>25</v>
      </c>
      <c r="E915" t="s">
        <v>26</v>
      </c>
      <c r="F915" t="s">
        <v>27</v>
      </c>
      <c r="G915" t="s">
        <v>28</v>
      </c>
      <c r="H915" t="s">
        <v>29</v>
      </c>
      <c r="I915" t="s">
        <v>30</v>
      </c>
      <c r="J915" t="s">
        <v>156</v>
      </c>
      <c r="K915" t="s">
        <v>32</v>
      </c>
      <c r="L915" t="s">
        <v>621</v>
      </c>
      <c r="M915" s="4">
        <v>1</v>
      </c>
      <c r="N915" s="4">
        <v>1</v>
      </c>
      <c r="O915" s="2">
        <v>1</v>
      </c>
      <c r="P915" s="3">
        <v>0.4</v>
      </c>
      <c r="Q915" s="3">
        <v>0.4</v>
      </c>
      <c r="R915" s="3">
        <v>0</v>
      </c>
      <c r="S915" s="2"/>
      <c r="T915" s="5">
        <v>0</v>
      </c>
      <c r="U915" s="4">
        <v>0</v>
      </c>
      <c r="V915" s="4">
        <v>0</v>
      </c>
      <c r="W915" s="2">
        <v>0</v>
      </c>
      <c r="X915" s="4">
        <v>0</v>
      </c>
      <c r="Y915" s="4">
        <v>0</v>
      </c>
      <c r="Z915" s="3">
        <v>0</v>
      </c>
      <c r="AA915" s="3">
        <v>0</v>
      </c>
    </row>
    <row r="916" spans="1:27" x14ac:dyDescent="0.2">
      <c r="A916">
        <f t="shared" si="28"/>
        <v>2</v>
      </c>
      <c r="B916">
        <f t="shared" si="29"/>
        <v>9</v>
      </c>
      <c r="C916" s="1">
        <v>46081</v>
      </c>
      <c r="D916" t="s">
        <v>25</v>
      </c>
      <c r="E916" t="s">
        <v>26</v>
      </c>
      <c r="F916" t="s">
        <v>27</v>
      </c>
      <c r="G916" t="s">
        <v>28</v>
      </c>
      <c r="H916" t="s">
        <v>29</v>
      </c>
      <c r="I916" t="s">
        <v>30</v>
      </c>
      <c r="J916" t="s">
        <v>243</v>
      </c>
      <c r="K916" t="s">
        <v>32</v>
      </c>
      <c r="L916" t="s">
        <v>622</v>
      </c>
      <c r="M916" s="4">
        <v>2</v>
      </c>
      <c r="N916" s="4">
        <v>1</v>
      </c>
      <c r="O916" s="2">
        <v>0.5</v>
      </c>
      <c r="P916" s="3">
        <v>0.2</v>
      </c>
      <c r="Q916" s="3">
        <v>0.2</v>
      </c>
      <c r="R916" s="3">
        <v>0</v>
      </c>
      <c r="S916" s="2"/>
      <c r="T916" s="5">
        <v>0</v>
      </c>
      <c r="U916" s="4">
        <v>0</v>
      </c>
      <c r="V916" s="4">
        <v>0</v>
      </c>
      <c r="W916" s="2">
        <v>0</v>
      </c>
      <c r="X916" s="4">
        <v>0</v>
      </c>
      <c r="Y916" s="4">
        <v>0</v>
      </c>
      <c r="Z916" s="3">
        <v>0</v>
      </c>
      <c r="AA916" s="3">
        <v>0</v>
      </c>
    </row>
    <row r="917" spans="1:27" x14ac:dyDescent="0.2">
      <c r="A917">
        <f t="shared" si="28"/>
        <v>2</v>
      </c>
      <c r="B917">
        <f t="shared" si="29"/>
        <v>9</v>
      </c>
      <c r="C917" s="1">
        <v>46077</v>
      </c>
      <c r="D917" t="s">
        <v>25</v>
      </c>
      <c r="E917" t="s">
        <v>26</v>
      </c>
      <c r="F917" t="s">
        <v>53</v>
      </c>
      <c r="G917" t="s">
        <v>54</v>
      </c>
      <c r="H917" t="s">
        <v>29</v>
      </c>
      <c r="I917" t="s">
        <v>30</v>
      </c>
      <c r="J917" t="s">
        <v>95</v>
      </c>
      <c r="K917" t="s">
        <v>42</v>
      </c>
      <c r="L917" t="s">
        <v>623</v>
      </c>
      <c r="M917" s="4">
        <v>1</v>
      </c>
      <c r="N917" s="4">
        <v>1</v>
      </c>
      <c r="O917" s="2">
        <v>1</v>
      </c>
      <c r="P917" s="3">
        <v>0.71</v>
      </c>
      <c r="Q917" s="3">
        <v>0.71</v>
      </c>
      <c r="R917" s="3">
        <v>0</v>
      </c>
      <c r="S917" s="2"/>
      <c r="T917" s="5">
        <v>0</v>
      </c>
      <c r="U917" s="4">
        <v>0</v>
      </c>
      <c r="V917" s="4">
        <v>0</v>
      </c>
      <c r="W917" s="2">
        <v>0</v>
      </c>
      <c r="X917" s="4">
        <v>0</v>
      </c>
      <c r="Y917" s="4">
        <v>0</v>
      </c>
      <c r="Z917" s="3">
        <v>0</v>
      </c>
      <c r="AA917" s="3">
        <v>0</v>
      </c>
    </row>
    <row r="918" spans="1:27" x14ac:dyDescent="0.2">
      <c r="A918">
        <f t="shared" si="28"/>
        <v>2</v>
      </c>
      <c r="B918">
        <f t="shared" si="29"/>
        <v>9</v>
      </c>
      <c r="C918" s="1">
        <v>46079</v>
      </c>
      <c r="D918" t="s">
        <v>25</v>
      </c>
      <c r="E918" t="s">
        <v>26</v>
      </c>
      <c r="F918" t="s">
        <v>49</v>
      </c>
      <c r="G918" t="s">
        <v>50</v>
      </c>
      <c r="H918" t="s">
        <v>29</v>
      </c>
      <c r="I918" t="s">
        <v>30</v>
      </c>
      <c r="J918" t="s">
        <v>95</v>
      </c>
      <c r="K918" t="s">
        <v>42</v>
      </c>
      <c r="L918" t="s">
        <v>624</v>
      </c>
      <c r="M918" s="4">
        <v>1</v>
      </c>
      <c r="N918" s="4">
        <v>1</v>
      </c>
      <c r="O918" s="2">
        <v>1</v>
      </c>
      <c r="P918" s="3">
        <v>0.43</v>
      </c>
      <c r="Q918" s="3">
        <v>0.43</v>
      </c>
      <c r="R918" s="3">
        <v>0</v>
      </c>
      <c r="S918" s="2"/>
      <c r="T918" s="5">
        <v>0</v>
      </c>
      <c r="U918" s="4">
        <v>0</v>
      </c>
      <c r="V918" s="4">
        <v>0</v>
      </c>
      <c r="W918" s="2">
        <v>0</v>
      </c>
      <c r="X918" s="4">
        <v>0</v>
      </c>
      <c r="Y918" s="4">
        <v>0</v>
      </c>
      <c r="Z918" s="3">
        <v>0</v>
      </c>
      <c r="AA918" s="3">
        <v>0</v>
      </c>
    </row>
    <row r="919" spans="1:27" x14ac:dyDescent="0.2">
      <c r="A919">
        <f t="shared" si="28"/>
        <v>2</v>
      </c>
      <c r="B919">
        <f t="shared" si="29"/>
        <v>9</v>
      </c>
      <c r="C919" s="1">
        <v>46081</v>
      </c>
      <c r="D919" t="s">
        <v>25</v>
      </c>
      <c r="E919" t="s">
        <v>26</v>
      </c>
      <c r="F919" t="s">
        <v>27</v>
      </c>
      <c r="G919" t="s">
        <v>28</v>
      </c>
      <c r="H919" t="s">
        <v>29</v>
      </c>
      <c r="I919" t="s">
        <v>30</v>
      </c>
      <c r="J919" t="s">
        <v>50</v>
      </c>
      <c r="K919" t="s">
        <v>32</v>
      </c>
      <c r="L919" t="s">
        <v>625</v>
      </c>
      <c r="M919" s="4">
        <v>2</v>
      </c>
      <c r="N919" s="4">
        <v>1</v>
      </c>
      <c r="O919" s="2">
        <v>0.5</v>
      </c>
      <c r="P919" s="3">
        <v>0.21</v>
      </c>
      <c r="Q919" s="3">
        <v>0.21</v>
      </c>
      <c r="R919" s="3">
        <v>0</v>
      </c>
      <c r="S919" s="2"/>
      <c r="T919" s="5">
        <v>0</v>
      </c>
      <c r="U919" s="4">
        <v>0</v>
      </c>
      <c r="V919" s="4">
        <v>0</v>
      </c>
      <c r="W919" s="2">
        <v>0</v>
      </c>
      <c r="X919" s="4">
        <v>0</v>
      </c>
      <c r="Y919" s="4">
        <v>0</v>
      </c>
      <c r="Z919" s="3">
        <v>0</v>
      </c>
      <c r="AA919" s="3">
        <v>0</v>
      </c>
    </row>
    <row r="920" spans="1:27" x14ac:dyDescent="0.2">
      <c r="A920">
        <f t="shared" si="28"/>
        <v>2</v>
      </c>
      <c r="B920">
        <f t="shared" si="29"/>
        <v>9</v>
      </c>
      <c r="C920" s="1">
        <v>46078</v>
      </c>
      <c r="D920" t="s">
        <v>25</v>
      </c>
      <c r="E920" t="s">
        <v>26</v>
      </c>
      <c r="F920" t="s">
        <v>39</v>
      </c>
      <c r="G920" t="s">
        <v>40</v>
      </c>
      <c r="H920" t="s">
        <v>29</v>
      </c>
      <c r="I920" t="s">
        <v>30</v>
      </c>
      <c r="J920" t="s">
        <v>70</v>
      </c>
      <c r="K920" t="s">
        <v>42</v>
      </c>
      <c r="L920" t="s">
        <v>626</v>
      </c>
      <c r="M920" s="4">
        <v>1</v>
      </c>
      <c r="N920" s="4">
        <v>1</v>
      </c>
      <c r="O920" s="2">
        <v>1</v>
      </c>
      <c r="P920" s="3">
        <v>0.6</v>
      </c>
      <c r="Q920" s="3">
        <v>0.6</v>
      </c>
      <c r="R920" s="3">
        <v>0</v>
      </c>
      <c r="S920" s="2"/>
      <c r="T920" s="5">
        <v>0</v>
      </c>
      <c r="U920" s="4">
        <v>0</v>
      </c>
      <c r="V920" s="4">
        <v>0</v>
      </c>
      <c r="W920" s="2">
        <v>0</v>
      </c>
      <c r="X920" s="4">
        <v>0</v>
      </c>
      <c r="Y920" s="4">
        <v>0</v>
      </c>
      <c r="Z920" s="3">
        <v>0</v>
      </c>
      <c r="AA920" s="3">
        <v>0</v>
      </c>
    </row>
    <row r="921" spans="1:27" x14ac:dyDescent="0.2">
      <c r="A921">
        <f t="shared" si="28"/>
        <v>2</v>
      </c>
      <c r="B921">
        <f t="shared" si="29"/>
        <v>9</v>
      </c>
      <c r="C921" s="1">
        <v>46081</v>
      </c>
      <c r="D921" t="s">
        <v>25</v>
      </c>
      <c r="E921" t="s">
        <v>26</v>
      </c>
      <c r="F921" t="s">
        <v>61</v>
      </c>
      <c r="G921" t="s">
        <v>62</v>
      </c>
      <c r="H921" t="s">
        <v>29</v>
      </c>
      <c r="I921" t="s">
        <v>30</v>
      </c>
      <c r="J921" t="s">
        <v>47</v>
      </c>
      <c r="K921" t="s">
        <v>42</v>
      </c>
      <c r="L921" t="s">
        <v>173</v>
      </c>
      <c r="M921" s="4">
        <v>363</v>
      </c>
      <c r="N921" s="4">
        <v>1</v>
      </c>
      <c r="O921" s="2">
        <v>2.7548209366391185E-3</v>
      </c>
      <c r="P921" s="3">
        <v>1.17</v>
      </c>
      <c r="Q921" s="3">
        <v>1.17</v>
      </c>
      <c r="R921" s="3">
        <v>0</v>
      </c>
      <c r="S921" s="2"/>
      <c r="T921" s="5">
        <v>0</v>
      </c>
      <c r="U921" s="4">
        <v>0</v>
      </c>
      <c r="V921" s="4">
        <v>0</v>
      </c>
      <c r="W921" s="2">
        <v>0</v>
      </c>
      <c r="X921" s="4">
        <v>0</v>
      </c>
      <c r="Y921" s="4">
        <v>0</v>
      </c>
      <c r="Z921" s="3">
        <v>0</v>
      </c>
      <c r="AA921" s="3">
        <v>0</v>
      </c>
    </row>
    <row r="922" spans="1:27" x14ac:dyDescent="0.2">
      <c r="A922">
        <f t="shared" si="28"/>
        <v>2</v>
      </c>
      <c r="B922">
        <f t="shared" si="29"/>
        <v>9</v>
      </c>
      <c r="C922" s="1">
        <v>46080</v>
      </c>
      <c r="D922" t="s">
        <v>25</v>
      </c>
      <c r="E922" t="s">
        <v>26</v>
      </c>
      <c r="F922" t="s">
        <v>53</v>
      </c>
      <c r="G922" t="s">
        <v>54</v>
      </c>
      <c r="H922" t="s">
        <v>29</v>
      </c>
      <c r="I922" t="s">
        <v>30</v>
      </c>
      <c r="J922" t="s">
        <v>47</v>
      </c>
      <c r="K922" t="s">
        <v>42</v>
      </c>
      <c r="L922" t="s">
        <v>173</v>
      </c>
      <c r="M922" s="4">
        <v>3</v>
      </c>
      <c r="N922" s="4">
        <v>1</v>
      </c>
      <c r="O922" s="2">
        <v>0.33333333333333331</v>
      </c>
      <c r="P922" s="3">
        <v>0.93</v>
      </c>
      <c r="Q922" s="3">
        <v>0.93</v>
      </c>
      <c r="R922" s="3">
        <v>0</v>
      </c>
      <c r="S922" s="2"/>
      <c r="T922" s="5">
        <v>0</v>
      </c>
      <c r="U922" s="4">
        <v>0</v>
      </c>
      <c r="V922" s="4">
        <v>0</v>
      </c>
      <c r="W922" s="2">
        <v>0</v>
      </c>
      <c r="X922" s="4">
        <v>0</v>
      </c>
      <c r="Y922" s="4">
        <v>0</v>
      </c>
      <c r="Z922" s="3">
        <v>0</v>
      </c>
      <c r="AA922" s="3">
        <v>0</v>
      </c>
    </row>
    <row r="923" spans="1:27" x14ac:dyDescent="0.2">
      <c r="A923">
        <f t="shared" si="28"/>
        <v>2</v>
      </c>
      <c r="B923">
        <f t="shared" si="29"/>
        <v>9</v>
      </c>
      <c r="C923" s="1">
        <v>46075</v>
      </c>
      <c r="D923" t="s">
        <v>25</v>
      </c>
      <c r="E923" t="s">
        <v>26</v>
      </c>
      <c r="F923" t="s">
        <v>53</v>
      </c>
      <c r="G923" t="s">
        <v>54</v>
      </c>
      <c r="H923" t="s">
        <v>29</v>
      </c>
      <c r="I923" t="s">
        <v>30</v>
      </c>
      <c r="J923" t="s">
        <v>47</v>
      </c>
      <c r="K923" t="s">
        <v>42</v>
      </c>
      <c r="L923" t="s">
        <v>477</v>
      </c>
      <c r="M923" s="4">
        <v>1</v>
      </c>
      <c r="N923" s="4">
        <v>1</v>
      </c>
      <c r="O923" s="2">
        <v>1</v>
      </c>
      <c r="P923" s="3">
        <v>1.36</v>
      </c>
      <c r="Q923" s="3">
        <v>1.36</v>
      </c>
      <c r="R923" s="3">
        <v>0</v>
      </c>
      <c r="S923" s="2"/>
      <c r="T923" s="5">
        <v>0</v>
      </c>
      <c r="U923" s="4">
        <v>0</v>
      </c>
      <c r="V923" s="4">
        <v>0</v>
      </c>
      <c r="W923" s="2">
        <v>0</v>
      </c>
      <c r="X923" s="4">
        <v>0</v>
      </c>
      <c r="Y923" s="4">
        <v>0</v>
      </c>
      <c r="Z923" s="3">
        <v>0</v>
      </c>
      <c r="AA923" s="3">
        <v>0</v>
      </c>
    </row>
    <row r="924" spans="1:27" x14ac:dyDescent="0.2">
      <c r="A924">
        <f t="shared" si="28"/>
        <v>2</v>
      </c>
      <c r="B924">
        <f t="shared" si="29"/>
        <v>9</v>
      </c>
      <c r="C924" s="1">
        <v>46081</v>
      </c>
      <c r="D924" t="s">
        <v>25</v>
      </c>
      <c r="E924" t="s">
        <v>26</v>
      </c>
      <c r="F924" t="s">
        <v>61</v>
      </c>
      <c r="G924" t="s">
        <v>62</v>
      </c>
      <c r="H924" t="s">
        <v>29</v>
      </c>
      <c r="I924" t="s">
        <v>30</v>
      </c>
      <c r="J924" t="s">
        <v>47</v>
      </c>
      <c r="K924" t="s">
        <v>42</v>
      </c>
      <c r="L924" t="s">
        <v>185</v>
      </c>
      <c r="M924" s="4">
        <v>604</v>
      </c>
      <c r="N924" s="4">
        <v>1</v>
      </c>
      <c r="O924" s="2">
        <v>1.6556291390728479E-3</v>
      </c>
      <c r="P924" s="3">
        <v>1.17</v>
      </c>
      <c r="Q924" s="3">
        <v>1.17</v>
      </c>
      <c r="R924" s="3">
        <v>0</v>
      </c>
      <c r="S924" s="2"/>
      <c r="T924" s="5">
        <v>0</v>
      </c>
      <c r="U924" s="4">
        <v>0</v>
      </c>
      <c r="V924" s="4">
        <v>0</v>
      </c>
      <c r="W924" s="2">
        <v>0</v>
      </c>
      <c r="X924" s="4">
        <v>0</v>
      </c>
      <c r="Y924" s="4">
        <v>0</v>
      </c>
      <c r="Z924" s="3">
        <v>0</v>
      </c>
      <c r="AA924" s="3">
        <v>0</v>
      </c>
    </row>
    <row r="925" spans="1:27" x14ac:dyDescent="0.2">
      <c r="A925">
        <f t="shared" si="28"/>
        <v>2</v>
      </c>
      <c r="B925">
        <f t="shared" si="29"/>
        <v>9</v>
      </c>
      <c r="C925" s="1">
        <v>46075</v>
      </c>
      <c r="D925" t="s">
        <v>25</v>
      </c>
      <c r="E925" t="s">
        <v>26</v>
      </c>
      <c r="F925" t="s">
        <v>112</v>
      </c>
      <c r="G925" t="s">
        <v>62</v>
      </c>
      <c r="H925" t="s">
        <v>29</v>
      </c>
      <c r="I925" t="s">
        <v>30</v>
      </c>
      <c r="J925" t="s">
        <v>173</v>
      </c>
      <c r="K925" t="s">
        <v>32</v>
      </c>
      <c r="L925" t="s">
        <v>185</v>
      </c>
      <c r="M925" s="4">
        <v>268</v>
      </c>
      <c r="N925" s="4">
        <v>1</v>
      </c>
      <c r="O925" s="2">
        <v>3.731343283582089E-3</v>
      </c>
      <c r="P925" s="3">
        <v>0.68</v>
      </c>
      <c r="Q925" s="3">
        <v>0.68</v>
      </c>
      <c r="R925" s="3">
        <v>0</v>
      </c>
      <c r="S925" s="2"/>
      <c r="T925" s="5">
        <v>0</v>
      </c>
      <c r="U925" s="4">
        <v>0</v>
      </c>
      <c r="V925" s="4">
        <v>0</v>
      </c>
      <c r="W925" s="2">
        <v>0</v>
      </c>
      <c r="X925" s="4">
        <v>0</v>
      </c>
      <c r="Y925" s="4">
        <v>0</v>
      </c>
      <c r="Z925" s="3">
        <v>0</v>
      </c>
      <c r="AA925" s="3">
        <v>0</v>
      </c>
    </row>
    <row r="926" spans="1:27" x14ac:dyDescent="0.2">
      <c r="A926">
        <f t="shared" si="28"/>
        <v>2</v>
      </c>
      <c r="B926">
        <f t="shared" si="29"/>
        <v>9</v>
      </c>
      <c r="C926" s="1">
        <v>46076</v>
      </c>
      <c r="D926" t="s">
        <v>25</v>
      </c>
      <c r="E926" t="s">
        <v>26</v>
      </c>
      <c r="F926" t="s">
        <v>112</v>
      </c>
      <c r="G926" t="s">
        <v>62</v>
      </c>
      <c r="H926" t="s">
        <v>29</v>
      </c>
      <c r="I926" t="s">
        <v>30</v>
      </c>
      <c r="J926" t="s">
        <v>173</v>
      </c>
      <c r="K926" t="s">
        <v>32</v>
      </c>
      <c r="L926" t="s">
        <v>185</v>
      </c>
      <c r="M926" s="4">
        <v>60</v>
      </c>
      <c r="N926" s="4">
        <v>2</v>
      </c>
      <c r="O926" s="2">
        <v>3.3333333333333333E-2</v>
      </c>
      <c r="P926" s="3">
        <v>0.34</v>
      </c>
      <c r="Q926" s="3">
        <v>0.68</v>
      </c>
      <c r="R926" s="3">
        <v>0</v>
      </c>
      <c r="S926" s="2"/>
      <c r="T926" s="5">
        <v>0</v>
      </c>
      <c r="U926" s="4">
        <v>0</v>
      </c>
      <c r="V926" s="4">
        <v>0</v>
      </c>
      <c r="W926" s="2">
        <v>0</v>
      </c>
      <c r="X926" s="4">
        <v>0</v>
      </c>
      <c r="Y926" s="4">
        <v>0</v>
      </c>
      <c r="Z926" s="3">
        <v>0</v>
      </c>
      <c r="AA926" s="3">
        <v>0</v>
      </c>
    </row>
    <row r="927" spans="1:27" x14ac:dyDescent="0.2">
      <c r="A927">
        <f t="shared" si="28"/>
        <v>2</v>
      </c>
      <c r="B927">
        <f t="shared" si="29"/>
        <v>9</v>
      </c>
      <c r="C927" s="1">
        <v>46076</v>
      </c>
      <c r="D927" t="s">
        <v>25</v>
      </c>
      <c r="E927" t="s">
        <v>26</v>
      </c>
      <c r="F927" t="s">
        <v>112</v>
      </c>
      <c r="G927" t="s">
        <v>62</v>
      </c>
      <c r="H927" t="s">
        <v>29</v>
      </c>
      <c r="I927" t="s">
        <v>30</v>
      </c>
      <c r="J927" t="s">
        <v>173</v>
      </c>
      <c r="K927" t="s">
        <v>32</v>
      </c>
      <c r="L927" t="s">
        <v>627</v>
      </c>
      <c r="M927" s="4">
        <v>4</v>
      </c>
      <c r="N927" s="4">
        <v>1</v>
      </c>
      <c r="O927" s="2">
        <v>0.25</v>
      </c>
      <c r="P927" s="3">
        <v>0.68</v>
      </c>
      <c r="Q927" s="3">
        <v>0.68</v>
      </c>
      <c r="R927" s="3">
        <v>0</v>
      </c>
      <c r="S927" s="2"/>
      <c r="T927" s="5">
        <v>0</v>
      </c>
      <c r="U927" s="4">
        <v>0</v>
      </c>
      <c r="V927" s="4">
        <v>0</v>
      </c>
      <c r="W927" s="2">
        <v>0</v>
      </c>
      <c r="X927" s="4">
        <v>0</v>
      </c>
      <c r="Y927" s="4">
        <v>0</v>
      </c>
      <c r="Z927" s="3">
        <v>0</v>
      </c>
      <c r="AA927" s="3">
        <v>0</v>
      </c>
    </row>
    <row r="928" spans="1:27" x14ac:dyDescent="0.2">
      <c r="A928">
        <f t="shared" si="28"/>
        <v>2</v>
      </c>
      <c r="B928">
        <f t="shared" si="29"/>
        <v>9</v>
      </c>
      <c r="C928" s="1">
        <v>46075</v>
      </c>
      <c r="D928" t="s">
        <v>25</v>
      </c>
      <c r="E928" t="s">
        <v>26</v>
      </c>
      <c r="F928" t="s">
        <v>61</v>
      </c>
      <c r="G928" t="s">
        <v>62</v>
      </c>
      <c r="H928" t="s">
        <v>29</v>
      </c>
      <c r="I928" t="s">
        <v>30</v>
      </c>
      <c r="J928" t="s">
        <v>95</v>
      </c>
      <c r="K928" t="s">
        <v>42</v>
      </c>
      <c r="L928" t="s">
        <v>628</v>
      </c>
      <c r="M928" s="4">
        <v>3</v>
      </c>
      <c r="N928" s="4">
        <v>1</v>
      </c>
      <c r="O928" s="2">
        <v>0.33333333333333331</v>
      </c>
      <c r="P928" s="3">
        <v>1.07</v>
      </c>
      <c r="Q928" s="3">
        <v>1.07</v>
      </c>
      <c r="R928" s="3">
        <v>0</v>
      </c>
      <c r="S928" s="2"/>
      <c r="T928" s="5">
        <v>0</v>
      </c>
      <c r="U928" s="4">
        <v>0</v>
      </c>
      <c r="V928" s="4">
        <v>0</v>
      </c>
      <c r="W928" s="2">
        <v>0</v>
      </c>
      <c r="X928" s="4">
        <v>0</v>
      </c>
      <c r="Y928" s="4">
        <v>0</v>
      </c>
      <c r="Z928" s="3">
        <v>0</v>
      </c>
      <c r="AA928" s="3">
        <v>0</v>
      </c>
    </row>
    <row r="929" spans="1:27" x14ac:dyDescent="0.2">
      <c r="A929">
        <f t="shared" si="28"/>
        <v>2</v>
      </c>
      <c r="B929">
        <f t="shared" si="29"/>
        <v>9</v>
      </c>
      <c r="C929" s="1">
        <v>46076</v>
      </c>
      <c r="D929" t="s">
        <v>25</v>
      </c>
      <c r="E929" t="s">
        <v>26</v>
      </c>
      <c r="F929" t="s">
        <v>53</v>
      </c>
      <c r="G929" t="s">
        <v>54</v>
      </c>
      <c r="H929" t="s">
        <v>29</v>
      </c>
      <c r="I929" t="s">
        <v>30</v>
      </c>
      <c r="J929" t="s">
        <v>47</v>
      </c>
      <c r="K929" t="s">
        <v>42</v>
      </c>
      <c r="L929" t="s">
        <v>629</v>
      </c>
      <c r="M929" s="4">
        <v>1</v>
      </c>
      <c r="N929" s="4">
        <v>1</v>
      </c>
      <c r="O929" s="2">
        <v>1</v>
      </c>
      <c r="P929" s="3">
        <v>0.99</v>
      </c>
      <c r="Q929" s="3">
        <v>0.99</v>
      </c>
      <c r="R929" s="3">
        <v>0</v>
      </c>
      <c r="S929" s="2"/>
      <c r="T929" s="5">
        <v>0</v>
      </c>
      <c r="U929" s="4">
        <v>0</v>
      </c>
      <c r="V929" s="4">
        <v>0</v>
      </c>
      <c r="W929" s="2">
        <v>0</v>
      </c>
      <c r="X929" s="4">
        <v>0</v>
      </c>
      <c r="Y929" s="4">
        <v>0</v>
      </c>
      <c r="Z929" s="3">
        <v>0</v>
      </c>
      <c r="AA929" s="3">
        <v>0</v>
      </c>
    </row>
    <row r="930" spans="1:27" x14ac:dyDescent="0.2">
      <c r="A930">
        <f t="shared" si="28"/>
        <v>2</v>
      </c>
      <c r="B930">
        <f t="shared" si="29"/>
        <v>9</v>
      </c>
      <c r="C930" s="1">
        <v>46076</v>
      </c>
      <c r="D930" t="s">
        <v>25</v>
      </c>
      <c r="E930" t="s">
        <v>26</v>
      </c>
      <c r="F930" t="s">
        <v>61</v>
      </c>
      <c r="G930" t="s">
        <v>62</v>
      </c>
      <c r="H930" t="s">
        <v>29</v>
      </c>
      <c r="I930" t="s">
        <v>30</v>
      </c>
      <c r="J930" t="s">
        <v>51</v>
      </c>
      <c r="K930" t="s">
        <v>42</v>
      </c>
      <c r="L930" t="s">
        <v>630</v>
      </c>
      <c r="M930" s="4">
        <v>1</v>
      </c>
      <c r="N930" s="4">
        <v>1</v>
      </c>
      <c r="O930" s="2">
        <v>1</v>
      </c>
      <c r="P930" s="3">
        <v>1.1499999999999999</v>
      </c>
      <c r="Q930" s="3">
        <v>1.1499999999999999</v>
      </c>
      <c r="R930" s="3">
        <v>0</v>
      </c>
      <c r="S930" s="2"/>
      <c r="T930" s="5">
        <v>0</v>
      </c>
      <c r="U930" s="4">
        <v>0</v>
      </c>
      <c r="V930" s="4">
        <v>0</v>
      </c>
      <c r="W930" s="2">
        <v>0</v>
      </c>
      <c r="X930" s="4">
        <v>0</v>
      </c>
      <c r="Y930" s="4">
        <v>0</v>
      </c>
      <c r="Z930" s="3">
        <v>0</v>
      </c>
      <c r="AA930" s="3">
        <v>0</v>
      </c>
    </row>
    <row r="931" spans="1:27" x14ac:dyDescent="0.2">
      <c r="A931">
        <f t="shared" si="28"/>
        <v>2</v>
      </c>
      <c r="B931">
        <f t="shared" si="29"/>
        <v>9</v>
      </c>
      <c r="C931" s="1">
        <v>46078</v>
      </c>
      <c r="D931" t="s">
        <v>25</v>
      </c>
      <c r="E931" t="s">
        <v>26</v>
      </c>
      <c r="F931" t="s">
        <v>61</v>
      </c>
      <c r="G931" t="s">
        <v>62</v>
      </c>
      <c r="H931" t="s">
        <v>29</v>
      </c>
      <c r="I931" t="s">
        <v>30</v>
      </c>
      <c r="J931" t="s">
        <v>47</v>
      </c>
      <c r="K931" t="s">
        <v>42</v>
      </c>
      <c r="L931" t="s">
        <v>195</v>
      </c>
      <c r="M931" s="4">
        <v>12</v>
      </c>
      <c r="N931" s="4">
        <v>1</v>
      </c>
      <c r="O931" s="2">
        <v>8.3333333333333315E-2</v>
      </c>
      <c r="P931" s="3">
        <v>1.1599999999999999</v>
      </c>
      <c r="Q931" s="3">
        <v>1.1599999999999999</v>
      </c>
      <c r="R931" s="3">
        <v>0</v>
      </c>
      <c r="S931" s="2"/>
      <c r="T931" s="5">
        <v>0</v>
      </c>
      <c r="U931" s="4">
        <v>0</v>
      </c>
      <c r="V931" s="4">
        <v>0</v>
      </c>
      <c r="W931" s="2">
        <v>0</v>
      </c>
      <c r="X931" s="4">
        <v>0</v>
      </c>
      <c r="Y931" s="4">
        <v>0</v>
      </c>
      <c r="Z931" s="3">
        <v>0</v>
      </c>
      <c r="AA931" s="3">
        <v>0</v>
      </c>
    </row>
    <row r="932" spans="1:27" x14ac:dyDescent="0.2">
      <c r="A932">
        <f t="shared" si="28"/>
        <v>2</v>
      </c>
      <c r="B932">
        <f t="shared" si="29"/>
        <v>9</v>
      </c>
      <c r="C932" s="1">
        <v>46076</v>
      </c>
      <c r="D932" t="s">
        <v>25</v>
      </c>
      <c r="E932" t="s">
        <v>26</v>
      </c>
      <c r="F932" t="s">
        <v>112</v>
      </c>
      <c r="G932" t="s">
        <v>62</v>
      </c>
      <c r="H932" t="s">
        <v>29</v>
      </c>
      <c r="I932" t="s">
        <v>30</v>
      </c>
      <c r="J932" t="s">
        <v>173</v>
      </c>
      <c r="K932" t="s">
        <v>32</v>
      </c>
      <c r="L932" t="s">
        <v>195</v>
      </c>
      <c r="M932" s="4">
        <v>11</v>
      </c>
      <c r="N932" s="4">
        <v>1</v>
      </c>
      <c r="O932" s="2">
        <v>9.0909090909090925E-2</v>
      </c>
      <c r="P932" s="3">
        <v>0.68</v>
      </c>
      <c r="Q932" s="3">
        <v>0.68</v>
      </c>
      <c r="R932" s="3">
        <v>0</v>
      </c>
      <c r="S932" s="2"/>
      <c r="T932" s="5">
        <v>0</v>
      </c>
      <c r="U932" s="4">
        <v>0</v>
      </c>
      <c r="V932" s="4">
        <v>0</v>
      </c>
      <c r="W932" s="2">
        <v>0</v>
      </c>
      <c r="X932" s="4">
        <v>0</v>
      </c>
      <c r="Y932" s="4">
        <v>0</v>
      </c>
      <c r="Z932" s="3">
        <v>0</v>
      </c>
      <c r="AA932" s="3">
        <v>0</v>
      </c>
    </row>
    <row r="933" spans="1:27" x14ac:dyDescent="0.2">
      <c r="A933">
        <f t="shared" si="28"/>
        <v>2</v>
      </c>
      <c r="B933">
        <f t="shared" si="29"/>
        <v>9</v>
      </c>
      <c r="C933" s="1">
        <v>46081</v>
      </c>
      <c r="D933" t="s">
        <v>25</v>
      </c>
      <c r="E933" t="s">
        <v>26</v>
      </c>
      <c r="F933" t="s">
        <v>112</v>
      </c>
      <c r="G933" t="s">
        <v>62</v>
      </c>
      <c r="H933" t="s">
        <v>29</v>
      </c>
      <c r="I933" t="s">
        <v>30</v>
      </c>
      <c r="J933" t="s">
        <v>173</v>
      </c>
      <c r="K933" t="s">
        <v>32</v>
      </c>
      <c r="L933" t="s">
        <v>195</v>
      </c>
      <c r="M933" s="4">
        <v>20</v>
      </c>
      <c r="N933" s="4">
        <v>1</v>
      </c>
      <c r="O933" s="2">
        <v>0.05</v>
      </c>
      <c r="P933" s="3">
        <v>0.68</v>
      </c>
      <c r="Q933" s="3">
        <v>0.68</v>
      </c>
      <c r="R933" s="3">
        <v>0</v>
      </c>
      <c r="S933" s="2"/>
      <c r="T933" s="5">
        <v>0</v>
      </c>
      <c r="U933" s="4">
        <v>0</v>
      </c>
      <c r="V933" s="4">
        <v>0</v>
      </c>
      <c r="W933" s="2">
        <v>0</v>
      </c>
      <c r="X933" s="4">
        <v>0</v>
      </c>
      <c r="Y933" s="4">
        <v>0</v>
      </c>
      <c r="Z933" s="3">
        <v>0</v>
      </c>
      <c r="AA933" s="3">
        <v>0</v>
      </c>
    </row>
    <row r="934" spans="1:27" x14ac:dyDescent="0.2">
      <c r="A934">
        <f t="shared" si="28"/>
        <v>2</v>
      </c>
      <c r="B934">
        <f t="shared" si="29"/>
        <v>9</v>
      </c>
      <c r="C934" s="1">
        <v>46077</v>
      </c>
      <c r="D934" t="s">
        <v>25</v>
      </c>
      <c r="E934" t="s">
        <v>26</v>
      </c>
      <c r="F934" t="s">
        <v>61</v>
      </c>
      <c r="G934" t="s">
        <v>62</v>
      </c>
      <c r="H934" t="s">
        <v>29</v>
      </c>
      <c r="I934" t="s">
        <v>30</v>
      </c>
      <c r="J934" t="s">
        <v>95</v>
      </c>
      <c r="K934" t="s">
        <v>42</v>
      </c>
      <c r="L934" t="s">
        <v>196</v>
      </c>
      <c r="M934" s="4">
        <v>23</v>
      </c>
      <c r="N934" s="4">
        <v>1</v>
      </c>
      <c r="O934" s="2">
        <v>4.3478260869565216E-2</v>
      </c>
      <c r="P934" s="3">
        <v>1.05</v>
      </c>
      <c r="Q934" s="3">
        <v>1.05</v>
      </c>
      <c r="R934" s="3">
        <v>0</v>
      </c>
      <c r="S934" s="2"/>
      <c r="T934" s="5">
        <v>0</v>
      </c>
      <c r="U934" s="4">
        <v>0</v>
      </c>
      <c r="V934" s="4">
        <v>0</v>
      </c>
      <c r="W934" s="2">
        <v>0</v>
      </c>
      <c r="X934" s="4">
        <v>0</v>
      </c>
      <c r="Y934" s="4">
        <v>0</v>
      </c>
      <c r="Z934" s="3">
        <v>0</v>
      </c>
      <c r="AA934" s="3">
        <v>0</v>
      </c>
    </row>
    <row r="935" spans="1:27" x14ac:dyDescent="0.2">
      <c r="A935">
        <f t="shared" si="28"/>
        <v>2</v>
      </c>
      <c r="B935">
        <f t="shared" si="29"/>
        <v>9</v>
      </c>
      <c r="C935" s="1">
        <v>46076</v>
      </c>
      <c r="D935" t="s">
        <v>25</v>
      </c>
      <c r="E935" t="s">
        <v>26</v>
      </c>
      <c r="F935" t="s">
        <v>27</v>
      </c>
      <c r="G935" t="s">
        <v>28</v>
      </c>
      <c r="H935" t="s">
        <v>29</v>
      </c>
      <c r="I935" t="s">
        <v>30</v>
      </c>
      <c r="J935" t="s">
        <v>119</v>
      </c>
      <c r="K935" t="s">
        <v>32</v>
      </c>
      <c r="L935" t="s">
        <v>631</v>
      </c>
      <c r="M935" s="4">
        <v>1</v>
      </c>
      <c r="N935" s="4">
        <v>1</v>
      </c>
      <c r="O935" s="2">
        <v>1</v>
      </c>
      <c r="P935" s="3">
        <v>0.17</v>
      </c>
      <c r="Q935" s="3">
        <v>0.17</v>
      </c>
      <c r="R935" s="3">
        <v>0</v>
      </c>
      <c r="S935" s="2"/>
      <c r="T935" s="5">
        <v>0</v>
      </c>
      <c r="U935" s="4">
        <v>0</v>
      </c>
      <c r="V935" s="4">
        <v>0</v>
      </c>
      <c r="W935" s="2">
        <v>0</v>
      </c>
      <c r="X935" s="4">
        <v>0</v>
      </c>
      <c r="Y935" s="4">
        <v>0</v>
      </c>
      <c r="Z935" s="3">
        <v>0</v>
      </c>
      <c r="AA935" s="3">
        <v>0</v>
      </c>
    </row>
    <row r="936" spans="1:27" x14ac:dyDescent="0.2">
      <c r="A936">
        <f t="shared" si="28"/>
        <v>2</v>
      </c>
      <c r="B936">
        <f t="shared" si="29"/>
        <v>9</v>
      </c>
      <c r="C936" s="1">
        <v>46075</v>
      </c>
      <c r="D936" t="s">
        <v>25</v>
      </c>
      <c r="E936" t="s">
        <v>26</v>
      </c>
      <c r="F936" t="s">
        <v>49</v>
      </c>
      <c r="G936" t="s">
        <v>50</v>
      </c>
      <c r="H936" t="s">
        <v>29</v>
      </c>
      <c r="I936" t="s">
        <v>30</v>
      </c>
      <c r="J936" t="s">
        <v>95</v>
      </c>
      <c r="K936" t="s">
        <v>42</v>
      </c>
      <c r="L936" t="s">
        <v>632</v>
      </c>
      <c r="M936" s="4">
        <v>2</v>
      </c>
      <c r="N936" s="4">
        <v>1</v>
      </c>
      <c r="O936" s="2">
        <v>0.5</v>
      </c>
      <c r="P936" s="3">
        <v>0.54</v>
      </c>
      <c r="Q936" s="3">
        <v>0.54</v>
      </c>
      <c r="R936" s="3">
        <v>0</v>
      </c>
      <c r="S936" s="2"/>
      <c r="T936" s="5">
        <v>0</v>
      </c>
      <c r="U936" s="4">
        <v>0</v>
      </c>
      <c r="V936" s="4">
        <v>0</v>
      </c>
      <c r="W936" s="2">
        <v>0</v>
      </c>
      <c r="X936" s="4">
        <v>0</v>
      </c>
      <c r="Y936" s="4">
        <v>0</v>
      </c>
      <c r="Z936" s="3">
        <v>0</v>
      </c>
      <c r="AA936" s="3">
        <v>0</v>
      </c>
    </row>
    <row r="937" spans="1:27" x14ac:dyDescent="0.2">
      <c r="A937">
        <f t="shared" si="28"/>
        <v>2</v>
      </c>
      <c r="B937">
        <f t="shared" si="29"/>
        <v>9</v>
      </c>
      <c r="C937" s="1">
        <v>46080</v>
      </c>
      <c r="D937" t="s">
        <v>25</v>
      </c>
      <c r="E937" t="s">
        <v>26</v>
      </c>
      <c r="F937" t="s">
        <v>27</v>
      </c>
      <c r="G937" t="s">
        <v>28</v>
      </c>
      <c r="H937" t="s">
        <v>29</v>
      </c>
      <c r="I937" t="s">
        <v>30</v>
      </c>
      <c r="J937" t="s">
        <v>119</v>
      </c>
      <c r="K937" t="s">
        <v>32</v>
      </c>
      <c r="L937" t="s">
        <v>633</v>
      </c>
      <c r="M937" s="4">
        <v>2</v>
      </c>
      <c r="N937" s="4">
        <v>1</v>
      </c>
      <c r="O937" s="2">
        <v>0.5</v>
      </c>
      <c r="P937" s="3">
        <v>0.3</v>
      </c>
      <c r="Q937" s="3">
        <v>0.3</v>
      </c>
      <c r="R937" s="3">
        <v>0</v>
      </c>
      <c r="S937" s="2"/>
      <c r="T937" s="5">
        <v>0</v>
      </c>
      <c r="U937" s="4">
        <v>0</v>
      </c>
      <c r="V937" s="4">
        <v>0</v>
      </c>
      <c r="W937" s="2">
        <v>0</v>
      </c>
      <c r="X937" s="4">
        <v>0</v>
      </c>
      <c r="Y937" s="4">
        <v>0</v>
      </c>
      <c r="Z937" s="3">
        <v>0</v>
      </c>
      <c r="AA937" s="3">
        <v>0</v>
      </c>
    </row>
    <row r="938" spans="1:27" x14ac:dyDescent="0.2">
      <c r="A938">
        <f t="shared" si="28"/>
        <v>2</v>
      </c>
      <c r="B938">
        <f t="shared" si="29"/>
        <v>9</v>
      </c>
      <c r="C938" s="1">
        <v>46076</v>
      </c>
      <c r="D938" t="s">
        <v>25</v>
      </c>
      <c r="E938" t="s">
        <v>26</v>
      </c>
      <c r="F938" t="s">
        <v>27</v>
      </c>
      <c r="G938" t="s">
        <v>28</v>
      </c>
      <c r="H938" t="s">
        <v>29</v>
      </c>
      <c r="I938" t="s">
        <v>30</v>
      </c>
      <c r="J938" t="s">
        <v>50</v>
      </c>
      <c r="K938" t="s">
        <v>32</v>
      </c>
      <c r="L938" t="s">
        <v>207</v>
      </c>
      <c r="M938" s="4">
        <v>4</v>
      </c>
      <c r="N938" s="4">
        <v>1</v>
      </c>
      <c r="O938" s="2">
        <v>0.25</v>
      </c>
      <c r="P938" s="3">
        <v>0.21</v>
      </c>
      <c r="Q938" s="3">
        <v>0.21</v>
      </c>
      <c r="R938" s="3">
        <v>0</v>
      </c>
      <c r="S938" s="2"/>
      <c r="T938" s="5">
        <v>0</v>
      </c>
      <c r="U938" s="4">
        <v>0</v>
      </c>
      <c r="V938" s="4">
        <v>0</v>
      </c>
      <c r="W938" s="2">
        <v>0</v>
      </c>
      <c r="X938" s="4">
        <v>0</v>
      </c>
      <c r="Y938" s="4">
        <v>0</v>
      </c>
      <c r="Z938" s="3">
        <v>0</v>
      </c>
      <c r="AA938" s="3">
        <v>0</v>
      </c>
    </row>
    <row r="939" spans="1:27" x14ac:dyDescent="0.2">
      <c r="A939">
        <f t="shared" si="28"/>
        <v>2</v>
      </c>
      <c r="B939">
        <f t="shared" si="29"/>
        <v>9</v>
      </c>
      <c r="C939" s="1">
        <v>46077</v>
      </c>
      <c r="D939" t="s">
        <v>25</v>
      </c>
      <c r="E939" t="s">
        <v>26</v>
      </c>
      <c r="F939" t="s">
        <v>27</v>
      </c>
      <c r="G939" t="s">
        <v>28</v>
      </c>
      <c r="H939" t="s">
        <v>29</v>
      </c>
      <c r="I939" t="s">
        <v>30</v>
      </c>
      <c r="J939" t="s">
        <v>50</v>
      </c>
      <c r="K939" t="s">
        <v>32</v>
      </c>
      <c r="L939" t="s">
        <v>207</v>
      </c>
      <c r="M939" s="4">
        <v>4</v>
      </c>
      <c r="N939" s="4">
        <v>1</v>
      </c>
      <c r="O939" s="2">
        <v>0.25</v>
      </c>
      <c r="P939" s="3">
        <v>0.21</v>
      </c>
      <c r="Q939" s="3">
        <v>0.21</v>
      </c>
      <c r="R939" s="3">
        <v>0</v>
      </c>
      <c r="S939" s="2"/>
      <c r="T939" s="5">
        <v>0</v>
      </c>
      <c r="U939" s="4">
        <v>0</v>
      </c>
      <c r="V939" s="4">
        <v>0</v>
      </c>
      <c r="W939" s="2">
        <v>0</v>
      </c>
      <c r="X939" s="4">
        <v>0</v>
      </c>
      <c r="Y939" s="4">
        <v>0</v>
      </c>
      <c r="Z939" s="3">
        <v>0</v>
      </c>
      <c r="AA939" s="3">
        <v>0</v>
      </c>
    </row>
    <row r="940" spans="1:27" x14ac:dyDescent="0.2">
      <c r="A940">
        <f t="shared" si="28"/>
        <v>2</v>
      </c>
      <c r="B940">
        <f t="shared" si="29"/>
        <v>9</v>
      </c>
      <c r="C940" s="1">
        <v>46079</v>
      </c>
      <c r="D940" t="s">
        <v>25</v>
      </c>
      <c r="E940" t="s">
        <v>26</v>
      </c>
      <c r="F940" t="s">
        <v>27</v>
      </c>
      <c r="G940" t="s">
        <v>28</v>
      </c>
      <c r="H940" t="s">
        <v>29</v>
      </c>
      <c r="I940" t="s">
        <v>30</v>
      </c>
      <c r="J940" t="s">
        <v>119</v>
      </c>
      <c r="K940" t="s">
        <v>32</v>
      </c>
      <c r="L940" t="s">
        <v>213</v>
      </c>
      <c r="M940" s="4">
        <v>1</v>
      </c>
      <c r="N940" s="4">
        <v>1</v>
      </c>
      <c r="O940" s="2">
        <v>1</v>
      </c>
      <c r="P940" s="3">
        <v>0.17</v>
      </c>
      <c r="Q940" s="3">
        <v>0.17</v>
      </c>
      <c r="R940" s="3">
        <v>17.09</v>
      </c>
      <c r="S940" s="2">
        <v>9.9473376243417212E-3</v>
      </c>
      <c r="T940" s="5">
        <v>100.52941176470587</v>
      </c>
      <c r="U940" s="4">
        <v>1</v>
      </c>
      <c r="V940" s="4">
        <v>1</v>
      </c>
      <c r="W940" s="2">
        <v>1</v>
      </c>
      <c r="X940" s="4">
        <v>1</v>
      </c>
      <c r="Y940" s="4">
        <v>0</v>
      </c>
      <c r="Z940" s="3">
        <v>17.09</v>
      </c>
      <c r="AA940" s="3">
        <v>0</v>
      </c>
    </row>
    <row r="941" spans="1:27" x14ac:dyDescent="0.2">
      <c r="A941">
        <f t="shared" si="28"/>
        <v>2</v>
      </c>
      <c r="B941">
        <f t="shared" si="29"/>
        <v>9</v>
      </c>
      <c r="C941" s="1">
        <v>46079</v>
      </c>
      <c r="D941" t="s">
        <v>25</v>
      </c>
      <c r="E941" t="s">
        <v>26</v>
      </c>
      <c r="F941" t="s">
        <v>49</v>
      </c>
      <c r="G941" t="s">
        <v>50</v>
      </c>
      <c r="H941" t="s">
        <v>29</v>
      </c>
      <c r="I941" t="s">
        <v>30</v>
      </c>
      <c r="J941" t="s">
        <v>95</v>
      </c>
      <c r="K941" t="s">
        <v>42</v>
      </c>
      <c r="L941" t="s">
        <v>634</v>
      </c>
      <c r="M941" s="4">
        <v>1</v>
      </c>
      <c r="N941" s="4">
        <v>1</v>
      </c>
      <c r="O941" s="2">
        <v>1</v>
      </c>
      <c r="P941" s="3">
        <v>0.43</v>
      </c>
      <c r="Q941" s="3">
        <v>0.43</v>
      </c>
      <c r="R941" s="3">
        <v>0</v>
      </c>
      <c r="S941" s="2"/>
      <c r="T941" s="5">
        <v>0</v>
      </c>
      <c r="U941" s="4">
        <v>0</v>
      </c>
      <c r="V941" s="4">
        <v>0</v>
      </c>
      <c r="W941" s="2">
        <v>0</v>
      </c>
      <c r="X941" s="4">
        <v>0</v>
      </c>
      <c r="Y941" s="4">
        <v>0</v>
      </c>
      <c r="Z941" s="3">
        <v>0</v>
      </c>
      <c r="AA941" s="3">
        <v>0</v>
      </c>
    </row>
    <row r="942" spans="1:27" x14ac:dyDescent="0.2">
      <c r="A942">
        <f t="shared" si="28"/>
        <v>2</v>
      </c>
      <c r="B942">
        <f t="shared" si="29"/>
        <v>9</v>
      </c>
      <c r="C942" s="1">
        <v>46075</v>
      </c>
      <c r="D942" t="s">
        <v>25</v>
      </c>
      <c r="E942" t="s">
        <v>26</v>
      </c>
      <c r="F942" t="s">
        <v>27</v>
      </c>
      <c r="G942" t="s">
        <v>28</v>
      </c>
      <c r="H942" t="s">
        <v>29</v>
      </c>
      <c r="I942" t="s">
        <v>30</v>
      </c>
      <c r="J942" t="s">
        <v>50</v>
      </c>
      <c r="K942" t="s">
        <v>32</v>
      </c>
      <c r="L942" t="s">
        <v>635</v>
      </c>
      <c r="M942" s="4">
        <v>1</v>
      </c>
      <c r="N942" s="4">
        <v>1</v>
      </c>
      <c r="O942" s="2">
        <v>1</v>
      </c>
      <c r="P942" s="3">
        <v>0.4</v>
      </c>
      <c r="Q942" s="3">
        <v>0.4</v>
      </c>
      <c r="R942" s="3">
        <v>0</v>
      </c>
      <c r="S942" s="2"/>
      <c r="T942" s="5">
        <v>0</v>
      </c>
      <c r="U942" s="4">
        <v>0</v>
      </c>
      <c r="V942" s="4">
        <v>0</v>
      </c>
      <c r="W942" s="2">
        <v>0</v>
      </c>
      <c r="X942" s="4">
        <v>0</v>
      </c>
      <c r="Y942" s="4">
        <v>0</v>
      </c>
      <c r="Z942" s="3">
        <v>0</v>
      </c>
      <c r="AA942" s="3">
        <v>0</v>
      </c>
    </row>
    <row r="943" spans="1:27" x14ac:dyDescent="0.2">
      <c r="A943">
        <f t="shared" si="28"/>
        <v>2</v>
      </c>
      <c r="B943">
        <f t="shared" si="29"/>
        <v>9</v>
      </c>
      <c r="C943" s="1">
        <v>46075</v>
      </c>
      <c r="D943" t="s">
        <v>25</v>
      </c>
      <c r="E943" t="s">
        <v>26</v>
      </c>
      <c r="F943" t="s">
        <v>39</v>
      </c>
      <c r="G943" t="s">
        <v>40</v>
      </c>
      <c r="H943" t="s">
        <v>29</v>
      </c>
      <c r="I943" t="s">
        <v>30</v>
      </c>
      <c r="J943" t="s">
        <v>70</v>
      </c>
      <c r="K943" t="s">
        <v>42</v>
      </c>
      <c r="L943" t="s">
        <v>500</v>
      </c>
      <c r="M943" s="4">
        <v>3</v>
      </c>
      <c r="N943" s="4">
        <v>1</v>
      </c>
      <c r="O943" s="2">
        <v>0.33333333333333331</v>
      </c>
      <c r="P943" s="3">
        <v>0.56000000000000005</v>
      </c>
      <c r="Q943" s="3">
        <v>0.56000000000000005</v>
      </c>
      <c r="R943" s="3">
        <v>0</v>
      </c>
      <c r="S943" s="2"/>
      <c r="T943" s="5">
        <v>0</v>
      </c>
      <c r="U943" s="4">
        <v>0</v>
      </c>
      <c r="V943" s="4">
        <v>0</v>
      </c>
      <c r="W943" s="2">
        <v>0</v>
      </c>
      <c r="X943" s="4">
        <v>0</v>
      </c>
      <c r="Y943" s="4">
        <v>0</v>
      </c>
      <c r="Z943" s="3">
        <v>0</v>
      </c>
      <c r="AA943" s="3">
        <v>0</v>
      </c>
    </row>
    <row r="944" spans="1:27" x14ac:dyDescent="0.2">
      <c r="A944">
        <f t="shared" si="28"/>
        <v>2</v>
      </c>
      <c r="B944">
        <f t="shared" si="29"/>
        <v>9</v>
      </c>
      <c r="C944" s="1">
        <v>46080</v>
      </c>
      <c r="D944" t="s">
        <v>25</v>
      </c>
      <c r="E944" t="s">
        <v>26</v>
      </c>
      <c r="F944" t="s">
        <v>39</v>
      </c>
      <c r="G944" t="s">
        <v>40</v>
      </c>
      <c r="H944" t="s">
        <v>29</v>
      </c>
      <c r="I944" t="s">
        <v>30</v>
      </c>
      <c r="J944" t="s">
        <v>70</v>
      </c>
      <c r="K944" t="s">
        <v>42</v>
      </c>
      <c r="L944" t="s">
        <v>636</v>
      </c>
      <c r="M944" s="4">
        <v>2</v>
      </c>
      <c r="N944" s="4">
        <v>1</v>
      </c>
      <c r="O944" s="2">
        <v>0.5</v>
      </c>
      <c r="P944" s="3">
        <v>0.57999999999999996</v>
      </c>
      <c r="Q944" s="3">
        <v>0.57999999999999996</v>
      </c>
      <c r="R944" s="3">
        <v>0</v>
      </c>
      <c r="S944" s="2"/>
      <c r="T944" s="5">
        <v>0</v>
      </c>
      <c r="U944" s="4">
        <v>0</v>
      </c>
      <c r="V944" s="4">
        <v>0</v>
      </c>
      <c r="W944" s="2">
        <v>0</v>
      </c>
      <c r="X944" s="4">
        <v>0</v>
      </c>
      <c r="Y944" s="4">
        <v>0</v>
      </c>
      <c r="Z944" s="3">
        <v>0</v>
      </c>
      <c r="AA944" s="3">
        <v>0</v>
      </c>
    </row>
    <row r="945" spans="1:27" x14ac:dyDescent="0.2">
      <c r="A945">
        <f t="shared" si="28"/>
        <v>2</v>
      </c>
      <c r="B945">
        <f t="shared" si="29"/>
        <v>9</v>
      </c>
      <c r="C945" s="1">
        <v>46079</v>
      </c>
      <c r="D945" t="s">
        <v>25</v>
      </c>
      <c r="E945" t="s">
        <v>26</v>
      </c>
      <c r="F945" t="s">
        <v>27</v>
      </c>
      <c r="G945" t="s">
        <v>124</v>
      </c>
      <c r="H945" t="s">
        <v>29</v>
      </c>
      <c r="I945" t="s">
        <v>30</v>
      </c>
      <c r="J945" t="s">
        <v>101</v>
      </c>
      <c r="K945" t="s">
        <v>87</v>
      </c>
      <c r="L945" t="s">
        <v>220</v>
      </c>
      <c r="M945" s="4">
        <v>6</v>
      </c>
      <c r="N945" s="4">
        <v>1</v>
      </c>
      <c r="O945" s="2">
        <v>0.16666666666666663</v>
      </c>
      <c r="P945" s="3">
        <v>0.2</v>
      </c>
      <c r="Q945" s="3">
        <v>0.2</v>
      </c>
      <c r="R945" s="3">
        <v>0</v>
      </c>
      <c r="S945" s="2"/>
      <c r="T945" s="5">
        <v>0</v>
      </c>
      <c r="U945" s="4">
        <v>0</v>
      </c>
      <c r="V945" s="4">
        <v>0</v>
      </c>
      <c r="W945" s="2">
        <v>0</v>
      </c>
      <c r="X945" s="4">
        <v>0</v>
      </c>
      <c r="Y945" s="4">
        <v>0</v>
      </c>
      <c r="Z945" s="3">
        <v>0</v>
      </c>
      <c r="AA945" s="3">
        <v>0</v>
      </c>
    </row>
    <row r="946" spans="1:27" x14ac:dyDescent="0.2">
      <c r="A946">
        <f t="shared" si="28"/>
        <v>2</v>
      </c>
      <c r="B946">
        <f t="shared" si="29"/>
        <v>9</v>
      </c>
      <c r="C946" s="1">
        <v>46080</v>
      </c>
      <c r="D946" t="s">
        <v>25</v>
      </c>
      <c r="E946" t="s">
        <v>26</v>
      </c>
      <c r="F946" t="s">
        <v>27</v>
      </c>
      <c r="G946" t="s">
        <v>28</v>
      </c>
      <c r="H946" t="s">
        <v>29</v>
      </c>
      <c r="I946" t="s">
        <v>30</v>
      </c>
      <c r="J946" t="s">
        <v>37</v>
      </c>
      <c r="K946" t="s">
        <v>32</v>
      </c>
      <c r="L946" t="s">
        <v>637</v>
      </c>
      <c r="M946" s="4">
        <v>2</v>
      </c>
      <c r="N946" s="4">
        <v>1</v>
      </c>
      <c r="O946" s="2">
        <v>0.5</v>
      </c>
      <c r="P946" s="3">
        <v>0.08</v>
      </c>
      <c r="Q946" s="3">
        <v>0.08</v>
      </c>
      <c r="R946" s="3">
        <v>0</v>
      </c>
      <c r="S946" s="2"/>
      <c r="T946" s="5">
        <v>0</v>
      </c>
      <c r="U946" s="4">
        <v>0</v>
      </c>
      <c r="V946" s="4">
        <v>0</v>
      </c>
      <c r="W946" s="2">
        <v>0</v>
      </c>
      <c r="X946" s="4">
        <v>0</v>
      </c>
      <c r="Y946" s="4">
        <v>0</v>
      </c>
      <c r="Z946" s="3">
        <v>0</v>
      </c>
      <c r="AA946" s="3">
        <v>0</v>
      </c>
    </row>
    <row r="947" spans="1:27" x14ac:dyDescent="0.2">
      <c r="A947">
        <f t="shared" si="28"/>
        <v>2</v>
      </c>
      <c r="B947">
        <f t="shared" si="29"/>
        <v>9</v>
      </c>
      <c r="C947" s="1">
        <v>46078</v>
      </c>
      <c r="D947" t="s">
        <v>25</v>
      </c>
      <c r="E947" t="s">
        <v>26</v>
      </c>
      <c r="F947" t="s">
        <v>53</v>
      </c>
      <c r="G947" t="s">
        <v>54</v>
      </c>
      <c r="H947" t="s">
        <v>29</v>
      </c>
      <c r="I947" t="s">
        <v>30</v>
      </c>
      <c r="J947" t="s">
        <v>47</v>
      </c>
      <c r="K947" t="s">
        <v>42</v>
      </c>
      <c r="L947" t="s">
        <v>638</v>
      </c>
      <c r="M947" s="4">
        <v>1</v>
      </c>
      <c r="N947" s="4">
        <v>1</v>
      </c>
      <c r="O947" s="2">
        <v>1</v>
      </c>
      <c r="P947" s="3">
        <v>0.99</v>
      </c>
      <c r="Q947" s="3">
        <v>0.99</v>
      </c>
      <c r="R947" s="3">
        <v>0</v>
      </c>
      <c r="S947" s="2"/>
      <c r="T947" s="5">
        <v>0</v>
      </c>
      <c r="U947" s="4">
        <v>0</v>
      </c>
      <c r="V947" s="4">
        <v>0</v>
      </c>
      <c r="W947" s="2">
        <v>0</v>
      </c>
      <c r="X947" s="4">
        <v>0</v>
      </c>
      <c r="Y947" s="4">
        <v>0</v>
      </c>
      <c r="Z947" s="3">
        <v>0</v>
      </c>
      <c r="AA947" s="3">
        <v>0</v>
      </c>
    </row>
    <row r="948" spans="1:27" x14ac:dyDescent="0.2">
      <c r="A948">
        <f t="shared" si="28"/>
        <v>2</v>
      </c>
      <c r="B948">
        <f t="shared" si="29"/>
        <v>9</v>
      </c>
      <c r="C948" s="1">
        <v>46081</v>
      </c>
      <c r="D948" t="s">
        <v>25</v>
      </c>
      <c r="E948" t="s">
        <v>26</v>
      </c>
      <c r="F948" t="s">
        <v>53</v>
      </c>
      <c r="G948" t="s">
        <v>54</v>
      </c>
      <c r="H948" t="s">
        <v>29</v>
      </c>
      <c r="I948" t="s">
        <v>30</v>
      </c>
      <c r="J948" t="s">
        <v>47</v>
      </c>
      <c r="K948" t="s">
        <v>42</v>
      </c>
      <c r="L948" t="s">
        <v>638</v>
      </c>
      <c r="M948" s="4">
        <v>3</v>
      </c>
      <c r="N948" s="4">
        <v>1</v>
      </c>
      <c r="O948" s="2">
        <v>0.33333333333333331</v>
      </c>
      <c r="P948" s="3">
        <v>0.99</v>
      </c>
      <c r="Q948" s="3">
        <v>0.99</v>
      </c>
      <c r="R948" s="3">
        <v>0</v>
      </c>
      <c r="S948" s="2"/>
      <c r="T948" s="5">
        <v>0</v>
      </c>
      <c r="U948" s="4">
        <v>0</v>
      </c>
      <c r="V948" s="4">
        <v>0</v>
      </c>
      <c r="W948" s="2">
        <v>0</v>
      </c>
      <c r="X948" s="4">
        <v>0</v>
      </c>
      <c r="Y948" s="4">
        <v>0</v>
      </c>
      <c r="Z948" s="3">
        <v>0</v>
      </c>
      <c r="AA948" s="3">
        <v>0</v>
      </c>
    </row>
    <row r="949" spans="1:27" x14ac:dyDescent="0.2">
      <c r="A949">
        <f t="shared" si="28"/>
        <v>2</v>
      </c>
      <c r="B949">
        <f t="shared" si="29"/>
        <v>9</v>
      </c>
      <c r="C949" s="1">
        <v>46075</v>
      </c>
      <c r="D949" t="s">
        <v>25</v>
      </c>
      <c r="E949" t="s">
        <v>26</v>
      </c>
      <c r="F949" t="s">
        <v>53</v>
      </c>
      <c r="G949" t="s">
        <v>54</v>
      </c>
      <c r="H949" t="s">
        <v>29</v>
      </c>
      <c r="I949" t="s">
        <v>30</v>
      </c>
      <c r="J949" t="s">
        <v>47</v>
      </c>
      <c r="K949" t="s">
        <v>42</v>
      </c>
      <c r="L949" t="s">
        <v>639</v>
      </c>
      <c r="M949" s="4">
        <v>1</v>
      </c>
      <c r="N949" s="4">
        <v>1</v>
      </c>
      <c r="O949" s="2">
        <v>1</v>
      </c>
      <c r="P949" s="3">
        <v>0.61</v>
      </c>
      <c r="Q949" s="3">
        <v>0.61</v>
      </c>
      <c r="R949" s="3">
        <v>0</v>
      </c>
      <c r="S949" s="2"/>
      <c r="T949" s="5">
        <v>0</v>
      </c>
      <c r="U949" s="4">
        <v>0</v>
      </c>
      <c r="V949" s="4">
        <v>0</v>
      </c>
      <c r="W949" s="2">
        <v>0</v>
      </c>
      <c r="X949" s="4">
        <v>0</v>
      </c>
      <c r="Y949" s="4">
        <v>0</v>
      </c>
      <c r="Z949" s="3">
        <v>0</v>
      </c>
      <c r="AA949" s="3">
        <v>0</v>
      </c>
    </row>
    <row r="950" spans="1:27" x14ac:dyDescent="0.2">
      <c r="A950">
        <f t="shared" si="28"/>
        <v>2</v>
      </c>
      <c r="B950">
        <f t="shared" si="29"/>
        <v>9</v>
      </c>
      <c r="C950" s="1">
        <v>46080</v>
      </c>
      <c r="D950" t="s">
        <v>25</v>
      </c>
      <c r="E950" t="s">
        <v>26</v>
      </c>
      <c r="F950" t="s">
        <v>61</v>
      </c>
      <c r="G950" t="s">
        <v>62</v>
      </c>
      <c r="H950" t="s">
        <v>29</v>
      </c>
      <c r="I950" t="s">
        <v>30</v>
      </c>
      <c r="J950" t="s">
        <v>47</v>
      </c>
      <c r="K950" t="s">
        <v>42</v>
      </c>
      <c r="L950" t="s">
        <v>354</v>
      </c>
      <c r="M950" s="4">
        <v>18</v>
      </c>
      <c r="N950" s="4">
        <v>1</v>
      </c>
      <c r="O950" s="2">
        <v>5.5555555555555552E-2</v>
      </c>
      <c r="P950" s="3">
        <v>1.03</v>
      </c>
      <c r="Q950" s="3">
        <v>1.03</v>
      </c>
      <c r="R950" s="3">
        <v>0</v>
      </c>
      <c r="S950" s="2"/>
      <c r="T950" s="5">
        <v>0</v>
      </c>
      <c r="U950" s="4">
        <v>0</v>
      </c>
      <c r="V950" s="4">
        <v>0</v>
      </c>
      <c r="W950" s="2">
        <v>0</v>
      </c>
      <c r="X950" s="4">
        <v>0</v>
      </c>
      <c r="Y950" s="4">
        <v>0</v>
      </c>
      <c r="Z950" s="3">
        <v>0</v>
      </c>
      <c r="AA950" s="3">
        <v>0</v>
      </c>
    </row>
    <row r="951" spans="1:27" x14ac:dyDescent="0.2">
      <c r="A951">
        <f t="shared" si="28"/>
        <v>2</v>
      </c>
      <c r="B951">
        <f t="shared" si="29"/>
        <v>9</v>
      </c>
      <c r="C951" s="1">
        <v>46080</v>
      </c>
      <c r="D951" t="s">
        <v>25</v>
      </c>
      <c r="E951" t="s">
        <v>26</v>
      </c>
      <c r="F951" t="s">
        <v>61</v>
      </c>
      <c r="G951" t="s">
        <v>62</v>
      </c>
      <c r="H951" t="s">
        <v>29</v>
      </c>
      <c r="I951" t="s">
        <v>30</v>
      </c>
      <c r="J951" t="s">
        <v>47</v>
      </c>
      <c r="K951" t="s">
        <v>42</v>
      </c>
      <c r="L951" t="s">
        <v>640</v>
      </c>
      <c r="M951" s="4">
        <v>89</v>
      </c>
      <c r="N951" s="4">
        <v>1</v>
      </c>
      <c r="O951" s="2">
        <v>1.1235955056179777E-2</v>
      </c>
      <c r="P951" s="3">
        <v>1.1499999999999999</v>
      </c>
      <c r="Q951" s="3">
        <v>1.1499999999999999</v>
      </c>
      <c r="R951" s="3">
        <v>0</v>
      </c>
      <c r="S951" s="2"/>
      <c r="T951" s="5">
        <v>0</v>
      </c>
      <c r="U951" s="4">
        <v>0</v>
      </c>
      <c r="V951" s="4">
        <v>0</v>
      </c>
      <c r="W951" s="2">
        <v>0</v>
      </c>
      <c r="X951" s="4">
        <v>0</v>
      </c>
      <c r="Y951" s="4">
        <v>0</v>
      </c>
      <c r="Z951" s="3">
        <v>0</v>
      </c>
      <c r="AA951" s="3">
        <v>0</v>
      </c>
    </row>
    <row r="952" spans="1:27" x14ac:dyDescent="0.2">
      <c r="A952">
        <f t="shared" si="28"/>
        <v>2</v>
      </c>
      <c r="B952">
        <f t="shared" si="29"/>
        <v>9</v>
      </c>
      <c r="C952" s="1">
        <v>46079</v>
      </c>
      <c r="D952" t="s">
        <v>25</v>
      </c>
      <c r="E952" t="s">
        <v>26</v>
      </c>
      <c r="F952" t="s">
        <v>61</v>
      </c>
      <c r="G952" t="s">
        <v>62</v>
      </c>
      <c r="H952" t="s">
        <v>29</v>
      </c>
      <c r="I952" t="s">
        <v>30</v>
      </c>
      <c r="J952" t="s">
        <v>47</v>
      </c>
      <c r="K952" t="s">
        <v>42</v>
      </c>
      <c r="L952" t="s">
        <v>232</v>
      </c>
      <c r="M952" s="4">
        <v>13</v>
      </c>
      <c r="N952" s="4">
        <v>1</v>
      </c>
      <c r="O952" s="2">
        <v>7.6923076923076927E-2</v>
      </c>
      <c r="P952" s="3">
        <v>1.22</v>
      </c>
      <c r="Q952" s="3">
        <v>1.22</v>
      </c>
      <c r="R952" s="3">
        <v>0</v>
      </c>
      <c r="S952" s="2"/>
      <c r="T952" s="5">
        <v>0</v>
      </c>
      <c r="U952" s="4">
        <v>0</v>
      </c>
      <c r="V952" s="4">
        <v>0</v>
      </c>
      <c r="W952" s="2">
        <v>0</v>
      </c>
      <c r="X952" s="4">
        <v>0</v>
      </c>
      <c r="Y952" s="4">
        <v>0</v>
      </c>
      <c r="Z952" s="3">
        <v>0</v>
      </c>
      <c r="AA952" s="3">
        <v>0</v>
      </c>
    </row>
    <row r="953" spans="1:27" x14ac:dyDescent="0.2">
      <c r="A953">
        <f t="shared" si="28"/>
        <v>2</v>
      </c>
      <c r="B953">
        <f t="shared" si="29"/>
        <v>9</v>
      </c>
      <c r="C953" s="1">
        <v>46076</v>
      </c>
      <c r="D953" t="s">
        <v>25</v>
      </c>
      <c r="E953" t="s">
        <v>26</v>
      </c>
      <c r="F953" t="s">
        <v>53</v>
      </c>
      <c r="G953" t="s">
        <v>54</v>
      </c>
      <c r="H953" t="s">
        <v>29</v>
      </c>
      <c r="I953" t="s">
        <v>30</v>
      </c>
      <c r="J953" t="s">
        <v>47</v>
      </c>
      <c r="K953" t="s">
        <v>42</v>
      </c>
      <c r="L953" t="s">
        <v>641</v>
      </c>
      <c r="M953" s="4">
        <v>2</v>
      </c>
      <c r="N953" s="4">
        <v>1</v>
      </c>
      <c r="O953" s="2">
        <v>0.5</v>
      </c>
      <c r="P953" s="3">
        <v>0.99</v>
      </c>
      <c r="Q953" s="3">
        <v>0.99</v>
      </c>
      <c r="R953" s="3">
        <v>0</v>
      </c>
      <c r="S953" s="2"/>
      <c r="T953" s="5">
        <v>0</v>
      </c>
      <c r="U953" s="4">
        <v>0</v>
      </c>
      <c r="V953" s="4">
        <v>0</v>
      </c>
      <c r="W953" s="2">
        <v>0</v>
      </c>
      <c r="X953" s="4">
        <v>0</v>
      </c>
      <c r="Y953" s="4">
        <v>0</v>
      </c>
      <c r="Z953" s="3">
        <v>0</v>
      </c>
      <c r="AA953" s="3">
        <v>0</v>
      </c>
    </row>
    <row r="954" spans="1:27" x14ac:dyDescent="0.2">
      <c r="A954">
        <f t="shared" si="28"/>
        <v>2</v>
      </c>
      <c r="B954">
        <f t="shared" si="29"/>
        <v>9</v>
      </c>
      <c r="C954" s="1">
        <v>46077</v>
      </c>
      <c r="D954" t="s">
        <v>25</v>
      </c>
      <c r="E954" t="s">
        <v>26</v>
      </c>
      <c r="F954" t="s">
        <v>61</v>
      </c>
      <c r="G954" t="s">
        <v>62</v>
      </c>
      <c r="H954" t="s">
        <v>29</v>
      </c>
      <c r="I954" t="s">
        <v>30</v>
      </c>
      <c r="J954" t="s">
        <v>47</v>
      </c>
      <c r="K954" t="s">
        <v>42</v>
      </c>
      <c r="L954" t="s">
        <v>642</v>
      </c>
      <c r="M954" s="4">
        <v>23</v>
      </c>
      <c r="N954" s="4">
        <v>1</v>
      </c>
      <c r="O954" s="2">
        <v>4.3478260869565216E-2</v>
      </c>
      <c r="P954" s="3">
        <v>0.93</v>
      </c>
      <c r="Q954" s="3">
        <v>0.93</v>
      </c>
      <c r="R954" s="3">
        <v>0</v>
      </c>
      <c r="S954" s="2"/>
      <c r="T954" s="5">
        <v>0</v>
      </c>
      <c r="U954" s="4">
        <v>0</v>
      </c>
      <c r="V954" s="4">
        <v>0</v>
      </c>
      <c r="W954" s="2">
        <v>0</v>
      </c>
      <c r="X954" s="4">
        <v>0</v>
      </c>
      <c r="Y954" s="4">
        <v>0</v>
      </c>
      <c r="Z954" s="3">
        <v>0</v>
      </c>
      <c r="AA954" s="3">
        <v>0</v>
      </c>
    </row>
    <row r="955" spans="1:27" x14ac:dyDescent="0.2">
      <c r="A955">
        <f t="shared" si="28"/>
        <v>2</v>
      </c>
      <c r="B955">
        <f t="shared" si="29"/>
        <v>9</v>
      </c>
      <c r="C955" s="1">
        <v>46079</v>
      </c>
      <c r="D955" t="s">
        <v>25</v>
      </c>
      <c r="E955" t="s">
        <v>26</v>
      </c>
      <c r="F955" t="s">
        <v>61</v>
      </c>
      <c r="G955" t="s">
        <v>62</v>
      </c>
      <c r="H955" t="s">
        <v>29</v>
      </c>
      <c r="I955" t="s">
        <v>30</v>
      </c>
      <c r="J955" t="s">
        <v>47</v>
      </c>
      <c r="K955" t="s">
        <v>42</v>
      </c>
      <c r="L955" t="s">
        <v>642</v>
      </c>
      <c r="M955" s="4">
        <v>20</v>
      </c>
      <c r="N955" s="4">
        <v>1</v>
      </c>
      <c r="O955" s="2">
        <v>0.05</v>
      </c>
      <c r="P955" s="3">
        <v>1.22</v>
      </c>
      <c r="Q955" s="3">
        <v>1.22</v>
      </c>
      <c r="R955" s="3">
        <v>0</v>
      </c>
      <c r="S955" s="2"/>
      <c r="T955" s="5">
        <v>0</v>
      </c>
      <c r="U955" s="4">
        <v>0</v>
      </c>
      <c r="V955" s="4">
        <v>0</v>
      </c>
      <c r="W955" s="2">
        <v>0</v>
      </c>
      <c r="X955" s="4">
        <v>0</v>
      </c>
      <c r="Y955" s="4">
        <v>0</v>
      </c>
      <c r="Z955" s="3">
        <v>0</v>
      </c>
      <c r="AA955" s="3">
        <v>0</v>
      </c>
    </row>
    <row r="956" spans="1:27" x14ac:dyDescent="0.2">
      <c r="A956">
        <f t="shared" si="28"/>
        <v>2</v>
      </c>
      <c r="B956">
        <f t="shared" si="29"/>
        <v>9</v>
      </c>
      <c r="C956" s="1">
        <v>46081</v>
      </c>
      <c r="D956" t="s">
        <v>25</v>
      </c>
      <c r="E956" t="s">
        <v>26</v>
      </c>
      <c r="F956" t="s">
        <v>53</v>
      </c>
      <c r="G956" t="s">
        <v>54</v>
      </c>
      <c r="H956" t="s">
        <v>29</v>
      </c>
      <c r="I956" t="s">
        <v>30</v>
      </c>
      <c r="J956" t="s">
        <v>95</v>
      </c>
      <c r="K956" t="s">
        <v>42</v>
      </c>
      <c r="L956" t="s">
        <v>643</v>
      </c>
      <c r="M956" s="4">
        <v>1</v>
      </c>
      <c r="N956" s="4">
        <v>1</v>
      </c>
      <c r="O956" s="2">
        <v>1</v>
      </c>
      <c r="P956" s="3">
        <v>0.72</v>
      </c>
      <c r="Q956" s="3">
        <v>0.72</v>
      </c>
      <c r="R956" s="3">
        <v>0</v>
      </c>
      <c r="S956" s="2"/>
      <c r="T956" s="5">
        <v>0</v>
      </c>
      <c r="U956" s="4">
        <v>0</v>
      </c>
      <c r="V956" s="4">
        <v>0</v>
      </c>
      <c r="W956" s="2">
        <v>0</v>
      </c>
      <c r="X956" s="4">
        <v>0</v>
      </c>
      <c r="Y956" s="4">
        <v>0</v>
      </c>
      <c r="Z956" s="3">
        <v>0</v>
      </c>
      <c r="AA956" s="3">
        <v>0</v>
      </c>
    </row>
    <row r="957" spans="1:27" x14ac:dyDescent="0.2">
      <c r="A957">
        <f t="shared" si="28"/>
        <v>2</v>
      </c>
      <c r="B957">
        <f t="shared" si="29"/>
        <v>9</v>
      </c>
      <c r="C957" s="1">
        <v>46077</v>
      </c>
      <c r="D957" t="s">
        <v>25</v>
      </c>
      <c r="E957" t="s">
        <v>26</v>
      </c>
      <c r="F957" t="s">
        <v>34</v>
      </c>
      <c r="G957" t="s">
        <v>28</v>
      </c>
      <c r="H957" t="s">
        <v>29</v>
      </c>
      <c r="I957" t="s">
        <v>30</v>
      </c>
      <c r="J957" t="s">
        <v>50</v>
      </c>
      <c r="K957" t="s">
        <v>32</v>
      </c>
      <c r="L957" t="s">
        <v>644</v>
      </c>
      <c r="M957" s="4">
        <v>3</v>
      </c>
      <c r="N957" s="4">
        <v>1</v>
      </c>
      <c r="O957" s="2">
        <v>0.33333333333333331</v>
      </c>
      <c r="P957" s="3">
        <v>0.8</v>
      </c>
      <c r="Q957" s="3">
        <v>0.8</v>
      </c>
      <c r="R957" s="3">
        <v>17.09</v>
      </c>
      <c r="S957" s="2">
        <v>4.6811000585137513E-2</v>
      </c>
      <c r="T957" s="5">
        <v>21.362499999999997</v>
      </c>
      <c r="U957" s="4">
        <v>1</v>
      </c>
      <c r="V957" s="4">
        <v>1</v>
      </c>
      <c r="W957" s="2">
        <v>1</v>
      </c>
      <c r="X957" s="4">
        <v>1</v>
      </c>
      <c r="Y957" s="4">
        <v>0</v>
      </c>
      <c r="Z957" s="3">
        <v>17.09</v>
      </c>
      <c r="AA957" s="3">
        <v>0</v>
      </c>
    </row>
    <row r="958" spans="1:27" x14ac:dyDescent="0.2">
      <c r="A958">
        <f t="shared" si="28"/>
        <v>2</v>
      </c>
      <c r="B958">
        <f t="shared" si="29"/>
        <v>9</v>
      </c>
      <c r="C958" s="1">
        <v>46079</v>
      </c>
      <c r="D958" t="s">
        <v>25</v>
      </c>
      <c r="E958" t="s">
        <v>26</v>
      </c>
      <c r="F958" t="s">
        <v>49</v>
      </c>
      <c r="G958" t="s">
        <v>50</v>
      </c>
      <c r="H958" t="s">
        <v>29</v>
      </c>
      <c r="I958" t="s">
        <v>30</v>
      </c>
      <c r="J958" t="s">
        <v>95</v>
      </c>
      <c r="K958" t="s">
        <v>42</v>
      </c>
      <c r="L958" t="s">
        <v>645</v>
      </c>
      <c r="M958" s="4">
        <v>1</v>
      </c>
      <c r="N958" s="4">
        <v>1</v>
      </c>
      <c r="O958" s="2">
        <v>1</v>
      </c>
      <c r="P958" s="3">
        <v>0.52</v>
      </c>
      <c r="Q958" s="3">
        <v>0.52</v>
      </c>
      <c r="R958" s="3">
        <v>0</v>
      </c>
      <c r="S958" s="2"/>
      <c r="T958" s="5">
        <v>0</v>
      </c>
      <c r="U958" s="4">
        <v>0</v>
      </c>
      <c r="V958" s="4">
        <v>0</v>
      </c>
      <c r="W958" s="2">
        <v>0</v>
      </c>
      <c r="X958" s="4">
        <v>0</v>
      </c>
      <c r="Y958" s="4">
        <v>0</v>
      </c>
      <c r="Z958" s="3">
        <v>0</v>
      </c>
      <c r="AA958" s="3">
        <v>0</v>
      </c>
    </row>
    <row r="959" spans="1:27" x14ac:dyDescent="0.2">
      <c r="A959">
        <f t="shared" si="28"/>
        <v>2</v>
      </c>
      <c r="B959">
        <f t="shared" si="29"/>
        <v>9</v>
      </c>
      <c r="C959" s="1">
        <v>46079</v>
      </c>
      <c r="D959" t="s">
        <v>25</v>
      </c>
      <c r="E959" t="s">
        <v>26</v>
      </c>
      <c r="F959" t="s">
        <v>49</v>
      </c>
      <c r="G959" t="s">
        <v>50</v>
      </c>
      <c r="H959" t="s">
        <v>29</v>
      </c>
      <c r="I959" t="s">
        <v>30</v>
      </c>
      <c r="J959" t="s">
        <v>47</v>
      </c>
      <c r="K959" t="s">
        <v>42</v>
      </c>
      <c r="L959" t="s">
        <v>646</v>
      </c>
      <c r="M959" s="4">
        <v>12</v>
      </c>
      <c r="N959" s="4">
        <v>1</v>
      </c>
      <c r="O959" s="2">
        <v>8.3333333333333315E-2</v>
      </c>
      <c r="P959" s="3">
        <v>0.7</v>
      </c>
      <c r="Q959" s="3">
        <v>0.7</v>
      </c>
      <c r="R959" s="3">
        <v>0</v>
      </c>
      <c r="S959" s="2"/>
      <c r="T959" s="5">
        <v>0</v>
      </c>
      <c r="U959" s="4">
        <v>0</v>
      </c>
      <c r="V959" s="4">
        <v>0</v>
      </c>
      <c r="W959" s="2">
        <v>0</v>
      </c>
      <c r="X959" s="4">
        <v>0</v>
      </c>
      <c r="Y959" s="4">
        <v>0</v>
      </c>
      <c r="Z959" s="3">
        <v>0</v>
      </c>
      <c r="AA959" s="3">
        <v>0</v>
      </c>
    </row>
    <row r="960" spans="1:27" x14ac:dyDescent="0.2">
      <c r="A960">
        <f t="shared" si="28"/>
        <v>2</v>
      </c>
      <c r="B960">
        <f t="shared" si="29"/>
        <v>9</v>
      </c>
      <c r="C960" s="1">
        <v>46079</v>
      </c>
      <c r="D960" t="s">
        <v>25</v>
      </c>
      <c r="E960" t="s">
        <v>26</v>
      </c>
      <c r="F960" t="s">
        <v>27</v>
      </c>
      <c r="G960" t="s">
        <v>124</v>
      </c>
      <c r="H960" t="s">
        <v>29</v>
      </c>
      <c r="I960" t="s">
        <v>30</v>
      </c>
      <c r="J960" t="s">
        <v>44</v>
      </c>
      <c r="K960" t="s">
        <v>87</v>
      </c>
      <c r="L960" t="s">
        <v>44</v>
      </c>
      <c r="M960" s="4">
        <v>6</v>
      </c>
      <c r="N960" s="4">
        <v>1</v>
      </c>
      <c r="O960" s="2">
        <v>0.16666666666666663</v>
      </c>
      <c r="P960" s="3">
        <v>0.2</v>
      </c>
      <c r="Q960" s="3">
        <v>0.2</v>
      </c>
      <c r="R960" s="3">
        <v>0</v>
      </c>
      <c r="S960" s="2"/>
      <c r="T960" s="5">
        <v>0</v>
      </c>
      <c r="U960" s="4">
        <v>0</v>
      </c>
      <c r="V960" s="4">
        <v>0</v>
      </c>
      <c r="W960" s="2">
        <v>0</v>
      </c>
      <c r="X960" s="4">
        <v>0</v>
      </c>
      <c r="Y960" s="4">
        <v>0</v>
      </c>
      <c r="Z960" s="3">
        <v>0</v>
      </c>
      <c r="AA960" s="3">
        <v>0</v>
      </c>
    </row>
    <row r="961" spans="1:27" x14ac:dyDescent="0.2">
      <c r="A961">
        <f t="shared" si="28"/>
        <v>2</v>
      </c>
      <c r="B961">
        <f t="shared" si="29"/>
        <v>9</v>
      </c>
      <c r="C961" s="1">
        <v>46080</v>
      </c>
      <c r="D961" t="s">
        <v>25</v>
      </c>
      <c r="E961" t="s">
        <v>26</v>
      </c>
      <c r="F961" t="s">
        <v>27</v>
      </c>
      <c r="G961" t="s">
        <v>28</v>
      </c>
      <c r="H961" t="s">
        <v>29</v>
      </c>
      <c r="I961" t="s">
        <v>30</v>
      </c>
      <c r="J961" t="s">
        <v>101</v>
      </c>
      <c r="K961" t="s">
        <v>32</v>
      </c>
      <c r="L961" t="s">
        <v>647</v>
      </c>
      <c r="M961" s="4">
        <v>1</v>
      </c>
      <c r="N961" s="4">
        <v>1</v>
      </c>
      <c r="O961" s="2">
        <v>1</v>
      </c>
      <c r="P961" s="3">
        <v>0.21</v>
      </c>
      <c r="Q961" s="3">
        <v>0.21</v>
      </c>
      <c r="R961" s="3">
        <v>34.18</v>
      </c>
      <c r="S961" s="2">
        <v>6.1439438267992972E-3</v>
      </c>
      <c r="T961" s="5">
        <v>162.76190476190476</v>
      </c>
      <c r="U961" s="4">
        <v>1</v>
      </c>
      <c r="V961" s="4">
        <v>2</v>
      </c>
      <c r="W961" s="2">
        <v>1</v>
      </c>
      <c r="X961" s="4">
        <v>2</v>
      </c>
      <c r="Y961" s="4">
        <v>0</v>
      </c>
      <c r="Z961" s="3">
        <v>34.18</v>
      </c>
      <c r="AA961" s="3">
        <v>0</v>
      </c>
    </row>
    <row r="962" spans="1:27" x14ac:dyDescent="0.2">
      <c r="A962">
        <f t="shared" si="28"/>
        <v>2</v>
      </c>
      <c r="B962">
        <f t="shared" si="29"/>
        <v>9</v>
      </c>
      <c r="C962" s="1">
        <v>46078</v>
      </c>
      <c r="D962" t="s">
        <v>25</v>
      </c>
      <c r="E962" t="s">
        <v>26</v>
      </c>
      <c r="F962" t="s">
        <v>39</v>
      </c>
      <c r="G962" t="s">
        <v>40</v>
      </c>
      <c r="H962" t="s">
        <v>29</v>
      </c>
      <c r="I962" t="s">
        <v>30</v>
      </c>
      <c r="J962" t="s">
        <v>70</v>
      </c>
      <c r="K962" t="s">
        <v>42</v>
      </c>
      <c r="L962" t="s">
        <v>263</v>
      </c>
      <c r="M962" s="4">
        <v>5</v>
      </c>
      <c r="N962" s="4">
        <v>1</v>
      </c>
      <c r="O962" s="2">
        <v>0.2</v>
      </c>
      <c r="P962" s="3">
        <v>0.57999999999999996</v>
      </c>
      <c r="Q962" s="3">
        <v>0.57999999999999996</v>
      </c>
      <c r="R962" s="3">
        <v>17.09</v>
      </c>
      <c r="S962" s="2">
        <v>3.3937975424224692E-2</v>
      </c>
      <c r="T962" s="5">
        <v>29.465517241379313</v>
      </c>
      <c r="U962" s="4">
        <v>1</v>
      </c>
      <c r="V962" s="4">
        <v>1</v>
      </c>
      <c r="W962" s="2">
        <v>1</v>
      </c>
      <c r="X962" s="4">
        <v>1</v>
      </c>
      <c r="Y962" s="4">
        <v>0</v>
      </c>
      <c r="Z962" s="3">
        <v>17.09</v>
      </c>
      <c r="AA962" s="3">
        <v>0</v>
      </c>
    </row>
    <row r="963" spans="1:27" x14ac:dyDescent="0.2">
      <c r="A963">
        <f t="shared" ref="A963:A1026" si="30">MONTH(C963)</f>
        <v>2</v>
      </c>
      <c r="B963">
        <f t="shared" ref="B963:B1026" si="31">WEEKNUM(C963,1)</f>
        <v>9</v>
      </c>
      <c r="C963" s="1">
        <v>46078</v>
      </c>
      <c r="D963" t="s">
        <v>25</v>
      </c>
      <c r="E963" t="s">
        <v>26</v>
      </c>
      <c r="F963" t="s">
        <v>34</v>
      </c>
      <c r="G963" t="s">
        <v>28</v>
      </c>
      <c r="H963" t="s">
        <v>29</v>
      </c>
      <c r="I963" t="s">
        <v>30</v>
      </c>
      <c r="J963" t="s">
        <v>37</v>
      </c>
      <c r="K963" t="s">
        <v>32</v>
      </c>
      <c r="L963" t="s">
        <v>263</v>
      </c>
      <c r="M963" s="4">
        <v>5</v>
      </c>
      <c r="N963" s="4">
        <v>1</v>
      </c>
      <c r="O963" s="2">
        <v>0.2</v>
      </c>
      <c r="P963" s="3">
        <v>1.1100000000000001</v>
      </c>
      <c r="Q963" s="3">
        <v>1.1100000000000001</v>
      </c>
      <c r="R963" s="3">
        <v>0</v>
      </c>
      <c r="S963" s="2"/>
      <c r="T963" s="5">
        <v>0</v>
      </c>
      <c r="U963" s="4">
        <v>0</v>
      </c>
      <c r="V963" s="4">
        <v>0</v>
      </c>
      <c r="W963" s="2">
        <v>0</v>
      </c>
      <c r="X963" s="4">
        <v>0</v>
      </c>
      <c r="Y963" s="4">
        <v>0</v>
      </c>
      <c r="Z963" s="3">
        <v>0</v>
      </c>
      <c r="AA963" s="3">
        <v>0</v>
      </c>
    </row>
    <row r="964" spans="1:27" x14ac:dyDescent="0.2">
      <c r="A964">
        <f t="shared" si="30"/>
        <v>2</v>
      </c>
      <c r="B964">
        <f t="shared" si="31"/>
        <v>9</v>
      </c>
      <c r="C964" s="1">
        <v>46075</v>
      </c>
      <c r="D964" t="s">
        <v>25</v>
      </c>
      <c r="E964" t="s">
        <v>26</v>
      </c>
      <c r="F964" t="s">
        <v>27</v>
      </c>
      <c r="G964" t="s">
        <v>28</v>
      </c>
      <c r="H964" t="s">
        <v>29</v>
      </c>
      <c r="I964" t="s">
        <v>30</v>
      </c>
      <c r="J964" t="s">
        <v>37</v>
      </c>
      <c r="K964" t="s">
        <v>32</v>
      </c>
      <c r="L964" t="s">
        <v>263</v>
      </c>
      <c r="M964" s="4">
        <v>4</v>
      </c>
      <c r="N964" s="4">
        <v>1</v>
      </c>
      <c r="O964" s="2">
        <v>0.25</v>
      </c>
      <c r="P964" s="3">
        <v>0.2</v>
      </c>
      <c r="Q964" s="3">
        <v>0.2</v>
      </c>
      <c r="R964" s="3">
        <v>0</v>
      </c>
      <c r="S964" s="2"/>
      <c r="T964" s="5">
        <v>0</v>
      </c>
      <c r="U964" s="4">
        <v>0</v>
      </c>
      <c r="V964" s="4">
        <v>0</v>
      </c>
      <c r="W964" s="2">
        <v>0</v>
      </c>
      <c r="X964" s="4">
        <v>0</v>
      </c>
      <c r="Y964" s="4">
        <v>0</v>
      </c>
      <c r="Z964" s="3">
        <v>0</v>
      </c>
      <c r="AA964" s="3">
        <v>0</v>
      </c>
    </row>
    <row r="965" spans="1:27" x14ac:dyDescent="0.2">
      <c r="A965">
        <f t="shared" si="30"/>
        <v>2</v>
      </c>
      <c r="B965">
        <f t="shared" si="31"/>
        <v>9</v>
      </c>
      <c r="C965" s="1">
        <v>46077</v>
      </c>
      <c r="D965" t="s">
        <v>25</v>
      </c>
      <c r="E965" t="s">
        <v>26</v>
      </c>
      <c r="F965" t="s">
        <v>27</v>
      </c>
      <c r="G965" t="s">
        <v>28</v>
      </c>
      <c r="H965" t="s">
        <v>29</v>
      </c>
      <c r="I965" t="s">
        <v>30</v>
      </c>
      <c r="J965" t="s">
        <v>37</v>
      </c>
      <c r="K965" t="s">
        <v>32</v>
      </c>
      <c r="L965" t="s">
        <v>263</v>
      </c>
      <c r="M965" s="4">
        <v>16</v>
      </c>
      <c r="N965" s="4">
        <v>2</v>
      </c>
      <c r="O965" s="2">
        <v>0.125</v>
      </c>
      <c r="P965" s="3">
        <v>0.2</v>
      </c>
      <c r="Q965" s="3">
        <v>0.4</v>
      </c>
      <c r="R965" s="3">
        <v>0</v>
      </c>
      <c r="S965" s="2"/>
      <c r="T965" s="5">
        <v>0</v>
      </c>
      <c r="U965" s="4">
        <v>0</v>
      </c>
      <c r="V965" s="4">
        <v>0</v>
      </c>
      <c r="W965" s="2">
        <v>0</v>
      </c>
      <c r="X965" s="4">
        <v>0</v>
      </c>
      <c r="Y965" s="4">
        <v>0</v>
      </c>
      <c r="Z965" s="3">
        <v>0</v>
      </c>
      <c r="AA965" s="3">
        <v>0</v>
      </c>
    </row>
    <row r="966" spans="1:27" x14ac:dyDescent="0.2">
      <c r="A966">
        <f t="shared" si="30"/>
        <v>2</v>
      </c>
      <c r="B966">
        <f t="shared" si="31"/>
        <v>9</v>
      </c>
      <c r="C966" s="1">
        <v>46079</v>
      </c>
      <c r="D966" t="s">
        <v>25</v>
      </c>
      <c r="E966" t="s">
        <v>26</v>
      </c>
      <c r="F966" t="s">
        <v>27</v>
      </c>
      <c r="G966" t="s">
        <v>28</v>
      </c>
      <c r="H966" t="s">
        <v>29</v>
      </c>
      <c r="I966" t="s">
        <v>30</v>
      </c>
      <c r="J966" t="s">
        <v>37</v>
      </c>
      <c r="K966" t="s">
        <v>32</v>
      </c>
      <c r="L966" t="s">
        <v>263</v>
      </c>
      <c r="M966" s="4">
        <v>13</v>
      </c>
      <c r="N966" s="4">
        <v>1</v>
      </c>
      <c r="O966" s="2">
        <v>7.6923076923076927E-2</v>
      </c>
      <c r="P966" s="3">
        <v>0.2</v>
      </c>
      <c r="Q966" s="3">
        <v>0.2</v>
      </c>
      <c r="R966" s="3">
        <v>0</v>
      </c>
      <c r="S966" s="2"/>
      <c r="T966" s="5">
        <v>0</v>
      </c>
      <c r="U966" s="4">
        <v>0</v>
      </c>
      <c r="V966" s="4">
        <v>0</v>
      </c>
      <c r="W966" s="2">
        <v>0</v>
      </c>
      <c r="X966" s="4">
        <v>0</v>
      </c>
      <c r="Y966" s="4">
        <v>0</v>
      </c>
      <c r="Z966" s="3">
        <v>0</v>
      </c>
      <c r="AA966" s="3">
        <v>0</v>
      </c>
    </row>
    <row r="967" spans="1:27" x14ac:dyDescent="0.2">
      <c r="A967">
        <f t="shared" si="30"/>
        <v>2</v>
      </c>
      <c r="B967">
        <f t="shared" si="31"/>
        <v>9</v>
      </c>
      <c r="C967" s="1">
        <v>46081</v>
      </c>
      <c r="D967" t="s">
        <v>25</v>
      </c>
      <c r="E967" t="s">
        <v>26</v>
      </c>
      <c r="F967" t="s">
        <v>49</v>
      </c>
      <c r="G967" t="s">
        <v>50</v>
      </c>
      <c r="H967" t="s">
        <v>29</v>
      </c>
      <c r="I967" t="s">
        <v>30</v>
      </c>
      <c r="J967" t="s">
        <v>95</v>
      </c>
      <c r="K967" t="s">
        <v>42</v>
      </c>
      <c r="L967" t="s">
        <v>648</v>
      </c>
      <c r="M967" s="4">
        <v>1</v>
      </c>
      <c r="N967" s="4">
        <v>1</v>
      </c>
      <c r="O967" s="2">
        <v>1</v>
      </c>
      <c r="P967" s="3">
        <v>0.1</v>
      </c>
      <c r="Q967" s="3">
        <v>0.1</v>
      </c>
      <c r="R967" s="3">
        <v>0</v>
      </c>
      <c r="S967" s="2"/>
      <c r="T967" s="5">
        <v>0</v>
      </c>
      <c r="U967" s="4">
        <v>0</v>
      </c>
      <c r="V967" s="4">
        <v>0</v>
      </c>
      <c r="W967" s="2">
        <v>0</v>
      </c>
      <c r="X967" s="4">
        <v>0</v>
      </c>
      <c r="Y967" s="4">
        <v>0</v>
      </c>
      <c r="Z967" s="3">
        <v>0</v>
      </c>
      <c r="AA967" s="3">
        <v>0</v>
      </c>
    </row>
    <row r="968" spans="1:27" x14ac:dyDescent="0.2">
      <c r="A968">
        <f t="shared" si="30"/>
        <v>2</v>
      </c>
      <c r="B968">
        <f t="shared" si="31"/>
        <v>9</v>
      </c>
      <c r="C968" s="1">
        <v>46080</v>
      </c>
      <c r="D968" t="s">
        <v>25</v>
      </c>
      <c r="E968" t="s">
        <v>26</v>
      </c>
      <c r="F968" t="s">
        <v>49</v>
      </c>
      <c r="G968" t="s">
        <v>50</v>
      </c>
      <c r="H968" t="s">
        <v>29</v>
      </c>
      <c r="I968" t="s">
        <v>30</v>
      </c>
      <c r="J968" t="s">
        <v>95</v>
      </c>
      <c r="K968" t="s">
        <v>42</v>
      </c>
      <c r="L968" t="s">
        <v>649</v>
      </c>
      <c r="M968" s="4">
        <v>1</v>
      </c>
      <c r="N968" s="4">
        <v>1</v>
      </c>
      <c r="O968" s="2">
        <v>1</v>
      </c>
      <c r="P968" s="3">
        <v>0.51</v>
      </c>
      <c r="Q968" s="3">
        <v>0.51</v>
      </c>
      <c r="R968" s="3">
        <v>0</v>
      </c>
      <c r="S968" s="2"/>
      <c r="T968" s="5">
        <v>0</v>
      </c>
      <c r="U968" s="4">
        <v>0</v>
      </c>
      <c r="V968" s="4">
        <v>0</v>
      </c>
      <c r="W968" s="2">
        <v>0</v>
      </c>
      <c r="X968" s="4">
        <v>0</v>
      </c>
      <c r="Y968" s="4">
        <v>0</v>
      </c>
      <c r="Z968" s="3">
        <v>0</v>
      </c>
      <c r="AA968" s="3">
        <v>0</v>
      </c>
    </row>
    <row r="969" spans="1:27" x14ac:dyDescent="0.2">
      <c r="A969">
        <f t="shared" si="30"/>
        <v>2</v>
      </c>
      <c r="B969">
        <f t="shared" si="31"/>
        <v>9</v>
      </c>
      <c r="C969" s="1">
        <v>46077</v>
      </c>
      <c r="D969" t="s">
        <v>25</v>
      </c>
      <c r="E969" t="s">
        <v>26</v>
      </c>
      <c r="F969" t="s">
        <v>49</v>
      </c>
      <c r="G969" t="s">
        <v>50</v>
      </c>
      <c r="H969" t="s">
        <v>29</v>
      </c>
      <c r="I969" t="s">
        <v>30</v>
      </c>
      <c r="J969" t="s">
        <v>95</v>
      </c>
      <c r="K969" t="s">
        <v>42</v>
      </c>
      <c r="L969" t="s">
        <v>650</v>
      </c>
      <c r="M969" s="4">
        <v>1</v>
      </c>
      <c r="N969" s="4">
        <v>1</v>
      </c>
      <c r="O969" s="2">
        <v>1</v>
      </c>
      <c r="P969" s="3">
        <v>0.32</v>
      </c>
      <c r="Q969" s="3">
        <v>0.32</v>
      </c>
      <c r="R969" s="3">
        <v>0</v>
      </c>
      <c r="S969" s="2"/>
      <c r="T969" s="5">
        <v>0</v>
      </c>
      <c r="U969" s="4">
        <v>0</v>
      </c>
      <c r="V969" s="4">
        <v>0</v>
      </c>
      <c r="W969" s="2">
        <v>0</v>
      </c>
      <c r="X969" s="4">
        <v>0</v>
      </c>
      <c r="Y969" s="4">
        <v>0</v>
      </c>
      <c r="Z969" s="3">
        <v>0</v>
      </c>
      <c r="AA969" s="3">
        <v>0</v>
      </c>
    </row>
    <row r="970" spans="1:27" x14ac:dyDescent="0.2">
      <c r="A970">
        <f t="shared" si="30"/>
        <v>2</v>
      </c>
      <c r="B970">
        <f t="shared" si="31"/>
        <v>9</v>
      </c>
      <c r="C970" s="1">
        <v>46078</v>
      </c>
      <c r="D970" t="s">
        <v>25</v>
      </c>
      <c r="E970" t="s">
        <v>26</v>
      </c>
      <c r="F970" t="s">
        <v>27</v>
      </c>
      <c r="G970" t="s">
        <v>28</v>
      </c>
      <c r="H970" t="s">
        <v>29</v>
      </c>
      <c r="I970" t="s">
        <v>30</v>
      </c>
      <c r="J970" t="s">
        <v>119</v>
      </c>
      <c r="K970" t="s">
        <v>32</v>
      </c>
      <c r="L970" t="s">
        <v>651</v>
      </c>
      <c r="M970" s="4">
        <v>1</v>
      </c>
      <c r="N970" s="4">
        <v>1</v>
      </c>
      <c r="O970" s="2">
        <v>1</v>
      </c>
      <c r="P970" s="3">
        <v>0.16</v>
      </c>
      <c r="Q970" s="3">
        <v>0.16</v>
      </c>
      <c r="R970" s="3">
        <v>0</v>
      </c>
      <c r="S970" s="2"/>
      <c r="T970" s="5">
        <v>0</v>
      </c>
      <c r="U970" s="4">
        <v>0</v>
      </c>
      <c r="V970" s="4">
        <v>0</v>
      </c>
      <c r="W970" s="2">
        <v>0</v>
      </c>
      <c r="X970" s="4">
        <v>0</v>
      </c>
      <c r="Y970" s="4">
        <v>0</v>
      </c>
      <c r="Z970" s="3">
        <v>0</v>
      </c>
      <c r="AA970" s="3">
        <v>0</v>
      </c>
    </row>
    <row r="971" spans="1:27" x14ac:dyDescent="0.2">
      <c r="A971">
        <f t="shared" si="30"/>
        <v>2</v>
      </c>
      <c r="B971">
        <f t="shared" si="31"/>
        <v>9</v>
      </c>
      <c r="C971" s="1">
        <v>46075</v>
      </c>
      <c r="D971" t="s">
        <v>25</v>
      </c>
      <c r="E971" t="s">
        <v>26</v>
      </c>
      <c r="F971" t="s">
        <v>49</v>
      </c>
      <c r="G971" t="s">
        <v>50</v>
      </c>
      <c r="H971" t="s">
        <v>29</v>
      </c>
      <c r="I971" t="s">
        <v>30</v>
      </c>
      <c r="J971" t="s">
        <v>95</v>
      </c>
      <c r="K971" t="s">
        <v>42</v>
      </c>
      <c r="L971" t="s">
        <v>652</v>
      </c>
      <c r="M971" s="4">
        <v>1</v>
      </c>
      <c r="N971" s="4">
        <v>1</v>
      </c>
      <c r="O971" s="2">
        <v>1</v>
      </c>
      <c r="P971" s="3">
        <v>0.45</v>
      </c>
      <c r="Q971" s="3">
        <v>0.45</v>
      </c>
      <c r="R971" s="3">
        <v>0</v>
      </c>
      <c r="S971" s="2"/>
      <c r="T971" s="5">
        <v>0</v>
      </c>
      <c r="U971" s="4">
        <v>0</v>
      </c>
      <c r="V971" s="4">
        <v>0</v>
      </c>
      <c r="W971" s="2">
        <v>0</v>
      </c>
      <c r="X971" s="4">
        <v>0</v>
      </c>
      <c r="Y971" s="4">
        <v>0</v>
      </c>
      <c r="Z971" s="3">
        <v>0</v>
      </c>
      <c r="AA971" s="3">
        <v>0</v>
      </c>
    </row>
    <row r="972" spans="1:27" x14ac:dyDescent="0.2">
      <c r="A972">
        <f t="shared" si="30"/>
        <v>2</v>
      </c>
      <c r="B972">
        <f t="shared" si="31"/>
        <v>9</v>
      </c>
      <c r="C972" s="1">
        <v>46076</v>
      </c>
      <c r="D972" t="s">
        <v>25</v>
      </c>
      <c r="E972" t="s">
        <v>26</v>
      </c>
      <c r="F972" t="s">
        <v>49</v>
      </c>
      <c r="G972" t="s">
        <v>50</v>
      </c>
      <c r="H972" t="s">
        <v>29</v>
      </c>
      <c r="I972" t="s">
        <v>30</v>
      </c>
      <c r="J972" t="s">
        <v>47</v>
      </c>
      <c r="K972" t="s">
        <v>42</v>
      </c>
      <c r="L972" t="s">
        <v>31</v>
      </c>
      <c r="M972" s="4">
        <v>14</v>
      </c>
      <c r="N972" s="4">
        <v>1</v>
      </c>
      <c r="O972" s="2">
        <v>7.1428571428571425E-2</v>
      </c>
      <c r="P972" s="3">
        <v>0.52</v>
      </c>
      <c r="Q972" s="3">
        <v>0.52</v>
      </c>
      <c r="R972" s="3">
        <v>0</v>
      </c>
      <c r="S972" s="2"/>
      <c r="T972" s="5">
        <v>0</v>
      </c>
      <c r="U972" s="4">
        <v>0</v>
      </c>
      <c r="V972" s="4">
        <v>0</v>
      </c>
      <c r="W972" s="2">
        <v>0</v>
      </c>
      <c r="X972" s="4">
        <v>0</v>
      </c>
      <c r="Y972" s="4">
        <v>0</v>
      </c>
      <c r="Z972" s="3">
        <v>0</v>
      </c>
      <c r="AA972" s="3">
        <v>0</v>
      </c>
    </row>
    <row r="973" spans="1:27" x14ac:dyDescent="0.2">
      <c r="A973">
        <f t="shared" si="30"/>
        <v>2</v>
      </c>
      <c r="B973">
        <f t="shared" si="31"/>
        <v>9</v>
      </c>
      <c r="C973" s="1">
        <v>46081</v>
      </c>
      <c r="D973" t="s">
        <v>25</v>
      </c>
      <c r="E973" t="s">
        <v>26</v>
      </c>
      <c r="F973" t="s">
        <v>34</v>
      </c>
      <c r="G973" t="s">
        <v>273</v>
      </c>
      <c r="H973" t="s">
        <v>29</v>
      </c>
      <c r="I973" t="s">
        <v>30</v>
      </c>
      <c r="J973" t="s">
        <v>31</v>
      </c>
      <c r="K973" t="s">
        <v>267</v>
      </c>
      <c r="L973" t="s">
        <v>31</v>
      </c>
      <c r="M973" s="4">
        <v>2</v>
      </c>
      <c r="N973" s="4">
        <v>1</v>
      </c>
      <c r="O973" s="2">
        <v>0.5</v>
      </c>
      <c r="P973" s="3">
        <v>0.79</v>
      </c>
      <c r="Q973" s="3">
        <v>0.79</v>
      </c>
      <c r="R973" s="3">
        <v>0</v>
      </c>
      <c r="S973" s="2"/>
      <c r="T973" s="5">
        <v>0</v>
      </c>
      <c r="U973" s="4">
        <v>0</v>
      </c>
      <c r="V973" s="4">
        <v>0</v>
      </c>
      <c r="W973" s="2">
        <v>0</v>
      </c>
      <c r="X973" s="4">
        <v>0</v>
      </c>
      <c r="Y973" s="4">
        <v>0</v>
      </c>
      <c r="Z973" s="3">
        <v>0</v>
      </c>
      <c r="AA973" s="3">
        <v>0</v>
      </c>
    </row>
    <row r="974" spans="1:27" x14ac:dyDescent="0.2">
      <c r="A974">
        <f t="shared" si="30"/>
        <v>2</v>
      </c>
      <c r="B974">
        <f t="shared" si="31"/>
        <v>9</v>
      </c>
      <c r="C974" s="1">
        <v>46077</v>
      </c>
      <c r="D974" t="s">
        <v>25</v>
      </c>
      <c r="E974" t="s">
        <v>26</v>
      </c>
      <c r="F974" t="s">
        <v>27</v>
      </c>
      <c r="G974" t="s">
        <v>124</v>
      </c>
      <c r="H974" t="s">
        <v>29</v>
      </c>
      <c r="I974" t="s">
        <v>30</v>
      </c>
      <c r="J974" t="s">
        <v>31</v>
      </c>
      <c r="K974" t="s">
        <v>87</v>
      </c>
      <c r="L974" t="s">
        <v>31</v>
      </c>
      <c r="M974" s="4">
        <v>13</v>
      </c>
      <c r="N974" s="4">
        <v>1</v>
      </c>
      <c r="O974" s="2">
        <v>7.6923076923076927E-2</v>
      </c>
      <c r="P974" s="3">
        <v>0.2</v>
      </c>
      <c r="Q974" s="3">
        <v>0.2</v>
      </c>
      <c r="R974" s="3">
        <v>0</v>
      </c>
      <c r="S974" s="2"/>
      <c r="T974" s="5">
        <v>0</v>
      </c>
      <c r="U974" s="4">
        <v>0</v>
      </c>
      <c r="V974" s="4">
        <v>0</v>
      </c>
      <c r="W974" s="2">
        <v>0</v>
      </c>
      <c r="X974" s="4">
        <v>0</v>
      </c>
      <c r="Y974" s="4">
        <v>0</v>
      </c>
      <c r="Z974" s="3">
        <v>0</v>
      </c>
      <c r="AA974" s="3">
        <v>0</v>
      </c>
    </row>
    <row r="975" spans="1:27" x14ac:dyDescent="0.2">
      <c r="A975">
        <f t="shared" si="30"/>
        <v>2</v>
      </c>
      <c r="B975">
        <f t="shared" si="31"/>
        <v>9</v>
      </c>
      <c r="C975" s="1">
        <v>46078</v>
      </c>
      <c r="D975" t="s">
        <v>25</v>
      </c>
      <c r="E975" t="s">
        <v>26</v>
      </c>
      <c r="F975" t="s">
        <v>27</v>
      </c>
      <c r="G975" t="s">
        <v>124</v>
      </c>
      <c r="H975" t="s">
        <v>29</v>
      </c>
      <c r="I975" t="s">
        <v>30</v>
      </c>
      <c r="J975" t="s">
        <v>31</v>
      </c>
      <c r="K975" t="s">
        <v>87</v>
      </c>
      <c r="L975" t="s">
        <v>31</v>
      </c>
      <c r="M975" s="4">
        <v>17</v>
      </c>
      <c r="N975" s="4">
        <v>2</v>
      </c>
      <c r="O975" s="2">
        <v>0.1176470588235294</v>
      </c>
      <c r="P975" s="3">
        <v>0.2</v>
      </c>
      <c r="Q975" s="3">
        <v>0.4</v>
      </c>
      <c r="R975" s="3">
        <v>0</v>
      </c>
      <c r="S975" s="2"/>
      <c r="T975" s="5">
        <v>0</v>
      </c>
      <c r="U975" s="4">
        <v>0</v>
      </c>
      <c r="V975" s="4">
        <v>0</v>
      </c>
      <c r="W975" s="2">
        <v>0</v>
      </c>
      <c r="X975" s="4">
        <v>0</v>
      </c>
      <c r="Y975" s="4">
        <v>0</v>
      </c>
      <c r="Z975" s="3">
        <v>0</v>
      </c>
      <c r="AA975" s="3">
        <v>0</v>
      </c>
    </row>
    <row r="976" spans="1:27" x14ac:dyDescent="0.2">
      <c r="A976">
        <f t="shared" si="30"/>
        <v>2</v>
      </c>
      <c r="B976">
        <f t="shared" si="31"/>
        <v>9</v>
      </c>
      <c r="C976" s="1">
        <v>46078</v>
      </c>
      <c r="D976" t="s">
        <v>25</v>
      </c>
      <c r="E976" t="s">
        <v>26</v>
      </c>
      <c r="F976" t="s">
        <v>27</v>
      </c>
      <c r="G976" t="s">
        <v>124</v>
      </c>
      <c r="H976" t="s">
        <v>29</v>
      </c>
      <c r="I976" t="s">
        <v>30</v>
      </c>
      <c r="J976" t="s">
        <v>31</v>
      </c>
      <c r="K976" t="s">
        <v>267</v>
      </c>
      <c r="L976" t="s">
        <v>31</v>
      </c>
      <c r="M976" s="4">
        <v>6</v>
      </c>
      <c r="N976" s="4">
        <v>1</v>
      </c>
      <c r="O976" s="2">
        <v>0.16666666666666663</v>
      </c>
      <c r="P976" s="3">
        <v>0.2</v>
      </c>
      <c r="Q976" s="3">
        <v>0.2</v>
      </c>
      <c r="R976" s="3">
        <v>0</v>
      </c>
      <c r="S976" s="2"/>
      <c r="T976" s="5">
        <v>0</v>
      </c>
      <c r="U976" s="4">
        <v>0</v>
      </c>
      <c r="V976" s="4">
        <v>0</v>
      </c>
      <c r="W976" s="2">
        <v>0</v>
      </c>
      <c r="X976" s="4">
        <v>0</v>
      </c>
      <c r="Y976" s="4">
        <v>0</v>
      </c>
      <c r="Z976" s="3">
        <v>0</v>
      </c>
      <c r="AA976" s="3">
        <v>0</v>
      </c>
    </row>
    <row r="977" spans="1:27" x14ac:dyDescent="0.2">
      <c r="A977">
        <f t="shared" si="30"/>
        <v>2</v>
      </c>
      <c r="B977">
        <f t="shared" si="31"/>
        <v>9</v>
      </c>
      <c r="C977" s="1">
        <v>46077</v>
      </c>
      <c r="D977" t="s">
        <v>25</v>
      </c>
      <c r="E977" t="s">
        <v>26</v>
      </c>
      <c r="F977" t="s">
        <v>49</v>
      </c>
      <c r="G977" t="s">
        <v>50</v>
      </c>
      <c r="H977" t="s">
        <v>29</v>
      </c>
      <c r="I977" t="s">
        <v>30</v>
      </c>
      <c r="J977" t="s">
        <v>47</v>
      </c>
      <c r="K977" t="s">
        <v>42</v>
      </c>
      <c r="L977" t="s">
        <v>272</v>
      </c>
      <c r="M977" s="4">
        <v>8</v>
      </c>
      <c r="N977" s="4">
        <v>2</v>
      </c>
      <c r="O977" s="2">
        <v>0.25</v>
      </c>
      <c r="P977" s="3">
        <v>0.45</v>
      </c>
      <c r="Q977" s="3">
        <v>0.9</v>
      </c>
      <c r="R977" s="3">
        <v>17.09</v>
      </c>
      <c r="S977" s="2">
        <v>5.2662375658279699E-2</v>
      </c>
      <c r="T977" s="5">
        <v>18.988888888888887</v>
      </c>
      <c r="U977" s="4">
        <v>1</v>
      </c>
      <c r="V977" s="4">
        <v>1</v>
      </c>
      <c r="W977" s="2">
        <v>0.5</v>
      </c>
      <c r="X977" s="4">
        <v>0</v>
      </c>
      <c r="Y977" s="4">
        <v>1</v>
      </c>
      <c r="Z977" s="3">
        <v>0</v>
      </c>
      <c r="AA977" s="3">
        <v>17.09</v>
      </c>
    </row>
    <row r="978" spans="1:27" x14ac:dyDescent="0.2">
      <c r="A978">
        <f t="shared" si="30"/>
        <v>2</v>
      </c>
      <c r="B978">
        <f t="shared" si="31"/>
        <v>9</v>
      </c>
      <c r="C978" s="1">
        <v>46078</v>
      </c>
      <c r="D978" t="s">
        <v>25</v>
      </c>
      <c r="E978" t="s">
        <v>26</v>
      </c>
      <c r="F978" t="s">
        <v>49</v>
      </c>
      <c r="G978" t="s">
        <v>50</v>
      </c>
      <c r="H978" t="s">
        <v>29</v>
      </c>
      <c r="I978" t="s">
        <v>30</v>
      </c>
      <c r="J978" t="s">
        <v>47</v>
      </c>
      <c r="K978" t="s">
        <v>42</v>
      </c>
      <c r="L978" t="s">
        <v>272</v>
      </c>
      <c r="M978" s="4">
        <v>59</v>
      </c>
      <c r="N978" s="4">
        <v>1</v>
      </c>
      <c r="O978" s="2">
        <v>1.6949152542372881E-2</v>
      </c>
      <c r="P978" s="3">
        <v>0.65</v>
      </c>
      <c r="Q978" s="3">
        <v>0.65</v>
      </c>
      <c r="R978" s="3">
        <v>0</v>
      </c>
      <c r="S978" s="2"/>
      <c r="T978" s="5">
        <v>0</v>
      </c>
      <c r="U978" s="4">
        <v>0</v>
      </c>
      <c r="V978" s="4">
        <v>0</v>
      </c>
      <c r="W978" s="2">
        <v>0</v>
      </c>
      <c r="X978" s="4">
        <v>0</v>
      </c>
      <c r="Y978" s="4">
        <v>0</v>
      </c>
      <c r="Z978" s="3">
        <v>0</v>
      </c>
      <c r="AA978" s="3">
        <v>0</v>
      </c>
    </row>
    <row r="979" spans="1:27" x14ac:dyDescent="0.2">
      <c r="A979">
        <f t="shared" si="30"/>
        <v>2</v>
      </c>
      <c r="B979">
        <f t="shared" si="31"/>
        <v>9</v>
      </c>
      <c r="C979" s="1">
        <v>46078</v>
      </c>
      <c r="D979" t="s">
        <v>25</v>
      </c>
      <c r="E979" t="s">
        <v>26</v>
      </c>
      <c r="F979" t="s">
        <v>27</v>
      </c>
      <c r="G979" t="s">
        <v>124</v>
      </c>
      <c r="H979" t="s">
        <v>29</v>
      </c>
      <c r="I979" t="s">
        <v>30</v>
      </c>
      <c r="J979" t="s">
        <v>272</v>
      </c>
      <c r="K979" t="s">
        <v>87</v>
      </c>
      <c r="L979" t="s">
        <v>272</v>
      </c>
      <c r="M979" s="4">
        <v>5</v>
      </c>
      <c r="N979" s="4">
        <v>1</v>
      </c>
      <c r="O979" s="2">
        <v>0.2</v>
      </c>
      <c r="P979" s="3">
        <v>0.2</v>
      </c>
      <c r="Q979" s="3">
        <v>0.2</v>
      </c>
      <c r="R979" s="3">
        <v>0</v>
      </c>
      <c r="S979" s="2"/>
      <c r="T979" s="5">
        <v>0</v>
      </c>
      <c r="U979" s="4">
        <v>0</v>
      </c>
      <c r="V979" s="4">
        <v>0</v>
      </c>
      <c r="W979" s="2">
        <v>0</v>
      </c>
      <c r="X979" s="4">
        <v>0</v>
      </c>
      <c r="Y979" s="4">
        <v>0</v>
      </c>
      <c r="Z979" s="3">
        <v>0</v>
      </c>
      <c r="AA979" s="3">
        <v>0</v>
      </c>
    </row>
    <row r="980" spans="1:27" x14ac:dyDescent="0.2">
      <c r="A980">
        <f t="shared" si="30"/>
        <v>2</v>
      </c>
      <c r="B980">
        <f t="shared" si="31"/>
        <v>9</v>
      </c>
      <c r="C980" s="1">
        <v>46081</v>
      </c>
      <c r="D980" t="s">
        <v>25</v>
      </c>
      <c r="E980" t="s">
        <v>26</v>
      </c>
      <c r="F980" t="s">
        <v>27</v>
      </c>
      <c r="G980" t="s">
        <v>124</v>
      </c>
      <c r="H980" t="s">
        <v>29</v>
      </c>
      <c r="I980" t="s">
        <v>30</v>
      </c>
      <c r="J980" t="s">
        <v>272</v>
      </c>
      <c r="K980" t="s">
        <v>87</v>
      </c>
      <c r="L980" t="s">
        <v>272</v>
      </c>
      <c r="M980" s="4">
        <v>4</v>
      </c>
      <c r="N980" s="4">
        <v>1</v>
      </c>
      <c r="O980" s="2">
        <v>0.25</v>
      </c>
      <c r="P980" s="3">
        <v>0.2</v>
      </c>
      <c r="Q980" s="3">
        <v>0.2</v>
      </c>
      <c r="R980" s="3">
        <v>0</v>
      </c>
      <c r="S980" s="2"/>
      <c r="T980" s="5">
        <v>0</v>
      </c>
      <c r="U980" s="4">
        <v>0</v>
      </c>
      <c r="V980" s="4">
        <v>0</v>
      </c>
      <c r="W980" s="2">
        <v>0</v>
      </c>
      <c r="X980" s="4">
        <v>0</v>
      </c>
      <c r="Y980" s="4">
        <v>0</v>
      </c>
      <c r="Z980" s="3">
        <v>0</v>
      </c>
      <c r="AA980" s="3">
        <v>0</v>
      </c>
    </row>
    <row r="981" spans="1:27" x14ac:dyDescent="0.2">
      <c r="A981">
        <f t="shared" si="30"/>
        <v>2</v>
      </c>
      <c r="B981">
        <f t="shared" si="31"/>
        <v>9</v>
      </c>
      <c r="C981" s="1">
        <v>46076</v>
      </c>
      <c r="D981" t="s">
        <v>25</v>
      </c>
      <c r="E981" t="s">
        <v>26</v>
      </c>
      <c r="F981" t="s">
        <v>27</v>
      </c>
      <c r="G981" t="s">
        <v>28</v>
      </c>
      <c r="H981" t="s">
        <v>29</v>
      </c>
      <c r="I981" t="s">
        <v>30</v>
      </c>
      <c r="J981" t="s">
        <v>253</v>
      </c>
      <c r="K981" t="s">
        <v>32</v>
      </c>
      <c r="L981" t="s">
        <v>653</v>
      </c>
      <c r="M981" s="4">
        <v>1</v>
      </c>
      <c r="N981" s="4">
        <v>1</v>
      </c>
      <c r="O981" s="2">
        <v>1</v>
      </c>
      <c r="P981" s="3">
        <v>0.4</v>
      </c>
      <c r="Q981" s="3">
        <v>0.4</v>
      </c>
      <c r="R981" s="3">
        <v>0</v>
      </c>
      <c r="S981" s="2"/>
      <c r="T981" s="5">
        <v>0</v>
      </c>
      <c r="U981" s="4">
        <v>0</v>
      </c>
      <c r="V981" s="4">
        <v>0</v>
      </c>
      <c r="W981" s="2">
        <v>0</v>
      </c>
      <c r="X981" s="4">
        <v>0</v>
      </c>
      <c r="Y981" s="4">
        <v>0</v>
      </c>
      <c r="Z981" s="3">
        <v>0</v>
      </c>
      <c r="AA981" s="3">
        <v>0</v>
      </c>
    </row>
    <row r="982" spans="1:27" x14ac:dyDescent="0.2">
      <c r="A982">
        <f t="shared" si="30"/>
        <v>2</v>
      </c>
      <c r="B982">
        <f t="shared" si="31"/>
        <v>9</v>
      </c>
      <c r="C982" s="1">
        <v>46075</v>
      </c>
      <c r="D982" t="s">
        <v>25</v>
      </c>
      <c r="E982" t="s">
        <v>26</v>
      </c>
      <c r="F982" t="s">
        <v>34</v>
      </c>
      <c r="G982" t="s">
        <v>273</v>
      </c>
      <c r="H982" t="s">
        <v>29</v>
      </c>
      <c r="I982" t="s">
        <v>30</v>
      </c>
      <c r="J982" t="s">
        <v>101</v>
      </c>
      <c r="K982" t="s">
        <v>267</v>
      </c>
      <c r="L982" t="s">
        <v>101</v>
      </c>
      <c r="M982" s="4">
        <v>6</v>
      </c>
      <c r="N982" s="4">
        <v>1</v>
      </c>
      <c r="O982" s="2">
        <v>0.16666666666666663</v>
      </c>
      <c r="P982" s="3">
        <v>1.01</v>
      </c>
      <c r="Q982" s="3">
        <v>1.01</v>
      </c>
      <c r="R982" s="3">
        <v>0</v>
      </c>
      <c r="S982" s="2"/>
      <c r="T982" s="5">
        <v>0</v>
      </c>
      <c r="U982" s="4">
        <v>0</v>
      </c>
      <c r="V982" s="4">
        <v>0</v>
      </c>
      <c r="W982" s="2">
        <v>0</v>
      </c>
      <c r="X982" s="4">
        <v>0</v>
      </c>
      <c r="Y982" s="4">
        <v>0</v>
      </c>
      <c r="Z982" s="3">
        <v>0</v>
      </c>
      <c r="AA982" s="3">
        <v>0</v>
      </c>
    </row>
    <row r="983" spans="1:27" x14ac:dyDescent="0.2">
      <c r="A983">
        <f t="shared" si="30"/>
        <v>2</v>
      </c>
      <c r="B983">
        <f t="shared" si="31"/>
        <v>9</v>
      </c>
      <c r="C983" s="1">
        <v>46081</v>
      </c>
      <c r="D983" t="s">
        <v>25</v>
      </c>
      <c r="E983" t="s">
        <v>26</v>
      </c>
      <c r="F983" t="s">
        <v>27</v>
      </c>
      <c r="G983" t="s">
        <v>28</v>
      </c>
      <c r="H983" t="s">
        <v>29</v>
      </c>
      <c r="I983" t="s">
        <v>30</v>
      </c>
      <c r="J983" t="s">
        <v>50</v>
      </c>
      <c r="K983" t="s">
        <v>32</v>
      </c>
      <c r="L983" t="s">
        <v>101</v>
      </c>
      <c r="M983" s="4">
        <v>15</v>
      </c>
      <c r="N983" s="4">
        <v>1</v>
      </c>
      <c r="O983" s="2">
        <v>6.6666666666666666E-2</v>
      </c>
      <c r="P983" s="3">
        <v>0.2</v>
      </c>
      <c r="Q983" s="3">
        <v>0.2</v>
      </c>
      <c r="R983" s="3">
        <v>0</v>
      </c>
      <c r="S983" s="2"/>
      <c r="T983" s="5">
        <v>0</v>
      </c>
      <c r="U983" s="4">
        <v>0</v>
      </c>
      <c r="V983" s="4">
        <v>0</v>
      </c>
      <c r="W983" s="2">
        <v>0</v>
      </c>
      <c r="X983" s="4">
        <v>0</v>
      </c>
      <c r="Y983" s="4">
        <v>0</v>
      </c>
      <c r="Z983" s="3">
        <v>0</v>
      </c>
      <c r="AA983" s="3">
        <v>0</v>
      </c>
    </row>
    <row r="984" spans="1:27" x14ac:dyDescent="0.2">
      <c r="A984">
        <f t="shared" si="30"/>
        <v>2</v>
      </c>
      <c r="B984">
        <f t="shared" si="31"/>
        <v>9</v>
      </c>
      <c r="C984" s="1">
        <v>46078</v>
      </c>
      <c r="D984" t="s">
        <v>25</v>
      </c>
      <c r="E984" t="s">
        <v>26</v>
      </c>
      <c r="F984" t="s">
        <v>27</v>
      </c>
      <c r="G984" t="s">
        <v>124</v>
      </c>
      <c r="H984" t="s">
        <v>29</v>
      </c>
      <c r="I984" t="s">
        <v>30</v>
      </c>
      <c r="J984" t="s">
        <v>101</v>
      </c>
      <c r="K984" t="s">
        <v>267</v>
      </c>
      <c r="L984" t="s">
        <v>101</v>
      </c>
      <c r="M984" s="4">
        <v>4</v>
      </c>
      <c r="N984" s="4">
        <v>1</v>
      </c>
      <c r="O984" s="2">
        <v>0.25</v>
      </c>
      <c r="P984" s="3">
        <v>0.2</v>
      </c>
      <c r="Q984" s="3">
        <v>0.2</v>
      </c>
      <c r="R984" s="3">
        <v>0</v>
      </c>
      <c r="S984" s="2"/>
      <c r="T984" s="5">
        <v>0</v>
      </c>
      <c r="U984" s="4">
        <v>0</v>
      </c>
      <c r="V984" s="4">
        <v>0</v>
      </c>
      <c r="W984" s="2">
        <v>0</v>
      </c>
      <c r="X984" s="4">
        <v>0</v>
      </c>
      <c r="Y984" s="4">
        <v>0</v>
      </c>
      <c r="Z984" s="3">
        <v>0</v>
      </c>
      <c r="AA984" s="3">
        <v>0</v>
      </c>
    </row>
    <row r="985" spans="1:27" x14ac:dyDescent="0.2">
      <c r="A985">
        <f t="shared" si="30"/>
        <v>2</v>
      </c>
      <c r="B985">
        <f t="shared" si="31"/>
        <v>9</v>
      </c>
      <c r="C985" s="1">
        <v>46079</v>
      </c>
      <c r="D985" t="s">
        <v>25</v>
      </c>
      <c r="E985" t="s">
        <v>26</v>
      </c>
      <c r="F985" t="s">
        <v>27</v>
      </c>
      <c r="G985" t="s">
        <v>124</v>
      </c>
      <c r="H985" t="s">
        <v>29</v>
      </c>
      <c r="I985" t="s">
        <v>30</v>
      </c>
      <c r="J985" t="s">
        <v>101</v>
      </c>
      <c r="K985" t="s">
        <v>267</v>
      </c>
      <c r="L985" t="s">
        <v>101</v>
      </c>
      <c r="M985" s="4">
        <v>38</v>
      </c>
      <c r="N985" s="4">
        <v>1</v>
      </c>
      <c r="O985" s="2">
        <v>2.6315789473684209E-2</v>
      </c>
      <c r="P985" s="3">
        <v>0.2</v>
      </c>
      <c r="Q985" s="3">
        <v>0.2</v>
      </c>
      <c r="R985" s="3">
        <v>0</v>
      </c>
      <c r="S985" s="2"/>
      <c r="T985" s="5">
        <v>0</v>
      </c>
      <c r="U985" s="4">
        <v>0</v>
      </c>
      <c r="V985" s="4">
        <v>0</v>
      </c>
      <c r="W985" s="2">
        <v>0</v>
      </c>
      <c r="X985" s="4">
        <v>0</v>
      </c>
      <c r="Y985" s="4">
        <v>0</v>
      </c>
      <c r="Z985" s="3">
        <v>0</v>
      </c>
      <c r="AA985" s="3">
        <v>0</v>
      </c>
    </row>
    <row r="986" spans="1:27" x14ac:dyDescent="0.2">
      <c r="A986">
        <f t="shared" si="30"/>
        <v>2</v>
      </c>
      <c r="B986">
        <f t="shared" si="31"/>
        <v>9</v>
      </c>
      <c r="C986" s="1">
        <v>46077</v>
      </c>
      <c r="D986" t="s">
        <v>25</v>
      </c>
      <c r="E986" t="s">
        <v>26</v>
      </c>
      <c r="F986" t="s">
        <v>27</v>
      </c>
      <c r="G986" t="s">
        <v>124</v>
      </c>
      <c r="H986" t="s">
        <v>29</v>
      </c>
      <c r="I986" t="s">
        <v>30</v>
      </c>
      <c r="J986" t="s">
        <v>101</v>
      </c>
      <c r="K986" t="s">
        <v>87</v>
      </c>
      <c r="L986" t="s">
        <v>99</v>
      </c>
      <c r="M986" s="4">
        <v>7</v>
      </c>
      <c r="N986" s="4">
        <v>1</v>
      </c>
      <c r="O986" s="2">
        <v>0.14285714285714285</v>
      </c>
      <c r="P986" s="3">
        <v>0.2</v>
      </c>
      <c r="Q986" s="3">
        <v>0.2</v>
      </c>
      <c r="R986" s="3">
        <v>0</v>
      </c>
      <c r="S986" s="2"/>
      <c r="T986" s="5">
        <v>0</v>
      </c>
      <c r="U986" s="4">
        <v>0</v>
      </c>
      <c r="V986" s="4">
        <v>0</v>
      </c>
      <c r="W986" s="2">
        <v>0</v>
      </c>
      <c r="X986" s="4">
        <v>0</v>
      </c>
      <c r="Y986" s="4">
        <v>0</v>
      </c>
      <c r="Z986" s="3">
        <v>0</v>
      </c>
      <c r="AA986" s="3">
        <v>0</v>
      </c>
    </row>
    <row r="987" spans="1:27" x14ac:dyDescent="0.2">
      <c r="A987">
        <f t="shared" si="30"/>
        <v>2</v>
      </c>
      <c r="B987">
        <f t="shared" si="31"/>
        <v>9</v>
      </c>
      <c r="C987" s="1">
        <v>46078</v>
      </c>
      <c r="D987" t="s">
        <v>25</v>
      </c>
      <c r="E987" t="s">
        <v>26</v>
      </c>
      <c r="F987" t="s">
        <v>34</v>
      </c>
      <c r="G987" t="s">
        <v>28</v>
      </c>
      <c r="H987" t="s">
        <v>29</v>
      </c>
      <c r="I987" t="s">
        <v>30</v>
      </c>
      <c r="J987" t="s">
        <v>99</v>
      </c>
      <c r="K987" t="s">
        <v>32</v>
      </c>
      <c r="L987" t="s">
        <v>99</v>
      </c>
      <c r="M987" s="4">
        <v>37</v>
      </c>
      <c r="N987" s="4">
        <v>1</v>
      </c>
      <c r="O987" s="2">
        <v>2.7027027027027025E-2</v>
      </c>
      <c r="P987" s="3">
        <v>1.1499999999999999</v>
      </c>
      <c r="Q987" s="3">
        <v>1.1499999999999999</v>
      </c>
      <c r="R987" s="3">
        <v>0</v>
      </c>
      <c r="S987" s="2"/>
      <c r="T987" s="5">
        <v>0</v>
      </c>
      <c r="U987" s="4">
        <v>0</v>
      </c>
      <c r="V987" s="4">
        <v>0</v>
      </c>
      <c r="W987" s="2">
        <v>0</v>
      </c>
      <c r="X987" s="4">
        <v>0</v>
      </c>
      <c r="Y987" s="4">
        <v>0</v>
      </c>
      <c r="Z987" s="3">
        <v>0</v>
      </c>
      <c r="AA987" s="3">
        <v>0</v>
      </c>
    </row>
    <row r="988" spans="1:27" x14ac:dyDescent="0.2">
      <c r="A988">
        <f t="shared" si="30"/>
        <v>2</v>
      </c>
      <c r="B988">
        <f t="shared" si="31"/>
        <v>9</v>
      </c>
      <c r="C988" s="1">
        <v>46080</v>
      </c>
      <c r="D988" t="s">
        <v>25</v>
      </c>
      <c r="E988" t="s">
        <v>26</v>
      </c>
      <c r="F988" t="s">
        <v>34</v>
      </c>
      <c r="G988" t="s">
        <v>28</v>
      </c>
      <c r="H988" t="s">
        <v>29</v>
      </c>
      <c r="I988" t="s">
        <v>30</v>
      </c>
      <c r="J988" t="s">
        <v>99</v>
      </c>
      <c r="K988" t="s">
        <v>32</v>
      </c>
      <c r="L988" t="s">
        <v>99</v>
      </c>
      <c r="M988" s="4">
        <v>25</v>
      </c>
      <c r="N988" s="4">
        <v>1</v>
      </c>
      <c r="O988" s="2">
        <v>0.04</v>
      </c>
      <c r="P988" s="3">
        <v>1.25</v>
      </c>
      <c r="Q988" s="3">
        <v>1.25</v>
      </c>
      <c r="R988" s="3">
        <v>17.09</v>
      </c>
      <c r="S988" s="2">
        <v>7.3142188414277359E-2</v>
      </c>
      <c r="T988" s="5">
        <v>13.672000000000001</v>
      </c>
      <c r="U988" s="4">
        <v>1</v>
      </c>
      <c r="V988" s="4">
        <v>1</v>
      </c>
      <c r="W988" s="2">
        <v>1</v>
      </c>
      <c r="X988" s="4">
        <v>1</v>
      </c>
      <c r="Y988" s="4">
        <v>0</v>
      </c>
      <c r="Z988" s="3">
        <v>17.09</v>
      </c>
      <c r="AA988" s="3">
        <v>0</v>
      </c>
    </row>
    <row r="989" spans="1:27" x14ac:dyDescent="0.2">
      <c r="A989">
        <f t="shared" si="30"/>
        <v>2</v>
      </c>
      <c r="B989">
        <f t="shared" si="31"/>
        <v>9</v>
      </c>
      <c r="C989" s="1">
        <v>46081</v>
      </c>
      <c r="D989" t="s">
        <v>25</v>
      </c>
      <c r="E989" t="s">
        <v>26</v>
      </c>
      <c r="F989" t="s">
        <v>27</v>
      </c>
      <c r="G989" t="s">
        <v>28</v>
      </c>
      <c r="H989" t="s">
        <v>29</v>
      </c>
      <c r="I989" t="s">
        <v>30</v>
      </c>
      <c r="J989" t="s">
        <v>99</v>
      </c>
      <c r="K989" t="s">
        <v>32</v>
      </c>
      <c r="L989" t="s">
        <v>99</v>
      </c>
      <c r="M989" s="4">
        <v>8</v>
      </c>
      <c r="N989" s="4">
        <v>1</v>
      </c>
      <c r="O989" s="2">
        <v>0.125</v>
      </c>
      <c r="P989" s="3">
        <v>0.2</v>
      </c>
      <c r="Q989" s="3">
        <v>0.2</v>
      </c>
      <c r="R989" s="3">
        <v>0</v>
      </c>
      <c r="S989" s="2"/>
      <c r="T989" s="5">
        <v>0</v>
      </c>
      <c r="U989" s="4">
        <v>0</v>
      </c>
      <c r="V989" s="4">
        <v>0</v>
      </c>
      <c r="W989" s="2">
        <v>0</v>
      </c>
      <c r="X989" s="4">
        <v>0</v>
      </c>
      <c r="Y989" s="4">
        <v>0</v>
      </c>
      <c r="Z989" s="3">
        <v>0</v>
      </c>
      <c r="AA989" s="3">
        <v>0</v>
      </c>
    </row>
    <row r="990" spans="1:27" x14ac:dyDescent="0.2">
      <c r="A990">
        <f t="shared" si="30"/>
        <v>2</v>
      </c>
      <c r="B990">
        <f t="shared" si="31"/>
        <v>9</v>
      </c>
      <c r="C990" s="1">
        <v>46080</v>
      </c>
      <c r="D990" t="s">
        <v>25</v>
      </c>
      <c r="E990" t="s">
        <v>26</v>
      </c>
      <c r="F990" t="s">
        <v>27</v>
      </c>
      <c r="G990" t="s">
        <v>124</v>
      </c>
      <c r="H990" t="s">
        <v>29</v>
      </c>
      <c r="I990" t="s">
        <v>30</v>
      </c>
      <c r="J990" t="s">
        <v>99</v>
      </c>
      <c r="K990" t="s">
        <v>87</v>
      </c>
      <c r="L990" t="s">
        <v>99</v>
      </c>
      <c r="M990" s="4">
        <v>1</v>
      </c>
      <c r="N990" s="4">
        <v>1</v>
      </c>
      <c r="O990" s="2">
        <v>1</v>
      </c>
      <c r="P990" s="3">
        <v>0.4</v>
      </c>
      <c r="Q990" s="3">
        <v>0.4</v>
      </c>
      <c r="R990" s="3">
        <v>0</v>
      </c>
      <c r="S990" s="2"/>
      <c r="T990" s="5">
        <v>0</v>
      </c>
      <c r="U990" s="4">
        <v>0</v>
      </c>
      <c r="V990" s="4">
        <v>0</v>
      </c>
      <c r="W990" s="2">
        <v>0</v>
      </c>
      <c r="X990" s="4">
        <v>0</v>
      </c>
      <c r="Y990" s="4">
        <v>0</v>
      </c>
      <c r="Z990" s="3">
        <v>0</v>
      </c>
      <c r="AA990" s="3">
        <v>0</v>
      </c>
    </row>
    <row r="991" spans="1:27" x14ac:dyDescent="0.2">
      <c r="A991">
        <f t="shared" si="30"/>
        <v>2</v>
      </c>
      <c r="B991">
        <f t="shared" si="31"/>
        <v>9</v>
      </c>
      <c r="C991" s="1">
        <v>46076</v>
      </c>
      <c r="D991" t="s">
        <v>25</v>
      </c>
      <c r="E991" t="s">
        <v>26</v>
      </c>
      <c r="F991" t="s">
        <v>34</v>
      </c>
      <c r="G991" t="s">
        <v>273</v>
      </c>
      <c r="H991" t="s">
        <v>29</v>
      </c>
      <c r="I991" t="s">
        <v>30</v>
      </c>
      <c r="J991" t="s">
        <v>99</v>
      </c>
      <c r="K991" t="s">
        <v>267</v>
      </c>
      <c r="L991" t="s">
        <v>99</v>
      </c>
      <c r="M991" s="4">
        <v>70</v>
      </c>
      <c r="N991" s="4">
        <v>1</v>
      </c>
      <c r="O991" s="2">
        <v>1.4285714285714285E-2</v>
      </c>
      <c r="P991" s="3">
        <v>0.89</v>
      </c>
      <c r="Q991" s="3">
        <v>0.89</v>
      </c>
      <c r="R991" s="3">
        <v>0</v>
      </c>
      <c r="S991" s="2"/>
      <c r="T991" s="5">
        <v>0</v>
      </c>
      <c r="U991" s="4">
        <v>0</v>
      </c>
      <c r="V991" s="4">
        <v>0</v>
      </c>
      <c r="W991" s="2">
        <v>0</v>
      </c>
      <c r="X991" s="4">
        <v>0</v>
      </c>
      <c r="Y991" s="4">
        <v>0</v>
      </c>
      <c r="Z991" s="3">
        <v>0</v>
      </c>
      <c r="AA991" s="3">
        <v>0</v>
      </c>
    </row>
    <row r="992" spans="1:27" x14ac:dyDescent="0.2">
      <c r="A992">
        <f t="shared" si="30"/>
        <v>2</v>
      </c>
      <c r="B992">
        <f t="shared" si="31"/>
        <v>9</v>
      </c>
      <c r="C992" s="1">
        <v>46081</v>
      </c>
      <c r="D992" t="s">
        <v>25</v>
      </c>
      <c r="E992" t="s">
        <v>26</v>
      </c>
      <c r="F992" t="s">
        <v>49</v>
      </c>
      <c r="G992" t="s">
        <v>50</v>
      </c>
      <c r="H992" t="s">
        <v>29</v>
      </c>
      <c r="I992" t="s">
        <v>30</v>
      </c>
      <c r="J992" t="s">
        <v>47</v>
      </c>
      <c r="K992" t="s">
        <v>42</v>
      </c>
      <c r="L992" t="s">
        <v>654</v>
      </c>
      <c r="M992" s="4">
        <v>2</v>
      </c>
      <c r="N992" s="4">
        <v>1</v>
      </c>
      <c r="O992" s="2">
        <v>0.5</v>
      </c>
      <c r="P992" s="3">
        <v>0.78</v>
      </c>
      <c r="Q992" s="3">
        <v>0.78</v>
      </c>
      <c r="R992" s="3">
        <v>0</v>
      </c>
      <c r="S992" s="2"/>
      <c r="T992" s="5">
        <v>0</v>
      </c>
      <c r="U992" s="4">
        <v>0</v>
      </c>
      <c r="V992" s="4">
        <v>0</v>
      </c>
      <c r="W992" s="2">
        <v>0</v>
      </c>
      <c r="X992" s="4">
        <v>0</v>
      </c>
      <c r="Y992" s="4">
        <v>0</v>
      </c>
      <c r="Z992" s="3">
        <v>0</v>
      </c>
      <c r="AA992" s="3">
        <v>0</v>
      </c>
    </row>
    <row r="993" spans="1:27" x14ac:dyDescent="0.2">
      <c r="A993">
        <f t="shared" si="30"/>
        <v>2</v>
      </c>
      <c r="B993">
        <f t="shared" si="31"/>
        <v>9</v>
      </c>
      <c r="C993" s="1">
        <v>46075</v>
      </c>
      <c r="D993" t="s">
        <v>25</v>
      </c>
      <c r="E993" t="s">
        <v>26</v>
      </c>
      <c r="F993" t="s">
        <v>27</v>
      </c>
      <c r="G993" t="s">
        <v>28</v>
      </c>
      <c r="H993" t="s">
        <v>29</v>
      </c>
      <c r="I993" t="s">
        <v>30</v>
      </c>
      <c r="J993" t="s">
        <v>253</v>
      </c>
      <c r="K993" t="s">
        <v>32</v>
      </c>
      <c r="L993" t="s">
        <v>655</v>
      </c>
      <c r="M993" s="4">
        <v>40</v>
      </c>
      <c r="N993" s="4">
        <v>1</v>
      </c>
      <c r="O993" s="2">
        <v>2.5000000000000001E-2</v>
      </c>
      <c r="P993" s="3">
        <v>0.2</v>
      </c>
      <c r="Q993" s="3">
        <v>0.2</v>
      </c>
      <c r="R993" s="3">
        <v>0</v>
      </c>
      <c r="S993" s="2"/>
      <c r="T993" s="5">
        <v>0</v>
      </c>
      <c r="U993" s="4">
        <v>0</v>
      </c>
      <c r="V993" s="4">
        <v>0</v>
      </c>
      <c r="W993" s="2">
        <v>0</v>
      </c>
      <c r="X993" s="4">
        <v>0</v>
      </c>
      <c r="Y993" s="4">
        <v>0</v>
      </c>
      <c r="Z993" s="3">
        <v>0</v>
      </c>
      <c r="AA993" s="3">
        <v>0</v>
      </c>
    </row>
    <row r="994" spans="1:27" x14ac:dyDescent="0.2">
      <c r="A994">
        <f t="shared" si="30"/>
        <v>2</v>
      </c>
      <c r="B994">
        <f t="shared" si="31"/>
        <v>9</v>
      </c>
      <c r="C994" s="1">
        <v>46076</v>
      </c>
      <c r="D994" t="s">
        <v>25</v>
      </c>
      <c r="E994" t="s">
        <v>26</v>
      </c>
      <c r="F994" t="s">
        <v>27</v>
      </c>
      <c r="G994" t="s">
        <v>28</v>
      </c>
      <c r="H994" t="s">
        <v>29</v>
      </c>
      <c r="I994" t="s">
        <v>30</v>
      </c>
      <c r="J994" t="s">
        <v>253</v>
      </c>
      <c r="K994" t="s">
        <v>32</v>
      </c>
      <c r="L994" t="s">
        <v>655</v>
      </c>
      <c r="M994" s="4">
        <v>23</v>
      </c>
      <c r="N994" s="4">
        <v>1</v>
      </c>
      <c r="O994" s="2">
        <v>4.3478260869565216E-2</v>
      </c>
      <c r="P994" s="3">
        <v>0.2</v>
      </c>
      <c r="Q994" s="3">
        <v>0.2</v>
      </c>
      <c r="R994" s="3">
        <v>0</v>
      </c>
      <c r="S994" s="2"/>
      <c r="T994" s="5">
        <v>0</v>
      </c>
      <c r="U994" s="4">
        <v>0</v>
      </c>
      <c r="V994" s="4">
        <v>0</v>
      </c>
      <c r="W994" s="2">
        <v>0</v>
      </c>
      <c r="X994" s="4">
        <v>0</v>
      </c>
      <c r="Y994" s="4">
        <v>0</v>
      </c>
      <c r="Z994" s="3">
        <v>0</v>
      </c>
      <c r="AA994" s="3">
        <v>0</v>
      </c>
    </row>
    <row r="995" spans="1:27" x14ac:dyDescent="0.2">
      <c r="A995">
        <f t="shared" si="30"/>
        <v>2</v>
      </c>
      <c r="B995">
        <f t="shared" si="31"/>
        <v>9</v>
      </c>
      <c r="C995" s="1">
        <v>46080</v>
      </c>
      <c r="D995" t="s">
        <v>25</v>
      </c>
      <c r="E995" t="s">
        <v>26</v>
      </c>
      <c r="F995" t="s">
        <v>34</v>
      </c>
      <c r="G995" t="s">
        <v>28</v>
      </c>
      <c r="H995" t="s">
        <v>29</v>
      </c>
      <c r="I995" t="s">
        <v>30</v>
      </c>
      <c r="J995" t="s">
        <v>50</v>
      </c>
      <c r="K995" t="s">
        <v>32</v>
      </c>
      <c r="L995" t="s">
        <v>50</v>
      </c>
      <c r="M995" s="4">
        <v>3</v>
      </c>
      <c r="N995" s="4">
        <v>1</v>
      </c>
      <c r="O995" s="2">
        <v>0.33333333333333331</v>
      </c>
      <c r="P995" s="3">
        <v>1.24</v>
      </c>
      <c r="Q995" s="3">
        <v>1.24</v>
      </c>
      <c r="R995" s="3">
        <v>0</v>
      </c>
      <c r="S995" s="2"/>
      <c r="T995" s="5">
        <v>0</v>
      </c>
      <c r="U995" s="4">
        <v>0</v>
      </c>
      <c r="V995" s="4">
        <v>0</v>
      </c>
      <c r="W995" s="2">
        <v>0</v>
      </c>
      <c r="X995" s="4">
        <v>0</v>
      </c>
      <c r="Y995" s="4">
        <v>0</v>
      </c>
      <c r="Z995" s="3">
        <v>0</v>
      </c>
      <c r="AA995" s="3">
        <v>0</v>
      </c>
    </row>
    <row r="996" spans="1:27" x14ac:dyDescent="0.2">
      <c r="A996">
        <f t="shared" si="30"/>
        <v>2</v>
      </c>
      <c r="B996">
        <f t="shared" si="31"/>
        <v>9</v>
      </c>
      <c r="C996" s="1">
        <v>46080</v>
      </c>
      <c r="D996" t="s">
        <v>25</v>
      </c>
      <c r="E996" t="s">
        <v>26</v>
      </c>
      <c r="F996" t="s">
        <v>27</v>
      </c>
      <c r="G996" t="s">
        <v>28</v>
      </c>
      <c r="H996" t="s">
        <v>29</v>
      </c>
      <c r="I996" t="s">
        <v>30</v>
      </c>
      <c r="J996" t="s">
        <v>44</v>
      </c>
      <c r="K996" t="s">
        <v>32</v>
      </c>
      <c r="L996" t="s">
        <v>656</v>
      </c>
      <c r="M996" s="4">
        <v>1</v>
      </c>
      <c r="N996" s="4">
        <v>1</v>
      </c>
      <c r="O996" s="2">
        <v>1</v>
      </c>
      <c r="P996" s="3">
        <v>0.21</v>
      </c>
      <c r="Q996" s="3">
        <v>0.21</v>
      </c>
      <c r="R996" s="3">
        <v>0</v>
      </c>
      <c r="S996" s="2"/>
      <c r="T996" s="5">
        <v>0</v>
      </c>
      <c r="U996" s="4">
        <v>0</v>
      </c>
      <c r="V996" s="4">
        <v>0</v>
      </c>
      <c r="W996" s="2">
        <v>0</v>
      </c>
      <c r="X996" s="4">
        <v>0</v>
      </c>
      <c r="Y996" s="4">
        <v>0</v>
      </c>
      <c r="Z996" s="3">
        <v>0</v>
      </c>
      <c r="AA996" s="3">
        <v>0</v>
      </c>
    </row>
    <row r="997" spans="1:27" x14ac:dyDescent="0.2">
      <c r="A997">
        <f t="shared" si="30"/>
        <v>2</v>
      </c>
      <c r="B997">
        <f t="shared" si="31"/>
        <v>9</v>
      </c>
      <c r="C997" s="1">
        <v>46075</v>
      </c>
      <c r="D997" t="s">
        <v>25</v>
      </c>
      <c r="E997" t="s">
        <v>26</v>
      </c>
      <c r="F997" t="s">
        <v>49</v>
      </c>
      <c r="G997" t="s">
        <v>50</v>
      </c>
      <c r="H997" t="s">
        <v>29</v>
      </c>
      <c r="I997" t="s">
        <v>30</v>
      </c>
      <c r="J997" t="s">
        <v>95</v>
      </c>
      <c r="K997" t="s">
        <v>42</v>
      </c>
      <c r="L997" t="s">
        <v>657</v>
      </c>
      <c r="M997" s="4">
        <v>1</v>
      </c>
      <c r="N997" s="4">
        <v>1</v>
      </c>
      <c r="O997" s="2">
        <v>1</v>
      </c>
      <c r="P997" s="3">
        <v>0.45</v>
      </c>
      <c r="Q997" s="3">
        <v>0.45</v>
      </c>
      <c r="R997" s="3">
        <v>0</v>
      </c>
      <c r="S997" s="2"/>
      <c r="T997" s="5">
        <v>0</v>
      </c>
      <c r="U997" s="4">
        <v>0</v>
      </c>
      <c r="V997" s="4">
        <v>0</v>
      </c>
      <c r="W997" s="2">
        <v>0</v>
      </c>
      <c r="X997" s="4">
        <v>0</v>
      </c>
      <c r="Y997" s="4">
        <v>0</v>
      </c>
      <c r="Z997" s="3">
        <v>0</v>
      </c>
      <c r="AA997" s="3">
        <v>0</v>
      </c>
    </row>
    <row r="998" spans="1:27" x14ac:dyDescent="0.2">
      <c r="A998">
        <f t="shared" si="30"/>
        <v>2</v>
      </c>
      <c r="B998">
        <f t="shared" si="31"/>
        <v>9</v>
      </c>
      <c r="C998" s="1">
        <v>46081</v>
      </c>
      <c r="D998" t="s">
        <v>25</v>
      </c>
      <c r="E998" t="s">
        <v>26</v>
      </c>
      <c r="F998" t="s">
        <v>53</v>
      </c>
      <c r="G998" t="s">
        <v>54</v>
      </c>
      <c r="H998" t="s">
        <v>29</v>
      </c>
      <c r="I998" t="s">
        <v>30</v>
      </c>
      <c r="J998" t="s">
        <v>47</v>
      </c>
      <c r="K998" t="s">
        <v>42</v>
      </c>
      <c r="L998" t="s">
        <v>658</v>
      </c>
      <c r="M998" s="4">
        <v>1</v>
      </c>
      <c r="N998" s="4">
        <v>1</v>
      </c>
      <c r="O998" s="2">
        <v>1</v>
      </c>
      <c r="P998" s="3">
        <v>0.99</v>
      </c>
      <c r="Q998" s="3">
        <v>0.99</v>
      </c>
      <c r="R998" s="3">
        <v>0</v>
      </c>
      <c r="S998" s="2"/>
      <c r="T998" s="5">
        <v>0</v>
      </c>
      <c r="U998" s="4">
        <v>0</v>
      </c>
      <c r="V998" s="4">
        <v>0</v>
      </c>
      <c r="W998" s="2">
        <v>0</v>
      </c>
      <c r="X998" s="4">
        <v>0</v>
      </c>
      <c r="Y998" s="4">
        <v>0</v>
      </c>
      <c r="Z998" s="3">
        <v>0</v>
      </c>
      <c r="AA998" s="3">
        <v>0</v>
      </c>
    </row>
    <row r="999" spans="1:27" x14ac:dyDescent="0.2">
      <c r="A999">
        <f t="shared" si="30"/>
        <v>2</v>
      </c>
      <c r="B999">
        <f t="shared" si="31"/>
        <v>9</v>
      </c>
      <c r="C999" s="1">
        <v>46077</v>
      </c>
      <c r="D999" t="s">
        <v>25</v>
      </c>
      <c r="E999" t="s">
        <v>26</v>
      </c>
      <c r="F999" t="s">
        <v>61</v>
      </c>
      <c r="G999" t="s">
        <v>62</v>
      </c>
      <c r="H999" t="s">
        <v>29</v>
      </c>
      <c r="I999" t="s">
        <v>30</v>
      </c>
      <c r="J999" t="s">
        <v>95</v>
      </c>
      <c r="K999" t="s">
        <v>42</v>
      </c>
      <c r="L999" t="s">
        <v>659</v>
      </c>
      <c r="M999" s="4">
        <v>1</v>
      </c>
      <c r="N999" s="4">
        <v>1</v>
      </c>
      <c r="O999" s="2">
        <v>1</v>
      </c>
      <c r="P999" s="3">
        <v>0</v>
      </c>
      <c r="Q999" s="3">
        <v>0</v>
      </c>
      <c r="R999" s="3">
        <v>0</v>
      </c>
      <c r="S999" s="2"/>
      <c r="T999" s="5"/>
      <c r="U999" s="4">
        <v>0</v>
      </c>
      <c r="V999" s="4">
        <v>0</v>
      </c>
      <c r="W999" s="2">
        <v>0</v>
      </c>
      <c r="X999" s="4">
        <v>0</v>
      </c>
      <c r="Y999" s="4">
        <v>0</v>
      </c>
      <c r="Z999" s="3">
        <v>0</v>
      </c>
      <c r="AA999" s="3">
        <v>0</v>
      </c>
    </row>
    <row r="1000" spans="1:27" x14ac:dyDescent="0.2">
      <c r="A1000">
        <f t="shared" si="30"/>
        <v>2</v>
      </c>
      <c r="B1000">
        <f t="shared" si="31"/>
        <v>9</v>
      </c>
      <c r="C1000" s="1">
        <v>46078</v>
      </c>
      <c r="D1000" t="s">
        <v>25</v>
      </c>
      <c r="E1000" t="s">
        <v>26</v>
      </c>
      <c r="F1000" t="s">
        <v>61</v>
      </c>
      <c r="G1000" t="s">
        <v>62</v>
      </c>
      <c r="H1000" t="s">
        <v>29</v>
      </c>
      <c r="I1000" t="s">
        <v>30</v>
      </c>
      <c r="J1000" t="s">
        <v>95</v>
      </c>
      <c r="K1000" t="s">
        <v>42</v>
      </c>
      <c r="L1000" t="s">
        <v>660</v>
      </c>
      <c r="M1000" s="4">
        <v>2</v>
      </c>
      <c r="N1000" s="4">
        <v>1</v>
      </c>
      <c r="O1000" s="2">
        <v>0.5</v>
      </c>
      <c r="P1000" s="3">
        <v>1.1000000000000001</v>
      </c>
      <c r="Q1000" s="3">
        <v>1.1000000000000001</v>
      </c>
      <c r="R1000" s="3">
        <v>0</v>
      </c>
      <c r="S1000" s="2"/>
      <c r="T1000" s="5">
        <v>0</v>
      </c>
      <c r="U1000" s="4">
        <v>0</v>
      </c>
      <c r="V1000" s="4">
        <v>0</v>
      </c>
      <c r="W1000" s="2">
        <v>0</v>
      </c>
      <c r="X1000" s="4">
        <v>0</v>
      </c>
      <c r="Y1000" s="4">
        <v>0</v>
      </c>
      <c r="Z1000" s="3">
        <v>0</v>
      </c>
      <c r="AA1000" s="3">
        <v>0</v>
      </c>
    </row>
    <row r="1001" spans="1:27" x14ac:dyDescent="0.2">
      <c r="A1001">
        <f t="shared" si="30"/>
        <v>2</v>
      </c>
      <c r="B1001">
        <f t="shared" si="31"/>
        <v>9</v>
      </c>
      <c r="C1001" s="1">
        <v>46080</v>
      </c>
      <c r="D1001" t="s">
        <v>25</v>
      </c>
      <c r="E1001" t="s">
        <v>26</v>
      </c>
      <c r="F1001" t="s">
        <v>49</v>
      </c>
      <c r="G1001" t="s">
        <v>50</v>
      </c>
      <c r="H1001" t="s">
        <v>29</v>
      </c>
      <c r="I1001" t="s">
        <v>30</v>
      </c>
      <c r="J1001" t="s">
        <v>95</v>
      </c>
      <c r="K1001" t="s">
        <v>42</v>
      </c>
      <c r="L1001" t="s">
        <v>661</v>
      </c>
      <c r="M1001" s="4">
        <v>1</v>
      </c>
      <c r="N1001" s="4">
        <v>1</v>
      </c>
      <c r="O1001" s="2">
        <v>1</v>
      </c>
      <c r="P1001" s="3">
        <v>0.51</v>
      </c>
      <c r="Q1001" s="3">
        <v>0.51</v>
      </c>
      <c r="R1001" s="3">
        <v>0</v>
      </c>
      <c r="S1001" s="2"/>
      <c r="T1001" s="5">
        <v>0</v>
      </c>
      <c r="U1001" s="4">
        <v>0</v>
      </c>
      <c r="V1001" s="4">
        <v>0</v>
      </c>
      <c r="W1001" s="2">
        <v>0</v>
      </c>
      <c r="X1001" s="4">
        <v>0</v>
      </c>
      <c r="Y1001" s="4">
        <v>0</v>
      </c>
      <c r="Z1001" s="3">
        <v>0</v>
      </c>
      <c r="AA1001" s="3">
        <v>0</v>
      </c>
    </row>
    <row r="1002" spans="1:27" x14ac:dyDescent="0.2">
      <c r="A1002">
        <f t="shared" si="30"/>
        <v>2</v>
      </c>
      <c r="B1002">
        <f t="shared" si="31"/>
        <v>9</v>
      </c>
      <c r="C1002" s="1">
        <v>46076</v>
      </c>
      <c r="D1002" t="s">
        <v>25</v>
      </c>
      <c r="E1002" t="s">
        <v>26</v>
      </c>
      <c r="F1002" t="s">
        <v>49</v>
      </c>
      <c r="G1002" t="s">
        <v>50</v>
      </c>
      <c r="H1002" t="s">
        <v>29</v>
      </c>
      <c r="I1002" t="s">
        <v>30</v>
      </c>
      <c r="J1002" t="s">
        <v>95</v>
      </c>
      <c r="K1002" t="s">
        <v>42</v>
      </c>
      <c r="L1002" t="s">
        <v>662</v>
      </c>
      <c r="M1002" s="4">
        <v>1</v>
      </c>
      <c r="N1002" s="4">
        <v>1</v>
      </c>
      <c r="O1002" s="2">
        <v>1</v>
      </c>
      <c r="P1002" s="3">
        <v>0.35</v>
      </c>
      <c r="Q1002" s="3">
        <v>0.35</v>
      </c>
      <c r="R1002" s="3">
        <v>0</v>
      </c>
      <c r="S1002" s="2"/>
      <c r="T1002" s="5">
        <v>0</v>
      </c>
      <c r="U1002" s="4">
        <v>0</v>
      </c>
      <c r="V1002" s="4">
        <v>0</v>
      </c>
      <c r="W1002" s="2">
        <v>0</v>
      </c>
      <c r="X1002" s="4">
        <v>0</v>
      </c>
      <c r="Y1002" s="4">
        <v>0</v>
      </c>
      <c r="Z1002" s="3">
        <v>0</v>
      </c>
      <c r="AA1002" s="3">
        <v>0</v>
      </c>
    </row>
    <row r="1003" spans="1:27" x14ac:dyDescent="0.2">
      <c r="A1003">
        <f t="shared" si="30"/>
        <v>2</v>
      </c>
      <c r="B1003">
        <f t="shared" si="31"/>
        <v>9</v>
      </c>
      <c r="C1003" s="1">
        <v>46079</v>
      </c>
      <c r="D1003" t="s">
        <v>25</v>
      </c>
      <c r="E1003" t="s">
        <v>26</v>
      </c>
      <c r="F1003" t="s">
        <v>34</v>
      </c>
      <c r="G1003" t="s">
        <v>28</v>
      </c>
      <c r="H1003" t="s">
        <v>29</v>
      </c>
      <c r="I1003" t="s">
        <v>30</v>
      </c>
      <c r="J1003" t="s">
        <v>50</v>
      </c>
      <c r="K1003" t="s">
        <v>32</v>
      </c>
      <c r="L1003" t="s">
        <v>663</v>
      </c>
      <c r="M1003" s="4">
        <v>2</v>
      </c>
      <c r="N1003" s="4">
        <v>1</v>
      </c>
      <c r="O1003" s="2">
        <v>0.5</v>
      </c>
      <c r="P1003" s="3">
        <v>1.03</v>
      </c>
      <c r="Q1003" s="3">
        <v>1.03</v>
      </c>
      <c r="R1003" s="3">
        <v>0</v>
      </c>
      <c r="S1003" s="2"/>
      <c r="T1003" s="5">
        <v>0</v>
      </c>
      <c r="U1003" s="4">
        <v>0</v>
      </c>
      <c r="V1003" s="4">
        <v>0</v>
      </c>
      <c r="W1003" s="2">
        <v>0</v>
      </c>
      <c r="X1003" s="4">
        <v>0</v>
      </c>
      <c r="Y1003" s="4">
        <v>0</v>
      </c>
      <c r="Z1003" s="3">
        <v>0</v>
      </c>
      <c r="AA1003" s="3">
        <v>0</v>
      </c>
    </row>
    <row r="1004" spans="1:27" x14ac:dyDescent="0.2">
      <c r="A1004">
        <f t="shared" si="30"/>
        <v>2</v>
      </c>
      <c r="B1004">
        <f t="shared" si="31"/>
        <v>9</v>
      </c>
      <c r="C1004" s="1">
        <v>46075</v>
      </c>
      <c r="D1004" t="s">
        <v>25</v>
      </c>
      <c r="E1004" t="s">
        <v>26</v>
      </c>
      <c r="F1004" t="s">
        <v>34</v>
      </c>
      <c r="G1004" t="s">
        <v>28</v>
      </c>
      <c r="H1004" t="s">
        <v>29</v>
      </c>
      <c r="I1004" t="s">
        <v>30</v>
      </c>
      <c r="J1004" t="s">
        <v>50</v>
      </c>
      <c r="K1004" t="s">
        <v>32</v>
      </c>
      <c r="L1004" t="s">
        <v>664</v>
      </c>
      <c r="M1004" s="4">
        <v>2</v>
      </c>
      <c r="N1004" s="4">
        <v>1</v>
      </c>
      <c r="O1004" s="2">
        <v>0.5</v>
      </c>
      <c r="P1004" s="3">
        <v>0.74</v>
      </c>
      <c r="Q1004" s="3">
        <v>0.74</v>
      </c>
      <c r="R1004" s="3">
        <v>0</v>
      </c>
      <c r="S1004" s="2"/>
      <c r="T1004" s="5">
        <v>0</v>
      </c>
      <c r="U1004" s="4">
        <v>0</v>
      </c>
      <c r="V1004" s="4">
        <v>0</v>
      </c>
      <c r="W1004" s="2">
        <v>0</v>
      </c>
      <c r="X1004" s="4">
        <v>0</v>
      </c>
      <c r="Y1004" s="4">
        <v>0</v>
      </c>
      <c r="Z1004" s="3">
        <v>0</v>
      </c>
      <c r="AA1004" s="3">
        <v>0</v>
      </c>
    </row>
    <row r="1005" spans="1:27" x14ac:dyDescent="0.2">
      <c r="A1005">
        <f t="shared" si="30"/>
        <v>2</v>
      </c>
      <c r="B1005">
        <f t="shared" si="31"/>
        <v>9</v>
      </c>
      <c r="C1005" s="1">
        <v>46079</v>
      </c>
      <c r="D1005" t="s">
        <v>25</v>
      </c>
      <c r="E1005" t="s">
        <v>26</v>
      </c>
      <c r="F1005" t="s">
        <v>34</v>
      </c>
      <c r="G1005" t="s">
        <v>28</v>
      </c>
      <c r="H1005" t="s">
        <v>29</v>
      </c>
      <c r="I1005" t="s">
        <v>30</v>
      </c>
      <c r="J1005" t="s">
        <v>37</v>
      </c>
      <c r="K1005" t="s">
        <v>32</v>
      </c>
      <c r="L1005" t="s">
        <v>665</v>
      </c>
      <c r="M1005" s="4">
        <v>5</v>
      </c>
      <c r="N1005" s="4">
        <v>1</v>
      </c>
      <c r="O1005" s="2">
        <v>0.2</v>
      </c>
      <c r="P1005" s="3">
        <v>1.33</v>
      </c>
      <c r="Q1005" s="3">
        <v>1.33</v>
      </c>
      <c r="R1005" s="3">
        <v>0</v>
      </c>
      <c r="S1005" s="2"/>
      <c r="T1005" s="5">
        <v>0</v>
      </c>
      <c r="U1005" s="4">
        <v>0</v>
      </c>
      <c r="V1005" s="4">
        <v>0</v>
      </c>
      <c r="W1005" s="2">
        <v>0</v>
      </c>
      <c r="X1005" s="4">
        <v>0</v>
      </c>
      <c r="Y1005" s="4">
        <v>0</v>
      </c>
      <c r="Z1005" s="3">
        <v>0</v>
      </c>
      <c r="AA1005" s="3">
        <v>0</v>
      </c>
    </row>
    <row r="1006" spans="1:27" x14ac:dyDescent="0.2">
      <c r="A1006">
        <f t="shared" si="30"/>
        <v>2</v>
      </c>
      <c r="B1006">
        <f t="shared" si="31"/>
        <v>9</v>
      </c>
      <c r="C1006" s="1">
        <v>46080</v>
      </c>
      <c r="D1006" t="s">
        <v>25</v>
      </c>
      <c r="E1006" t="s">
        <v>26</v>
      </c>
      <c r="F1006" t="s">
        <v>39</v>
      </c>
      <c r="G1006" t="s">
        <v>40</v>
      </c>
      <c r="H1006" t="s">
        <v>29</v>
      </c>
      <c r="I1006" t="s">
        <v>30</v>
      </c>
      <c r="J1006" t="s">
        <v>70</v>
      </c>
      <c r="K1006" t="s">
        <v>42</v>
      </c>
      <c r="L1006" t="s">
        <v>666</v>
      </c>
      <c r="M1006" s="4">
        <v>1</v>
      </c>
      <c r="N1006" s="4">
        <v>1</v>
      </c>
      <c r="O1006" s="2">
        <v>1</v>
      </c>
      <c r="P1006" s="3">
        <v>0.63</v>
      </c>
      <c r="Q1006" s="3">
        <v>0.63</v>
      </c>
      <c r="R1006" s="3">
        <v>0</v>
      </c>
      <c r="S1006" s="2"/>
      <c r="T1006" s="5">
        <v>0</v>
      </c>
      <c r="U1006" s="4">
        <v>0</v>
      </c>
      <c r="V1006" s="4">
        <v>0</v>
      </c>
      <c r="W1006" s="2">
        <v>0</v>
      </c>
      <c r="X1006" s="4">
        <v>0</v>
      </c>
      <c r="Y1006" s="4">
        <v>0</v>
      </c>
      <c r="Z1006" s="3">
        <v>0</v>
      </c>
      <c r="AA1006" s="3">
        <v>0</v>
      </c>
    </row>
    <row r="1007" spans="1:27" x14ac:dyDescent="0.2">
      <c r="A1007">
        <f t="shared" si="30"/>
        <v>2</v>
      </c>
      <c r="B1007">
        <f t="shared" si="31"/>
        <v>9</v>
      </c>
      <c r="C1007" s="1">
        <v>46076</v>
      </c>
      <c r="D1007" t="s">
        <v>25</v>
      </c>
      <c r="E1007" t="s">
        <v>26</v>
      </c>
      <c r="F1007" t="s">
        <v>34</v>
      </c>
      <c r="G1007" t="s">
        <v>28</v>
      </c>
      <c r="H1007" t="s">
        <v>29</v>
      </c>
      <c r="I1007" t="s">
        <v>30</v>
      </c>
      <c r="J1007" t="s">
        <v>37</v>
      </c>
      <c r="K1007" t="s">
        <v>32</v>
      </c>
      <c r="L1007" t="s">
        <v>667</v>
      </c>
      <c r="M1007" s="4">
        <v>1</v>
      </c>
      <c r="N1007" s="4">
        <v>1</v>
      </c>
      <c r="O1007" s="2">
        <v>1</v>
      </c>
      <c r="P1007" s="3">
        <v>1.65</v>
      </c>
      <c r="Q1007" s="3">
        <v>1.65</v>
      </c>
      <c r="R1007" s="3">
        <v>0</v>
      </c>
      <c r="S1007" s="2"/>
      <c r="T1007" s="5">
        <v>0</v>
      </c>
      <c r="U1007" s="4">
        <v>0</v>
      </c>
      <c r="V1007" s="4">
        <v>0</v>
      </c>
      <c r="W1007" s="2">
        <v>0</v>
      </c>
      <c r="X1007" s="4">
        <v>0</v>
      </c>
      <c r="Y1007" s="4">
        <v>0</v>
      </c>
      <c r="Z1007" s="3">
        <v>0</v>
      </c>
      <c r="AA1007" s="3">
        <v>0</v>
      </c>
    </row>
    <row r="1008" spans="1:27" x14ac:dyDescent="0.2">
      <c r="A1008">
        <f t="shared" si="30"/>
        <v>2</v>
      </c>
      <c r="B1008">
        <f t="shared" si="31"/>
        <v>9</v>
      </c>
      <c r="C1008" s="1">
        <v>46081</v>
      </c>
      <c r="D1008" t="s">
        <v>25</v>
      </c>
      <c r="E1008" t="s">
        <v>26</v>
      </c>
      <c r="F1008" t="s">
        <v>49</v>
      </c>
      <c r="G1008" t="s">
        <v>50</v>
      </c>
      <c r="H1008" t="s">
        <v>29</v>
      </c>
      <c r="I1008" t="s">
        <v>30</v>
      </c>
      <c r="J1008" t="s">
        <v>47</v>
      </c>
      <c r="K1008" t="s">
        <v>42</v>
      </c>
      <c r="L1008" t="s">
        <v>305</v>
      </c>
      <c r="M1008" s="4">
        <v>12</v>
      </c>
      <c r="N1008" s="4">
        <v>1</v>
      </c>
      <c r="O1008" s="2">
        <v>8.3333333333333315E-2</v>
      </c>
      <c r="P1008" s="3">
        <v>0.78</v>
      </c>
      <c r="Q1008" s="3">
        <v>0.78</v>
      </c>
      <c r="R1008" s="3">
        <v>0</v>
      </c>
      <c r="S1008" s="2"/>
      <c r="T1008" s="5">
        <v>0</v>
      </c>
      <c r="U1008" s="4">
        <v>0</v>
      </c>
      <c r="V1008" s="4">
        <v>0</v>
      </c>
      <c r="W1008" s="2">
        <v>0</v>
      </c>
      <c r="X1008" s="4">
        <v>0</v>
      </c>
      <c r="Y1008" s="4">
        <v>0</v>
      </c>
      <c r="Z1008" s="3">
        <v>0</v>
      </c>
      <c r="AA1008" s="3">
        <v>0</v>
      </c>
    </row>
    <row r="1009" spans="1:27" x14ac:dyDescent="0.2">
      <c r="A1009">
        <f t="shared" si="30"/>
        <v>2</v>
      </c>
      <c r="B1009">
        <f t="shared" si="31"/>
        <v>9</v>
      </c>
      <c r="C1009" s="1">
        <v>46075</v>
      </c>
      <c r="D1009" t="s">
        <v>25</v>
      </c>
      <c r="E1009" t="s">
        <v>26</v>
      </c>
      <c r="F1009" t="s">
        <v>27</v>
      </c>
      <c r="G1009" t="s">
        <v>28</v>
      </c>
      <c r="H1009" t="s">
        <v>29</v>
      </c>
      <c r="I1009" t="s">
        <v>30</v>
      </c>
      <c r="J1009" t="s">
        <v>44</v>
      </c>
      <c r="K1009" t="s">
        <v>32</v>
      </c>
      <c r="L1009" t="s">
        <v>305</v>
      </c>
      <c r="M1009" s="4">
        <v>1</v>
      </c>
      <c r="N1009" s="4">
        <v>1</v>
      </c>
      <c r="O1009" s="2">
        <v>1</v>
      </c>
      <c r="P1009" s="3">
        <v>0.21</v>
      </c>
      <c r="Q1009" s="3">
        <v>0.21</v>
      </c>
      <c r="R1009" s="3">
        <v>0</v>
      </c>
      <c r="S1009" s="2"/>
      <c r="T1009" s="5">
        <v>0</v>
      </c>
      <c r="U1009" s="4">
        <v>0</v>
      </c>
      <c r="V1009" s="4">
        <v>0</v>
      </c>
      <c r="W1009" s="2">
        <v>0</v>
      </c>
      <c r="X1009" s="4">
        <v>0</v>
      </c>
      <c r="Y1009" s="4">
        <v>0</v>
      </c>
      <c r="Z1009" s="3">
        <v>0</v>
      </c>
      <c r="AA1009" s="3">
        <v>0</v>
      </c>
    </row>
    <row r="1010" spans="1:27" x14ac:dyDescent="0.2">
      <c r="A1010">
        <f t="shared" si="30"/>
        <v>2</v>
      </c>
      <c r="B1010">
        <f t="shared" si="31"/>
        <v>9</v>
      </c>
      <c r="C1010" s="1">
        <v>46078</v>
      </c>
      <c r="D1010" t="s">
        <v>25</v>
      </c>
      <c r="E1010" t="s">
        <v>26</v>
      </c>
      <c r="F1010" t="s">
        <v>27</v>
      </c>
      <c r="G1010" t="s">
        <v>28</v>
      </c>
      <c r="H1010" t="s">
        <v>29</v>
      </c>
      <c r="I1010" t="s">
        <v>30</v>
      </c>
      <c r="J1010" t="s">
        <v>44</v>
      </c>
      <c r="K1010" t="s">
        <v>32</v>
      </c>
      <c r="L1010" t="s">
        <v>305</v>
      </c>
      <c r="M1010" s="4">
        <v>1</v>
      </c>
      <c r="N1010" s="4">
        <v>1</v>
      </c>
      <c r="O1010" s="2">
        <v>1</v>
      </c>
      <c r="P1010" s="3">
        <v>0.2</v>
      </c>
      <c r="Q1010" s="3">
        <v>0.2</v>
      </c>
      <c r="R1010" s="3">
        <v>0</v>
      </c>
      <c r="S1010" s="2"/>
      <c r="T1010" s="5">
        <v>0</v>
      </c>
      <c r="U1010" s="4">
        <v>0</v>
      </c>
      <c r="V1010" s="4">
        <v>0</v>
      </c>
      <c r="W1010" s="2">
        <v>0</v>
      </c>
      <c r="X1010" s="4">
        <v>0</v>
      </c>
      <c r="Y1010" s="4">
        <v>0</v>
      </c>
      <c r="Z1010" s="3">
        <v>0</v>
      </c>
      <c r="AA1010" s="3">
        <v>0</v>
      </c>
    </row>
    <row r="1011" spans="1:27" x14ac:dyDescent="0.2">
      <c r="A1011">
        <f t="shared" si="30"/>
        <v>2</v>
      </c>
      <c r="B1011">
        <f t="shared" si="31"/>
        <v>9</v>
      </c>
      <c r="C1011" s="1">
        <v>46077</v>
      </c>
      <c r="D1011" t="s">
        <v>25</v>
      </c>
      <c r="E1011" t="s">
        <v>26</v>
      </c>
      <c r="F1011" t="s">
        <v>34</v>
      </c>
      <c r="G1011" t="s">
        <v>28</v>
      </c>
      <c r="H1011" t="s">
        <v>29</v>
      </c>
      <c r="I1011" t="s">
        <v>30</v>
      </c>
      <c r="J1011" t="s">
        <v>37</v>
      </c>
      <c r="K1011" t="s">
        <v>32</v>
      </c>
      <c r="L1011" t="s">
        <v>305</v>
      </c>
      <c r="M1011" s="4">
        <v>7</v>
      </c>
      <c r="N1011" s="4">
        <v>1</v>
      </c>
      <c r="O1011" s="2">
        <v>0.14285714285714285</v>
      </c>
      <c r="P1011" s="3">
        <v>0.73</v>
      </c>
      <c r="Q1011" s="3">
        <v>0.73</v>
      </c>
      <c r="R1011" s="3">
        <v>0</v>
      </c>
      <c r="S1011" s="2"/>
      <c r="T1011" s="5">
        <v>0</v>
      </c>
      <c r="U1011" s="4">
        <v>0</v>
      </c>
      <c r="V1011" s="4">
        <v>0</v>
      </c>
      <c r="W1011" s="2">
        <v>0</v>
      </c>
      <c r="X1011" s="4">
        <v>0</v>
      </c>
      <c r="Y1011" s="4">
        <v>0</v>
      </c>
      <c r="Z1011" s="3">
        <v>0</v>
      </c>
      <c r="AA1011" s="3">
        <v>0</v>
      </c>
    </row>
    <row r="1012" spans="1:27" x14ac:dyDescent="0.2">
      <c r="A1012">
        <f t="shared" si="30"/>
        <v>2</v>
      </c>
      <c r="B1012">
        <f t="shared" si="31"/>
        <v>9</v>
      </c>
      <c r="C1012" s="1">
        <v>46077</v>
      </c>
      <c r="D1012" t="s">
        <v>25</v>
      </c>
      <c r="E1012" t="s">
        <v>26</v>
      </c>
      <c r="F1012" t="s">
        <v>39</v>
      </c>
      <c r="G1012" t="s">
        <v>40</v>
      </c>
      <c r="H1012" t="s">
        <v>29</v>
      </c>
      <c r="I1012" t="s">
        <v>30</v>
      </c>
      <c r="J1012" t="s">
        <v>70</v>
      </c>
      <c r="K1012" t="s">
        <v>42</v>
      </c>
      <c r="L1012" t="s">
        <v>668</v>
      </c>
      <c r="M1012" s="4">
        <v>3</v>
      </c>
      <c r="N1012" s="4">
        <v>1</v>
      </c>
      <c r="O1012" s="2">
        <v>0.33333333333333331</v>
      </c>
      <c r="P1012" s="3">
        <v>0.56000000000000005</v>
      </c>
      <c r="Q1012" s="3">
        <v>0.56000000000000005</v>
      </c>
      <c r="R1012" s="3">
        <v>0</v>
      </c>
      <c r="S1012" s="2"/>
      <c r="T1012" s="5">
        <v>0</v>
      </c>
      <c r="U1012" s="4">
        <v>0</v>
      </c>
      <c r="V1012" s="4">
        <v>0</v>
      </c>
      <c r="W1012" s="2">
        <v>0</v>
      </c>
      <c r="X1012" s="4">
        <v>0</v>
      </c>
      <c r="Y1012" s="4">
        <v>0</v>
      </c>
      <c r="Z1012" s="3">
        <v>0</v>
      </c>
      <c r="AA1012" s="3">
        <v>0</v>
      </c>
    </row>
    <row r="1013" spans="1:27" x14ac:dyDescent="0.2">
      <c r="A1013">
        <f t="shared" si="30"/>
        <v>2</v>
      </c>
      <c r="B1013">
        <f t="shared" si="31"/>
        <v>9</v>
      </c>
      <c r="C1013" s="1">
        <v>46075</v>
      </c>
      <c r="D1013" t="s">
        <v>25</v>
      </c>
      <c r="E1013" t="s">
        <v>26</v>
      </c>
      <c r="F1013" t="s">
        <v>27</v>
      </c>
      <c r="G1013" t="s">
        <v>124</v>
      </c>
      <c r="H1013" t="s">
        <v>29</v>
      </c>
      <c r="I1013" t="s">
        <v>30</v>
      </c>
      <c r="J1013" t="s">
        <v>306</v>
      </c>
      <c r="K1013" t="s">
        <v>87</v>
      </c>
      <c r="L1013" t="s">
        <v>306</v>
      </c>
      <c r="M1013" s="4">
        <v>57</v>
      </c>
      <c r="N1013" s="4">
        <v>1</v>
      </c>
      <c r="O1013" s="2">
        <v>1.7543859649122806E-2</v>
      </c>
      <c r="P1013" s="3">
        <v>0.2</v>
      </c>
      <c r="Q1013" s="3">
        <v>0.2</v>
      </c>
      <c r="R1013" s="3">
        <v>0</v>
      </c>
      <c r="S1013" s="2"/>
      <c r="T1013" s="5">
        <v>0</v>
      </c>
      <c r="U1013" s="4">
        <v>0</v>
      </c>
      <c r="V1013" s="4">
        <v>0</v>
      </c>
      <c r="W1013" s="2">
        <v>0</v>
      </c>
      <c r="X1013" s="4">
        <v>0</v>
      </c>
      <c r="Y1013" s="4">
        <v>0</v>
      </c>
      <c r="Z1013" s="3">
        <v>0</v>
      </c>
      <c r="AA1013" s="3">
        <v>0</v>
      </c>
    </row>
    <row r="1014" spans="1:27" x14ac:dyDescent="0.2">
      <c r="A1014">
        <f t="shared" si="30"/>
        <v>2</v>
      </c>
      <c r="B1014">
        <f t="shared" si="31"/>
        <v>9</v>
      </c>
      <c r="C1014" s="1">
        <v>46079</v>
      </c>
      <c r="D1014" t="s">
        <v>25</v>
      </c>
      <c r="E1014" t="s">
        <v>26</v>
      </c>
      <c r="F1014" t="s">
        <v>27</v>
      </c>
      <c r="G1014" t="s">
        <v>124</v>
      </c>
      <c r="H1014" t="s">
        <v>29</v>
      </c>
      <c r="I1014" t="s">
        <v>30</v>
      </c>
      <c r="J1014" t="s">
        <v>306</v>
      </c>
      <c r="K1014" t="s">
        <v>87</v>
      </c>
      <c r="L1014" t="s">
        <v>306</v>
      </c>
      <c r="M1014" s="4">
        <v>28</v>
      </c>
      <c r="N1014" s="4">
        <v>1</v>
      </c>
      <c r="O1014" s="2">
        <v>3.5714285714285712E-2</v>
      </c>
      <c r="P1014" s="3">
        <v>0.2</v>
      </c>
      <c r="Q1014" s="3">
        <v>0.2</v>
      </c>
      <c r="R1014" s="3">
        <v>0</v>
      </c>
      <c r="S1014" s="2"/>
      <c r="T1014" s="5">
        <v>0</v>
      </c>
      <c r="U1014" s="4">
        <v>0</v>
      </c>
      <c r="V1014" s="4">
        <v>0</v>
      </c>
      <c r="W1014" s="2">
        <v>0</v>
      </c>
      <c r="X1014" s="4">
        <v>0</v>
      </c>
      <c r="Y1014" s="4">
        <v>0</v>
      </c>
      <c r="Z1014" s="3">
        <v>0</v>
      </c>
      <c r="AA1014" s="3">
        <v>0</v>
      </c>
    </row>
    <row r="1015" spans="1:27" x14ac:dyDescent="0.2">
      <c r="A1015">
        <f t="shared" si="30"/>
        <v>2</v>
      </c>
      <c r="B1015">
        <f t="shared" si="31"/>
        <v>9</v>
      </c>
      <c r="C1015" s="1">
        <v>46075</v>
      </c>
      <c r="D1015" t="s">
        <v>25</v>
      </c>
      <c r="E1015" t="s">
        <v>26</v>
      </c>
      <c r="F1015" t="s">
        <v>34</v>
      </c>
      <c r="G1015" t="s">
        <v>273</v>
      </c>
      <c r="H1015" t="s">
        <v>29</v>
      </c>
      <c r="I1015" t="s">
        <v>30</v>
      </c>
      <c r="J1015" t="s">
        <v>311</v>
      </c>
      <c r="K1015" t="s">
        <v>87</v>
      </c>
      <c r="L1015" t="s">
        <v>669</v>
      </c>
      <c r="M1015" s="4">
        <v>3</v>
      </c>
      <c r="N1015" s="4">
        <v>1</v>
      </c>
      <c r="O1015" s="2">
        <v>0.33333333333333331</v>
      </c>
      <c r="P1015" s="3">
        <v>1.06</v>
      </c>
      <c r="Q1015" s="3">
        <v>1.06</v>
      </c>
      <c r="R1015" s="3">
        <v>0</v>
      </c>
      <c r="S1015" s="2"/>
      <c r="T1015" s="5">
        <v>0</v>
      </c>
      <c r="U1015" s="4">
        <v>0</v>
      </c>
      <c r="V1015" s="4">
        <v>0</v>
      </c>
      <c r="W1015" s="2">
        <v>0</v>
      </c>
      <c r="X1015" s="4">
        <v>0</v>
      </c>
      <c r="Y1015" s="4">
        <v>0</v>
      </c>
      <c r="Z1015" s="3">
        <v>0</v>
      </c>
      <c r="AA1015" s="3">
        <v>0</v>
      </c>
    </row>
    <row r="1016" spans="1:27" x14ac:dyDescent="0.2">
      <c r="A1016">
        <f t="shared" si="30"/>
        <v>2</v>
      </c>
      <c r="B1016">
        <f t="shared" si="31"/>
        <v>9</v>
      </c>
      <c r="C1016" s="1">
        <v>46081</v>
      </c>
      <c r="D1016" t="s">
        <v>25</v>
      </c>
      <c r="E1016" t="s">
        <v>26</v>
      </c>
      <c r="F1016" t="s">
        <v>27</v>
      </c>
      <c r="G1016" t="s">
        <v>124</v>
      </c>
      <c r="H1016" t="s">
        <v>29</v>
      </c>
      <c r="I1016" t="s">
        <v>30</v>
      </c>
      <c r="J1016" t="s">
        <v>31</v>
      </c>
      <c r="K1016" t="s">
        <v>87</v>
      </c>
      <c r="L1016" t="s">
        <v>670</v>
      </c>
      <c r="M1016" s="4">
        <v>2</v>
      </c>
      <c r="N1016" s="4">
        <v>1</v>
      </c>
      <c r="O1016" s="2">
        <v>0.5</v>
      </c>
      <c r="P1016" s="3">
        <v>0.21</v>
      </c>
      <c r="Q1016" s="3">
        <v>0.21</v>
      </c>
      <c r="R1016" s="3">
        <v>0</v>
      </c>
      <c r="S1016" s="2"/>
      <c r="T1016" s="5">
        <v>0</v>
      </c>
      <c r="U1016" s="4">
        <v>0</v>
      </c>
      <c r="V1016" s="4">
        <v>0</v>
      </c>
      <c r="W1016" s="2">
        <v>0</v>
      </c>
      <c r="X1016" s="4">
        <v>0</v>
      </c>
      <c r="Y1016" s="4">
        <v>0</v>
      </c>
      <c r="Z1016" s="3">
        <v>0</v>
      </c>
      <c r="AA1016" s="3">
        <v>0</v>
      </c>
    </row>
    <row r="1017" spans="1:27" x14ac:dyDescent="0.2">
      <c r="A1017">
        <f t="shared" si="30"/>
        <v>2</v>
      </c>
      <c r="B1017">
        <f t="shared" si="31"/>
        <v>9</v>
      </c>
      <c r="C1017" s="1">
        <v>46079</v>
      </c>
      <c r="D1017" t="s">
        <v>25</v>
      </c>
      <c r="E1017" t="s">
        <v>26</v>
      </c>
      <c r="F1017" t="s">
        <v>27</v>
      </c>
      <c r="G1017" t="s">
        <v>28</v>
      </c>
      <c r="H1017" t="s">
        <v>29</v>
      </c>
      <c r="I1017" t="s">
        <v>30</v>
      </c>
      <c r="J1017" t="s">
        <v>31</v>
      </c>
      <c r="K1017" t="s">
        <v>32</v>
      </c>
      <c r="L1017" t="s">
        <v>671</v>
      </c>
      <c r="M1017" s="4">
        <v>1</v>
      </c>
      <c r="N1017" s="4">
        <v>1</v>
      </c>
      <c r="O1017" s="2">
        <v>1</v>
      </c>
      <c r="P1017" s="3">
        <v>0.21</v>
      </c>
      <c r="Q1017" s="3">
        <v>0.21</v>
      </c>
      <c r="R1017" s="3">
        <v>0</v>
      </c>
      <c r="S1017" s="2"/>
      <c r="T1017" s="5">
        <v>0</v>
      </c>
      <c r="U1017" s="4">
        <v>0</v>
      </c>
      <c r="V1017" s="4">
        <v>0</v>
      </c>
      <c r="W1017" s="2">
        <v>0</v>
      </c>
      <c r="X1017" s="4">
        <v>0</v>
      </c>
      <c r="Y1017" s="4">
        <v>0</v>
      </c>
      <c r="Z1017" s="3">
        <v>0</v>
      </c>
      <c r="AA1017" s="3">
        <v>0</v>
      </c>
    </row>
    <row r="1018" spans="1:27" x14ac:dyDescent="0.2">
      <c r="A1018">
        <f t="shared" si="30"/>
        <v>2</v>
      </c>
      <c r="B1018">
        <f t="shared" si="31"/>
        <v>9</v>
      </c>
      <c r="C1018" s="1">
        <v>46075</v>
      </c>
      <c r="D1018" t="s">
        <v>25</v>
      </c>
      <c r="E1018" t="s">
        <v>26</v>
      </c>
      <c r="F1018" t="s">
        <v>49</v>
      </c>
      <c r="G1018" t="s">
        <v>50</v>
      </c>
      <c r="H1018" t="s">
        <v>29</v>
      </c>
      <c r="I1018" t="s">
        <v>30</v>
      </c>
      <c r="J1018" t="s">
        <v>95</v>
      </c>
      <c r="K1018" t="s">
        <v>42</v>
      </c>
      <c r="L1018" t="s">
        <v>672</v>
      </c>
      <c r="M1018" s="4">
        <v>1</v>
      </c>
      <c r="N1018" s="4">
        <v>1</v>
      </c>
      <c r="O1018" s="2">
        <v>1</v>
      </c>
      <c r="P1018" s="3">
        <v>0.45</v>
      </c>
      <c r="Q1018" s="3">
        <v>0.45</v>
      </c>
      <c r="R1018" s="3">
        <v>34.18</v>
      </c>
      <c r="S1018" s="2">
        <v>1.3165593914569925E-2</v>
      </c>
      <c r="T1018" s="5">
        <v>75.955555555555549</v>
      </c>
      <c r="U1018" s="4">
        <v>1</v>
      </c>
      <c r="V1018" s="4">
        <v>2</v>
      </c>
      <c r="W1018" s="2">
        <v>1</v>
      </c>
      <c r="X1018" s="4">
        <v>2</v>
      </c>
      <c r="Y1018" s="4">
        <v>0</v>
      </c>
      <c r="Z1018" s="3">
        <v>34.18</v>
      </c>
      <c r="AA1018" s="3">
        <v>0</v>
      </c>
    </row>
    <row r="1019" spans="1:27" x14ac:dyDescent="0.2">
      <c r="A1019">
        <f t="shared" si="30"/>
        <v>2</v>
      </c>
      <c r="B1019">
        <f t="shared" si="31"/>
        <v>9</v>
      </c>
      <c r="C1019" s="1">
        <v>46081</v>
      </c>
      <c r="D1019" t="s">
        <v>25</v>
      </c>
      <c r="E1019" t="s">
        <v>26</v>
      </c>
      <c r="F1019" t="s">
        <v>34</v>
      </c>
      <c r="G1019" t="s">
        <v>28</v>
      </c>
      <c r="H1019" t="s">
        <v>29</v>
      </c>
      <c r="I1019" t="s">
        <v>30</v>
      </c>
      <c r="J1019" t="s">
        <v>154</v>
      </c>
      <c r="K1019" t="s">
        <v>32</v>
      </c>
      <c r="L1019" t="s">
        <v>673</v>
      </c>
      <c r="M1019" s="4">
        <v>3</v>
      </c>
      <c r="N1019" s="4">
        <v>1</v>
      </c>
      <c r="O1019" s="2">
        <v>0.33333333333333331</v>
      </c>
      <c r="P1019" s="3">
        <v>0.88</v>
      </c>
      <c r="Q1019" s="3">
        <v>0.88</v>
      </c>
      <c r="R1019" s="3">
        <v>0</v>
      </c>
      <c r="S1019" s="2"/>
      <c r="T1019" s="5">
        <v>0</v>
      </c>
      <c r="U1019" s="4">
        <v>0</v>
      </c>
      <c r="V1019" s="4">
        <v>0</v>
      </c>
      <c r="W1019" s="2">
        <v>0</v>
      </c>
      <c r="X1019" s="4">
        <v>0</v>
      </c>
      <c r="Y1019" s="4">
        <v>0</v>
      </c>
      <c r="Z1019" s="3">
        <v>0</v>
      </c>
      <c r="AA1019" s="3">
        <v>0</v>
      </c>
    </row>
    <row r="1020" spans="1:27" x14ac:dyDescent="0.2">
      <c r="A1020">
        <f t="shared" si="30"/>
        <v>2</v>
      </c>
      <c r="B1020">
        <f t="shared" si="31"/>
        <v>9</v>
      </c>
      <c r="C1020" s="1">
        <v>46076</v>
      </c>
      <c r="D1020" t="s">
        <v>25</v>
      </c>
      <c r="E1020" t="s">
        <v>26</v>
      </c>
      <c r="F1020" t="s">
        <v>49</v>
      </c>
      <c r="G1020" t="s">
        <v>50</v>
      </c>
      <c r="H1020" t="s">
        <v>29</v>
      </c>
      <c r="I1020" t="s">
        <v>30</v>
      </c>
      <c r="J1020" t="s">
        <v>95</v>
      </c>
      <c r="K1020" t="s">
        <v>42</v>
      </c>
      <c r="L1020" t="s">
        <v>674</v>
      </c>
      <c r="M1020" s="4">
        <v>1</v>
      </c>
      <c r="N1020" s="4">
        <v>1</v>
      </c>
      <c r="O1020" s="2">
        <v>1</v>
      </c>
      <c r="P1020" s="3">
        <v>0.45</v>
      </c>
      <c r="Q1020" s="3">
        <v>0.45</v>
      </c>
      <c r="R1020" s="3">
        <v>0</v>
      </c>
      <c r="S1020" s="2"/>
      <c r="T1020" s="5">
        <v>0</v>
      </c>
      <c r="U1020" s="4">
        <v>0</v>
      </c>
      <c r="V1020" s="4">
        <v>0</v>
      </c>
      <c r="W1020" s="2">
        <v>0</v>
      </c>
      <c r="X1020" s="4">
        <v>0</v>
      </c>
      <c r="Y1020" s="4">
        <v>0</v>
      </c>
      <c r="Z1020" s="3">
        <v>0</v>
      </c>
      <c r="AA1020" s="3">
        <v>0</v>
      </c>
    </row>
    <row r="1021" spans="1:27" x14ac:dyDescent="0.2">
      <c r="A1021">
        <f t="shared" si="30"/>
        <v>2</v>
      </c>
      <c r="B1021">
        <f t="shared" si="31"/>
        <v>9</v>
      </c>
      <c r="C1021" s="1">
        <v>46078</v>
      </c>
      <c r="D1021" t="s">
        <v>25</v>
      </c>
      <c r="E1021" t="s">
        <v>26</v>
      </c>
      <c r="F1021" t="s">
        <v>49</v>
      </c>
      <c r="G1021" t="s">
        <v>50</v>
      </c>
      <c r="H1021" t="s">
        <v>29</v>
      </c>
      <c r="I1021" t="s">
        <v>30</v>
      </c>
      <c r="J1021" t="s">
        <v>95</v>
      </c>
      <c r="K1021" t="s">
        <v>42</v>
      </c>
      <c r="L1021" t="s">
        <v>675</v>
      </c>
      <c r="M1021" s="4">
        <v>1</v>
      </c>
      <c r="N1021" s="4">
        <v>1</v>
      </c>
      <c r="O1021" s="2">
        <v>1</v>
      </c>
      <c r="P1021" s="3">
        <v>0.46</v>
      </c>
      <c r="Q1021" s="3">
        <v>0.46</v>
      </c>
      <c r="R1021" s="3">
        <v>0</v>
      </c>
      <c r="S1021" s="2"/>
      <c r="T1021" s="5">
        <v>0</v>
      </c>
      <c r="U1021" s="4">
        <v>0</v>
      </c>
      <c r="V1021" s="4">
        <v>0</v>
      </c>
      <c r="W1021" s="2">
        <v>0</v>
      </c>
      <c r="X1021" s="4">
        <v>0</v>
      </c>
      <c r="Y1021" s="4">
        <v>0</v>
      </c>
      <c r="Z1021" s="3">
        <v>0</v>
      </c>
      <c r="AA1021" s="3">
        <v>0</v>
      </c>
    </row>
    <row r="1022" spans="1:27" x14ac:dyDescent="0.2">
      <c r="A1022">
        <f t="shared" si="30"/>
        <v>2</v>
      </c>
      <c r="B1022">
        <f t="shared" si="31"/>
        <v>9</v>
      </c>
      <c r="C1022" s="1">
        <v>46078</v>
      </c>
      <c r="D1022" t="s">
        <v>25</v>
      </c>
      <c r="E1022" t="s">
        <v>26</v>
      </c>
      <c r="F1022" t="s">
        <v>49</v>
      </c>
      <c r="G1022" t="s">
        <v>50</v>
      </c>
      <c r="H1022" t="s">
        <v>29</v>
      </c>
      <c r="I1022" t="s">
        <v>30</v>
      </c>
      <c r="J1022" t="s">
        <v>95</v>
      </c>
      <c r="K1022" t="s">
        <v>42</v>
      </c>
      <c r="L1022" t="s">
        <v>676</v>
      </c>
      <c r="M1022" s="4">
        <v>1</v>
      </c>
      <c r="N1022" s="4">
        <v>1</v>
      </c>
      <c r="O1022" s="2">
        <v>1</v>
      </c>
      <c r="P1022" s="3">
        <v>0.46</v>
      </c>
      <c r="Q1022" s="3">
        <v>0.46</v>
      </c>
      <c r="R1022" s="3">
        <v>0</v>
      </c>
      <c r="S1022" s="2"/>
      <c r="T1022" s="5">
        <v>0</v>
      </c>
      <c r="U1022" s="4">
        <v>0</v>
      </c>
      <c r="V1022" s="4">
        <v>0</v>
      </c>
      <c r="W1022" s="2">
        <v>0</v>
      </c>
      <c r="X1022" s="4">
        <v>0</v>
      </c>
      <c r="Y1022" s="4">
        <v>0</v>
      </c>
      <c r="Z1022" s="3">
        <v>0</v>
      </c>
      <c r="AA1022" s="3">
        <v>0</v>
      </c>
    </row>
    <row r="1023" spans="1:27" x14ac:dyDescent="0.2">
      <c r="A1023">
        <f t="shared" si="30"/>
        <v>2</v>
      </c>
      <c r="B1023">
        <f t="shared" si="31"/>
        <v>9</v>
      </c>
      <c r="C1023" s="1">
        <v>46081</v>
      </c>
      <c r="D1023" t="s">
        <v>25</v>
      </c>
      <c r="E1023" t="s">
        <v>26</v>
      </c>
      <c r="F1023" t="s">
        <v>34</v>
      </c>
      <c r="G1023" t="s">
        <v>28</v>
      </c>
      <c r="H1023" t="s">
        <v>29</v>
      </c>
      <c r="I1023" t="s">
        <v>30</v>
      </c>
      <c r="J1023" t="s">
        <v>154</v>
      </c>
      <c r="K1023" t="s">
        <v>32</v>
      </c>
      <c r="L1023" t="s">
        <v>677</v>
      </c>
      <c r="M1023" s="4">
        <v>3</v>
      </c>
      <c r="N1023" s="4">
        <v>1</v>
      </c>
      <c r="O1023" s="2">
        <v>0.33333333333333331</v>
      </c>
      <c r="P1023" s="3">
        <v>0.59</v>
      </c>
      <c r="Q1023" s="3">
        <v>0.59</v>
      </c>
      <c r="R1023" s="3">
        <v>17.09</v>
      </c>
      <c r="S1023" s="2">
        <v>3.452311293153891E-2</v>
      </c>
      <c r="T1023" s="5">
        <v>28.966101694915256</v>
      </c>
      <c r="U1023" s="4">
        <v>1</v>
      </c>
      <c r="V1023" s="4">
        <v>1</v>
      </c>
      <c r="W1023" s="2">
        <v>1</v>
      </c>
      <c r="X1023" s="4">
        <v>1</v>
      </c>
      <c r="Y1023" s="4">
        <v>0</v>
      </c>
      <c r="Z1023" s="3">
        <v>17.09</v>
      </c>
      <c r="AA1023" s="3">
        <v>0</v>
      </c>
    </row>
    <row r="1024" spans="1:27" x14ac:dyDescent="0.2">
      <c r="A1024">
        <f t="shared" si="30"/>
        <v>2</v>
      </c>
      <c r="B1024">
        <f t="shared" si="31"/>
        <v>9</v>
      </c>
      <c r="C1024" s="1">
        <v>46077</v>
      </c>
      <c r="D1024" t="s">
        <v>25</v>
      </c>
      <c r="E1024" t="s">
        <v>26</v>
      </c>
      <c r="F1024" t="s">
        <v>49</v>
      </c>
      <c r="G1024" t="s">
        <v>50</v>
      </c>
      <c r="H1024" t="s">
        <v>29</v>
      </c>
      <c r="I1024" t="s">
        <v>30</v>
      </c>
      <c r="J1024" t="s">
        <v>95</v>
      </c>
      <c r="K1024" t="s">
        <v>42</v>
      </c>
      <c r="L1024" t="s">
        <v>678</v>
      </c>
      <c r="M1024" s="4">
        <v>3</v>
      </c>
      <c r="N1024" s="4">
        <v>1</v>
      </c>
      <c r="O1024" s="2">
        <v>0.33333333333333331</v>
      </c>
      <c r="P1024" s="3">
        <v>0.32</v>
      </c>
      <c r="Q1024" s="3">
        <v>0.32</v>
      </c>
      <c r="R1024" s="3">
        <v>0</v>
      </c>
      <c r="S1024" s="2"/>
      <c r="T1024" s="5">
        <v>0</v>
      </c>
      <c r="U1024" s="4">
        <v>0</v>
      </c>
      <c r="V1024" s="4">
        <v>0</v>
      </c>
      <c r="W1024" s="2">
        <v>0</v>
      </c>
      <c r="X1024" s="4">
        <v>0</v>
      </c>
      <c r="Y1024" s="4">
        <v>0</v>
      </c>
      <c r="Z1024" s="3">
        <v>0</v>
      </c>
      <c r="AA1024" s="3">
        <v>0</v>
      </c>
    </row>
    <row r="1025" spans="1:27" x14ac:dyDescent="0.2">
      <c r="A1025">
        <f t="shared" si="30"/>
        <v>2</v>
      </c>
      <c r="B1025">
        <f t="shared" si="31"/>
        <v>9</v>
      </c>
      <c r="C1025" s="1">
        <v>46076</v>
      </c>
      <c r="D1025" t="s">
        <v>25</v>
      </c>
      <c r="E1025" t="s">
        <v>26</v>
      </c>
      <c r="F1025" t="s">
        <v>61</v>
      </c>
      <c r="G1025" t="s">
        <v>62</v>
      </c>
      <c r="H1025" t="s">
        <v>29</v>
      </c>
      <c r="I1025" t="s">
        <v>30</v>
      </c>
      <c r="J1025" t="s">
        <v>51</v>
      </c>
      <c r="K1025" t="s">
        <v>42</v>
      </c>
      <c r="L1025" t="s">
        <v>679</v>
      </c>
      <c r="M1025" s="4">
        <v>1</v>
      </c>
      <c r="N1025" s="4">
        <v>1</v>
      </c>
      <c r="O1025" s="2">
        <v>1</v>
      </c>
      <c r="P1025" s="3">
        <v>1.1499999999999999</v>
      </c>
      <c r="Q1025" s="3">
        <v>1.1499999999999999</v>
      </c>
      <c r="R1025" s="3">
        <v>0</v>
      </c>
      <c r="S1025" s="2"/>
      <c r="T1025" s="5">
        <v>0</v>
      </c>
      <c r="U1025" s="4">
        <v>0</v>
      </c>
      <c r="V1025" s="4">
        <v>0</v>
      </c>
      <c r="W1025" s="2">
        <v>0</v>
      </c>
      <c r="X1025" s="4">
        <v>0</v>
      </c>
      <c r="Y1025" s="4">
        <v>0</v>
      </c>
      <c r="Z1025" s="3">
        <v>0</v>
      </c>
      <c r="AA1025" s="3">
        <v>0</v>
      </c>
    </row>
    <row r="1026" spans="1:27" x14ac:dyDescent="0.2">
      <c r="A1026">
        <f t="shared" si="30"/>
        <v>3</v>
      </c>
      <c r="B1026">
        <f t="shared" si="31"/>
        <v>11</v>
      </c>
      <c r="C1026" s="1">
        <v>46091</v>
      </c>
      <c r="D1026" t="s">
        <v>25</v>
      </c>
      <c r="E1026" t="s">
        <v>26</v>
      </c>
      <c r="F1026" t="s">
        <v>27</v>
      </c>
      <c r="G1026" t="s">
        <v>28</v>
      </c>
      <c r="H1026" t="s">
        <v>29</v>
      </c>
      <c r="I1026" t="s">
        <v>30</v>
      </c>
      <c r="J1026" t="s">
        <v>119</v>
      </c>
      <c r="K1026" t="s">
        <v>32</v>
      </c>
      <c r="L1026" t="s">
        <v>680</v>
      </c>
      <c r="M1026" s="4">
        <v>2</v>
      </c>
      <c r="N1026" s="4">
        <v>1</v>
      </c>
      <c r="O1026" s="2">
        <v>0.5</v>
      </c>
      <c r="P1026" s="3">
        <v>0.16</v>
      </c>
      <c r="Q1026" s="3">
        <v>0.16</v>
      </c>
      <c r="R1026" s="3">
        <v>0</v>
      </c>
      <c r="S1026" s="2"/>
      <c r="T1026" s="5">
        <v>0</v>
      </c>
      <c r="U1026" s="4">
        <v>0</v>
      </c>
      <c r="V1026" s="4">
        <v>0</v>
      </c>
      <c r="W1026" s="2">
        <v>0</v>
      </c>
      <c r="X1026" s="4">
        <v>0</v>
      </c>
      <c r="Y1026" s="4">
        <v>0</v>
      </c>
      <c r="Z1026" s="3">
        <v>0</v>
      </c>
      <c r="AA1026" s="3">
        <v>0</v>
      </c>
    </row>
    <row r="1027" spans="1:27" x14ac:dyDescent="0.2">
      <c r="A1027">
        <f t="shared" ref="A1027:A1090" si="32">MONTH(C1027)</f>
        <v>3</v>
      </c>
      <c r="B1027">
        <f t="shared" ref="B1027:B1090" si="33">WEEKNUM(C1027,1)</f>
        <v>11</v>
      </c>
      <c r="C1027" s="1">
        <v>46095</v>
      </c>
      <c r="D1027" t="s">
        <v>25</v>
      </c>
      <c r="E1027" t="s">
        <v>26</v>
      </c>
      <c r="F1027" t="s">
        <v>49</v>
      </c>
      <c r="G1027" t="s">
        <v>50</v>
      </c>
      <c r="H1027" t="s">
        <v>29</v>
      </c>
      <c r="I1027" t="s">
        <v>30</v>
      </c>
      <c r="J1027" t="s">
        <v>95</v>
      </c>
      <c r="K1027" t="s">
        <v>42</v>
      </c>
      <c r="L1027" t="s">
        <v>681</v>
      </c>
      <c r="M1027" s="4">
        <v>1</v>
      </c>
      <c r="N1027" s="4">
        <v>1</v>
      </c>
      <c r="O1027" s="2">
        <v>1</v>
      </c>
      <c r="P1027" s="3">
        <v>0.6</v>
      </c>
      <c r="Q1027" s="3">
        <v>0.6</v>
      </c>
      <c r="R1027" s="3">
        <v>0</v>
      </c>
      <c r="S1027" s="2"/>
      <c r="T1027" s="5">
        <v>0</v>
      </c>
      <c r="U1027" s="4">
        <v>0</v>
      </c>
      <c r="V1027" s="4">
        <v>0</v>
      </c>
      <c r="W1027" s="2">
        <v>0</v>
      </c>
      <c r="X1027" s="4">
        <v>0</v>
      </c>
      <c r="Y1027" s="4">
        <v>0</v>
      </c>
      <c r="Z1027" s="3">
        <v>0</v>
      </c>
      <c r="AA1027" s="3">
        <v>0</v>
      </c>
    </row>
    <row r="1028" spans="1:27" x14ac:dyDescent="0.2">
      <c r="A1028">
        <f t="shared" si="32"/>
        <v>3</v>
      </c>
      <c r="B1028">
        <f t="shared" si="33"/>
        <v>11</v>
      </c>
      <c r="C1028" s="1">
        <v>46092</v>
      </c>
      <c r="D1028" t="s">
        <v>25</v>
      </c>
      <c r="E1028" t="s">
        <v>26</v>
      </c>
      <c r="F1028" t="s">
        <v>27</v>
      </c>
      <c r="G1028" t="s">
        <v>124</v>
      </c>
      <c r="H1028" t="s">
        <v>29</v>
      </c>
      <c r="I1028" t="s">
        <v>30</v>
      </c>
      <c r="J1028" t="s">
        <v>31</v>
      </c>
      <c r="K1028" t="s">
        <v>87</v>
      </c>
      <c r="L1028" t="s">
        <v>33</v>
      </c>
      <c r="M1028" s="4">
        <v>16</v>
      </c>
      <c r="N1028" s="4">
        <v>1</v>
      </c>
      <c r="O1028" s="2">
        <v>6.25E-2</v>
      </c>
      <c r="P1028" s="3">
        <v>0.2</v>
      </c>
      <c r="Q1028" s="3">
        <v>0.2</v>
      </c>
      <c r="R1028" s="3">
        <v>17.09</v>
      </c>
      <c r="S1028" s="2">
        <v>1.1702750146284377E-2</v>
      </c>
      <c r="T1028" s="5">
        <v>85.449999999999989</v>
      </c>
      <c r="U1028" s="4">
        <v>1</v>
      </c>
      <c r="V1028" s="4">
        <v>1</v>
      </c>
      <c r="W1028" s="2">
        <v>1</v>
      </c>
      <c r="X1028" s="4">
        <v>0</v>
      </c>
      <c r="Y1028" s="4">
        <v>1</v>
      </c>
      <c r="Z1028" s="3">
        <v>0</v>
      </c>
      <c r="AA1028" s="3">
        <v>17.09</v>
      </c>
    </row>
    <row r="1029" spans="1:27" x14ac:dyDescent="0.2">
      <c r="A1029">
        <f t="shared" si="32"/>
        <v>3</v>
      </c>
      <c r="B1029">
        <f t="shared" si="33"/>
        <v>11</v>
      </c>
      <c r="C1029" s="1">
        <v>46090</v>
      </c>
      <c r="D1029" t="s">
        <v>25</v>
      </c>
      <c r="E1029" t="s">
        <v>26</v>
      </c>
      <c r="F1029" t="s">
        <v>34</v>
      </c>
      <c r="G1029" t="s">
        <v>28</v>
      </c>
      <c r="H1029" t="s">
        <v>29</v>
      </c>
      <c r="I1029" t="s">
        <v>30</v>
      </c>
      <c r="J1029" t="s">
        <v>144</v>
      </c>
      <c r="K1029" t="s">
        <v>32</v>
      </c>
      <c r="L1029" t="s">
        <v>682</v>
      </c>
      <c r="M1029" s="4">
        <v>1</v>
      </c>
      <c r="N1029" s="4">
        <v>1</v>
      </c>
      <c r="O1029" s="2">
        <v>1</v>
      </c>
      <c r="P1029" s="3">
        <v>1.25</v>
      </c>
      <c r="Q1029" s="3">
        <v>1.25</v>
      </c>
      <c r="R1029" s="3">
        <v>0</v>
      </c>
      <c r="S1029" s="2"/>
      <c r="T1029" s="5">
        <v>0</v>
      </c>
      <c r="U1029" s="4">
        <v>0</v>
      </c>
      <c r="V1029" s="4">
        <v>0</v>
      </c>
      <c r="W1029" s="2">
        <v>0</v>
      </c>
      <c r="X1029" s="4">
        <v>0</v>
      </c>
      <c r="Y1029" s="4">
        <v>0</v>
      </c>
      <c r="Z1029" s="3">
        <v>0</v>
      </c>
      <c r="AA1029" s="3">
        <v>0</v>
      </c>
    </row>
    <row r="1030" spans="1:27" x14ac:dyDescent="0.2">
      <c r="A1030">
        <f t="shared" si="32"/>
        <v>3</v>
      </c>
      <c r="B1030">
        <f t="shared" si="33"/>
        <v>10</v>
      </c>
      <c r="C1030" s="1">
        <v>46087</v>
      </c>
      <c r="D1030" t="s">
        <v>25</v>
      </c>
      <c r="E1030" t="s">
        <v>26</v>
      </c>
      <c r="F1030" t="s">
        <v>39</v>
      </c>
      <c r="G1030" t="s">
        <v>40</v>
      </c>
      <c r="H1030" t="s">
        <v>29</v>
      </c>
      <c r="I1030" t="s">
        <v>30</v>
      </c>
      <c r="J1030" t="s">
        <v>70</v>
      </c>
      <c r="K1030" t="s">
        <v>42</v>
      </c>
      <c r="L1030" t="s">
        <v>683</v>
      </c>
      <c r="M1030" s="4">
        <v>1</v>
      </c>
      <c r="N1030" s="4">
        <v>1</v>
      </c>
      <c r="O1030" s="2">
        <v>1</v>
      </c>
      <c r="P1030" s="3">
        <v>0.73</v>
      </c>
      <c r="Q1030" s="3">
        <v>0.73</v>
      </c>
      <c r="R1030" s="3">
        <v>0</v>
      </c>
      <c r="S1030" s="2"/>
      <c r="T1030" s="5">
        <v>0</v>
      </c>
      <c r="U1030" s="4">
        <v>0</v>
      </c>
      <c r="V1030" s="4">
        <v>0</v>
      </c>
      <c r="W1030" s="2">
        <v>0</v>
      </c>
      <c r="X1030" s="4">
        <v>0</v>
      </c>
      <c r="Y1030" s="4">
        <v>0</v>
      </c>
      <c r="Z1030" s="3">
        <v>0</v>
      </c>
      <c r="AA1030" s="3">
        <v>0</v>
      </c>
    </row>
    <row r="1031" spans="1:27" x14ac:dyDescent="0.2">
      <c r="A1031">
        <f t="shared" si="32"/>
        <v>3</v>
      </c>
      <c r="B1031">
        <f t="shared" si="33"/>
        <v>11</v>
      </c>
      <c r="C1031" s="1">
        <v>46095</v>
      </c>
      <c r="D1031" t="s">
        <v>25</v>
      </c>
      <c r="E1031" t="s">
        <v>26</v>
      </c>
      <c r="F1031" t="s">
        <v>61</v>
      </c>
      <c r="G1031" t="s">
        <v>62</v>
      </c>
      <c r="H1031" t="s">
        <v>29</v>
      </c>
      <c r="I1031" t="s">
        <v>30</v>
      </c>
      <c r="J1031" t="s">
        <v>47</v>
      </c>
      <c r="K1031" t="s">
        <v>42</v>
      </c>
      <c r="L1031" t="s">
        <v>321</v>
      </c>
      <c r="M1031" s="4">
        <v>3</v>
      </c>
      <c r="N1031" s="4">
        <v>1</v>
      </c>
      <c r="O1031" s="2">
        <v>0.33333333333333331</v>
      </c>
      <c r="P1031" s="3">
        <v>1.28</v>
      </c>
      <c r="Q1031" s="3">
        <v>1.28</v>
      </c>
      <c r="R1031" s="3">
        <v>0</v>
      </c>
      <c r="S1031" s="2"/>
      <c r="T1031" s="5">
        <v>0</v>
      </c>
      <c r="U1031" s="4">
        <v>0</v>
      </c>
      <c r="V1031" s="4">
        <v>0</v>
      </c>
      <c r="W1031" s="2">
        <v>0</v>
      </c>
      <c r="X1031" s="4">
        <v>0</v>
      </c>
      <c r="Y1031" s="4">
        <v>0</v>
      </c>
      <c r="Z1031" s="3">
        <v>0</v>
      </c>
      <c r="AA1031" s="3">
        <v>0</v>
      </c>
    </row>
    <row r="1032" spans="1:27" x14ac:dyDescent="0.2">
      <c r="A1032">
        <f t="shared" si="32"/>
        <v>3</v>
      </c>
      <c r="B1032">
        <f t="shared" si="33"/>
        <v>12</v>
      </c>
      <c r="C1032" s="1">
        <v>46097</v>
      </c>
      <c r="D1032" t="s">
        <v>25</v>
      </c>
      <c r="E1032" t="s">
        <v>26</v>
      </c>
      <c r="F1032" t="s">
        <v>49</v>
      </c>
      <c r="G1032" t="s">
        <v>50</v>
      </c>
      <c r="H1032" t="s">
        <v>29</v>
      </c>
      <c r="I1032" t="s">
        <v>30</v>
      </c>
      <c r="J1032" t="s">
        <v>51</v>
      </c>
      <c r="K1032" t="s">
        <v>42</v>
      </c>
      <c r="L1032" t="s">
        <v>684</v>
      </c>
      <c r="M1032" s="4">
        <v>2</v>
      </c>
      <c r="N1032" s="4">
        <v>1</v>
      </c>
      <c r="O1032" s="2">
        <v>0.5</v>
      </c>
      <c r="P1032" s="3">
        <v>0.68</v>
      </c>
      <c r="Q1032" s="3">
        <v>0.68</v>
      </c>
      <c r="R1032" s="3">
        <v>0</v>
      </c>
      <c r="S1032" s="2"/>
      <c r="T1032" s="5">
        <v>0</v>
      </c>
      <c r="U1032" s="4">
        <v>0</v>
      </c>
      <c r="V1032" s="4">
        <v>0</v>
      </c>
      <c r="W1032" s="2">
        <v>0</v>
      </c>
      <c r="X1032" s="4">
        <v>0</v>
      </c>
      <c r="Y1032" s="4">
        <v>0</v>
      </c>
      <c r="Z1032" s="3">
        <v>0</v>
      </c>
      <c r="AA1032" s="3">
        <v>0</v>
      </c>
    </row>
    <row r="1033" spans="1:27" x14ac:dyDescent="0.2">
      <c r="A1033">
        <f t="shared" si="32"/>
        <v>3</v>
      </c>
      <c r="B1033">
        <f t="shared" si="33"/>
        <v>10</v>
      </c>
      <c r="C1033" s="1">
        <v>46088</v>
      </c>
      <c r="D1033" t="s">
        <v>25</v>
      </c>
      <c r="E1033" t="s">
        <v>26</v>
      </c>
      <c r="F1033" t="s">
        <v>49</v>
      </c>
      <c r="G1033" t="s">
        <v>50</v>
      </c>
      <c r="H1033" t="s">
        <v>29</v>
      </c>
      <c r="I1033" t="s">
        <v>30</v>
      </c>
      <c r="J1033" t="s">
        <v>51</v>
      </c>
      <c r="K1033" t="s">
        <v>42</v>
      </c>
      <c r="L1033" t="s">
        <v>685</v>
      </c>
      <c r="M1033" s="4">
        <v>2</v>
      </c>
      <c r="N1033" s="4">
        <v>1</v>
      </c>
      <c r="O1033" s="2">
        <v>0.5</v>
      </c>
      <c r="P1033" s="3">
        <v>0.96</v>
      </c>
      <c r="Q1033" s="3">
        <v>0.96</v>
      </c>
      <c r="R1033" s="3">
        <v>0</v>
      </c>
      <c r="S1033" s="2"/>
      <c r="T1033" s="5">
        <v>0</v>
      </c>
      <c r="U1033" s="4">
        <v>0</v>
      </c>
      <c r="V1033" s="4">
        <v>0</v>
      </c>
      <c r="W1033" s="2">
        <v>0</v>
      </c>
      <c r="X1033" s="4">
        <v>0</v>
      </c>
      <c r="Y1033" s="4">
        <v>0</v>
      </c>
      <c r="Z1033" s="3">
        <v>0</v>
      </c>
      <c r="AA1033" s="3">
        <v>0</v>
      </c>
    </row>
    <row r="1034" spans="1:27" x14ac:dyDescent="0.2">
      <c r="A1034">
        <f t="shared" si="32"/>
        <v>3</v>
      </c>
      <c r="B1034">
        <f t="shared" si="33"/>
        <v>10</v>
      </c>
      <c r="C1034" s="1">
        <v>46082</v>
      </c>
      <c r="D1034" t="s">
        <v>25</v>
      </c>
      <c r="E1034" t="s">
        <v>26</v>
      </c>
      <c r="F1034" t="s">
        <v>49</v>
      </c>
      <c r="G1034" t="s">
        <v>50</v>
      </c>
      <c r="H1034" t="s">
        <v>29</v>
      </c>
      <c r="I1034" t="s">
        <v>30</v>
      </c>
      <c r="J1034" t="s">
        <v>51</v>
      </c>
      <c r="K1034" t="s">
        <v>42</v>
      </c>
      <c r="L1034" t="s">
        <v>52</v>
      </c>
      <c r="M1034" s="4">
        <v>2</v>
      </c>
      <c r="N1034" s="4">
        <v>1</v>
      </c>
      <c r="O1034" s="2">
        <v>0.5</v>
      </c>
      <c r="P1034" s="3">
        <v>0.6</v>
      </c>
      <c r="Q1034" s="3">
        <v>0.6</v>
      </c>
      <c r="R1034" s="3">
        <v>0</v>
      </c>
      <c r="S1034" s="2"/>
      <c r="T1034" s="5">
        <v>0</v>
      </c>
      <c r="U1034" s="4">
        <v>0</v>
      </c>
      <c r="V1034" s="4">
        <v>0</v>
      </c>
      <c r="W1034" s="2">
        <v>0</v>
      </c>
      <c r="X1034" s="4">
        <v>0</v>
      </c>
      <c r="Y1034" s="4">
        <v>0</v>
      </c>
      <c r="Z1034" s="3">
        <v>0</v>
      </c>
      <c r="AA1034" s="3">
        <v>0</v>
      </c>
    </row>
    <row r="1035" spans="1:27" x14ac:dyDescent="0.2">
      <c r="A1035">
        <f t="shared" si="32"/>
        <v>3</v>
      </c>
      <c r="B1035">
        <f t="shared" si="33"/>
        <v>10</v>
      </c>
      <c r="C1035" s="1">
        <v>46084</v>
      </c>
      <c r="D1035" t="s">
        <v>25</v>
      </c>
      <c r="E1035" t="s">
        <v>26</v>
      </c>
      <c r="F1035" t="s">
        <v>49</v>
      </c>
      <c r="G1035" t="s">
        <v>50</v>
      </c>
      <c r="H1035" t="s">
        <v>29</v>
      </c>
      <c r="I1035" t="s">
        <v>30</v>
      </c>
      <c r="J1035" t="s">
        <v>51</v>
      </c>
      <c r="K1035" t="s">
        <v>42</v>
      </c>
      <c r="L1035" t="s">
        <v>686</v>
      </c>
      <c r="M1035" s="4">
        <v>4</v>
      </c>
      <c r="N1035" s="4">
        <v>1</v>
      </c>
      <c r="O1035" s="2">
        <v>0.25</v>
      </c>
      <c r="P1035" s="3">
        <v>0.65</v>
      </c>
      <c r="Q1035" s="3">
        <v>0.65</v>
      </c>
      <c r="R1035" s="3">
        <v>0</v>
      </c>
      <c r="S1035" s="2"/>
      <c r="T1035" s="5">
        <v>0</v>
      </c>
      <c r="U1035" s="4">
        <v>0</v>
      </c>
      <c r="V1035" s="4">
        <v>0</v>
      </c>
      <c r="W1035" s="2">
        <v>0</v>
      </c>
      <c r="X1035" s="4">
        <v>0</v>
      </c>
      <c r="Y1035" s="4">
        <v>0</v>
      </c>
      <c r="Z1035" s="3">
        <v>0</v>
      </c>
      <c r="AA1035" s="3">
        <v>0</v>
      </c>
    </row>
    <row r="1036" spans="1:27" x14ac:dyDescent="0.2">
      <c r="A1036">
        <f t="shared" si="32"/>
        <v>3</v>
      </c>
      <c r="B1036">
        <f t="shared" si="33"/>
        <v>10</v>
      </c>
      <c r="C1036" s="1">
        <v>46084</v>
      </c>
      <c r="D1036" t="s">
        <v>25</v>
      </c>
      <c r="E1036" t="s">
        <v>26</v>
      </c>
      <c r="F1036" t="s">
        <v>49</v>
      </c>
      <c r="G1036" t="s">
        <v>50</v>
      </c>
      <c r="H1036" t="s">
        <v>29</v>
      </c>
      <c r="I1036" t="s">
        <v>30</v>
      </c>
      <c r="J1036" t="s">
        <v>51</v>
      </c>
      <c r="K1036" t="s">
        <v>42</v>
      </c>
      <c r="L1036" t="s">
        <v>687</v>
      </c>
      <c r="M1036" s="4">
        <v>61</v>
      </c>
      <c r="N1036" s="4">
        <v>1</v>
      </c>
      <c r="O1036" s="2">
        <v>1.6393442622950821E-2</v>
      </c>
      <c r="P1036" s="3">
        <v>0.1</v>
      </c>
      <c r="Q1036" s="3">
        <v>0.1</v>
      </c>
      <c r="R1036" s="3">
        <v>0</v>
      </c>
      <c r="S1036" s="2"/>
      <c r="T1036" s="5">
        <v>0</v>
      </c>
      <c r="U1036" s="4">
        <v>0</v>
      </c>
      <c r="V1036" s="4">
        <v>0</v>
      </c>
      <c r="W1036" s="2">
        <v>0</v>
      </c>
      <c r="X1036" s="4">
        <v>0</v>
      </c>
      <c r="Y1036" s="4">
        <v>0</v>
      </c>
      <c r="Z1036" s="3">
        <v>0</v>
      </c>
      <c r="AA1036" s="3">
        <v>0</v>
      </c>
    </row>
    <row r="1037" spans="1:27" x14ac:dyDescent="0.2">
      <c r="A1037">
        <f t="shared" si="32"/>
        <v>3</v>
      </c>
      <c r="B1037">
        <f t="shared" si="33"/>
        <v>11</v>
      </c>
      <c r="C1037" s="1">
        <v>46092</v>
      </c>
      <c r="D1037" t="s">
        <v>25</v>
      </c>
      <c r="E1037" t="s">
        <v>26</v>
      </c>
      <c r="F1037" t="s">
        <v>49</v>
      </c>
      <c r="G1037" t="s">
        <v>50</v>
      </c>
      <c r="H1037" t="s">
        <v>29</v>
      </c>
      <c r="I1037" t="s">
        <v>30</v>
      </c>
      <c r="J1037" t="s">
        <v>51</v>
      </c>
      <c r="K1037" t="s">
        <v>42</v>
      </c>
      <c r="L1037" t="s">
        <v>688</v>
      </c>
      <c r="M1037" s="4">
        <v>6</v>
      </c>
      <c r="N1037" s="4">
        <v>1</v>
      </c>
      <c r="O1037" s="2">
        <v>0.16666666666666663</v>
      </c>
      <c r="P1037" s="3">
        <v>0.5</v>
      </c>
      <c r="Q1037" s="3">
        <v>0.5</v>
      </c>
      <c r="R1037" s="3">
        <v>0</v>
      </c>
      <c r="S1037" s="2"/>
      <c r="T1037" s="5">
        <v>0</v>
      </c>
      <c r="U1037" s="4">
        <v>0</v>
      </c>
      <c r="V1037" s="4">
        <v>0</v>
      </c>
      <c r="W1037" s="2">
        <v>0</v>
      </c>
      <c r="X1037" s="4">
        <v>0</v>
      </c>
      <c r="Y1037" s="4">
        <v>0</v>
      </c>
      <c r="Z1037" s="3">
        <v>0</v>
      </c>
      <c r="AA1037" s="3">
        <v>0</v>
      </c>
    </row>
    <row r="1038" spans="1:27" x14ac:dyDescent="0.2">
      <c r="A1038">
        <f t="shared" si="32"/>
        <v>3</v>
      </c>
      <c r="B1038">
        <f t="shared" si="33"/>
        <v>12</v>
      </c>
      <c r="C1038" s="1">
        <v>46098</v>
      </c>
      <c r="D1038" t="s">
        <v>25</v>
      </c>
      <c r="E1038" t="s">
        <v>26</v>
      </c>
      <c r="F1038" t="s">
        <v>49</v>
      </c>
      <c r="G1038" t="s">
        <v>50</v>
      </c>
      <c r="H1038" t="s">
        <v>29</v>
      </c>
      <c r="I1038" t="s">
        <v>30</v>
      </c>
      <c r="J1038" t="s">
        <v>51</v>
      </c>
      <c r="K1038" t="s">
        <v>42</v>
      </c>
      <c r="L1038" t="s">
        <v>689</v>
      </c>
      <c r="M1038" s="4">
        <v>1</v>
      </c>
      <c r="N1038" s="4">
        <v>1</v>
      </c>
      <c r="O1038" s="2">
        <v>1</v>
      </c>
      <c r="P1038" s="3">
        <v>0.56000000000000005</v>
      </c>
      <c r="Q1038" s="3">
        <v>0.56000000000000005</v>
      </c>
      <c r="R1038" s="3">
        <v>0</v>
      </c>
      <c r="S1038" s="2"/>
      <c r="T1038" s="5">
        <v>0</v>
      </c>
      <c r="U1038" s="4">
        <v>0</v>
      </c>
      <c r="V1038" s="4">
        <v>0</v>
      </c>
      <c r="W1038" s="2">
        <v>0</v>
      </c>
      <c r="X1038" s="4">
        <v>0</v>
      </c>
      <c r="Y1038" s="4">
        <v>0</v>
      </c>
      <c r="Z1038" s="3">
        <v>0</v>
      </c>
      <c r="AA1038" s="3">
        <v>0</v>
      </c>
    </row>
    <row r="1039" spans="1:27" x14ac:dyDescent="0.2">
      <c r="A1039">
        <f t="shared" si="32"/>
        <v>3</v>
      </c>
      <c r="B1039">
        <f t="shared" si="33"/>
        <v>12</v>
      </c>
      <c r="C1039" s="1">
        <v>46096</v>
      </c>
      <c r="D1039" t="s">
        <v>25</v>
      </c>
      <c r="E1039" t="s">
        <v>26</v>
      </c>
      <c r="F1039" t="s">
        <v>49</v>
      </c>
      <c r="G1039" t="s">
        <v>50</v>
      </c>
      <c r="H1039" t="s">
        <v>29</v>
      </c>
      <c r="I1039" t="s">
        <v>30</v>
      </c>
      <c r="J1039" t="s">
        <v>51</v>
      </c>
      <c r="K1039" t="s">
        <v>42</v>
      </c>
      <c r="L1039" t="s">
        <v>690</v>
      </c>
      <c r="M1039" s="4">
        <v>1</v>
      </c>
      <c r="N1039" s="4">
        <v>1</v>
      </c>
      <c r="O1039" s="2">
        <v>1</v>
      </c>
      <c r="P1039" s="3">
        <v>0.34</v>
      </c>
      <c r="Q1039" s="3">
        <v>0.34</v>
      </c>
      <c r="R1039" s="3">
        <v>0</v>
      </c>
      <c r="S1039" s="2"/>
      <c r="T1039" s="5">
        <v>0</v>
      </c>
      <c r="U1039" s="4">
        <v>0</v>
      </c>
      <c r="V1039" s="4">
        <v>0</v>
      </c>
      <c r="W1039" s="2">
        <v>0</v>
      </c>
      <c r="X1039" s="4">
        <v>0</v>
      </c>
      <c r="Y1039" s="4">
        <v>0</v>
      </c>
      <c r="Z1039" s="3">
        <v>0</v>
      </c>
      <c r="AA1039" s="3">
        <v>0</v>
      </c>
    </row>
    <row r="1040" spans="1:27" x14ac:dyDescent="0.2">
      <c r="A1040">
        <f t="shared" si="32"/>
        <v>3</v>
      </c>
      <c r="B1040">
        <f t="shared" si="33"/>
        <v>12</v>
      </c>
      <c r="C1040" s="1">
        <v>46100</v>
      </c>
      <c r="D1040" t="s">
        <v>25</v>
      </c>
      <c r="E1040" t="s">
        <v>26</v>
      </c>
      <c r="F1040" t="s">
        <v>49</v>
      </c>
      <c r="G1040" t="s">
        <v>50</v>
      </c>
      <c r="H1040" t="s">
        <v>29</v>
      </c>
      <c r="I1040" t="s">
        <v>30</v>
      </c>
      <c r="J1040" t="s">
        <v>51</v>
      </c>
      <c r="K1040" t="s">
        <v>42</v>
      </c>
      <c r="L1040" t="s">
        <v>691</v>
      </c>
      <c r="M1040" s="4">
        <v>1</v>
      </c>
      <c r="N1040" s="4">
        <v>1</v>
      </c>
      <c r="O1040" s="2">
        <v>1</v>
      </c>
      <c r="P1040" s="3">
        <v>0.6</v>
      </c>
      <c r="Q1040" s="3">
        <v>0.6</v>
      </c>
      <c r="R1040" s="3">
        <v>0</v>
      </c>
      <c r="S1040" s="2"/>
      <c r="T1040" s="5">
        <v>0</v>
      </c>
      <c r="U1040" s="4">
        <v>0</v>
      </c>
      <c r="V1040" s="4">
        <v>0</v>
      </c>
      <c r="W1040" s="2">
        <v>0</v>
      </c>
      <c r="X1040" s="4">
        <v>0</v>
      </c>
      <c r="Y1040" s="4">
        <v>0</v>
      </c>
      <c r="Z1040" s="3">
        <v>0</v>
      </c>
      <c r="AA1040" s="3">
        <v>0</v>
      </c>
    </row>
    <row r="1041" spans="1:27" x14ac:dyDescent="0.2">
      <c r="A1041">
        <f t="shared" si="32"/>
        <v>3</v>
      </c>
      <c r="B1041">
        <f t="shared" si="33"/>
        <v>12</v>
      </c>
      <c r="C1041" s="1">
        <v>46100</v>
      </c>
      <c r="D1041" t="s">
        <v>25</v>
      </c>
      <c r="E1041" t="s">
        <v>26</v>
      </c>
      <c r="F1041" t="s">
        <v>49</v>
      </c>
      <c r="G1041" t="s">
        <v>50</v>
      </c>
      <c r="H1041" t="s">
        <v>29</v>
      </c>
      <c r="I1041" t="s">
        <v>30</v>
      </c>
      <c r="J1041" t="s">
        <v>51</v>
      </c>
      <c r="K1041" t="s">
        <v>42</v>
      </c>
      <c r="L1041" t="s">
        <v>692</v>
      </c>
      <c r="M1041" s="4">
        <v>2</v>
      </c>
      <c r="N1041" s="4">
        <v>1</v>
      </c>
      <c r="O1041" s="2">
        <v>0.5</v>
      </c>
      <c r="P1041" s="3">
        <v>0.6</v>
      </c>
      <c r="Q1041" s="3">
        <v>0.6</v>
      </c>
      <c r="R1041" s="3">
        <v>0</v>
      </c>
      <c r="S1041" s="2"/>
      <c r="T1041" s="5">
        <v>0</v>
      </c>
      <c r="U1041" s="4">
        <v>0</v>
      </c>
      <c r="V1041" s="4">
        <v>0</v>
      </c>
      <c r="W1041" s="2">
        <v>0</v>
      </c>
      <c r="X1041" s="4">
        <v>0</v>
      </c>
      <c r="Y1041" s="4">
        <v>0</v>
      </c>
      <c r="Z1041" s="3">
        <v>0</v>
      </c>
      <c r="AA1041" s="3">
        <v>0</v>
      </c>
    </row>
    <row r="1042" spans="1:27" x14ac:dyDescent="0.2">
      <c r="A1042">
        <f t="shared" si="32"/>
        <v>3</v>
      </c>
      <c r="B1042">
        <f t="shared" si="33"/>
        <v>10</v>
      </c>
      <c r="C1042" s="1">
        <v>46086</v>
      </c>
      <c r="D1042" t="s">
        <v>25</v>
      </c>
      <c r="E1042" t="s">
        <v>26</v>
      </c>
      <c r="F1042" t="s">
        <v>49</v>
      </c>
      <c r="G1042" t="s">
        <v>50</v>
      </c>
      <c r="H1042" t="s">
        <v>29</v>
      </c>
      <c r="I1042" t="s">
        <v>30</v>
      </c>
      <c r="J1042" t="s">
        <v>51</v>
      </c>
      <c r="K1042" t="s">
        <v>42</v>
      </c>
      <c r="L1042" t="s">
        <v>693</v>
      </c>
      <c r="M1042" s="4">
        <v>4</v>
      </c>
      <c r="N1042" s="4">
        <v>1</v>
      </c>
      <c r="O1042" s="2">
        <v>0.25</v>
      </c>
      <c r="P1042" s="3">
        <v>0.87</v>
      </c>
      <c r="Q1042" s="3">
        <v>0.87</v>
      </c>
      <c r="R1042" s="3">
        <v>0</v>
      </c>
      <c r="S1042" s="2"/>
      <c r="T1042" s="5">
        <v>0</v>
      </c>
      <c r="U1042" s="4">
        <v>0</v>
      </c>
      <c r="V1042" s="4">
        <v>0</v>
      </c>
      <c r="W1042" s="2">
        <v>0</v>
      </c>
      <c r="X1042" s="4">
        <v>0</v>
      </c>
      <c r="Y1042" s="4">
        <v>0</v>
      </c>
      <c r="Z1042" s="3">
        <v>0</v>
      </c>
      <c r="AA1042" s="3">
        <v>0</v>
      </c>
    </row>
    <row r="1043" spans="1:27" x14ac:dyDescent="0.2">
      <c r="A1043">
        <f t="shared" si="32"/>
        <v>3</v>
      </c>
      <c r="B1043">
        <f t="shared" si="33"/>
        <v>12</v>
      </c>
      <c r="C1043" s="1">
        <v>46099</v>
      </c>
      <c r="D1043" t="s">
        <v>25</v>
      </c>
      <c r="E1043" t="s">
        <v>26</v>
      </c>
      <c r="F1043" t="s">
        <v>49</v>
      </c>
      <c r="G1043" t="s">
        <v>50</v>
      </c>
      <c r="H1043" t="s">
        <v>29</v>
      </c>
      <c r="I1043" t="s">
        <v>30</v>
      </c>
      <c r="J1043" t="s">
        <v>51</v>
      </c>
      <c r="K1043" t="s">
        <v>42</v>
      </c>
      <c r="L1043" t="s">
        <v>693</v>
      </c>
      <c r="M1043" s="4">
        <v>2</v>
      </c>
      <c r="N1043" s="4">
        <v>1</v>
      </c>
      <c r="O1043" s="2">
        <v>0.5</v>
      </c>
      <c r="P1043" s="3">
        <v>0.6</v>
      </c>
      <c r="Q1043" s="3">
        <v>0.6</v>
      </c>
      <c r="R1043" s="3">
        <v>0</v>
      </c>
      <c r="S1043" s="2"/>
      <c r="T1043" s="5">
        <v>0</v>
      </c>
      <c r="U1043" s="4">
        <v>0</v>
      </c>
      <c r="V1043" s="4">
        <v>0</v>
      </c>
      <c r="W1043" s="2">
        <v>0</v>
      </c>
      <c r="X1043" s="4">
        <v>0</v>
      </c>
      <c r="Y1043" s="4">
        <v>0</v>
      </c>
      <c r="Z1043" s="3">
        <v>0</v>
      </c>
      <c r="AA1043" s="3">
        <v>0</v>
      </c>
    </row>
    <row r="1044" spans="1:27" x14ac:dyDescent="0.2">
      <c r="A1044">
        <f t="shared" si="32"/>
        <v>3</v>
      </c>
      <c r="B1044">
        <f t="shared" si="33"/>
        <v>12</v>
      </c>
      <c r="C1044" s="1">
        <v>46101</v>
      </c>
      <c r="D1044" t="s">
        <v>25</v>
      </c>
      <c r="E1044" t="s">
        <v>26</v>
      </c>
      <c r="F1044" t="s">
        <v>49</v>
      </c>
      <c r="G1044" t="s">
        <v>50</v>
      </c>
      <c r="H1044" t="s">
        <v>29</v>
      </c>
      <c r="I1044" t="s">
        <v>30</v>
      </c>
      <c r="J1044" t="s">
        <v>51</v>
      </c>
      <c r="K1044" t="s">
        <v>42</v>
      </c>
      <c r="L1044" t="s">
        <v>693</v>
      </c>
      <c r="M1044" s="4">
        <v>7</v>
      </c>
      <c r="N1044" s="4">
        <v>1</v>
      </c>
      <c r="O1044" s="2">
        <v>0.14285714285714285</v>
      </c>
      <c r="P1044" s="3">
        <v>0.57999999999999996</v>
      </c>
      <c r="Q1044" s="3">
        <v>0.57999999999999996</v>
      </c>
      <c r="R1044" s="3">
        <v>0</v>
      </c>
      <c r="S1044" s="2"/>
      <c r="T1044" s="5">
        <v>0</v>
      </c>
      <c r="U1044" s="4">
        <v>0</v>
      </c>
      <c r="V1044" s="4">
        <v>0</v>
      </c>
      <c r="W1044" s="2">
        <v>0</v>
      </c>
      <c r="X1044" s="4">
        <v>0</v>
      </c>
      <c r="Y1044" s="4">
        <v>0</v>
      </c>
      <c r="Z1044" s="3">
        <v>0</v>
      </c>
      <c r="AA1044" s="3">
        <v>0</v>
      </c>
    </row>
    <row r="1045" spans="1:27" x14ac:dyDescent="0.2">
      <c r="A1045">
        <f t="shared" si="32"/>
        <v>3</v>
      </c>
      <c r="B1045">
        <f t="shared" si="33"/>
        <v>12</v>
      </c>
      <c r="C1045" s="1">
        <v>46097</v>
      </c>
      <c r="D1045" t="s">
        <v>25</v>
      </c>
      <c r="E1045" t="s">
        <v>26</v>
      </c>
      <c r="F1045" t="s">
        <v>49</v>
      </c>
      <c r="G1045" t="s">
        <v>50</v>
      </c>
      <c r="H1045" t="s">
        <v>29</v>
      </c>
      <c r="I1045" t="s">
        <v>30</v>
      </c>
      <c r="J1045" t="s">
        <v>51</v>
      </c>
      <c r="K1045" t="s">
        <v>42</v>
      </c>
      <c r="L1045" t="s">
        <v>324</v>
      </c>
      <c r="M1045" s="4">
        <v>6</v>
      </c>
      <c r="N1045" s="4">
        <v>1</v>
      </c>
      <c r="O1045" s="2">
        <v>0.16666666666666663</v>
      </c>
      <c r="P1045" s="3">
        <v>0.56000000000000005</v>
      </c>
      <c r="Q1045" s="3">
        <v>0.56000000000000005</v>
      </c>
      <c r="R1045" s="3">
        <v>0</v>
      </c>
      <c r="S1045" s="2"/>
      <c r="T1045" s="5">
        <v>0</v>
      </c>
      <c r="U1045" s="4">
        <v>0</v>
      </c>
      <c r="V1045" s="4">
        <v>0</v>
      </c>
      <c r="W1045" s="2">
        <v>0</v>
      </c>
      <c r="X1045" s="4">
        <v>0</v>
      </c>
      <c r="Y1045" s="4">
        <v>0</v>
      </c>
      <c r="Z1045" s="3">
        <v>0</v>
      </c>
      <c r="AA1045" s="3">
        <v>0</v>
      </c>
    </row>
    <row r="1046" spans="1:27" x14ac:dyDescent="0.2">
      <c r="A1046">
        <f t="shared" si="32"/>
        <v>3</v>
      </c>
      <c r="B1046">
        <f t="shared" si="33"/>
        <v>12</v>
      </c>
      <c r="C1046" s="1">
        <v>46101</v>
      </c>
      <c r="D1046" t="s">
        <v>25</v>
      </c>
      <c r="E1046" t="s">
        <v>26</v>
      </c>
      <c r="F1046" t="s">
        <v>49</v>
      </c>
      <c r="G1046" t="s">
        <v>50</v>
      </c>
      <c r="H1046" t="s">
        <v>29</v>
      </c>
      <c r="I1046" t="s">
        <v>30</v>
      </c>
      <c r="J1046" t="s">
        <v>51</v>
      </c>
      <c r="K1046" t="s">
        <v>42</v>
      </c>
      <c r="L1046" t="s">
        <v>405</v>
      </c>
      <c r="M1046" s="4">
        <v>2</v>
      </c>
      <c r="N1046" s="4">
        <v>1</v>
      </c>
      <c r="O1046" s="2">
        <v>0.5</v>
      </c>
      <c r="P1046" s="3">
        <v>0.6</v>
      </c>
      <c r="Q1046" s="3">
        <v>0.6</v>
      </c>
      <c r="R1046" s="3">
        <v>0</v>
      </c>
      <c r="S1046" s="2"/>
      <c r="T1046" s="5">
        <v>0</v>
      </c>
      <c r="U1046" s="4">
        <v>0</v>
      </c>
      <c r="V1046" s="4">
        <v>0</v>
      </c>
      <c r="W1046" s="2">
        <v>0</v>
      </c>
      <c r="X1046" s="4">
        <v>0</v>
      </c>
      <c r="Y1046" s="4">
        <v>0</v>
      </c>
      <c r="Z1046" s="3">
        <v>0</v>
      </c>
      <c r="AA1046" s="3">
        <v>0</v>
      </c>
    </row>
    <row r="1047" spans="1:27" x14ac:dyDescent="0.2">
      <c r="A1047">
        <f t="shared" si="32"/>
        <v>3</v>
      </c>
      <c r="B1047">
        <f t="shared" si="33"/>
        <v>12</v>
      </c>
      <c r="C1047" s="1">
        <v>46098</v>
      </c>
      <c r="D1047" t="s">
        <v>25</v>
      </c>
      <c r="E1047" t="s">
        <v>26</v>
      </c>
      <c r="F1047" t="s">
        <v>49</v>
      </c>
      <c r="G1047" t="s">
        <v>50</v>
      </c>
      <c r="H1047" t="s">
        <v>29</v>
      </c>
      <c r="I1047" t="s">
        <v>30</v>
      </c>
      <c r="J1047" t="s">
        <v>51</v>
      </c>
      <c r="K1047" t="s">
        <v>42</v>
      </c>
      <c r="L1047" t="s">
        <v>694</v>
      </c>
      <c r="M1047" s="4">
        <v>3</v>
      </c>
      <c r="N1047" s="4">
        <v>1</v>
      </c>
      <c r="O1047" s="2">
        <v>0.33333333333333331</v>
      </c>
      <c r="P1047" s="3">
        <v>0.54</v>
      </c>
      <c r="Q1047" s="3">
        <v>0.54</v>
      </c>
      <c r="R1047" s="3">
        <v>0</v>
      </c>
      <c r="S1047" s="2"/>
      <c r="T1047" s="5">
        <v>0</v>
      </c>
      <c r="U1047" s="4">
        <v>0</v>
      </c>
      <c r="V1047" s="4">
        <v>0</v>
      </c>
      <c r="W1047" s="2">
        <v>0</v>
      </c>
      <c r="X1047" s="4">
        <v>0</v>
      </c>
      <c r="Y1047" s="4">
        <v>0</v>
      </c>
      <c r="Z1047" s="3">
        <v>0</v>
      </c>
      <c r="AA1047" s="3">
        <v>0</v>
      </c>
    </row>
    <row r="1048" spans="1:27" x14ac:dyDescent="0.2">
      <c r="A1048">
        <f t="shared" si="32"/>
        <v>3</v>
      </c>
      <c r="B1048">
        <f t="shared" si="33"/>
        <v>11</v>
      </c>
      <c r="C1048" s="1">
        <v>46093</v>
      </c>
      <c r="D1048" t="s">
        <v>25</v>
      </c>
      <c r="E1048" t="s">
        <v>26</v>
      </c>
      <c r="F1048" t="s">
        <v>49</v>
      </c>
      <c r="G1048" t="s">
        <v>50</v>
      </c>
      <c r="H1048" t="s">
        <v>29</v>
      </c>
      <c r="I1048" t="s">
        <v>30</v>
      </c>
      <c r="J1048" t="s">
        <v>51</v>
      </c>
      <c r="K1048" t="s">
        <v>42</v>
      </c>
      <c r="L1048" t="s">
        <v>695</v>
      </c>
      <c r="M1048" s="4">
        <v>2</v>
      </c>
      <c r="N1048" s="4">
        <v>1</v>
      </c>
      <c r="O1048" s="2">
        <v>0.5</v>
      </c>
      <c r="P1048" s="3">
        <v>0.54</v>
      </c>
      <c r="Q1048" s="3">
        <v>0.54</v>
      </c>
      <c r="R1048" s="3">
        <v>37.979999999999997</v>
      </c>
      <c r="S1048" s="2">
        <v>1.4218009478672989E-2</v>
      </c>
      <c r="T1048" s="5">
        <v>70.333333333333329</v>
      </c>
      <c r="U1048" s="4">
        <v>1</v>
      </c>
      <c r="V1048" s="4">
        <v>2</v>
      </c>
      <c r="W1048" s="2">
        <v>1</v>
      </c>
      <c r="X1048" s="4">
        <v>2</v>
      </c>
      <c r="Y1048" s="4">
        <v>0</v>
      </c>
      <c r="Z1048" s="3">
        <v>37.979999999999997</v>
      </c>
      <c r="AA1048" s="3">
        <v>0</v>
      </c>
    </row>
    <row r="1049" spans="1:27" x14ac:dyDescent="0.2">
      <c r="A1049">
        <f t="shared" si="32"/>
        <v>3</v>
      </c>
      <c r="B1049">
        <f t="shared" si="33"/>
        <v>10</v>
      </c>
      <c r="C1049" s="1">
        <v>46086</v>
      </c>
      <c r="D1049" t="s">
        <v>25</v>
      </c>
      <c r="E1049" t="s">
        <v>26</v>
      </c>
      <c r="F1049" t="s">
        <v>49</v>
      </c>
      <c r="G1049" t="s">
        <v>50</v>
      </c>
      <c r="H1049" t="s">
        <v>29</v>
      </c>
      <c r="I1049" t="s">
        <v>30</v>
      </c>
      <c r="J1049" t="s">
        <v>51</v>
      </c>
      <c r="K1049" t="s">
        <v>42</v>
      </c>
      <c r="L1049" t="s">
        <v>696</v>
      </c>
      <c r="M1049" s="4">
        <v>3</v>
      </c>
      <c r="N1049" s="4">
        <v>1</v>
      </c>
      <c r="O1049" s="2">
        <v>0.33333333333333331</v>
      </c>
      <c r="P1049" s="3">
        <v>0.1</v>
      </c>
      <c r="Q1049" s="3">
        <v>0.1</v>
      </c>
      <c r="R1049" s="3">
        <v>0</v>
      </c>
      <c r="S1049" s="2"/>
      <c r="T1049" s="5">
        <v>0</v>
      </c>
      <c r="U1049" s="4">
        <v>0</v>
      </c>
      <c r="V1049" s="4">
        <v>0</v>
      </c>
      <c r="W1049" s="2">
        <v>0</v>
      </c>
      <c r="X1049" s="4">
        <v>0</v>
      </c>
      <c r="Y1049" s="4">
        <v>0</v>
      </c>
      <c r="Z1049" s="3">
        <v>0</v>
      </c>
      <c r="AA1049" s="3">
        <v>0</v>
      </c>
    </row>
    <row r="1050" spans="1:27" x14ac:dyDescent="0.2">
      <c r="A1050">
        <f t="shared" si="32"/>
        <v>3</v>
      </c>
      <c r="B1050">
        <f t="shared" si="33"/>
        <v>12</v>
      </c>
      <c r="C1050" s="1">
        <v>46102</v>
      </c>
      <c r="D1050" t="s">
        <v>25</v>
      </c>
      <c r="E1050" t="s">
        <v>26</v>
      </c>
      <c r="F1050" t="s">
        <v>49</v>
      </c>
      <c r="G1050" t="s">
        <v>50</v>
      </c>
      <c r="H1050" t="s">
        <v>29</v>
      </c>
      <c r="I1050" t="s">
        <v>30</v>
      </c>
      <c r="J1050" t="s">
        <v>51</v>
      </c>
      <c r="K1050" t="s">
        <v>42</v>
      </c>
      <c r="L1050" t="s">
        <v>697</v>
      </c>
      <c r="M1050" s="4">
        <v>1</v>
      </c>
      <c r="N1050" s="4">
        <v>1</v>
      </c>
      <c r="O1050" s="2">
        <v>1</v>
      </c>
      <c r="P1050" s="3">
        <v>0.57999999999999996</v>
      </c>
      <c r="Q1050" s="3">
        <v>0.57999999999999996</v>
      </c>
      <c r="R1050" s="3">
        <v>0</v>
      </c>
      <c r="S1050" s="2"/>
      <c r="T1050" s="5">
        <v>0</v>
      </c>
      <c r="U1050" s="4">
        <v>0</v>
      </c>
      <c r="V1050" s="4">
        <v>0</v>
      </c>
      <c r="W1050" s="2">
        <v>0</v>
      </c>
      <c r="X1050" s="4">
        <v>0</v>
      </c>
      <c r="Y1050" s="4">
        <v>0</v>
      </c>
      <c r="Z1050" s="3">
        <v>0</v>
      </c>
      <c r="AA1050" s="3">
        <v>0</v>
      </c>
    </row>
    <row r="1051" spans="1:27" x14ac:dyDescent="0.2">
      <c r="A1051">
        <f t="shared" si="32"/>
        <v>3</v>
      </c>
      <c r="B1051">
        <f t="shared" si="33"/>
        <v>10</v>
      </c>
      <c r="C1051" s="1">
        <v>46088</v>
      </c>
      <c r="D1051" t="s">
        <v>25</v>
      </c>
      <c r="E1051" t="s">
        <v>26</v>
      </c>
      <c r="F1051" t="s">
        <v>49</v>
      </c>
      <c r="G1051" t="s">
        <v>50</v>
      </c>
      <c r="H1051" t="s">
        <v>29</v>
      </c>
      <c r="I1051" t="s">
        <v>30</v>
      </c>
      <c r="J1051" t="s">
        <v>51</v>
      </c>
      <c r="K1051" t="s">
        <v>42</v>
      </c>
      <c r="L1051" t="s">
        <v>698</v>
      </c>
      <c r="M1051" s="4">
        <v>2</v>
      </c>
      <c r="N1051" s="4">
        <v>1</v>
      </c>
      <c r="O1051" s="2">
        <v>0.5</v>
      </c>
      <c r="P1051" s="3">
        <v>0.87</v>
      </c>
      <c r="Q1051" s="3">
        <v>0.87</v>
      </c>
      <c r="R1051" s="3">
        <v>0</v>
      </c>
      <c r="S1051" s="2"/>
      <c r="T1051" s="5">
        <v>0</v>
      </c>
      <c r="U1051" s="4">
        <v>0</v>
      </c>
      <c r="V1051" s="4">
        <v>0</v>
      </c>
      <c r="W1051" s="2">
        <v>0</v>
      </c>
      <c r="X1051" s="4">
        <v>0</v>
      </c>
      <c r="Y1051" s="4">
        <v>0</v>
      </c>
      <c r="Z1051" s="3">
        <v>0</v>
      </c>
      <c r="AA1051" s="3">
        <v>0</v>
      </c>
    </row>
    <row r="1052" spans="1:27" x14ac:dyDescent="0.2">
      <c r="A1052">
        <f t="shared" si="32"/>
        <v>3</v>
      </c>
      <c r="B1052">
        <f t="shared" si="33"/>
        <v>10</v>
      </c>
      <c r="C1052" s="1">
        <v>46088</v>
      </c>
      <c r="D1052" t="s">
        <v>25</v>
      </c>
      <c r="E1052" t="s">
        <v>26</v>
      </c>
      <c r="F1052" t="s">
        <v>49</v>
      </c>
      <c r="G1052" t="s">
        <v>50</v>
      </c>
      <c r="H1052" t="s">
        <v>29</v>
      </c>
      <c r="I1052" t="s">
        <v>30</v>
      </c>
      <c r="J1052" t="s">
        <v>51</v>
      </c>
      <c r="K1052" t="s">
        <v>42</v>
      </c>
      <c r="L1052" t="s">
        <v>699</v>
      </c>
      <c r="M1052" s="4">
        <v>11</v>
      </c>
      <c r="N1052" s="4">
        <v>1</v>
      </c>
      <c r="O1052" s="2">
        <v>9.0909090909090925E-2</v>
      </c>
      <c r="P1052" s="3">
        <v>0.87</v>
      </c>
      <c r="Q1052" s="3">
        <v>0.87</v>
      </c>
      <c r="R1052" s="3">
        <v>0</v>
      </c>
      <c r="S1052" s="2"/>
      <c r="T1052" s="5">
        <v>0</v>
      </c>
      <c r="U1052" s="4">
        <v>0</v>
      </c>
      <c r="V1052" s="4">
        <v>0</v>
      </c>
      <c r="W1052" s="2">
        <v>0</v>
      </c>
      <c r="X1052" s="4">
        <v>0</v>
      </c>
      <c r="Y1052" s="4">
        <v>0</v>
      </c>
      <c r="Z1052" s="3">
        <v>0</v>
      </c>
      <c r="AA1052" s="3">
        <v>0</v>
      </c>
    </row>
    <row r="1053" spans="1:27" x14ac:dyDescent="0.2">
      <c r="A1053">
        <f t="shared" si="32"/>
        <v>3</v>
      </c>
      <c r="B1053">
        <f t="shared" si="33"/>
        <v>11</v>
      </c>
      <c r="C1053" s="1">
        <v>46092</v>
      </c>
      <c r="D1053" t="s">
        <v>25</v>
      </c>
      <c r="E1053" t="s">
        <v>26</v>
      </c>
      <c r="F1053" t="s">
        <v>49</v>
      </c>
      <c r="G1053" t="s">
        <v>50</v>
      </c>
      <c r="H1053" t="s">
        <v>29</v>
      </c>
      <c r="I1053" t="s">
        <v>30</v>
      </c>
      <c r="J1053" t="s">
        <v>51</v>
      </c>
      <c r="K1053" t="s">
        <v>42</v>
      </c>
      <c r="L1053" t="s">
        <v>700</v>
      </c>
      <c r="M1053" s="4">
        <v>2</v>
      </c>
      <c r="N1053" s="4">
        <v>1</v>
      </c>
      <c r="O1053" s="2">
        <v>0.5</v>
      </c>
      <c r="P1053" s="3">
        <v>0.4</v>
      </c>
      <c r="Q1053" s="3">
        <v>0.4</v>
      </c>
      <c r="R1053" s="3">
        <v>0</v>
      </c>
      <c r="S1053" s="2"/>
      <c r="T1053" s="5">
        <v>0</v>
      </c>
      <c r="U1053" s="4">
        <v>0</v>
      </c>
      <c r="V1053" s="4">
        <v>0</v>
      </c>
      <c r="W1053" s="2">
        <v>0</v>
      </c>
      <c r="X1053" s="4">
        <v>0</v>
      </c>
      <c r="Y1053" s="4">
        <v>0</v>
      </c>
      <c r="Z1053" s="3">
        <v>0</v>
      </c>
      <c r="AA1053" s="3">
        <v>0</v>
      </c>
    </row>
    <row r="1054" spans="1:27" x14ac:dyDescent="0.2">
      <c r="A1054">
        <f t="shared" si="32"/>
        <v>3</v>
      </c>
      <c r="B1054">
        <f t="shared" si="33"/>
        <v>12</v>
      </c>
      <c r="C1054" s="1">
        <v>46097</v>
      </c>
      <c r="D1054" t="s">
        <v>25</v>
      </c>
      <c r="E1054" t="s">
        <v>26</v>
      </c>
      <c r="F1054" t="s">
        <v>39</v>
      </c>
      <c r="G1054" t="s">
        <v>40</v>
      </c>
      <c r="H1054" t="s">
        <v>29</v>
      </c>
      <c r="I1054" t="s">
        <v>30</v>
      </c>
      <c r="J1054" t="s">
        <v>411</v>
      </c>
      <c r="K1054" t="s">
        <v>42</v>
      </c>
      <c r="L1054" t="s">
        <v>68</v>
      </c>
      <c r="M1054" s="4">
        <v>233</v>
      </c>
      <c r="N1054" s="4">
        <v>3</v>
      </c>
      <c r="O1054" s="2">
        <v>1.2875536480686695E-2</v>
      </c>
      <c r="P1054" s="3">
        <v>0.3</v>
      </c>
      <c r="Q1054" s="3">
        <v>0.9</v>
      </c>
      <c r="R1054" s="3">
        <v>0</v>
      </c>
      <c r="S1054" s="2"/>
      <c r="T1054" s="5">
        <v>0</v>
      </c>
      <c r="U1054" s="4">
        <v>0</v>
      </c>
      <c r="V1054" s="4">
        <v>0</v>
      </c>
      <c r="W1054" s="2">
        <v>0</v>
      </c>
      <c r="X1054" s="4">
        <v>0</v>
      </c>
      <c r="Y1054" s="4">
        <v>0</v>
      </c>
      <c r="Z1054" s="3">
        <v>0</v>
      </c>
      <c r="AA1054" s="3">
        <v>0</v>
      </c>
    </row>
    <row r="1055" spans="1:27" x14ac:dyDescent="0.2">
      <c r="A1055">
        <f t="shared" si="32"/>
        <v>3</v>
      </c>
      <c r="B1055">
        <f t="shared" si="33"/>
        <v>12</v>
      </c>
      <c r="C1055" s="1">
        <v>46099</v>
      </c>
      <c r="D1055" t="s">
        <v>25</v>
      </c>
      <c r="E1055" t="s">
        <v>26</v>
      </c>
      <c r="F1055" t="s">
        <v>39</v>
      </c>
      <c r="G1055" t="s">
        <v>40</v>
      </c>
      <c r="H1055" t="s">
        <v>29</v>
      </c>
      <c r="I1055" t="s">
        <v>30</v>
      </c>
      <c r="J1055" t="s">
        <v>411</v>
      </c>
      <c r="K1055" t="s">
        <v>42</v>
      </c>
      <c r="L1055" t="s">
        <v>68</v>
      </c>
      <c r="M1055" s="4">
        <v>197</v>
      </c>
      <c r="N1055" s="4">
        <v>1</v>
      </c>
      <c r="O1055" s="2">
        <v>5.076142131979695E-3</v>
      </c>
      <c r="P1055" s="3">
        <v>0.46</v>
      </c>
      <c r="Q1055" s="3">
        <v>0.46</v>
      </c>
      <c r="R1055" s="3">
        <v>0</v>
      </c>
      <c r="S1055" s="2"/>
      <c r="T1055" s="5">
        <v>0</v>
      </c>
      <c r="U1055" s="4">
        <v>0</v>
      </c>
      <c r="V1055" s="4">
        <v>0</v>
      </c>
      <c r="W1055" s="2">
        <v>0</v>
      </c>
      <c r="X1055" s="4">
        <v>0</v>
      </c>
      <c r="Y1055" s="4">
        <v>0</v>
      </c>
      <c r="Z1055" s="3">
        <v>0</v>
      </c>
      <c r="AA1055" s="3">
        <v>0</v>
      </c>
    </row>
    <row r="1056" spans="1:27" x14ac:dyDescent="0.2">
      <c r="A1056">
        <f t="shared" si="32"/>
        <v>3</v>
      </c>
      <c r="B1056">
        <f t="shared" si="33"/>
        <v>10</v>
      </c>
      <c r="C1056" s="1">
        <v>46084</v>
      </c>
      <c r="D1056" t="s">
        <v>25</v>
      </c>
      <c r="E1056" t="s">
        <v>26</v>
      </c>
      <c r="F1056" t="s">
        <v>49</v>
      </c>
      <c r="G1056" t="s">
        <v>50</v>
      </c>
      <c r="H1056" t="s">
        <v>29</v>
      </c>
      <c r="I1056" t="s">
        <v>30</v>
      </c>
      <c r="J1056" t="s">
        <v>51</v>
      </c>
      <c r="K1056" t="s">
        <v>42</v>
      </c>
      <c r="L1056" t="s">
        <v>325</v>
      </c>
      <c r="M1056" s="4">
        <v>3</v>
      </c>
      <c r="N1056" s="4">
        <v>1</v>
      </c>
      <c r="O1056" s="2">
        <v>0.33333333333333331</v>
      </c>
      <c r="P1056" s="3">
        <v>0.65</v>
      </c>
      <c r="Q1056" s="3">
        <v>0.65</v>
      </c>
      <c r="R1056" s="3">
        <v>0</v>
      </c>
      <c r="S1056" s="2"/>
      <c r="T1056" s="5">
        <v>0</v>
      </c>
      <c r="U1056" s="4">
        <v>0</v>
      </c>
      <c r="V1056" s="4">
        <v>0</v>
      </c>
      <c r="W1056" s="2">
        <v>0</v>
      </c>
      <c r="X1056" s="4">
        <v>0</v>
      </c>
      <c r="Y1056" s="4">
        <v>0</v>
      </c>
      <c r="Z1056" s="3">
        <v>0</v>
      </c>
      <c r="AA1056" s="3">
        <v>0</v>
      </c>
    </row>
    <row r="1057" spans="1:27" x14ac:dyDescent="0.2">
      <c r="A1057">
        <f t="shared" si="32"/>
        <v>3</v>
      </c>
      <c r="B1057">
        <f t="shared" si="33"/>
        <v>10</v>
      </c>
      <c r="C1057" s="1">
        <v>46082</v>
      </c>
      <c r="D1057" t="s">
        <v>25</v>
      </c>
      <c r="E1057" t="s">
        <v>26</v>
      </c>
      <c r="F1057" t="s">
        <v>49</v>
      </c>
      <c r="G1057" t="s">
        <v>50</v>
      </c>
      <c r="H1057" t="s">
        <v>29</v>
      </c>
      <c r="I1057" t="s">
        <v>30</v>
      </c>
      <c r="J1057" t="s">
        <v>51</v>
      </c>
      <c r="K1057" t="s">
        <v>42</v>
      </c>
      <c r="L1057" t="s">
        <v>71</v>
      </c>
      <c r="M1057" s="4">
        <v>3</v>
      </c>
      <c r="N1057" s="4">
        <v>1</v>
      </c>
      <c r="O1057" s="2">
        <v>0.33333333333333331</v>
      </c>
      <c r="P1057" s="3">
        <v>0.6</v>
      </c>
      <c r="Q1057" s="3">
        <v>0.6</v>
      </c>
      <c r="R1057" s="3">
        <v>0</v>
      </c>
      <c r="S1057" s="2"/>
      <c r="T1057" s="5">
        <v>0</v>
      </c>
      <c r="U1057" s="4">
        <v>0</v>
      </c>
      <c r="V1057" s="4">
        <v>0</v>
      </c>
      <c r="W1057" s="2">
        <v>0</v>
      </c>
      <c r="X1057" s="4">
        <v>0</v>
      </c>
      <c r="Y1057" s="4">
        <v>0</v>
      </c>
      <c r="Z1057" s="3">
        <v>0</v>
      </c>
      <c r="AA1057" s="3">
        <v>0</v>
      </c>
    </row>
    <row r="1058" spans="1:27" x14ac:dyDescent="0.2">
      <c r="A1058">
        <f t="shared" si="32"/>
        <v>3</v>
      </c>
      <c r="B1058">
        <f t="shared" si="33"/>
        <v>10</v>
      </c>
      <c r="C1058" s="1">
        <v>46085</v>
      </c>
      <c r="D1058" t="s">
        <v>25</v>
      </c>
      <c r="E1058" t="s">
        <v>26</v>
      </c>
      <c r="F1058" t="s">
        <v>49</v>
      </c>
      <c r="G1058" t="s">
        <v>50</v>
      </c>
      <c r="H1058" t="s">
        <v>29</v>
      </c>
      <c r="I1058" t="s">
        <v>30</v>
      </c>
      <c r="J1058" t="s">
        <v>51</v>
      </c>
      <c r="K1058" t="s">
        <v>42</v>
      </c>
      <c r="L1058" t="s">
        <v>71</v>
      </c>
      <c r="M1058" s="4">
        <v>23</v>
      </c>
      <c r="N1058" s="4">
        <v>1</v>
      </c>
      <c r="O1058" s="2">
        <v>4.3478260869565216E-2</v>
      </c>
      <c r="P1058" s="3">
        <v>0.61</v>
      </c>
      <c r="Q1058" s="3">
        <v>0.61</v>
      </c>
      <c r="R1058" s="3">
        <v>0</v>
      </c>
      <c r="S1058" s="2"/>
      <c r="T1058" s="5">
        <v>0</v>
      </c>
      <c r="U1058" s="4">
        <v>0</v>
      </c>
      <c r="V1058" s="4">
        <v>0</v>
      </c>
      <c r="W1058" s="2">
        <v>0</v>
      </c>
      <c r="X1058" s="4">
        <v>0</v>
      </c>
      <c r="Y1058" s="4">
        <v>0</v>
      </c>
      <c r="Z1058" s="3">
        <v>0</v>
      </c>
      <c r="AA1058" s="3">
        <v>0</v>
      </c>
    </row>
    <row r="1059" spans="1:27" x14ac:dyDescent="0.2">
      <c r="A1059">
        <f t="shared" si="32"/>
        <v>3</v>
      </c>
      <c r="B1059">
        <f t="shared" si="33"/>
        <v>12</v>
      </c>
      <c r="C1059" s="1">
        <v>46102</v>
      </c>
      <c r="D1059" t="s">
        <v>25</v>
      </c>
      <c r="E1059" t="s">
        <v>26</v>
      </c>
      <c r="F1059" t="s">
        <v>49</v>
      </c>
      <c r="G1059" t="s">
        <v>50</v>
      </c>
      <c r="H1059" t="s">
        <v>29</v>
      </c>
      <c r="I1059" t="s">
        <v>30</v>
      </c>
      <c r="J1059" t="s">
        <v>51</v>
      </c>
      <c r="K1059" t="s">
        <v>42</v>
      </c>
      <c r="L1059" t="s">
        <v>71</v>
      </c>
      <c r="M1059" s="4">
        <v>19</v>
      </c>
      <c r="N1059" s="4">
        <v>1</v>
      </c>
      <c r="O1059" s="2">
        <v>5.2631578947368418E-2</v>
      </c>
      <c r="P1059" s="3">
        <v>0.57999999999999996</v>
      </c>
      <c r="Q1059" s="3">
        <v>0.57999999999999996</v>
      </c>
      <c r="R1059" s="3">
        <v>37.979999999999997</v>
      </c>
      <c r="S1059" s="2">
        <v>1.5271195365982098E-2</v>
      </c>
      <c r="T1059" s="5">
        <v>65.482758620689651</v>
      </c>
      <c r="U1059" s="4">
        <v>1</v>
      </c>
      <c r="V1059" s="4">
        <v>2</v>
      </c>
      <c r="W1059" s="2">
        <v>1</v>
      </c>
      <c r="X1059" s="4">
        <v>2</v>
      </c>
      <c r="Y1059" s="4">
        <v>0</v>
      </c>
      <c r="Z1059" s="3">
        <v>37.979999999999997</v>
      </c>
      <c r="AA1059" s="3">
        <v>0</v>
      </c>
    </row>
    <row r="1060" spans="1:27" x14ac:dyDescent="0.2">
      <c r="A1060">
        <f t="shared" si="32"/>
        <v>3</v>
      </c>
      <c r="B1060">
        <f t="shared" si="33"/>
        <v>10</v>
      </c>
      <c r="C1060" s="1">
        <v>46083</v>
      </c>
      <c r="D1060" t="s">
        <v>25</v>
      </c>
      <c r="E1060" t="s">
        <v>26</v>
      </c>
      <c r="F1060" t="s">
        <v>39</v>
      </c>
      <c r="G1060" t="s">
        <v>40</v>
      </c>
      <c r="H1060" t="s">
        <v>29</v>
      </c>
      <c r="I1060" t="s">
        <v>30</v>
      </c>
      <c r="J1060" t="s">
        <v>70</v>
      </c>
      <c r="K1060" t="s">
        <v>42</v>
      </c>
      <c r="L1060" t="s">
        <v>71</v>
      </c>
      <c r="M1060" s="4">
        <v>59</v>
      </c>
      <c r="N1060" s="4">
        <v>1</v>
      </c>
      <c r="O1060" s="2">
        <v>1.6949152542372881E-2</v>
      </c>
      <c r="P1060" s="3">
        <v>0.56999999999999995</v>
      </c>
      <c r="Q1060" s="3">
        <v>0.56999999999999995</v>
      </c>
      <c r="R1060" s="3">
        <v>0</v>
      </c>
      <c r="S1060" s="2"/>
      <c r="T1060" s="5">
        <v>0</v>
      </c>
      <c r="U1060" s="4">
        <v>0</v>
      </c>
      <c r="V1060" s="4">
        <v>0</v>
      </c>
      <c r="W1060" s="2">
        <v>0</v>
      </c>
      <c r="X1060" s="4">
        <v>0</v>
      </c>
      <c r="Y1060" s="4">
        <v>0</v>
      </c>
      <c r="Z1060" s="3">
        <v>0</v>
      </c>
      <c r="AA1060" s="3">
        <v>0</v>
      </c>
    </row>
    <row r="1061" spans="1:27" x14ac:dyDescent="0.2">
      <c r="A1061">
        <f t="shared" si="32"/>
        <v>3</v>
      </c>
      <c r="B1061">
        <f t="shared" si="33"/>
        <v>10</v>
      </c>
      <c r="C1061" s="1">
        <v>46084</v>
      </c>
      <c r="D1061" t="s">
        <v>25</v>
      </c>
      <c r="E1061" t="s">
        <v>26</v>
      </c>
      <c r="F1061" t="s">
        <v>39</v>
      </c>
      <c r="G1061" t="s">
        <v>40</v>
      </c>
      <c r="H1061" t="s">
        <v>29</v>
      </c>
      <c r="I1061" t="s">
        <v>30</v>
      </c>
      <c r="J1061" t="s">
        <v>70</v>
      </c>
      <c r="K1061" t="s">
        <v>42</v>
      </c>
      <c r="L1061" t="s">
        <v>71</v>
      </c>
      <c r="M1061" s="4">
        <v>115</v>
      </c>
      <c r="N1061" s="4">
        <v>1</v>
      </c>
      <c r="O1061" s="2">
        <v>8.6956521739130436E-3</v>
      </c>
      <c r="P1061" s="3">
        <v>0.56999999999999995</v>
      </c>
      <c r="Q1061" s="3">
        <v>0.56999999999999995</v>
      </c>
      <c r="R1061" s="3">
        <v>0</v>
      </c>
      <c r="S1061" s="2"/>
      <c r="T1061" s="5">
        <v>0</v>
      </c>
      <c r="U1061" s="4">
        <v>0</v>
      </c>
      <c r="V1061" s="4">
        <v>0</v>
      </c>
      <c r="W1061" s="2">
        <v>0</v>
      </c>
      <c r="X1061" s="4">
        <v>0</v>
      </c>
      <c r="Y1061" s="4">
        <v>0</v>
      </c>
      <c r="Z1061" s="3">
        <v>0</v>
      </c>
      <c r="AA1061" s="3">
        <v>0</v>
      </c>
    </row>
    <row r="1062" spans="1:27" x14ac:dyDescent="0.2">
      <c r="A1062">
        <f t="shared" si="32"/>
        <v>3</v>
      </c>
      <c r="B1062">
        <f t="shared" si="33"/>
        <v>10</v>
      </c>
      <c r="C1062" s="1">
        <v>46085</v>
      </c>
      <c r="D1062" t="s">
        <v>25</v>
      </c>
      <c r="E1062" t="s">
        <v>26</v>
      </c>
      <c r="F1062" t="s">
        <v>39</v>
      </c>
      <c r="G1062" t="s">
        <v>40</v>
      </c>
      <c r="H1062" t="s">
        <v>29</v>
      </c>
      <c r="I1062" t="s">
        <v>30</v>
      </c>
      <c r="J1062" t="s">
        <v>70</v>
      </c>
      <c r="K1062" t="s">
        <v>42</v>
      </c>
      <c r="L1062" t="s">
        <v>71</v>
      </c>
      <c r="M1062" s="4">
        <v>30</v>
      </c>
      <c r="N1062" s="4">
        <v>1</v>
      </c>
      <c r="O1062" s="2">
        <v>3.3333333333333333E-2</v>
      </c>
      <c r="P1062" s="3">
        <v>0.61</v>
      </c>
      <c r="Q1062" s="3">
        <v>0.61</v>
      </c>
      <c r="R1062" s="3">
        <v>0</v>
      </c>
      <c r="S1062" s="2"/>
      <c r="T1062" s="5">
        <v>0</v>
      </c>
      <c r="U1062" s="4">
        <v>0</v>
      </c>
      <c r="V1062" s="4">
        <v>0</v>
      </c>
      <c r="W1062" s="2">
        <v>0</v>
      </c>
      <c r="X1062" s="4">
        <v>0</v>
      </c>
      <c r="Y1062" s="4">
        <v>0</v>
      </c>
      <c r="Z1062" s="3">
        <v>0</v>
      </c>
      <c r="AA1062" s="3">
        <v>0</v>
      </c>
    </row>
    <row r="1063" spans="1:27" x14ac:dyDescent="0.2">
      <c r="A1063">
        <f t="shared" si="32"/>
        <v>3</v>
      </c>
      <c r="B1063">
        <f t="shared" si="33"/>
        <v>10</v>
      </c>
      <c r="C1063" s="1">
        <v>46086</v>
      </c>
      <c r="D1063" t="s">
        <v>25</v>
      </c>
      <c r="E1063" t="s">
        <v>26</v>
      </c>
      <c r="F1063" t="s">
        <v>39</v>
      </c>
      <c r="G1063" t="s">
        <v>40</v>
      </c>
      <c r="H1063" t="s">
        <v>29</v>
      </c>
      <c r="I1063" t="s">
        <v>30</v>
      </c>
      <c r="J1063" t="s">
        <v>70</v>
      </c>
      <c r="K1063" t="s">
        <v>42</v>
      </c>
      <c r="L1063" t="s">
        <v>71</v>
      </c>
      <c r="M1063" s="4">
        <v>429</v>
      </c>
      <c r="N1063" s="4">
        <v>2</v>
      </c>
      <c r="O1063" s="2">
        <v>4.662004662004662E-3</v>
      </c>
      <c r="P1063" s="3">
        <v>0.56999999999999995</v>
      </c>
      <c r="Q1063" s="3">
        <v>1.1399999999999999</v>
      </c>
      <c r="R1063" s="3">
        <v>0</v>
      </c>
      <c r="S1063" s="2"/>
      <c r="T1063" s="5">
        <v>0</v>
      </c>
      <c r="U1063" s="4">
        <v>0</v>
      </c>
      <c r="V1063" s="4">
        <v>0</v>
      </c>
      <c r="W1063" s="2">
        <v>0</v>
      </c>
      <c r="X1063" s="4">
        <v>0</v>
      </c>
      <c r="Y1063" s="4">
        <v>0</v>
      </c>
      <c r="Z1063" s="3">
        <v>0</v>
      </c>
      <c r="AA1063" s="3">
        <v>0</v>
      </c>
    </row>
    <row r="1064" spans="1:27" x14ac:dyDescent="0.2">
      <c r="A1064">
        <f t="shared" si="32"/>
        <v>3</v>
      </c>
      <c r="B1064">
        <f t="shared" si="33"/>
        <v>11</v>
      </c>
      <c r="C1064" s="1">
        <v>46090</v>
      </c>
      <c r="D1064" t="s">
        <v>25</v>
      </c>
      <c r="E1064" t="s">
        <v>26</v>
      </c>
      <c r="F1064" t="s">
        <v>39</v>
      </c>
      <c r="G1064" t="s">
        <v>40</v>
      </c>
      <c r="H1064" t="s">
        <v>29</v>
      </c>
      <c r="I1064" t="s">
        <v>30</v>
      </c>
      <c r="J1064" t="s">
        <v>70</v>
      </c>
      <c r="K1064" t="s">
        <v>42</v>
      </c>
      <c r="L1064" t="s">
        <v>71</v>
      </c>
      <c r="M1064" s="4">
        <v>151</v>
      </c>
      <c r="N1064" s="4">
        <v>2</v>
      </c>
      <c r="O1064" s="2">
        <v>1.3245033112582781E-2</v>
      </c>
      <c r="P1064" s="3">
        <v>0.59</v>
      </c>
      <c r="Q1064" s="3">
        <v>1.18</v>
      </c>
      <c r="R1064" s="3">
        <v>0</v>
      </c>
      <c r="S1064" s="2"/>
      <c r="T1064" s="5">
        <v>0</v>
      </c>
      <c r="U1064" s="4">
        <v>0</v>
      </c>
      <c r="V1064" s="4">
        <v>0</v>
      </c>
      <c r="W1064" s="2">
        <v>0</v>
      </c>
      <c r="X1064" s="4">
        <v>0</v>
      </c>
      <c r="Y1064" s="4">
        <v>0</v>
      </c>
      <c r="Z1064" s="3">
        <v>0</v>
      </c>
      <c r="AA1064" s="3">
        <v>0</v>
      </c>
    </row>
    <row r="1065" spans="1:27" x14ac:dyDescent="0.2">
      <c r="A1065">
        <f t="shared" si="32"/>
        <v>3</v>
      </c>
      <c r="B1065">
        <f t="shared" si="33"/>
        <v>11</v>
      </c>
      <c r="C1065" s="1">
        <v>46091</v>
      </c>
      <c r="D1065" t="s">
        <v>25</v>
      </c>
      <c r="E1065" t="s">
        <v>26</v>
      </c>
      <c r="F1065" t="s">
        <v>39</v>
      </c>
      <c r="G1065" t="s">
        <v>40</v>
      </c>
      <c r="H1065" t="s">
        <v>29</v>
      </c>
      <c r="I1065" t="s">
        <v>30</v>
      </c>
      <c r="J1065" t="s">
        <v>70</v>
      </c>
      <c r="K1065" t="s">
        <v>42</v>
      </c>
      <c r="L1065" t="s">
        <v>71</v>
      </c>
      <c r="M1065" s="4">
        <v>470</v>
      </c>
      <c r="N1065" s="4">
        <v>3</v>
      </c>
      <c r="O1065" s="2">
        <v>6.382978723404255E-3</v>
      </c>
      <c r="P1065" s="3">
        <v>0.5</v>
      </c>
      <c r="Q1065" s="3">
        <v>1.5</v>
      </c>
      <c r="R1065" s="3">
        <v>0</v>
      </c>
      <c r="S1065" s="2"/>
      <c r="T1065" s="5">
        <v>0</v>
      </c>
      <c r="U1065" s="4">
        <v>0</v>
      </c>
      <c r="V1065" s="4">
        <v>0</v>
      </c>
      <c r="W1065" s="2">
        <v>0</v>
      </c>
      <c r="X1065" s="4">
        <v>0</v>
      </c>
      <c r="Y1065" s="4">
        <v>0</v>
      </c>
      <c r="Z1065" s="3">
        <v>0</v>
      </c>
      <c r="AA1065" s="3">
        <v>0</v>
      </c>
    </row>
    <row r="1066" spans="1:27" x14ac:dyDescent="0.2">
      <c r="A1066">
        <f t="shared" si="32"/>
        <v>3</v>
      </c>
      <c r="B1066">
        <f t="shared" si="33"/>
        <v>11</v>
      </c>
      <c r="C1066" s="1">
        <v>46093</v>
      </c>
      <c r="D1066" t="s">
        <v>25</v>
      </c>
      <c r="E1066" t="s">
        <v>26</v>
      </c>
      <c r="F1066" t="s">
        <v>39</v>
      </c>
      <c r="G1066" t="s">
        <v>40</v>
      </c>
      <c r="H1066" t="s">
        <v>29</v>
      </c>
      <c r="I1066" t="s">
        <v>30</v>
      </c>
      <c r="J1066" t="s">
        <v>70</v>
      </c>
      <c r="K1066" t="s">
        <v>42</v>
      </c>
      <c r="L1066" t="s">
        <v>71</v>
      </c>
      <c r="M1066" s="4">
        <v>311</v>
      </c>
      <c r="N1066" s="4">
        <v>2</v>
      </c>
      <c r="O1066" s="2">
        <v>6.4308681672025723E-3</v>
      </c>
      <c r="P1066" s="3">
        <v>0.57999999999999996</v>
      </c>
      <c r="Q1066" s="3">
        <v>1.1599999999999999</v>
      </c>
      <c r="R1066" s="3">
        <v>0</v>
      </c>
      <c r="S1066" s="2"/>
      <c r="T1066" s="5">
        <v>0</v>
      </c>
      <c r="U1066" s="4">
        <v>0</v>
      </c>
      <c r="V1066" s="4">
        <v>0</v>
      </c>
      <c r="W1066" s="2">
        <v>0</v>
      </c>
      <c r="X1066" s="4">
        <v>0</v>
      </c>
      <c r="Y1066" s="4">
        <v>0</v>
      </c>
      <c r="Z1066" s="3">
        <v>0</v>
      </c>
      <c r="AA1066" s="3">
        <v>0</v>
      </c>
    </row>
    <row r="1067" spans="1:27" x14ac:dyDescent="0.2">
      <c r="A1067">
        <f t="shared" si="32"/>
        <v>3</v>
      </c>
      <c r="B1067">
        <f t="shared" si="33"/>
        <v>11</v>
      </c>
      <c r="C1067" s="1">
        <v>46094</v>
      </c>
      <c r="D1067" t="s">
        <v>25</v>
      </c>
      <c r="E1067" t="s">
        <v>26</v>
      </c>
      <c r="F1067" t="s">
        <v>39</v>
      </c>
      <c r="G1067" t="s">
        <v>40</v>
      </c>
      <c r="H1067" t="s">
        <v>29</v>
      </c>
      <c r="I1067" t="s">
        <v>30</v>
      </c>
      <c r="J1067" t="s">
        <v>70</v>
      </c>
      <c r="K1067" t="s">
        <v>42</v>
      </c>
      <c r="L1067" t="s">
        <v>71</v>
      </c>
      <c r="M1067" s="4">
        <v>355</v>
      </c>
      <c r="N1067" s="4">
        <v>4</v>
      </c>
      <c r="O1067" s="2">
        <v>1.1267605633802818E-2</v>
      </c>
      <c r="P1067" s="3">
        <v>0.6</v>
      </c>
      <c r="Q1067" s="3">
        <v>2.4</v>
      </c>
      <c r="R1067" s="3">
        <v>0</v>
      </c>
      <c r="S1067" s="2"/>
      <c r="T1067" s="5">
        <v>0</v>
      </c>
      <c r="U1067" s="4">
        <v>0</v>
      </c>
      <c r="V1067" s="4">
        <v>0</v>
      </c>
      <c r="W1067" s="2">
        <v>0</v>
      </c>
      <c r="X1067" s="4">
        <v>0</v>
      </c>
      <c r="Y1067" s="4">
        <v>0</v>
      </c>
      <c r="Z1067" s="3">
        <v>0</v>
      </c>
      <c r="AA1067" s="3">
        <v>0</v>
      </c>
    </row>
    <row r="1068" spans="1:27" x14ac:dyDescent="0.2">
      <c r="A1068">
        <f t="shared" si="32"/>
        <v>3</v>
      </c>
      <c r="B1068">
        <f t="shared" si="33"/>
        <v>11</v>
      </c>
      <c r="C1068" s="1">
        <v>46095</v>
      </c>
      <c r="D1068" t="s">
        <v>25</v>
      </c>
      <c r="E1068" t="s">
        <v>26</v>
      </c>
      <c r="F1068" t="s">
        <v>39</v>
      </c>
      <c r="G1068" t="s">
        <v>40</v>
      </c>
      <c r="H1068" t="s">
        <v>29</v>
      </c>
      <c r="I1068" t="s">
        <v>30</v>
      </c>
      <c r="J1068" t="s">
        <v>70</v>
      </c>
      <c r="K1068" t="s">
        <v>42</v>
      </c>
      <c r="L1068" t="s">
        <v>71</v>
      </c>
      <c r="M1068" s="4">
        <v>457</v>
      </c>
      <c r="N1068" s="4">
        <v>4</v>
      </c>
      <c r="O1068" s="2">
        <v>8.7527352297592995E-3</v>
      </c>
      <c r="P1068" s="3">
        <v>0.6</v>
      </c>
      <c r="Q1068" s="3">
        <v>2.4</v>
      </c>
      <c r="R1068" s="3">
        <v>0</v>
      </c>
      <c r="S1068" s="2"/>
      <c r="T1068" s="5">
        <v>0</v>
      </c>
      <c r="U1068" s="4">
        <v>0</v>
      </c>
      <c r="V1068" s="4">
        <v>0</v>
      </c>
      <c r="W1068" s="2">
        <v>0</v>
      </c>
      <c r="X1068" s="4">
        <v>0</v>
      </c>
      <c r="Y1068" s="4">
        <v>0</v>
      </c>
      <c r="Z1068" s="3">
        <v>0</v>
      </c>
      <c r="AA1068" s="3">
        <v>0</v>
      </c>
    </row>
    <row r="1069" spans="1:27" x14ac:dyDescent="0.2">
      <c r="A1069">
        <f t="shared" si="32"/>
        <v>3</v>
      </c>
      <c r="B1069">
        <f t="shared" si="33"/>
        <v>12</v>
      </c>
      <c r="C1069" s="1">
        <v>46096</v>
      </c>
      <c r="D1069" t="s">
        <v>25</v>
      </c>
      <c r="E1069" t="s">
        <v>26</v>
      </c>
      <c r="F1069" t="s">
        <v>39</v>
      </c>
      <c r="G1069" t="s">
        <v>40</v>
      </c>
      <c r="H1069" t="s">
        <v>29</v>
      </c>
      <c r="I1069" t="s">
        <v>30</v>
      </c>
      <c r="J1069" t="s">
        <v>70</v>
      </c>
      <c r="K1069" t="s">
        <v>42</v>
      </c>
      <c r="L1069" t="s">
        <v>71</v>
      </c>
      <c r="M1069" s="4">
        <v>332</v>
      </c>
      <c r="N1069" s="4">
        <v>4</v>
      </c>
      <c r="O1069" s="2">
        <v>1.2048192771084338E-2</v>
      </c>
      <c r="P1069" s="3">
        <v>0.58250000000000002</v>
      </c>
      <c r="Q1069" s="3">
        <v>2.33</v>
      </c>
      <c r="R1069" s="3">
        <v>18.989999999999998</v>
      </c>
      <c r="S1069" s="2">
        <v>0.12269615587151134</v>
      </c>
      <c r="T1069" s="5">
        <v>8.1502145922746774</v>
      </c>
      <c r="U1069" s="4">
        <v>1</v>
      </c>
      <c r="V1069" s="4">
        <v>1</v>
      </c>
      <c r="W1069" s="2">
        <v>0.25</v>
      </c>
      <c r="X1069" s="4">
        <v>1</v>
      </c>
      <c r="Y1069" s="4">
        <v>0</v>
      </c>
      <c r="Z1069" s="3">
        <v>18.989999999999998</v>
      </c>
      <c r="AA1069" s="3">
        <v>0</v>
      </c>
    </row>
    <row r="1070" spans="1:27" x14ac:dyDescent="0.2">
      <c r="A1070">
        <f t="shared" si="32"/>
        <v>3</v>
      </c>
      <c r="B1070">
        <f t="shared" si="33"/>
        <v>12</v>
      </c>
      <c r="C1070" s="1">
        <v>46099</v>
      </c>
      <c r="D1070" t="s">
        <v>25</v>
      </c>
      <c r="E1070" t="s">
        <v>26</v>
      </c>
      <c r="F1070" t="s">
        <v>39</v>
      </c>
      <c r="G1070" t="s">
        <v>40</v>
      </c>
      <c r="H1070" t="s">
        <v>29</v>
      </c>
      <c r="I1070" t="s">
        <v>30</v>
      </c>
      <c r="J1070" t="s">
        <v>70</v>
      </c>
      <c r="K1070" t="s">
        <v>42</v>
      </c>
      <c r="L1070" t="s">
        <v>71</v>
      </c>
      <c r="M1070" s="4">
        <v>106</v>
      </c>
      <c r="N1070" s="4">
        <v>1</v>
      </c>
      <c r="O1070" s="2">
        <v>9.4339622641509448E-3</v>
      </c>
      <c r="P1070" s="3">
        <v>0.59</v>
      </c>
      <c r="Q1070" s="3">
        <v>0.59</v>
      </c>
      <c r="R1070" s="3">
        <v>0</v>
      </c>
      <c r="S1070" s="2"/>
      <c r="T1070" s="5">
        <v>0</v>
      </c>
      <c r="U1070" s="4">
        <v>0</v>
      </c>
      <c r="V1070" s="4">
        <v>0</v>
      </c>
      <c r="W1070" s="2">
        <v>0</v>
      </c>
      <c r="X1070" s="4">
        <v>0</v>
      </c>
      <c r="Y1070" s="4">
        <v>0</v>
      </c>
      <c r="Z1070" s="3">
        <v>0</v>
      </c>
      <c r="AA1070" s="3">
        <v>0</v>
      </c>
    </row>
    <row r="1071" spans="1:27" x14ac:dyDescent="0.2">
      <c r="A1071">
        <f t="shared" si="32"/>
        <v>3</v>
      </c>
      <c r="B1071">
        <f t="shared" si="33"/>
        <v>12</v>
      </c>
      <c r="C1071" s="1">
        <v>46100</v>
      </c>
      <c r="D1071" t="s">
        <v>25</v>
      </c>
      <c r="E1071" t="s">
        <v>26</v>
      </c>
      <c r="F1071" t="s">
        <v>39</v>
      </c>
      <c r="G1071" t="s">
        <v>40</v>
      </c>
      <c r="H1071" t="s">
        <v>29</v>
      </c>
      <c r="I1071" t="s">
        <v>30</v>
      </c>
      <c r="J1071" t="s">
        <v>70</v>
      </c>
      <c r="K1071" t="s">
        <v>42</v>
      </c>
      <c r="L1071" t="s">
        <v>71</v>
      </c>
      <c r="M1071" s="4">
        <v>85</v>
      </c>
      <c r="N1071" s="4">
        <v>1</v>
      </c>
      <c r="O1071" s="2">
        <v>1.1764705882352943E-2</v>
      </c>
      <c r="P1071" s="3">
        <v>0.59</v>
      </c>
      <c r="Q1071" s="3">
        <v>0.59</v>
      </c>
      <c r="R1071" s="3">
        <v>0</v>
      </c>
      <c r="S1071" s="2"/>
      <c r="T1071" s="5">
        <v>0</v>
      </c>
      <c r="U1071" s="4">
        <v>0</v>
      </c>
      <c r="V1071" s="4">
        <v>0</v>
      </c>
      <c r="W1071" s="2">
        <v>0</v>
      </c>
      <c r="X1071" s="4">
        <v>0</v>
      </c>
      <c r="Y1071" s="4">
        <v>0</v>
      </c>
      <c r="Z1071" s="3">
        <v>0</v>
      </c>
      <c r="AA1071" s="3">
        <v>0</v>
      </c>
    </row>
    <row r="1072" spans="1:27" x14ac:dyDescent="0.2">
      <c r="A1072">
        <f t="shared" si="32"/>
        <v>3</v>
      </c>
      <c r="B1072">
        <f t="shared" si="33"/>
        <v>12</v>
      </c>
      <c r="C1072" s="1">
        <v>46101</v>
      </c>
      <c r="D1072" t="s">
        <v>25</v>
      </c>
      <c r="E1072" t="s">
        <v>26</v>
      </c>
      <c r="F1072" t="s">
        <v>39</v>
      </c>
      <c r="G1072" t="s">
        <v>40</v>
      </c>
      <c r="H1072" t="s">
        <v>29</v>
      </c>
      <c r="I1072" t="s">
        <v>30</v>
      </c>
      <c r="J1072" t="s">
        <v>70</v>
      </c>
      <c r="K1072" t="s">
        <v>42</v>
      </c>
      <c r="L1072" t="s">
        <v>71</v>
      </c>
      <c r="M1072" s="4">
        <v>257</v>
      </c>
      <c r="N1072" s="4">
        <v>2</v>
      </c>
      <c r="O1072" s="2">
        <v>7.7821011673151752E-3</v>
      </c>
      <c r="P1072" s="3">
        <v>0.61499999999999999</v>
      </c>
      <c r="Q1072" s="3">
        <v>1.23</v>
      </c>
      <c r="R1072" s="3">
        <v>18.989999999999998</v>
      </c>
      <c r="S1072" s="2">
        <v>6.4770932069510276E-2</v>
      </c>
      <c r="T1072" s="5">
        <v>15.439024390243901</v>
      </c>
      <c r="U1072" s="4">
        <v>1</v>
      </c>
      <c r="V1072" s="4">
        <v>1</v>
      </c>
      <c r="W1072" s="2">
        <v>0.5</v>
      </c>
      <c r="X1072" s="4">
        <v>1</v>
      </c>
      <c r="Y1072" s="4">
        <v>0</v>
      </c>
      <c r="Z1072" s="3">
        <v>18.989999999999998</v>
      </c>
      <c r="AA1072" s="3">
        <v>0</v>
      </c>
    </row>
    <row r="1073" spans="1:27" x14ac:dyDescent="0.2">
      <c r="A1073">
        <f t="shared" si="32"/>
        <v>3</v>
      </c>
      <c r="B1073">
        <f t="shared" si="33"/>
        <v>12</v>
      </c>
      <c r="C1073" s="1">
        <v>46102</v>
      </c>
      <c r="D1073" t="s">
        <v>25</v>
      </c>
      <c r="E1073" t="s">
        <v>26</v>
      </c>
      <c r="F1073" t="s">
        <v>39</v>
      </c>
      <c r="G1073" t="s">
        <v>40</v>
      </c>
      <c r="H1073" t="s">
        <v>29</v>
      </c>
      <c r="I1073" t="s">
        <v>30</v>
      </c>
      <c r="J1073" t="s">
        <v>70</v>
      </c>
      <c r="K1073" t="s">
        <v>42</v>
      </c>
      <c r="L1073" t="s">
        <v>71</v>
      </c>
      <c r="M1073" s="4">
        <v>367</v>
      </c>
      <c r="N1073" s="4">
        <v>2</v>
      </c>
      <c r="O1073" s="2">
        <v>5.4495912806539499E-3</v>
      </c>
      <c r="P1073" s="3">
        <v>0.61499999999999999</v>
      </c>
      <c r="Q1073" s="3">
        <v>1.23</v>
      </c>
      <c r="R1073" s="3">
        <v>0</v>
      </c>
      <c r="S1073" s="2"/>
      <c r="T1073" s="5">
        <v>0</v>
      </c>
      <c r="U1073" s="4">
        <v>0</v>
      </c>
      <c r="V1073" s="4">
        <v>0</v>
      </c>
      <c r="W1073" s="2">
        <v>0</v>
      </c>
      <c r="X1073" s="4">
        <v>0</v>
      </c>
      <c r="Y1073" s="4">
        <v>0</v>
      </c>
      <c r="Z1073" s="3">
        <v>0</v>
      </c>
      <c r="AA1073" s="3">
        <v>0</v>
      </c>
    </row>
    <row r="1074" spans="1:27" x14ac:dyDescent="0.2">
      <c r="A1074">
        <f t="shared" si="32"/>
        <v>3</v>
      </c>
      <c r="B1074">
        <f t="shared" si="33"/>
        <v>11</v>
      </c>
      <c r="C1074" s="1">
        <v>46095</v>
      </c>
      <c r="D1074" t="s">
        <v>25</v>
      </c>
      <c r="E1074" t="s">
        <v>26</v>
      </c>
      <c r="F1074" t="s">
        <v>49</v>
      </c>
      <c r="G1074" t="s">
        <v>50</v>
      </c>
      <c r="H1074" t="s">
        <v>29</v>
      </c>
      <c r="I1074" t="s">
        <v>30</v>
      </c>
      <c r="J1074" t="s">
        <v>51</v>
      </c>
      <c r="K1074" t="s">
        <v>42</v>
      </c>
      <c r="L1074" t="s">
        <v>701</v>
      </c>
      <c r="M1074" s="4">
        <v>4</v>
      </c>
      <c r="N1074" s="4">
        <v>1</v>
      </c>
      <c r="O1074" s="2">
        <v>0.25</v>
      </c>
      <c r="P1074" s="3">
        <v>0.6</v>
      </c>
      <c r="Q1074" s="3">
        <v>0.6</v>
      </c>
      <c r="R1074" s="3">
        <v>18.989999999999998</v>
      </c>
      <c r="S1074" s="2">
        <v>3.1595576619273306E-2</v>
      </c>
      <c r="T1074" s="5">
        <v>31.65</v>
      </c>
      <c r="U1074" s="4">
        <v>1</v>
      </c>
      <c r="V1074" s="4">
        <v>1</v>
      </c>
      <c r="W1074" s="2">
        <v>1</v>
      </c>
      <c r="X1074" s="4">
        <v>1</v>
      </c>
      <c r="Y1074" s="4">
        <v>0</v>
      </c>
      <c r="Z1074" s="3">
        <v>18.989999999999998</v>
      </c>
      <c r="AA1074" s="3">
        <v>0</v>
      </c>
    </row>
    <row r="1075" spans="1:27" x14ac:dyDescent="0.2">
      <c r="A1075">
        <f t="shared" si="32"/>
        <v>3</v>
      </c>
      <c r="B1075">
        <f t="shared" si="33"/>
        <v>11</v>
      </c>
      <c r="C1075" s="1">
        <v>46090</v>
      </c>
      <c r="D1075" t="s">
        <v>25</v>
      </c>
      <c r="E1075" t="s">
        <v>26</v>
      </c>
      <c r="F1075" t="s">
        <v>39</v>
      </c>
      <c r="G1075" t="s">
        <v>40</v>
      </c>
      <c r="H1075" t="s">
        <v>29</v>
      </c>
      <c r="I1075" t="s">
        <v>30</v>
      </c>
      <c r="J1075" t="s">
        <v>539</v>
      </c>
      <c r="K1075" t="s">
        <v>42</v>
      </c>
      <c r="L1075" t="s">
        <v>702</v>
      </c>
      <c r="M1075" s="4">
        <v>101</v>
      </c>
      <c r="N1075" s="4">
        <v>2</v>
      </c>
      <c r="O1075" s="2">
        <v>1.9801980198019802E-2</v>
      </c>
      <c r="P1075" s="3">
        <v>0.59499999999999997</v>
      </c>
      <c r="Q1075" s="3">
        <v>1.19</v>
      </c>
      <c r="R1075" s="3">
        <v>0</v>
      </c>
      <c r="S1075" s="2"/>
      <c r="T1075" s="5">
        <v>0</v>
      </c>
      <c r="U1075" s="4">
        <v>0</v>
      </c>
      <c r="V1075" s="4">
        <v>0</v>
      </c>
      <c r="W1075" s="2">
        <v>0</v>
      </c>
      <c r="X1075" s="4">
        <v>0</v>
      </c>
      <c r="Y1075" s="4">
        <v>0</v>
      </c>
      <c r="Z1075" s="3">
        <v>0</v>
      </c>
      <c r="AA1075" s="3">
        <v>0</v>
      </c>
    </row>
    <row r="1076" spans="1:27" x14ac:dyDescent="0.2">
      <c r="A1076">
        <f t="shared" si="32"/>
        <v>3</v>
      </c>
      <c r="B1076">
        <f t="shared" si="33"/>
        <v>11</v>
      </c>
      <c r="C1076" s="1">
        <v>46091</v>
      </c>
      <c r="D1076" t="s">
        <v>25</v>
      </c>
      <c r="E1076" t="s">
        <v>26</v>
      </c>
      <c r="F1076" t="s">
        <v>39</v>
      </c>
      <c r="G1076" t="s">
        <v>40</v>
      </c>
      <c r="H1076" t="s">
        <v>29</v>
      </c>
      <c r="I1076" t="s">
        <v>30</v>
      </c>
      <c r="J1076" t="s">
        <v>539</v>
      </c>
      <c r="K1076" t="s">
        <v>42</v>
      </c>
      <c r="L1076" t="s">
        <v>702</v>
      </c>
      <c r="M1076" s="4">
        <v>528</v>
      </c>
      <c r="N1076" s="4">
        <v>1</v>
      </c>
      <c r="O1076" s="2">
        <v>1.893939393939394E-3</v>
      </c>
      <c r="P1076" s="3">
        <v>0.56000000000000005</v>
      </c>
      <c r="Q1076" s="3">
        <v>0.56000000000000005</v>
      </c>
      <c r="R1076" s="3">
        <v>0</v>
      </c>
      <c r="S1076" s="2"/>
      <c r="T1076" s="5">
        <v>0</v>
      </c>
      <c r="U1076" s="4">
        <v>0</v>
      </c>
      <c r="V1076" s="4">
        <v>0</v>
      </c>
      <c r="W1076" s="2">
        <v>0</v>
      </c>
      <c r="X1076" s="4">
        <v>0</v>
      </c>
      <c r="Y1076" s="4">
        <v>0</v>
      </c>
      <c r="Z1076" s="3">
        <v>0</v>
      </c>
      <c r="AA1076" s="3">
        <v>0</v>
      </c>
    </row>
    <row r="1077" spans="1:27" x14ac:dyDescent="0.2">
      <c r="A1077">
        <f t="shared" si="32"/>
        <v>3</v>
      </c>
      <c r="B1077">
        <f t="shared" si="33"/>
        <v>10</v>
      </c>
      <c r="C1077" s="1">
        <v>46082</v>
      </c>
      <c r="D1077" t="s">
        <v>25</v>
      </c>
      <c r="E1077" t="s">
        <v>26</v>
      </c>
      <c r="F1077" t="s">
        <v>39</v>
      </c>
      <c r="G1077" t="s">
        <v>40</v>
      </c>
      <c r="H1077" t="s">
        <v>29</v>
      </c>
      <c r="I1077" t="s">
        <v>30</v>
      </c>
      <c r="J1077" t="s">
        <v>41</v>
      </c>
      <c r="K1077" t="s">
        <v>42</v>
      </c>
      <c r="L1077" t="s">
        <v>75</v>
      </c>
      <c r="M1077" s="4">
        <v>117</v>
      </c>
      <c r="N1077" s="4">
        <v>2</v>
      </c>
      <c r="O1077" s="2">
        <v>1.7094017094017096E-2</v>
      </c>
      <c r="P1077" s="3">
        <v>0.48499999999999999</v>
      </c>
      <c r="Q1077" s="3">
        <v>0.97</v>
      </c>
      <c r="R1077" s="3">
        <v>17.09</v>
      </c>
      <c r="S1077" s="2">
        <v>5.6758338209479217E-2</v>
      </c>
      <c r="T1077" s="5">
        <v>17.618556701030929</v>
      </c>
      <c r="U1077" s="4">
        <v>1</v>
      </c>
      <c r="V1077" s="4">
        <v>1</v>
      </c>
      <c r="W1077" s="2">
        <v>0.5</v>
      </c>
      <c r="X1077" s="4">
        <v>0</v>
      </c>
      <c r="Y1077" s="4">
        <v>1</v>
      </c>
      <c r="Z1077" s="3">
        <v>0</v>
      </c>
      <c r="AA1077" s="3">
        <v>17.09</v>
      </c>
    </row>
    <row r="1078" spans="1:27" x14ac:dyDescent="0.2">
      <c r="A1078">
        <f t="shared" si="32"/>
        <v>3</v>
      </c>
      <c r="B1078">
        <f t="shared" si="33"/>
        <v>10</v>
      </c>
      <c r="C1078" s="1">
        <v>46083</v>
      </c>
      <c r="D1078" t="s">
        <v>25</v>
      </c>
      <c r="E1078" t="s">
        <v>26</v>
      </c>
      <c r="F1078" t="s">
        <v>39</v>
      </c>
      <c r="G1078" t="s">
        <v>40</v>
      </c>
      <c r="H1078" t="s">
        <v>29</v>
      </c>
      <c r="I1078" t="s">
        <v>30</v>
      </c>
      <c r="J1078" t="s">
        <v>41</v>
      </c>
      <c r="K1078" t="s">
        <v>42</v>
      </c>
      <c r="L1078" t="s">
        <v>75</v>
      </c>
      <c r="M1078" s="4">
        <v>42</v>
      </c>
      <c r="N1078" s="4">
        <v>1</v>
      </c>
      <c r="O1078" s="2">
        <v>2.3809523809523812E-2</v>
      </c>
      <c r="P1078" s="3">
        <v>0.63</v>
      </c>
      <c r="Q1078" s="3">
        <v>0.63</v>
      </c>
      <c r="R1078" s="3">
        <v>0</v>
      </c>
      <c r="S1078" s="2"/>
      <c r="T1078" s="5">
        <v>0</v>
      </c>
      <c r="U1078" s="4">
        <v>0</v>
      </c>
      <c r="V1078" s="4">
        <v>0</v>
      </c>
      <c r="W1078" s="2">
        <v>0</v>
      </c>
      <c r="X1078" s="4">
        <v>0</v>
      </c>
      <c r="Y1078" s="4">
        <v>0</v>
      </c>
      <c r="Z1078" s="3">
        <v>0</v>
      </c>
      <c r="AA1078" s="3">
        <v>0</v>
      </c>
    </row>
    <row r="1079" spans="1:27" x14ac:dyDescent="0.2">
      <c r="A1079">
        <f t="shared" si="32"/>
        <v>3</v>
      </c>
      <c r="B1079">
        <f t="shared" si="33"/>
        <v>12</v>
      </c>
      <c r="C1079" s="1">
        <v>46102</v>
      </c>
      <c r="D1079" t="s">
        <v>25</v>
      </c>
      <c r="E1079" t="s">
        <v>26</v>
      </c>
      <c r="F1079" t="s">
        <v>39</v>
      </c>
      <c r="G1079" t="s">
        <v>40</v>
      </c>
      <c r="H1079" t="s">
        <v>29</v>
      </c>
      <c r="I1079" t="s">
        <v>30</v>
      </c>
      <c r="J1079" t="s">
        <v>41</v>
      </c>
      <c r="K1079" t="s">
        <v>42</v>
      </c>
      <c r="L1079" t="s">
        <v>75</v>
      </c>
      <c r="M1079" s="4">
        <v>47</v>
      </c>
      <c r="N1079" s="4">
        <v>1</v>
      </c>
      <c r="O1079" s="2">
        <v>2.1276595744680851E-2</v>
      </c>
      <c r="P1079" s="3">
        <v>0.99</v>
      </c>
      <c r="Q1079" s="3">
        <v>0.99</v>
      </c>
      <c r="R1079" s="3">
        <v>0</v>
      </c>
      <c r="S1079" s="2"/>
      <c r="T1079" s="5">
        <v>0</v>
      </c>
      <c r="U1079" s="4">
        <v>0</v>
      </c>
      <c r="V1079" s="4">
        <v>0</v>
      </c>
      <c r="W1079" s="2">
        <v>0</v>
      </c>
      <c r="X1079" s="4">
        <v>0</v>
      </c>
      <c r="Y1079" s="4">
        <v>0</v>
      </c>
      <c r="Z1079" s="3">
        <v>0</v>
      </c>
      <c r="AA1079" s="3">
        <v>0</v>
      </c>
    </row>
    <row r="1080" spans="1:27" x14ac:dyDescent="0.2">
      <c r="A1080">
        <f t="shared" si="32"/>
        <v>3</v>
      </c>
      <c r="B1080">
        <f t="shared" si="33"/>
        <v>11</v>
      </c>
      <c r="C1080" s="1">
        <v>46094</v>
      </c>
      <c r="D1080" t="s">
        <v>25</v>
      </c>
      <c r="E1080" t="s">
        <v>26</v>
      </c>
      <c r="F1080" t="s">
        <v>49</v>
      </c>
      <c r="G1080" t="s">
        <v>50</v>
      </c>
      <c r="H1080" t="s">
        <v>29</v>
      </c>
      <c r="I1080" t="s">
        <v>30</v>
      </c>
      <c r="J1080" t="s">
        <v>51</v>
      </c>
      <c r="K1080" t="s">
        <v>42</v>
      </c>
      <c r="L1080" t="s">
        <v>703</v>
      </c>
      <c r="M1080" s="4">
        <v>2</v>
      </c>
      <c r="N1080" s="4">
        <v>1</v>
      </c>
      <c r="O1080" s="2">
        <v>0.5</v>
      </c>
      <c r="P1080" s="3">
        <v>0.6</v>
      </c>
      <c r="Q1080" s="3">
        <v>0.6</v>
      </c>
      <c r="R1080" s="3">
        <v>0</v>
      </c>
      <c r="S1080" s="2"/>
      <c r="T1080" s="5">
        <v>0</v>
      </c>
      <c r="U1080" s="4">
        <v>0</v>
      </c>
      <c r="V1080" s="4">
        <v>0</v>
      </c>
      <c r="W1080" s="2">
        <v>0</v>
      </c>
      <c r="X1080" s="4">
        <v>0</v>
      </c>
      <c r="Y1080" s="4">
        <v>0</v>
      </c>
      <c r="Z1080" s="3">
        <v>0</v>
      </c>
      <c r="AA1080" s="3">
        <v>0</v>
      </c>
    </row>
    <row r="1081" spans="1:27" x14ac:dyDescent="0.2">
      <c r="A1081">
        <f t="shared" si="32"/>
        <v>3</v>
      </c>
      <c r="B1081">
        <f t="shared" si="33"/>
        <v>12</v>
      </c>
      <c r="C1081" s="1">
        <v>46097</v>
      </c>
      <c r="D1081" t="s">
        <v>25</v>
      </c>
      <c r="E1081" t="s">
        <v>26</v>
      </c>
      <c r="F1081" t="s">
        <v>49</v>
      </c>
      <c r="G1081" t="s">
        <v>50</v>
      </c>
      <c r="H1081" t="s">
        <v>29</v>
      </c>
      <c r="I1081" t="s">
        <v>30</v>
      </c>
      <c r="J1081" t="s">
        <v>51</v>
      </c>
      <c r="K1081" t="s">
        <v>42</v>
      </c>
      <c r="L1081" t="s">
        <v>704</v>
      </c>
      <c r="M1081" s="4">
        <v>1</v>
      </c>
      <c r="N1081" s="4">
        <v>1</v>
      </c>
      <c r="O1081" s="2">
        <v>1</v>
      </c>
      <c r="P1081" s="3">
        <v>0.56000000000000005</v>
      </c>
      <c r="Q1081" s="3">
        <v>0.56000000000000005</v>
      </c>
      <c r="R1081" s="3">
        <v>0</v>
      </c>
      <c r="S1081" s="2"/>
      <c r="T1081" s="5">
        <v>0</v>
      </c>
      <c r="U1081" s="4">
        <v>0</v>
      </c>
      <c r="V1081" s="4">
        <v>0</v>
      </c>
      <c r="W1081" s="2">
        <v>0</v>
      </c>
      <c r="X1081" s="4">
        <v>0</v>
      </c>
      <c r="Y1081" s="4">
        <v>0</v>
      </c>
      <c r="Z1081" s="3">
        <v>0</v>
      </c>
      <c r="AA1081" s="3">
        <v>0</v>
      </c>
    </row>
    <row r="1082" spans="1:27" x14ac:dyDescent="0.2">
      <c r="A1082">
        <f t="shared" si="32"/>
        <v>3</v>
      </c>
      <c r="B1082">
        <f t="shared" si="33"/>
        <v>12</v>
      </c>
      <c r="C1082" s="1">
        <v>46099</v>
      </c>
      <c r="D1082" t="s">
        <v>25</v>
      </c>
      <c r="E1082" t="s">
        <v>26</v>
      </c>
      <c r="F1082" t="s">
        <v>49</v>
      </c>
      <c r="G1082" t="s">
        <v>50</v>
      </c>
      <c r="H1082" t="s">
        <v>29</v>
      </c>
      <c r="I1082" t="s">
        <v>30</v>
      </c>
      <c r="J1082" t="s">
        <v>51</v>
      </c>
      <c r="K1082" t="s">
        <v>42</v>
      </c>
      <c r="L1082" t="s">
        <v>705</v>
      </c>
      <c r="M1082" s="4">
        <v>5</v>
      </c>
      <c r="N1082" s="4">
        <v>1</v>
      </c>
      <c r="O1082" s="2">
        <v>0.2</v>
      </c>
      <c r="P1082" s="3">
        <v>0.6</v>
      </c>
      <c r="Q1082" s="3">
        <v>0.6</v>
      </c>
      <c r="R1082" s="3">
        <v>0</v>
      </c>
      <c r="S1082" s="2"/>
      <c r="T1082" s="5">
        <v>0</v>
      </c>
      <c r="U1082" s="4">
        <v>0</v>
      </c>
      <c r="V1082" s="4">
        <v>0</v>
      </c>
      <c r="W1082" s="2">
        <v>0</v>
      </c>
      <c r="X1082" s="4">
        <v>0</v>
      </c>
      <c r="Y1082" s="4">
        <v>0</v>
      </c>
      <c r="Z1082" s="3">
        <v>0</v>
      </c>
      <c r="AA1082" s="3">
        <v>0</v>
      </c>
    </row>
    <row r="1083" spans="1:27" x14ac:dyDescent="0.2">
      <c r="A1083">
        <f t="shared" si="32"/>
        <v>3</v>
      </c>
      <c r="B1083">
        <f t="shared" si="33"/>
        <v>10</v>
      </c>
      <c r="C1083" s="1">
        <v>46082</v>
      </c>
      <c r="D1083" t="s">
        <v>25</v>
      </c>
      <c r="E1083" t="s">
        <v>26</v>
      </c>
      <c r="F1083" t="s">
        <v>39</v>
      </c>
      <c r="G1083" t="s">
        <v>40</v>
      </c>
      <c r="H1083" t="s">
        <v>29</v>
      </c>
      <c r="I1083" t="s">
        <v>30</v>
      </c>
      <c r="J1083" t="s">
        <v>78</v>
      </c>
      <c r="K1083" t="s">
        <v>42</v>
      </c>
      <c r="L1083" t="s">
        <v>79</v>
      </c>
      <c r="M1083" s="4">
        <v>107</v>
      </c>
      <c r="N1083" s="4">
        <v>3</v>
      </c>
      <c r="O1083" s="2">
        <v>2.803738317757009E-2</v>
      </c>
      <c r="P1083" s="3">
        <v>0.42333333333333334</v>
      </c>
      <c r="Q1083" s="3">
        <v>1.27</v>
      </c>
      <c r="R1083" s="3">
        <v>0</v>
      </c>
      <c r="S1083" s="2"/>
      <c r="T1083" s="5">
        <v>0</v>
      </c>
      <c r="U1083" s="4">
        <v>0</v>
      </c>
      <c r="V1083" s="4">
        <v>0</v>
      </c>
      <c r="W1083" s="2">
        <v>0</v>
      </c>
      <c r="X1083" s="4">
        <v>0</v>
      </c>
      <c r="Y1083" s="4">
        <v>0</v>
      </c>
      <c r="Z1083" s="3">
        <v>0</v>
      </c>
      <c r="AA1083" s="3">
        <v>0</v>
      </c>
    </row>
    <row r="1084" spans="1:27" x14ac:dyDescent="0.2">
      <c r="A1084">
        <f t="shared" si="32"/>
        <v>3</v>
      </c>
      <c r="B1084">
        <f t="shared" si="33"/>
        <v>10</v>
      </c>
      <c r="C1084" s="1">
        <v>46083</v>
      </c>
      <c r="D1084" t="s">
        <v>25</v>
      </c>
      <c r="E1084" t="s">
        <v>26</v>
      </c>
      <c r="F1084" t="s">
        <v>39</v>
      </c>
      <c r="G1084" t="s">
        <v>40</v>
      </c>
      <c r="H1084" t="s">
        <v>29</v>
      </c>
      <c r="I1084" t="s">
        <v>30</v>
      </c>
      <c r="J1084" t="s">
        <v>78</v>
      </c>
      <c r="K1084" t="s">
        <v>42</v>
      </c>
      <c r="L1084" t="s">
        <v>79</v>
      </c>
      <c r="M1084" s="4">
        <v>192</v>
      </c>
      <c r="N1084" s="4">
        <v>2</v>
      </c>
      <c r="O1084" s="2">
        <v>1.0416666666666664E-2</v>
      </c>
      <c r="P1084" s="3">
        <v>0.52</v>
      </c>
      <c r="Q1084" s="3">
        <v>1.04</v>
      </c>
      <c r="R1084" s="3">
        <v>0</v>
      </c>
      <c r="S1084" s="2"/>
      <c r="T1084" s="5">
        <v>0</v>
      </c>
      <c r="U1084" s="4">
        <v>0</v>
      </c>
      <c r="V1084" s="4">
        <v>0</v>
      </c>
      <c r="W1084" s="2">
        <v>0</v>
      </c>
      <c r="X1084" s="4">
        <v>0</v>
      </c>
      <c r="Y1084" s="4">
        <v>0</v>
      </c>
      <c r="Z1084" s="3">
        <v>0</v>
      </c>
      <c r="AA1084" s="3">
        <v>0</v>
      </c>
    </row>
    <row r="1085" spans="1:27" x14ac:dyDescent="0.2">
      <c r="A1085">
        <f t="shared" si="32"/>
        <v>3</v>
      </c>
      <c r="B1085">
        <f t="shared" si="33"/>
        <v>10</v>
      </c>
      <c r="C1085" s="1">
        <v>46084</v>
      </c>
      <c r="D1085" t="s">
        <v>25</v>
      </c>
      <c r="E1085" t="s">
        <v>26</v>
      </c>
      <c r="F1085" t="s">
        <v>39</v>
      </c>
      <c r="G1085" t="s">
        <v>40</v>
      </c>
      <c r="H1085" t="s">
        <v>29</v>
      </c>
      <c r="I1085" t="s">
        <v>30</v>
      </c>
      <c r="J1085" t="s">
        <v>78</v>
      </c>
      <c r="K1085" t="s">
        <v>42</v>
      </c>
      <c r="L1085" t="s">
        <v>79</v>
      </c>
      <c r="M1085" s="4">
        <v>198</v>
      </c>
      <c r="N1085" s="4">
        <v>3</v>
      </c>
      <c r="O1085" s="2">
        <v>1.515151515151515E-2</v>
      </c>
      <c r="P1085" s="3">
        <v>0.53666666666666674</v>
      </c>
      <c r="Q1085" s="3">
        <v>1.61</v>
      </c>
      <c r="R1085" s="3">
        <v>0</v>
      </c>
      <c r="S1085" s="2"/>
      <c r="T1085" s="5">
        <v>0</v>
      </c>
      <c r="U1085" s="4">
        <v>0</v>
      </c>
      <c r="V1085" s="4">
        <v>0</v>
      </c>
      <c r="W1085" s="2">
        <v>0</v>
      </c>
      <c r="X1085" s="4">
        <v>0</v>
      </c>
      <c r="Y1085" s="4">
        <v>0</v>
      </c>
      <c r="Z1085" s="3">
        <v>0</v>
      </c>
      <c r="AA1085" s="3">
        <v>0</v>
      </c>
    </row>
    <row r="1086" spans="1:27" x14ac:dyDescent="0.2">
      <c r="A1086">
        <f t="shared" si="32"/>
        <v>3</v>
      </c>
      <c r="B1086">
        <f t="shared" si="33"/>
        <v>10</v>
      </c>
      <c r="C1086" s="1">
        <v>46085</v>
      </c>
      <c r="D1086" t="s">
        <v>25</v>
      </c>
      <c r="E1086" t="s">
        <v>26</v>
      </c>
      <c r="F1086" t="s">
        <v>39</v>
      </c>
      <c r="G1086" t="s">
        <v>40</v>
      </c>
      <c r="H1086" t="s">
        <v>29</v>
      </c>
      <c r="I1086" t="s">
        <v>30</v>
      </c>
      <c r="J1086" t="s">
        <v>78</v>
      </c>
      <c r="K1086" t="s">
        <v>42</v>
      </c>
      <c r="L1086" t="s">
        <v>79</v>
      </c>
      <c r="M1086" s="4">
        <v>85</v>
      </c>
      <c r="N1086" s="4">
        <v>3</v>
      </c>
      <c r="O1086" s="2">
        <v>3.5294117647058823E-2</v>
      </c>
      <c r="P1086" s="3">
        <v>0.54666666666666663</v>
      </c>
      <c r="Q1086" s="3">
        <v>1.64</v>
      </c>
      <c r="R1086" s="3">
        <v>0</v>
      </c>
      <c r="S1086" s="2"/>
      <c r="T1086" s="5">
        <v>0</v>
      </c>
      <c r="U1086" s="4">
        <v>0</v>
      </c>
      <c r="V1086" s="4">
        <v>0</v>
      </c>
      <c r="W1086" s="2">
        <v>0</v>
      </c>
      <c r="X1086" s="4">
        <v>0</v>
      </c>
      <c r="Y1086" s="4">
        <v>0</v>
      </c>
      <c r="Z1086" s="3">
        <v>0</v>
      </c>
      <c r="AA1086" s="3">
        <v>0</v>
      </c>
    </row>
    <row r="1087" spans="1:27" x14ac:dyDescent="0.2">
      <c r="A1087">
        <f t="shared" si="32"/>
        <v>3</v>
      </c>
      <c r="B1087">
        <f t="shared" si="33"/>
        <v>10</v>
      </c>
      <c r="C1087" s="1">
        <v>46088</v>
      </c>
      <c r="D1087" t="s">
        <v>25</v>
      </c>
      <c r="E1087" t="s">
        <v>26</v>
      </c>
      <c r="F1087" t="s">
        <v>39</v>
      </c>
      <c r="G1087" t="s">
        <v>40</v>
      </c>
      <c r="H1087" t="s">
        <v>29</v>
      </c>
      <c r="I1087" t="s">
        <v>30</v>
      </c>
      <c r="J1087" t="s">
        <v>78</v>
      </c>
      <c r="K1087" t="s">
        <v>42</v>
      </c>
      <c r="L1087" t="s">
        <v>79</v>
      </c>
      <c r="M1087" s="4">
        <v>62</v>
      </c>
      <c r="N1087" s="4">
        <v>1</v>
      </c>
      <c r="O1087" s="2">
        <v>1.6129032258064516E-2</v>
      </c>
      <c r="P1087" s="3">
        <v>0.52</v>
      </c>
      <c r="Q1087" s="3">
        <v>0.52</v>
      </c>
      <c r="R1087" s="3">
        <v>0</v>
      </c>
      <c r="S1087" s="2"/>
      <c r="T1087" s="5">
        <v>0</v>
      </c>
      <c r="U1087" s="4">
        <v>0</v>
      </c>
      <c r="V1087" s="4">
        <v>0</v>
      </c>
      <c r="W1087" s="2">
        <v>0</v>
      </c>
      <c r="X1087" s="4">
        <v>0</v>
      </c>
      <c r="Y1087" s="4">
        <v>0</v>
      </c>
      <c r="Z1087" s="3">
        <v>0</v>
      </c>
      <c r="AA1087" s="3">
        <v>0</v>
      </c>
    </row>
    <row r="1088" spans="1:27" x14ac:dyDescent="0.2">
      <c r="A1088">
        <f t="shared" si="32"/>
        <v>3</v>
      </c>
      <c r="B1088">
        <f t="shared" si="33"/>
        <v>11</v>
      </c>
      <c r="C1088" s="1">
        <v>46089</v>
      </c>
      <c r="D1088" t="s">
        <v>25</v>
      </c>
      <c r="E1088" t="s">
        <v>26</v>
      </c>
      <c r="F1088" t="s">
        <v>39</v>
      </c>
      <c r="G1088" t="s">
        <v>40</v>
      </c>
      <c r="H1088" t="s">
        <v>29</v>
      </c>
      <c r="I1088" t="s">
        <v>30</v>
      </c>
      <c r="J1088" t="s">
        <v>78</v>
      </c>
      <c r="K1088" t="s">
        <v>42</v>
      </c>
      <c r="L1088" t="s">
        <v>79</v>
      </c>
      <c r="M1088" s="4">
        <v>238</v>
      </c>
      <c r="N1088" s="4">
        <v>4</v>
      </c>
      <c r="O1088" s="2">
        <v>1.680672268907563E-2</v>
      </c>
      <c r="P1088" s="3">
        <v>0.52</v>
      </c>
      <c r="Q1088" s="3">
        <v>2.08</v>
      </c>
      <c r="R1088" s="3">
        <v>0</v>
      </c>
      <c r="S1088" s="2"/>
      <c r="T1088" s="5">
        <v>0</v>
      </c>
      <c r="U1088" s="4">
        <v>0</v>
      </c>
      <c r="V1088" s="4">
        <v>0</v>
      </c>
      <c r="W1088" s="2">
        <v>0</v>
      </c>
      <c r="X1088" s="4">
        <v>0</v>
      </c>
      <c r="Y1088" s="4">
        <v>0</v>
      </c>
      <c r="Z1088" s="3">
        <v>0</v>
      </c>
      <c r="AA1088" s="3">
        <v>0</v>
      </c>
    </row>
    <row r="1089" spans="1:27" x14ac:dyDescent="0.2">
      <c r="A1089">
        <f t="shared" si="32"/>
        <v>3</v>
      </c>
      <c r="B1089">
        <f t="shared" si="33"/>
        <v>11</v>
      </c>
      <c r="C1089" s="1">
        <v>46091</v>
      </c>
      <c r="D1089" t="s">
        <v>25</v>
      </c>
      <c r="E1089" t="s">
        <v>26</v>
      </c>
      <c r="F1089" t="s">
        <v>39</v>
      </c>
      <c r="G1089" t="s">
        <v>40</v>
      </c>
      <c r="H1089" t="s">
        <v>29</v>
      </c>
      <c r="I1089" t="s">
        <v>30</v>
      </c>
      <c r="J1089" t="s">
        <v>78</v>
      </c>
      <c r="K1089" t="s">
        <v>42</v>
      </c>
      <c r="L1089" t="s">
        <v>79</v>
      </c>
      <c r="M1089" s="4">
        <v>289</v>
      </c>
      <c r="N1089" s="4">
        <v>1</v>
      </c>
      <c r="O1089" s="2">
        <v>3.4602076124567475E-3</v>
      </c>
      <c r="P1089" s="3">
        <v>0.3</v>
      </c>
      <c r="Q1089" s="3">
        <v>0.3</v>
      </c>
      <c r="R1089" s="3">
        <v>0</v>
      </c>
      <c r="S1089" s="2"/>
      <c r="T1089" s="5">
        <v>0</v>
      </c>
      <c r="U1089" s="4">
        <v>0</v>
      </c>
      <c r="V1089" s="4">
        <v>0</v>
      </c>
      <c r="W1089" s="2">
        <v>0</v>
      </c>
      <c r="X1089" s="4">
        <v>0</v>
      </c>
      <c r="Y1089" s="4">
        <v>0</v>
      </c>
      <c r="Z1089" s="3">
        <v>0</v>
      </c>
      <c r="AA1089" s="3">
        <v>0</v>
      </c>
    </row>
    <row r="1090" spans="1:27" x14ac:dyDescent="0.2">
      <c r="A1090">
        <f t="shared" si="32"/>
        <v>3</v>
      </c>
      <c r="B1090">
        <f t="shared" si="33"/>
        <v>11</v>
      </c>
      <c r="C1090" s="1">
        <v>46093</v>
      </c>
      <c r="D1090" t="s">
        <v>25</v>
      </c>
      <c r="E1090" t="s">
        <v>26</v>
      </c>
      <c r="F1090" t="s">
        <v>39</v>
      </c>
      <c r="G1090" t="s">
        <v>40</v>
      </c>
      <c r="H1090" t="s">
        <v>29</v>
      </c>
      <c r="I1090" t="s">
        <v>30</v>
      </c>
      <c r="J1090" t="s">
        <v>78</v>
      </c>
      <c r="K1090" t="s">
        <v>42</v>
      </c>
      <c r="L1090" t="s">
        <v>79</v>
      </c>
      <c r="M1090" s="4">
        <v>44</v>
      </c>
      <c r="N1090" s="4">
        <v>1</v>
      </c>
      <c r="O1090" s="2">
        <v>2.2727272727272731E-2</v>
      </c>
      <c r="P1090" s="3">
        <v>0.49</v>
      </c>
      <c r="Q1090" s="3">
        <v>0.49</v>
      </c>
      <c r="R1090" s="3">
        <v>0</v>
      </c>
      <c r="S1090" s="2"/>
      <c r="T1090" s="5">
        <v>0</v>
      </c>
      <c r="U1090" s="4">
        <v>0</v>
      </c>
      <c r="V1090" s="4">
        <v>0</v>
      </c>
      <c r="W1090" s="2">
        <v>0</v>
      </c>
      <c r="X1090" s="4">
        <v>0</v>
      </c>
      <c r="Y1090" s="4">
        <v>0</v>
      </c>
      <c r="Z1090" s="3">
        <v>0</v>
      </c>
      <c r="AA1090" s="3">
        <v>0</v>
      </c>
    </row>
    <row r="1091" spans="1:27" x14ac:dyDescent="0.2">
      <c r="A1091">
        <f t="shared" ref="A1091:A1154" si="34">MONTH(C1091)</f>
        <v>3</v>
      </c>
      <c r="B1091">
        <f t="shared" ref="B1091:B1154" si="35">WEEKNUM(C1091,1)</f>
        <v>12</v>
      </c>
      <c r="C1091" s="1">
        <v>46100</v>
      </c>
      <c r="D1091" t="s">
        <v>25</v>
      </c>
      <c r="E1091" t="s">
        <v>26</v>
      </c>
      <c r="F1091" t="s">
        <v>39</v>
      </c>
      <c r="G1091" t="s">
        <v>40</v>
      </c>
      <c r="H1091" t="s">
        <v>29</v>
      </c>
      <c r="I1091" t="s">
        <v>30</v>
      </c>
      <c r="J1091" t="s">
        <v>78</v>
      </c>
      <c r="K1091" t="s">
        <v>42</v>
      </c>
      <c r="L1091" t="s">
        <v>79</v>
      </c>
      <c r="M1091" s="4">
        <v>218</v>
      </c>
      <c r="N1091" s="4">
        <v>3</v>
      </c>
      <c r="O1091" s="2">
        <v>1.3761467889908259E-2</v>
      </c>
      <c r="P1091" s="3">
        <v>0.48</v>
      </c>
      <c r="Q1091" s="3">
        <v>1.44</v>
      </c>
      <c r="R1091" s="3">
        <v>0</v>
      </c>
      <c r="S1091" s="2"/>
      <c r="T1091" s="5">
        <v>0</v>
      </c>
      <c r="U1091" s="4">
        <v>0</v>
      </c>
      <c r="V1091" s="4">
        <v>0</v>
      </c>
      <c r="W1091" s="2">
        <v>0</v>
      </c>
      <c r="X1091" s="4">
        <v>0</v>
      </c>
      <c r="Y1091" s="4">
        <v>0</v>
      </c>
      <c r="Z1091" s="3">
        <v>0</v>
      </c>
      <c r="AA1091" s="3">
        <v>0</v>
      </c>
    </row>
    <row r="1092" spans="1:27" x14ac:dyDescent="0.2">
      <c r="A1092">
        <f t="shared" si="34"/>
        <v>3</v>
      </c>
      <c r="B1092">
        <f t="shared" si="35"/>
        <v>12</v>
      </c>
      <c r="C1092" s="1">
        <v>46101</v>
      </c>
      <c r="D1092" t="s">
        <v>25</v>
      </c>
      <c r="E1092" t="s">
        <v>26</v>
      </c>
      <c r="F1092" t="s">
        <v>39</v>
      </c>
      <c r="G1092" t="s">
        <v>40</v>
      </c>
      <c r="H1092" t="s">
        <v>29</v>
      </c>
      <c r="I1092" t="s">
        <v>30</v>
      </c>
      <c r="J1092" t="s">
        <v>78</v>
      </c>
      <c r="K1092" t="s">
        <v>42</v>
      </c>
      <c r="L1092" t="s">
        <v>79</v>
      </c>
      <c r="M1092" s="4">
        <v>137</v>
      </c>
      <c r="N1092" s="4">
        <v>2</v>
      </c>
      <c r="O1092" s="2">
        <v>1.4598540145985401E-2</v>
      </c>
      <c r="P1092" s="3">
        <v>0.48</v>
      </c>
      <c r="Q1092" s="3">
        <v>0.96</v>
      </c>
      <c r="R1092" s="3">
        <v>0</v>
      </c>
      <c r="S1092" s="2"/>
      <c r="T1092" s="5">
        <v>0</v>
      </c>
      <c r="U1092" s="4">
        <v>0</v>
      </c>
      <c r="V1092" s="4">
        <v>0</v>
      </c>
      <c r="W1092" s="2">
        <v>0</v>
      </c>
      <c r="X1092" s="4">
        <v>0</v>
      </c>
      <c r="Y1092" s="4">
        <v>0</v>
      </c>
      <c r="Z1092" s="3">
        <v>0</v>
      </c>
      <c r="AA1092" s="3">
        <v>0</v>
      </c>
    </row>
    <row r="1093" spans="1:27" x14ac:dyDescent="0.2">
      <c r="A1093">
        <f t="shared" si="34"/>
        <v>3</v>
      </c>
      <c r="B1093">
        <f t="shared" si="35"/>
        <v>12</v>
      </c>
      <c r="C1093" s="1">
        <v>46102</v>
      </c>
      <c r="D1093" t="s">
        <v>25</v>
      </c>
      <c r="E1093" t="s">
        <v>26</v>
      </c>
      <c r="F1093" t="s">
        <v>39</v>
      </c>
      <c r="G1093" t="s">
        <v>40</v>
      </c>
      <c r="H1093" t="s">
        <v>29</v>
      </c>
      <c r="I1093" t="s">
        <v>30</v>
      </c>
      <c r="J1093" t="s">
        <v>78</v>
      </c>
      <c r="K1093" t="s">
        <v>42</v>
      </c>
      <c r="L1093" t="s">
        <v>79</v>
      </c>
      <c r="M1093" s="4">
        <v>279</v>
      </c>
      <c r="N1093" s="4">
        <v>1</v>
      </c>
      <c r="O1093" s="2">
        <v>3.5842293906810036E-3</v>
      </c>
      <c r="P1093" s="3">
        <v>0.48</v>
      </c>
      <c r="Q1093" s="3">
        <v>0.48</v>
      </c>
      <c r="R1093" s="3">
        <v>0</v>
      </c>
      <c r="S1093" s="2"/>
      <c r="T1093" s="5">
        <v>0</v>
      </c>
      <c r="U1093" s="4">
        <v>0</v>
      </c>
      <c r="V1093" s="4">
        <v>0</v>
      </c>
      <c r="W1093" s="2">
        <v>0</v>
      </c>
      <c r="X1093" s="4">
        <v>0</v>
      </c>
      <c r="Y1093" s="4">
        <v>0</v>
      </c>
      <c r="Z1093" s="3">
        <v>0</v>
      </c>
      <c r="AA1093" s="3">
        <v>0</v>
      </c>
    </row>
    <row r="1094" spans="1:27" x14ac:dyDescent="0.2">
      <c r="A1094">
        <f t="shared" si="34"/>
        <v>3</v>
      </c>
      <c r="B1094">
        <f t="shared" si="35"/>
        <v>11</v>
      </c>
      <c r="C1094" s="1">
        <v>46090</v>
      </c>
      <c r="D1094" t="s">
        <v>25</v>
      </c>
      <c r="E1094" t="s">
        <v>26</v>
      </c>
      <c r="F1094" t="s">
        <v>49</v>
      </c>
      <c r="G1094" t="s">
        <v>50</v>
      </c>
      <c r="H1094" t="s">
        <v>29</v>
      </c>
      <c r="I1094" t="s">
        <v>30</v>
      </c>
      <c r="J1094" t="s">
        <v>51</v>
      </c>
      <c r="K1094" t="s">
        <v>42</v>
      </c>
      <c r="L1094" t="s">
        <v>414</v>
      </c>
      <c r="M1094" s="4">
        <v>3</v>
      </c>
      <c r="N1094" s="4">
        <v>1</v>
      </c>
      <c r="O1094" s="2">
        <v>0.33333333333333331</v>
      </c>
      <c r="P1094" s="3">
        <v>0.4</v>
      </c>
      <c r="Q1094" s="3">
        <v>0.4</v>
      </c>
      <c r="R1094" s="3">
        <v>0</v>
      </c>
      <c r="S1094" s="2"/>
      <c r="T1094" s="5">
        <v>0</v>
      </c>
      <c r="U1094" s="4">
        <v>0</v>
      </c>
      <c r="V1094" s="4">
        <v>0</v>
      </c>
      <c r="W1094" s="2">
        <v>0</v>
      </c>
      <c r="X1094" s="4">
        <v>0</v>
      </c>
      <c r="Y1094" s="4">
        <v>0</v>
      </c>
      <c r="Z1094" s="3">
        <v>0</v>
      </c>
      <c r="AA1094" s="3">
        <v>0</v>
      </c>
    </row>
    <row r="1095" spans="1:27" x14ac:dyDescent="0.2">
      <c r="A1095">
        <f t="shared" si="34"/>
        <v>3</v>
      </c>
      <c r="B1095">
        <f t="shared" si="35"/>
        <v>10</v>
      </c>
      <c r="C1095" s="1">
        <v>46082</v>
      </c>
      <c r="D1095" t="s">
        <v>25</v>
      </c>
      <c r="E1095" t="s">
        <v>26</v>
      </c>
      <c r="F1095" t="s">
        <v>49</v>
      </c>
      <c r="G1095" t="s">
        <v>50</v>
      </c>
      <c r="H1095" t="s">
        <v>29</v>
      </c>
      <c r="I1095" t="s">
        <v>30</v>
      </c>
      <c r="J1095" t="s">
        <v>51</v>
      </c>
      <c r="K1095" t="s">
        <v>42</v>
      </c>
      <c r="L1095" t="s">
        <v>328</v>
      </c>
      <c r="M1095" s="4">
        <v>10</v>
      </c>
      <c r="N1095" s="4">
        <v>1</v>
      </c>
      <c r="O1095" s="2">
        <v>0.1</v>
      </c>
      <c r="P1095" s="3">
        <v>0.6</v>
      </c>
      <c r="Q1095" s="3">
        <v>0.6</v>
      </c>
      <c r="R1095" s="3">
        <v>0</v>
      </c>
      <c r="S1095" s="2"/>
      <c r="T1095" s="5">
        <v>0</v>
      </c>
      <c r="U1095" s="4">
        <v>0</v>
      </c>
      <c r="V1095" s="4">
        <v>0</v>
      </c>
      <c r="W1095" s="2">
        <v>0</v>
      </c>
      <c r="X1095" s="4">
        <v>0</v>
      </c>
      <c r="Y1095" s="4">
        <v>0</v>
      </c>
      <c r="Z1095" s="3">
        <v>0</v>
      </c>
      <c r="AA1095" s="3">
        <v>0</v>
      </c>
    </row>
    <row r="1096" spans="1:27" x14ac:dyDescent="0.2">
      <c r="A1096">
        <f t="shared" si="34"/>
        <v>3</v>
      </c>
      <c r="B1096">
        <f t="shared" si="35"/>
        <v>10</v>
      </c>
      <c r="C1096" s="1">
        <v>46083</v>
      </c>
      <c r="D1096" t="s">
        <v>25</v>
      </c>
      <c r="E1096" t="s">
        <v>26</v>
      </c>
      <c r="F1096" t="s">
        <v>49</v>
      </c>
      <c r="G1096" t="s">
        <v>50</v>
      </c>
      <c r="H1096" t="s">
        <v>29</v>
      </c>
      <c r="I1096" t="s">
        <v>30</v>
      </c>
      <c r="J1096" t="s">
        <v>51</v>
      </c>
      <c r="K1096" t="s">
        <v>42</v>
      </c>
      <c r="L1096" t="s">
        <v>328</v>
      </c>
      <c r="M1096" s="4">
        <v>12</v>
      </c>
      <c r="N1096" s="4">
        <v>1</v>
      </c>
      <c r="O1096" s="2">
        <v>8.3333333333333315E-2</v>
      </c>
      <c r="P1096" s="3">
        <v>0.52</v>
      </c>
      <c r="Q1096" s="3">
        <v>0.52</v>
      </c>
      <c r="R1096" s="3">
        <v>0</v>
      </c>
      <c r="S1096" s="2"/>
      <c r="T1096" s="5">
        <v>0</v>
      </c>
      <c r="U1096" s="4">
        <v>0</v>
      </c>
      <c r="V1096" s="4">
        <v>0</v>
      </c>
      <c r="W1096" s="2">
        <v>0</v>
      </c>
      <c r="X1096" s="4">
        <v>0</v>
      </c>
      <c r="Y1096" s="4">
        <v>0</v>
      </c>
      <c r="Z1096" s="3">
        <v>0</v>
      </c>
      <c r="AA1096" s="3">
        <v>0</v>
      </c>
    </row>
    <row r="1097" spans="1:27" x14ac:dyDescent="0.2">
      <c r="A1097">
        <f t="shared" si="34"/>
        <v>3</v>
      </c>
      <c r="B1097">
        <f t="shared" si="35"/>
        <v>10</v>
      </c>
      <c r="C1097" s="1">
        <v>46085</v>
      </c>
      <c r="D1097" t="s">
        <v>25</v>
      </c>
      <c r="E1097" t="s">
        <v>26</v>
      </c>
      <c r="F1097" t="s">
        <v>49</v>
      </c>
      <c r="G1097" t="s">
        <v>50</v>
      </c>
      <c r="H1097" t="s">
        <v>29</v>
      </c>
      <c r="I1097" t="s">
        <v>30</v>
      </c>
      <c r="J1097" t="s">
        <v>51</v>
      </c>
      <c r="K1097" t="s">
        <v>42</v>
      </c>
      <c r="L1097" t="s">
        <v>328</v>
      </c>
      <c r="M1097" s="4">
        <v>14</v>
      </c>
      <c r="N1097" s="4">
        <v>1</v>
      </c>
      <c r="O1097" s="2">
        <v>7.1428571428571425E-2</v>
      </c>
      <c r="P1097" s="3">
        <v>0.65</v>
      </c>
      <c r="Q1097" s="3">
        <v>0.65</v>
      </c>
      <c r="R1097" s="3">
        <v>0</v>
      </c>
      <c r="S1097" s="2"/>
      <c r="T1097" s="5">
        <v>0</v>
      </c>
      <c r="U1097" s="4">
        <v>0</v>
      </c>
      <c r="V1097" s="4">
        <v>0</v>
      </c>
      <c r="W1097" s="2">
        <v>0</v>
      </c>
      <c r="X1097" s="4">
        <v>0</v>
      </c>
      <c r="Y1097" s="4">
        <v>0</v>
      </c>
      <c r="Z1097" s="3">
        <v>0</v>
      </c>
      <c r="AA1097" s="3">
        <v>0</v>
      </c>
    </row>
    <row r="1098" spans="1:27" x14ac:dyDescent="0.2">
      <c r="A1098">
        <f t="shared" si="34"/>
        <v>3</v>
      </c>
      <c r="B1098">
        <f t="shared" si="35"/>
        <v>10</v>
      </c>
      <c r="C1098" s="1">
        <v>46087</v>
      </c>
      <c r="D1098" t="s">
        <v>25</v>
      </c>
      <c r="E1098" t="s">
        <v>26</v>
      </c>
      <c r="F1098" t="s">
        <v>49</v>
      </c>
      <c r="G1098" t="s">
        <v>50</v>
      </c>
      <c r="H1098" t="s">
        <v>29</v>
      </c>
      <c r="I1098" t="s">
        <v>30</v>
      </c>
      <c r="J1098" t="s">
        <v>51</v>
      </c>
      <c r="K1098" t="s">
        <v>42</v>
      </c>
      <c r="L1098" t="s">
        <v>328</v>
      </c>
      <c r="M1098" s="4">
        <v>40</v>
      </c>
      <c r="N1098" s="4">
        <v>1</v>
      </c>
      <c r="O1098" s="2">
        <v>2.5000000000000001E-2</v>
      </c>
      <c r="P1098" s="3">
        <v>1.06</v>
      </c>
      <c r="Q1098" s="3">
        <v>1.06</v>
      </c>
      <c r="R1098" s="3">
        <v>0</v>
      </c>
      <c r="S1098" s="2"/>
      <c r="T1098" s="5">
        <v>0</v>
      </c>
      <c r="U1098" s="4">
        <v>0</v>
      </c>
      <c r="V1098" s="4">
        <v>0</v>
      </c>
      <c r="W1098" s="2">
        <v>0</v>
      </c>
      <c r="X1098" s="4">
        <v>0</v>
      </c>
      <c r="Y1098" s="4">
        <v>0</v>
      </c>
      <c r="Z1098" s="3">
        <v>0</v>
      </c>
      <c r="AA1098" s="3">
        <v>0</v>
      </c>
    </row>
    <row r="1099" spans="1:27" x14ac:dyDescent="0.2">
      <c r="A1099">
        <f t="shared" si="34"/>
        <v>3</v>
      </c>
      <c r="B1099">
        <f t="shared" si="35"/>
        <v>12</v>
      </c>
      <c r="C1099" s="1">
        <v>46099</v>
      </c>
      <c r="D1099" t="s">
        <v>25</v>
      </c>
      <c r="E1099" t="s">
        <v>26</v>
      </c>
      <c r="F1099" t="s">
        <v>49</v>
      </c>
      <c r="G1099" t="s">
        <v>50</v>
      </c>
      <c r="H1099" t="s">
        <v>29</v>
      </c>
      <c r="I1099" t="s">
        <v>30</v>
      </c>
      <c r="J1099" t="s">
        <v>51</v>
      </c>
      <c r="K1099" t="s">
        <v>42</v>
      </c>
      <c r="L1099" t="s">
        <v>328</v>
      </c>
      <c r="M1099" s="4">
        <v>11</v>
      </c>
      <c r="N1099" s="4">
        <v>1</v>
      </c>
      <c r="O1099" s="2">
        <v>9.0909090909090925E-2</v>
      </c>
      <c r="P1099" s="3">
        <v>0.6</v>
      </c>
      <c r="Q1099" s="3">
        <v>0.6</v>
      </c>
      <c r="R1099" s="3">
        <v>0</v>
      </c>
      <c r="S1099" s="2"/>
      <c r="T1099" s="5">
        <v>0</v>
      </c>
      <c r="U1099" s="4">
        <v>0</v>
      </c>
      <c r="V1099" s="4">
        <v>0</v>
      </c>
      <c r="W1099" s="2">
        <v>0</v>
      </c>
      <c r="X1099" s="4">
        <v>0</v>
      </c>
      <c r="Y1099" s="4">
        <v>0</v>
      </c>
      <c r="Z1099" s="3">
        <v>0</v>
      </c>
      <c r="AA1099" s="3">
        <v>0</v>
      </c>
    </row>
    <row r="1100" spans="1:27" x14ac:dyDescent="0.2">
      <c r="A1100">
        <f t="shared" si="34"/>
        <v>3</v>
      </c>
      <c r="B1100">
        <f t="shared" si="35"/>
        <v>11</v>
      </c>
      <c r="C1100" s="1">
        <v>46091</v>
      </c>
      <c r="D1100" t="s">
        <v>25</v>
      </c>
      <c r="E1100" t="s">
        <v>26</v>
      </c>
      <c r="F1100" t="s">
        <v>61</v>
      </c>
      <c r="G1100" t="s">
        <v>62</v>
      </c>
      <c r="H1100" t="s">
        <v>29</v>
      </c>
      <c r="I1100" t="s">
        <v>30</v>
      </c>
      <c r="J1100" t="s">
        <v>51</v>
      </c>
      <c r="K1100" t="s">
        <v>42</v>
      </c>
      <c r="L1100" t="s">
        <v>706</v>
      </c>
      <c r="M1100" s="4">
        <v>16</v>
      </c>
      <c r="N1100" s="4">
        <v>1</v>
      </c>
      <c r="O1100" s="2">
        <v>6.25E-2</v>
      </c>
      <c r="P1100" s="3">
        <v>0.11</v>
      </c>
      <c r="Q1100" s="3">
        <v>0.11</v>
      </c>
      <c r="R1100" s="3">
        <v>0</v>
      </c>
      <c r="S1100" s="2"/>
      <c r="T1100" s="5">
        <v>0</v>
      </c>
      <c r="U1100" s="4">
        <v>0</v>
      </c>
      <c r="V1100" s="4">
        <v>0</v>
      </c>
      <c r="W1100" s="2">
        <v>0</v>
      </c>
      <c r="X1100" s="4">
        <v>0</v>
      </c>
      <c r="Y1100" s="4">
        <v>0</v>
      </c>
      <c r="Z1100" s="3">
        <v>0</v>
      </c>
      <c r="AA1100" s="3">
        <v>0</v>
      </c>
    </row>
    <row r="1101" spans="1:27" x14ac:dyDescent="0.2">
      <c r="A1101">
        <f t="shared" si="34"/>
        <v>3</v>
      </c>
      <c r="B1101">
        <f t="shared" si="35"/>
        <v>10</v>
      </c>
      <c r="C1101" s="1">
        <v>46087</v>
      </c>
      <c r="D1101" t="s">
        <v>25</v>
      </c>
      <c r="E1101" t="s">
        <v>26</v>
      </c>
      <c r="F1101" t="s">
        <v>45</v>
      </c>
      <c r="G1101" t="s">
        <v>46</v>
      </c>
      <c r="H1101" t="s">
        <v>29</v>
      </c>
      <c r="I1101" t="s">
        <v>30</v>
      </c>
      <c r="J1101" t="s">
        <v>95</v>
      </c>
      <c r="K1101" t="s">
        <v>42</v>
      </c>
      <c r="L1101" t="s">
        <v>707</v>
      </c>
      <c r="M1101" s="4">
        <v>2</v>
      </c>
      <c r="N1101" s="4">
        <v>1</v>
      </c>
      <c r="O1101" s="2">
        <v>0.5</v>
      </c>
      <c r="P1101" s="3">
        <v>0.36</v>
      </c>
      <c r="Q1101" s="3">
        <v>0.36</v>
      </c>
      <c r="R1101" s="3">
        <v>0</v>
      </c>
      <c r="S1101" s="2"/>
      <c r="T1101" s="5">
        <v>0</v>
      </c>
      <c r="U1101" s="4">
        <v>0</v>
      </c>
      <c r="V1101" s="4">
        <v>0</v>
      </c>
      <c r="W1101" s="2">
        <v>0</v>
      </c>
      <c r="X1101" s="4">
        <v>0</v>
      </c>
      <c r="Y1101" s="4">
        <v>0</v>
      </c>
      <c r="Z1101" s="3">
        <v>0</v>
      </c>
      <c r="AA1101" s="3">
        <v>0</v>
      </c>
    </row>
    <row r="1102" spans="1:27" x14ac:dyDescent="0.2">
      <c r="A1102">
        <f t="shared" si="34"/>
        <v>3</v>
      </c>
      <c r="B1102">
        <f t="shared" si="35"/>
        <v>10</v>
      </c>
      <c r="C1102" s="1">
        <v>46088</v>
      </c>
      <c r="D1102" t="s">
        <v>25</v>
      </c>
      <c r="E1102" t="s">
        <v>26</v>
      </c>
      <c r="F1102" t="s">
        <v>53</v>
      </c>
      <c r="G1102" t="s">
        <v>54</v>
      </c>
      <c r="H1102" t="s">
        <v>29</v>
      </c>
      <c r="I1102" t="s">
        <v>30</v>
      </c>
      <c r="J1102" t="s">
        <v>47</v>
      </c>
      <c r="K1102" t="s">
        <v>42</v>
      </c>
      <c r="L1102" t="s">
        <v>708</v>
      </c>
      <c r="M1102" s="4">
        <v>1</v>
      </c>
      <c r="N1102" s="4">
        <v>1</v>
      </c>
      <c r="O1102" s="2">
        <v>1</v>
      </c>
      <c r="P1102" s="3">
        <v>0.6</v>
      </c>
      <c r="Q1102" s="3">
        <v>0.6</v>
      </c>
      <c r="R1102" s="3">
        <v>0</v>
      </c>
      <c r="S1102" s="2"/>
      <c r="T1102" s="5">
        <v>0</v>
      </c>
      <c r="U1102" s="4">
        <v>0</v>
      </c>
      <c r="V1102" s="4">
        <v>0</v>
      </c>
      <c r="W1102" s="2">
        <v>0</v>
      </c>
      <c r="X1102" s="4">
        <v>0</v>
      </c>
      <c r="Y1102" s="4">
        <v>0</v>
      </c>
      <c r="Z1102" s="3">
        <v>0</v>
      </c>
      <c r="AA1102" s="3">
        <v>0</v>
      </c>
    </row>
    <row r="1103" spans="1:27" x14ac:dyDescent="0.2">
      <c r="A1103">
        <f t="shared" si="34"/>
        <v>3</v>
      </c>
      <c r="B1103">
        <f t="shared" si="35"/>
        <v>10</v>
      </c>
      <c r="C1103" s="1">
        <v>46088</v>
      </c>
      <c r="D1103" t="s">
        <v>25</v>
      </c>
      <c r="E1103" t="s">
        <v>26</v>
      </c>
      <c r="F1103" t="s">
        <v>61</v>
      </c>
      <c r="G1103" t="s">
        <v>62</v>
      </c>
      <c r="H1103" t="s">
        <v>29</v>
      </c>
      <c r="I1103" t="s">
        <v>30</v>
      </c>
      <c r="J1103" t="s">
        <v>51</v>
      </c>
      <c r="K1103" t="s">
        <v>42</v>
      </c>
      <c r="L1103" t="s">
        <v>709</v>
      </c>
      <c r="M1103" s="4">
        <v>3</v>
      </c>
      <c r="N1103" s="4">
        <v>1</v>
      </c>
      <c r="O1103" s="2">
        <v>0.33333333333333331</v>
      </c>
      <c r="P1103" s="3">
        <v>1.1399999999999999</v>
      </c>
      <c r="Q1103" s="3">
        <v>1.1399999999999999</v>
      </c>
      <c r="R1103" s="3">
        <v>0</v>
      </c>
      <c r="S1103" s="2"/>
      <c r="T1103" s="5">
        <v>0</v>
      </c>
      <c r="U1103" s="4">
        <v>0</v>
      </c>
      <c r="V1103" s="4">
        <v>0</v>
      </c>
      <c r="W1103" s="2">
        <v>0</v>
      </c>
      <c r="X1103" s="4">
        <v>0</v>
      </c>
      <c r="Y1103" s="4">
        <v>0</v>
      </c>
      <c r="Z1103" s="3">
        <v>0</v>
      </c>
      <c r="AA1103" s="3">
        <v>0</v>
      </c>
    </row>
    <row r="1104" spans="1:27" x14ac:dyDescent="0.2">
      <c r="A1104">
        <f t="shared" si="34"/>
        <v>3</v>
      </c>
      <c r="B1104">
        <f t="shared" si="35"/>
        <v>12</v>
      </c>
      <c r="C1104" s="1">
        <v>46102</v>
      </c>
      <c r="D1104" t="s">
        <v>25</v>
      </c>
      <c r="E1104" t="s">
        <v>26</v>
      </c>
      <c r="F1104" t="s">
        <v>53</v>
      </c>
      <c r="G1104" t="s">
        <v>54</v>
      </c>
      <c r="H1104" t="s">
        <v>29</v>
      </c>
      <c r="I1104" t="s">
        <v>30</v>
      </c>
      <c r="J1104" t="s">
        <v>95</v>
      </c>
      <c r="K1104" t="s">
        <v>42</v>
      </c>
      <c r="L1104" t="s">
        <v>710</v>
      </c>
      <c r="M1104" s="4">
        <v>1</v>
      </c>
      <c r="N1104" s="4">
        <v>1</v>
      </c>
      <c r="O1104" s="2">
        <v>1</v>
      </c>
      <c r="P1104" s="3">
        <v>0.45</v>
      </c>
      <c r="Q1104" s="3">
        <v>0.45</v>
      </c>
      <c r="R1104" s="3">
        <v>0</v>
      </c>
      <c r="S1104" s="2"/>
      <c r="T1104" s="5">
        <v>0</v>
      </c>
      <c r="U1104" s="4">
        <v>0</v>
      </c>
      <c r="V1104" s="4">
        <v>0</v>
      </c>
      <c r="W1104" s="2">
        <v>0</v>
      </c>
      <c r="X1104" s="4">
        <v>0</v>
      </c>
      <c r="Y1104" s="4">
        <v>0</v>
      </c>
      <c r="Z1104" s="3">
        <v>0</v>
      </c>
      <c r="AA1104" s="3">
        <v>0</v>
      </c>
    </row>
    <row r="1105" spans="1:27" x14ac:dyDescent="0.2">
      <c r="A1105">
        <f t="shared" si="34"/>
        <v>3</v>
      </c>
      <c r="B1105">
        <f t="shared" si="35"/>
        <v>11</v>
      </c>
      <c r="C1105" s="1">
        <v>46090</v>
      </c>
      <c r="D1105" t="s">
        <v>25</v>
      </c>
      <c r="E1105" t="s">
        <v>26</v>
      </c>
      <c r="F1105" t="s">
        <v>49</v>
      </c>
      <c r="G1105" t="s">
        <v>50</v>
      </c>
      <c r="H1105" t="s">
        <v>29</v>
      </c>
      <c r="I1105" t="s">
        <v>30</v>
      </c>
      <c r="J1105" t="s">
        <v>95</v>
      </c>
      <c r="K1105" t="s">
        <v>42</v>
      </c>
      <c r="L1105" t="s">
        <v>711</v>
      </c>
      <c r="M1105" s="4">
        <v>2</v>
      </c>
      <c r="N1105" s="4">
        <v>1</v>
      </c>
      <c r="O1105" s="2">
        <v>0.5</v>
      </c>
      <c r="P1105" s="3">
        <v>0.42</v>
      </c>
      <c r="Q1105" s="3">
        <v>0.42</v>
      </c>
      <c r="R1105" s="3">
        <v>18.989999999999998</v>
      </c>
      <c r="S1105" s="2">
        <v>2.2116903633491308E-2</v>
      </c>
      <c r="T1105" s="5">
        <v>45.214285714285715</v>
      </c>
      <c r="U1105" s="4">
        <v>1</v>
      </c>
      <c r="V1105" s="4">
        <v>1</v>
      </c>
      <c r="W1105" s="2">
        <v>1</v>
      </c>
      <c r="X1105" s="4">
        <v>1</v>
      </c>
      <c r="Y1105" s="4">
        <v>0</v>
      </c>
      <c r="Z1105" s="3">
        <v>18.989999999999998</v>
      </c>
      <c r="AA1105" s="3">
        <v>0</v>
      </c>
    </row>
    <row r="1106" spans="1:27" x14ac:dyDescent="0.2">
      <c r="A1106">
        <f t="shared" si="34"/>
        <v>3</v>
      </c>
      <c r="B1106">
        <f t="shared" si="35"/>
        <v>12</v>
      </c>
      <c r="C1106" s="1">
        <v>46098</v>
      </c>
      <c r="D1106" t="s">
        <v>25</v>
      </c>
      <c r="E1106" t="s">
        <v>26</v>
      </c>
      <c r="F1106" t="s">
        <v>27</v>
      </c>
      <c r="G1106" t="s">
        <v>28</v>
      </c>
      <c r="H1106" t="s">
        <v>29</v>
      </c>
      <c r="I1106" t="s">
        <v>30</v>
      </c>
      <c r="J1106" t="s">
        <v>101</v>
      </c>
      <c r="K1106" t="s">
        <v>32</v>
      </c>
      <c r="L1106" t="s">
        <v>712</v>
      </c>
      <c r="M1106" s="4">
        <v>1</v>
      </c>
      <c r="N1106" s="4">
        <v>1</v>
      </c>
      <c r="O1106" s="2">
        <v>1</v>
      </c>
      <c r="P1106" s="3">
        <v>0.21</v>
      </c>
      <c r="Q1106" s="3">
        <v>0.21</v>
      </c>
      <c r="R1106" s="3">
        <v>0</v>
      </c>
      <c r="S1106" s="2"/>
      <c r="T1106" s="5">
        <v>0</v>
      </c>
      <c r="U1106" s="4">
        <v>0</v>
      </c>
      <c r="V1106" s="4">
        <v>0</v>
      </c>
      <c r="W1106" s="2">
        <v>0</v>
      </c>
      <c r="X1106" s="4">
        <v>0</v>
      </c>
      <c r="Y1106" s="4">
        <v>0</v>
      </c>
      <c r="Z1106" s="3">
        <v>0</v>
      </c>
      <c r="AA1106" s="3">
        <v>0</v>
      </c>
    </row>
    <row r="1107" spans="1:27" x14ac:dyDescent="0.2">
      <c r="A1107">
        <f t="shared" si="34"/>
        <v>3</v>
      </c>
      <c r="B1107">
        <f t="shared" si="35"/>
        <v>11</v>
      </c>
      <c r="C1107" s="1">
        <v>46091</v>
      </c>
      <c r="D1107" t="s">
        <v>25</v>
      </c>
      <c r="E1107" t="s">
        <v>26</v>
      </c>
      <c r="F1107" t="s">
        <v>49</v>
      </c>
      <c r="G1107" t="s">
        <v>50</v>
      </c>
      <c r="H1107" t="s">
        <v>29</v>
      </c>
      <c r="I1107" t="s">
        <v>30</v>
      </c>
      <c r="J1107" t="s">
        <v>95</v>
      </c>
      <c r="K1107" t="s">
        <v>42</v>
      </c>
      <c r="L1107" t="s">
        <v>713</v>
      </c>
      <c r="M1107" s="4">
        <v>9</v>
      </c>
      <c r="N1107" s="4">
        <v>1</v>
      </c>
      <c r="O1107" s="2">
        <v>0.1111111111111111</v>
      </c>
      <c r="P1107" s="3">
        <v>0.5</v>
      </c>
      <c r="Q1107" s="3">
        <v>0.5</v>
      </c>
      <c r="R1107" s="3">
        <v>0</v>
      </c>
      <c r="S1107" s="2"/>
      <c r="T1107" s="5">
        <v>0</v>
      </c>
      <c r="U1107" s="4">
        <v>0</v>
      </c>
      <c r="V1107" s="4">
        <v>0</v>
      </c>
      <c r="W1107" s="2">
        <v>0</v>
      </c>
      <c r="X1107" s="4">
        <v>0</v>
      </c>
      <c r="Y1107" s="4">
        <v>0</v>
      </c>
      <c r="Z1107" s="3">
        <v>0</v>
      </c>
      <c r="AA1107" s="3">
        <v>0</v>
      </c>
    </row>
    <row r="1108" spans="1:27" x14ac:dyDescent="0.2">
      <c r="A1108">
        <f t="shared" si="34"/>
        <v>3</v>
      </c>
      <c r="B1108">
        <f t="shared" si="35"/>
        <v>12</v>
      </c>
      <c r="C1108" s="1">
        <v>46102</v>
      </c>
      <c r="D1108" t="s">
        <v>25</v>
      </c>
      <c r="E1108" t="s">
        <v>26</v>
      </c>
      <c r="F1108" t="s">
        <v>27</v>
      </c>
      <c r="G1108" t="s">
        <v>28</v>
      </c>
      <c r="H1108" t="s">
        <v>29</v>
      </c>
      <c r="I1108" t="s">
        <v>30</v>
      </c>
      <c r="J1108" t="s">
        <v>101</v>
      </c>
      <c r="K1108" t="s">
        <v>32</v>
      </c>
      <c r="L1108" t="s">
        <v>714</v>
      </c>
      <c r="M1108" s="4">
        <v>4</v>
      </c>
      <c r="N1108" s="4">
        <v>1</v>
      </c>
      <c r="O1108" s="2">
        <v>0.25</v>
      </c>
      <c r="P1108" s="3">
        <v>0.21</v>
      </c>
      <c r="Q1108" s="3">
        <v>0.21</v>
      </c>
      <c r="R1108" s="3">
        <v>0</v>
      </c>
      <c r="S1108" s="2"/>
      <c r="T1108" s="5">
        <v>0</v>
      </c>
      <c r="U1108" s="4">
        <v>0</v>
      </c>
      <c r="V1108" s="4">
        <v>0</v>
      </c>
      <c r="W1108" s="2">
        <v>0</v>
      </c>
      <c r="X1108" s="4">
        <v>0</v>
      </c>
      <c r="Y1108" s="4">
        <v>0</v>
      </c>
      <c r="Z1108" s="3">
        <v>0</v>
      </c>
      <c r="AA1108" s="3">
        <v>0</v>
      </c>
    </row>
    <row r="1109" spans="1:27" x14ac:dyDescent="0.2">
      <c r="A1109">
        <f t="shared" si="34"/>
        <v>3</v>
      </c>
      <c r="B1109">
        <f t="shared" si="35"/>
        <v>12</v>
      </c>
      <c r="C1109" s="1">
        <v>46100</v>
      </c>
      <c r="D1109" t="s">
        <v>25</v>
      </c>
      <c r="E1109" t="s">
        <v>26</v>
      </c>
      <c r="F1109" t="s">
        <v>27</v>
      </c>
      <c r="G1109" t="s">
        <v>28</v>
      </c>
      <c r="H1109" t="s">
        <v>29</v>
      </c>
      <c r="I1109" t="s">
        <v>30</v>
      </c>
      <c r="J1109" t="s">
        <v>101</v>
      </c>
      <c r="K1109" t="s">
        <v>32</v>
      </c>
      <c r="L1109" t="s">
        <v>715</v>
      </c>
      <c r="M1109" s="4">
        <v>1</v>
      </c>
      <c r="N1109" s="4">
        <v>1</v>
      </c>
      <c r="O1109" s="2">
        <v>1</v>
      </c>
      <c r="P1109" s="3">
        <v>0.21</v>
      </c>
      <c r="Q1109" s="3">
        <v>0.21</v>
      </c>
      <c r="R1109" s="3">
        <v>0</v>
      </c>
      <c r="S1109" s="2"/>
      <c r="T1109" s="5">
        <v>0</v>
      </c>
      <c r="U1109" s="4">
        <v>0</v>
      </c>
      <c r="V1109" s="4">
        <v>0</v>
      </c>
      <c r="W1109" s="2">
        <v>0</v>
      </c>
      <c r="X1109" s="4">
        <v>0</v>
      </c>
      <c r="Y1109" s="4">
        <v>0</v>
      </c>
      <c r="Z1109" s="3">
        <v>0</v>
      </c>
      <c r="AA1109" s="3">
        <v>0</v>
      </c>
    </row>
    <row r="1110" spans="1:27" x14ac:dyDescent="0.2">
      <c r="A1110">
        <f t="shared" si="34"/>
        <v>3</v>
      </c>
      <c r="B1110">
        <f t="shared" si="35"/>
        <v>11</v>
      </c>
      <c r="C1110" s="1">
        <v>46091</v>
      </c>
      <c r="D1110" t="s">
        <v>25</v>
      </c>
      <c r="E1110" t="s">
        <v>26</v>
      </c>
      <c r="F1110" t="s">
        <v>27</v>
      </c>
      <c r="G1110" t="s">
        <v>28</v>
      </c>
      <c r="H1110" t="s">
        <v>29</v>
      </c>
      <c r="I1110" t="s">
        <v>30</v>
      </c>
      <c r="J1110" t="s">
        <v>101</v>
      </c>
      <c r="K1110" t="s">
        <v>32</v>
      </c>
      <c r="L1110" t="s">
        <v>716</v>
      </c>
      <c r="M1110" s="4">
        <v>3</v>
      </c>
      <c r="N1110" s="4">
        <v>1</v>
      </c>
      <c r="O1110" s="2">
        <v>0.33333333333333331</v>
      </c>
      <c r="P1110" s="3">
        <v>0.4</v>
      </c>
      <c r="Q1110" s="3">
        <v>0.4</v>
      </c>
      <c r="R1110" s="3">
        <v>0</v>
      </c>
      <c r="S1110" s="2"/>
      <c r="T1110" s="5">
        <v>0</v>
      </c>
      <c r="U1110" s="4">
        <v>0</v>
      </c>
      <c r="V1110" s="4">
        <v>0</v>
      </c>
      <c r="W1110" s="2">
        <v>0</v>
      </c>
      <c r="X1110" s="4">
        <v>0</v>
      </c>
      <c r="Y1110" s="4">
        <v>0</v>
      </c>
      <c r="Z1110" s="3">
        <v>0</v>
      </c>
      <c r="AA1110" s="3">
        <v>0</v>
      </c>
    </row>
    <row r="1111" spans="1:27" x14ac:dyDescent="0.2">
      <c r="A1111">
        <f t="shared" si="34"/>
        <v>3</v>
      </c>
      <c r="B1111">
        <f t="shared" si="35"/>
        <v>10</v>
      </c>
      <c r="C1111" s="1">
        <v>46088</v>
      </c>
      <c r="D1111" t="s">
        <v>25</v>
      </c>
      <c r="E1111" t="s">
        <v>26</v>
      </c>
      <c r="F1111" t="s">
        <v>53</v>
      </c>
      <c r="G1111" t="s">
        <v>54</v>
      </c>
      <c r="H1111" t="s">
        <v>29</v>
      </c>
      <c r="I1111" t="s">
        <v>30</v>
      </c>
      <c r="J1111" t="s">
        <v>47</v>
      </c>
      <c r="K1111" t="s">
        <v>42</v>
      </c>
      <c r="L1111" t="s">
        <v>717</v>
      </c>
      <c r="M1111" s="4">
        <v>3</v>
      </c>
      <c r="N1111" s="4">
        <v>1</v>
      </c>
      <c r="O1111" s="2">
        <v>0.33333333333333331</v>
      </c>
      <c r="P1111" s="3">
        <v>0.99</v>
      </c>
      <c r="Q1111" s="3">
        <v>0.99</v>
      </c>
      <c r="R1111" s="3">
        <v>8.93</v>
      </c>
      <c r="S1111" s="2">
        <v>0.11086226203807389</v>
      </c>
      <c r="T1111" s="5">
        <v>9.0202020202020208</v>
      </c>
      <c r="U1111" s="4">
        <v>1</v>
      </c>
      <c r="V1111" s="4">
        <v>1</v>
      </c>
      <c r="W1111" s="2">
        <v>1</v>
      </c>
      <c r="X1111" s="4">
        <v>1</v>
      </c>
      <c r="Y1111" s="4">
        <v>0</v>
      </c>
      <c r="Z1111" s="3">
        <v>8.93</v>
      </c>
      <c r="AA1111" s="3">
        <v>0</v>
      </c>
    </row>
    <row r="1112" spans="1:27" x14ac:dyDescent="0.2">
      <c r="A1112">
        <f t="shared" si="34"/>
        <v>3</v>
      </c>
      <c r="B1112">
        <f t="shared" si="35"/>
        <v>12</v>
      </c>
      <c r="C1112" s="1">
        <v>46102</v>
      </c>
      <c r="D1112" t="s">
        <v>25</v>
      </c>
      <c r="E1112" t="s">
        <v>26</v>
      </c>
      <c r="F1112" t="s">
        <v>53</v>
      </c>
      <c r="G1112" t="s">
        <v>54</v>
      </c>
      <c r="H1112" t="s">
        <v>29</v>
      </c>
      <c r="I1112" t="s">
        <v>30</v>
      </c>
      <c r="J1112" t="s">
        <v>47</v>
      </c>
      <c r="K1112" t="s">
        <v>42</v>
      </c>
      <c r="L1112" t="s">
        <v>718</v>
      </c>
      <c r="M1112" s="4">
        <v>2</v>
      </c>
      <c r="N1112" s="4">
        <v>1</v>
      </c>
      <c r="O1112" s="2">
        <v>0.5</v>
      </c>
      <c r="P1112" s="3">
        <v>0.77</v>
      </c>
      <c r="Q1112" s="3">
        <v>0.77</v>
      </c>
      <c r="R1112" s="3">
        <v>0</v>
      </c>
      <c r="S1112" s="2"/>
      <c r="T1112" s="5">
        <v>0</v>
      </c>
      <c r="U1112" s="4">
        <v>0</v>
      </c>
      <c r="V1112" s="4">
        <v>0</v>
      </c>
      <c r="W1112" s="2">
        <v>0</v>
      </c>
      <c r="X1112" s="4">
        <v>0</v>
      </c>
      <c r="Y1112" s="4">
        <v>0</v>
      </c>
      <c r="Z1112" s="3">
        <v>0</v>
      </c>
      <c r="AA1112" s="3">
        <v>0</v>
      </c>
    </row>
    <row r="1113" spans="1:27" x14ac:dyDescent="0.2">
      <c r="A1113">
        <f t="shared" si="34"/>
        <v>3</v>
      </c>
      <c r="B1113">
        <f t="shared" si="35"/>
        <v>10</v>
      </c>
      <c r="C1113" s="1">
        <v>46085</v>
      </c>
      <c r="D1113" t="s">
        <v>25</v>
      </c>
      <c r="E1113" t="s">
        <v>26</v>
      </c>
      <c r="F1113" t="s">
        <v>53</v>
      </c>
      <c r="G1113" t="s">
        <v>54</v>
      </c>
      <c r="H1113" t="s">
        <v>29</v>
      </c>
      <c r="I1113" t="s">
        <v>30</v>
      </c>
      <c r="J1113" t="s">
        <v>47</v>
      </c>
      <c r="K1113" t="s">
        <v>42</v>
      </c>
      <c r="L1113" t="s">
        <v>105</v>
      </c>
      <c r="M1113" s="4">
        <v>7</v>
      </c>
      <c r="N1113" s="4">
        <v>1</v>
      </c>
      <c r="O1113" s="2">
        <v>0.14285714285714285</v>
      </c>
      <c r="P1113" s="3">
        <v>1.37</v>
      </c>
      <c r="Q1113" s="3">
        <v>1.37</v>
      </c>
      <c r="R1113" s="3">
        <v>0</v>
      </c>
      <c r="S1113" s="2"/>
      <c r="T1113" s="5">
        <v>0</v>
      </c>
      <c r="U1113" s="4">
        <v>0</v>
      </c>
      <c r="V1113" s="4">
        <v>0</v>
      </c>
      <c r="W1113" s="2">
        <v>0</v>
      </c>
      <c r="X1113" s="4">
        <v>0</v>
      </c>
      <c r="Y1113" s="4">
        <v>0</v>
      </c>
      <c r="Z1113" s="3">
        <v>0</v>
      </c>
      <c r="AA1113" s="3">
        <v>0</v>
      </c>
    </row>
    <row r="1114" spans="1:27" x14ac:dyDescent="0.2">
      <c r="A1114">
        <f t="shared" si="34"/>
        <v>3</v>
      </c>
      <c r="B1114">
        <f t="shared" si="35"/>
        <v>11</v>
      </c>
      <c r="C1114" s="1">
        <v>46094</v>
      </c>
      <c r="D1114" t="s">
        <v>25</v>
      </c>
      <c r="E1114" t="s">
        <v>26</v>
      </c>
      <c r="F1114" t="s">
        <v>53</v>
      </c>
      <c r="G1114" t="s">
        <v>54</v>
      </c>
      <c r="H1114" t="s">
        <v>29</v>
      </c>
      <c r="I1114" t="s">
        <v>30</v>
      </c>
      <c r="J1114" t="s">
        <v>47</v>
      </c>
      <c r="K1114" t="s">
        <v>42</v>
      </c>
      <c r="L1114" t="s">
        <v>105</v>
      </c>
      <c r="M1114" s="4">
        <v>5</v>
      </c>
      <c r="N1114" s="4">
        <v>1</v>
      </c>
      <c r="O1114" s="2">
        <v>0.2</v>
      </c>
      <c r="P1114" s="3">
        <v>0.65</v>
      </c>
      <c r="Q1114" s="3">
        <v>0.65</v>
      </c>
      <c r="R1114" s="3">
        <v>0</v>
      </c>
      <c r="S1114" s="2"/>
      <c r="T1114" s="5">
        <v>0</v>
      </c>
      <c r="U1114" s="4">
        <v>0</v>
      </c>
      <c r="V1114" s="4">
        <v>0</v>
      </c>
      <c r="W1114" s="2">
        <v>0</v>
      </c>
      <c r="X1114" s="4">
        <v>0</v>
      </c>
      <c r="Y1114" s="4">
        <v>0</v>
      </c>
      <c r="Z1114" s="3">
        <v>0</v>
      </c>
      <c r="AA1114" s="3">
        <v>0</v>
      </c>
    </row>
    <row r="1115" spans="1:27" x14ac:dyDescent="0.2">
      <c r="A1115">
        <f t="shared" si="34"/>
        <v>3</v>
      </c>
      <c r="B1115">
        <f t="shared" si="35"/>
        <v>11</v>
      </c>
      <c r="C1115" s="1">
        <v>46093</v>
      </c>
      <c r="D1115" t="s">
        <v>25</v>
      </c>
      <c r="E1115" t="s">
        <v>26</v>
      </c>
      <c r="F1115" t="s">
        <v>61</v>
      </c>
      <c r="G1115" t="s">
        <v>62</v>
      </c>
      <c r="H1115" t="s">
        <v>29</v>
      </c>
      <c r="I1115" t="s">
        <v>30</v>
      </c>
      <c r="J1115" t="s">
        <v>47</v>
      </c>
      <c r="K1115" t="s">
        <v>42</v>
      </c>
      <c r="L1115" t="s">
        <v>108</v>
      </c>
      <c r="M1115" s="4">
        <v>215</v>
      </c>
      <c r="N1115" s="4">
        <v>1</v>
      </c>
      <c r="O1115" s="2">
        <v>4.6511627906976744E-3</v>
      </c>
      <c r="P1115" s="3">
        <v>1.53</v>
      </c>
      <c r="Q1115" s="3">
        <v>1.53</v>
      </c>
      <c r="R1115" s="3">
        <v>0</v>
      </c>
      <c r="S1115" s="2"/>
      <c r="T1115" s="5">
        <v>0</v>
      </c>
      <c r="U1115" s="4">
        <v>0</v>
      </c>
      <c r="V1115" s="4">
        <v>0</v>
      </c>
      <c r="W1115" s="2">
        <v>0</v>
      </c>
      <c r="X1115" s="4">
        <v>0</v>
      </c>
      <c r="Y1115" s="4">
        <v>0</v>
      </c>
      <c r="Z1115" s="3">
        <v>0</v>
      </c>
      <c r="AA1115" s="3">
        <v>0</v>
      </c>
    </row>
    <row r="1116" spans="1:27" x14ac:dyDescent="0.2">
      <c r="A1116">
        <f t="shared" si="34"/>
        <v>3</v>
      </c>
      <c r="B1116">
        <f t="shared" si="35"/>
        <v>12</v>
      </c>
      <c r="C1116" s="1">
        <v>46100</v>
      </c>
      <c r="D1116" t="s">
        <v>25</v>
      </c>
      <c r="E1116" t="s">
        <v>26</v>
      </c>
      <c r="F1116" t="s">
        <v>61</v>
      </c>
      <c r="G1116" t="s">
        <v>62</v>
      </c>
      <c r="H1116" t="s">
        <v>29</v>
      </c>
      <c r="I1116" t="s">
        <v>30</v>
      </c>
      <c r="J1116" t="s">
        <v>47</v>
      </c>
      <c r="K1116" t="s">
        <v>42</v>
      </c>
      <c r="L1116" t="s">
        <v>108</v>
      </c>
      <c r="M1116" s="4">
        <v>54</v>
      </c>
      <c r="N1116" s="4">
        <v>1</v>
      </c>
      <c r="O1116" s="2">
        <v>1.8518518518518517E-2</v>
      </c>
      <c r="P1116" s="3">
        <v>1.56</v>
      </c>
      <c r="Q1116" s="3">
        <v>1.56</v>
      </c>
      <c r="R1116" s="3">
        <v>0</v>
      </c>
      <c r="S1116" s="2"/>
      <c r="T1116" s="5">
        <v>0</v>
      </c>
      <c r="U1116" s="4">
        <v>0</v>
      </c>
      <c r="V1116" s="4">
        <v>0</v>
      </c>
      <c r="W1116" s="2">
        <v>0</v>
      </c>
      <c r="X1116" s="4">
        <v>0</v>
      </c>
      <c r="Y1116" s="4">
        <v>0</v>
      </c>
      <c r="Z1116" s="3">
        <v>0</v>
      </c>
      <c r="AA1116" s="3">
        <v>0</v>
      </c>
    </row>
    <row r="1117" spans="1:27" x14ac:dyDescent="0.2">
      <c r="A1117">
        <f t="shared" si="34"/>
        <v>3</v>
      </c>
      <c r="B1117">
        <f t="shared" si="35"/>
        <v>12</v>
      </c>
      <c r="C1117" s="1">
        <v>46102</v>
      </c>
      <c r="D1117" t="s">
        <v>25</v>
      </c>
      <c r="E1117" t="s">
        <v>26</v>
      </c>
      <c r="F1117" t="s">
        <v>61</v>
      </c>
      <c r="G1117" t="s">
        <v>62</v>
      </c>
      <c r="H1117" t="s">
        <v>29</v>
      </c>
      <c r="I1117" t="s">
        <v>30</v>
      </c>
      <c r="J1117" t="s">
        <v>47</v>
      </c>
      <c r="K1117" t="s">
        <v>42</v>
      </c>
      <c r="L1117" t="s">
        <v>108</v>
      </c>
      <c r="M1117" s="4">
        <v>60</v>
      </c>
      <c r="N1117" s="4">
        <v>1</v>
      </c>
      <c r="O1117" s="2">
        <v>1.6666666666666666E-2</v>
      </c>
      <c r="P1117" s="3">
        <v>1.67</v>
      </c>
      <c r="Q1117" s="3">
        <v>1.67</v>
      </c>
      <c r="R1117" s="3">
        <v>0</v>
      </c>
      <c r="S1117" s="2"/>
      <c r="T1117" s="5">
        <v>0</v>
      </c>
      <c r="U1117" s="4">
        <v>0</v>
      </c>
      <c r="V1117" s="4">
        <v>0</v>
      </c>
      <c r="W1117" s="2">
        <v>0</v>
      </c>
      <c r="X1117" s="4">
        <v>0</v>
      </c>
      <c r="Y1117" s="4">
        <v>0</v>
      </c>
      <c r="Z1117" s="3">
        <v>0</v>
      </c>
      <c r="AA1117" s="3">
        <v>0</v>
      </c>
    </row>
    <row r="1118" spans="1:27" x14ac:dyDescent="0.2">
      <c r="A1118">
        <f t="shared" si="34"/>
        <v>3</v>
      </c>
      <c r="B1118">
        <f t="shared" si="35"/>
        <v>12</v>
      </c>
      <c r="C1118" s="1">
        <v>46097</v>
      </c>
      <c r="D1118" t="s">
        <v>25</v>
      </c>
      <c r="E1118" t="s">
        <v>26</v>
      </c>
      <c r="F1118" t="s">
        <v>53</v>
      </c>
      <c r="G1118" t="s">
        <v>54</v>
      </c>
      <c r="H1118" t="s">
        <v>29</v>
      </c>
      <c r="I1118" t="s">
        <v>30</v>
      </c>
      <c r="J1118" t="s">
        <v>47</v>
      </c>
      <c r="K1118" t="s">
        <v>42</v>
      </c>
      <c r="L1118" t="s">
        <v>108</v>
      </c>
      <c r="M1118" s="4">
        <v>18</v>
      </c>
      <c r="N1118" s="4">
        <v>1</v>
      </c>
      <c r="O1118" s="2">
        <v>5.5555555555555552E-2</v>
      </c>
      <c r="P1118" s="3">
        <v>0.5</v>
      </c>
      <c r="Q1118" s="3">
        <v>0.5</v>
      </c>
      <c r="R1118" s="3">
        <v>0</v>
      </c>
      <c r="S1118" s="2"/>
      <c r="T1118" s="5">
        <v>0</v>
      </c>
      <c r="U1118" s="4">
        <v>0</v>
      </c>
      <c r="V1118" s="4">
        <v>0</v>
      </c>
      <c r="W1118" s="2">
        <v>0</v>
      </c>
      <c r="X1118" s="4">
        <v>0</v>
      </c>
      <c r="Y1118" s="4">
        <v>0</v>
      </c>
      <c r="Z1118" s="3">
        <v>0</v>
      </c>
      <c r="AA1118" s="3">
        <v>0</v>
      </c>
    </row>
    <row r="1119" spans="1:27" x14ac:dyDescent="0.2">
      <c r="A1119">
        <f t="shared" si="34"/>
        <v>3</v>
      </c>
      <c r="B1119">
        <f t="shared" si="35"/>
        <v>10</v>
      </c>
      <c r="C1119" s="1">
        <v>46083</v>
      </c>
      <c r="D1119" t="s">
        <v>25</v>
      </c>
      <c r="E1119" t="s">
        <v>26</v>
      </c>
      <c r="F1119" t="s">
        <v>53</v>
      </c>
      <c r="G1119" t="s">
        <v>54</v>
      </c>
      <c r="H1119" t="s">
        <v>29</v>
      </c>
      <c r="I1119" t="s">
        <v>30</v>
      </c>
      <c r="J1119" t="s">
        <v>47</v>
      </c>
      <c r="K1119" t="s">
        <v>42</v>
      </c>
      <c r="L1119" t="s">
        <v>109</v>
      </c>
      <c r="M1119" s="4">
        <v>38</v>
      </c>
      <c r="N1119" s="4">
        <v>1</v>
      </c>
      <c r="O1119" s="2">
        <v>2.6315789473684209E-2</v>
      </c>
      <c r="P1119" s="3">
        <v>0.99</v>
      </c>
      <c r="Q1119" s="3">
        <v>0.99</v>
      </c>
      <c r="R1119" s="3">
        <v>0</v>
      </c>
      <c r="S1119" s="2"/>
      <c r="T1119" s="5">
        <v>0</v>
      </c>
      <c r="U1119" s="4">
        <v>0</v>
      </c>
      <c r="V1119" s="4">
        <v>0</v>
      </c>
      <c r="W1119" s="2">
        <v>0</v>
      </c>
      <c r="X1119" s="4">
        <v>0</v>
      </c>
      <c r="Y1119" s="4">
        <v>0</v>
      </c>
      <c r="Z1119" s="3">
        <v>0</v>
      </c>
      <c r="AA1119" s="3">
        <v>0</v>
      </c>
    </row>
    <row r="1120" spans="1:27" x14ac:dyDescent="0.2">
      <c r="A1120">
        <f t="shared" si="34"/>
        <v>3</v>
      </c>
      <c r="B1120">
        <f t="shared" si="35"/>
        <v>11</v>
      </c>
      <c r="C1120" s="1">
        <v>46095</v>
      </c>
      <c r="D1120" t="s">
        <v>25</v>
      </c>
      <c r="E1120" t="s">
        <v>26</v>
      </c>
      <c r="F1120" t="s">
        <v>53</v>
      </c>
      <c r="G1120" t="s">
        <v>54</v>
      </c>
      <c r="H1120" t="s">
        <v>29</v>
      </c>
      <c r="I1120" t="s">
        <v>30</v>
      </c>
      <c r="J1120" t="s">
        <v>47</v>
      </c>
      <c r="K1120" t="s">
        <v>42</v>
      </c>
      <c r="L1120" t="s">
        <v>109</v>
      </c>
      <c r="M1120" s="4">
        <v>14</v>
      </c>
      <c r="N1120" s="4">
        <v>1</v>
      </c>
      <c r="O1120" s="2">
        <v>7.1428571428571425E-2</v>
      </c>
      <c r="P1120" s="3">
        <v>0.65</v>
      </c>
      <c r="Q1120" s="3">
        <v>0.65</v>
      </c>
      <c r="R1120" s="3">
        <v>0</v>
      </c>
      <c r="S1120" s="2"/>
      <c r="T1120" s="5">
        <v>0</v>
      </c>
      <c r="U1120" s="4">
        <v>0</v>
      </c>
      <c r="V1120" s="4">
        <v>0</v>
      </c>
      <c r="W1120" s="2">
        <v>0</v>
      </c>
      <c r="X1120" s="4">
        <v>0</v>
      </c>
      <c r="Y1120" s="4">
        <v>0</v>
      </c>
      <c r="Z1120" s="3">
        <v>0</v>
      </c>
      <c r="AA1120" s="3">
        <v>0</v>
      </c>
    </row>
    <row r="1121" spans="1:27" x14ac:dyDescent="0.2">
      <c r="A1121">
        <f t="shared" si="34"/>
        <v>3</v>
      </c>
      <c r="B1121">
        <f t="shared" si="35"/>
        <v>12</v>
      </c>
      <c r="C1121" s="1">
        <v>46096</v>
      </c>
      <c r="D1121" t="s">
        <v>25</v>
      </c>
      <c r="E1121" t="s">
        <v>26</v>
      </c>
      <c r="F1121" t="s">
        <v>53</v>
      </c>
      <c r="G1121" t="s">
        <v>54</v>
      </c>
      <c r="H1121" t="s">
        <v>29</v>
      </c>
      <c r="I1121" t="s">
        <v>30</v>
      </c>
      <c r="J1121" t="s">
        <v>47</v>
      </c>
      <c r="K1121" t="s">
        <v>42</v>
      </c>
      <c r="L1121" t="s">
        <v>109</v>
      </c>
      <c r="M1121" s="4">
        <v>17</v>
      </c>
      <c r="N1121" s="4">
        <v>1</v>
      </c>
      <c r="O1121" s="2">
        <v>5.8823529411764698E-2</v>
      </c>
      <c r="P1121" s="3">
        <v>0.65</v>
      </c>
      <c r="Q1121" s="3">
        <v>0.65</v>
      </c>
      <c r="R1121" s="3">
        <v>0</v>
      </c>
      <c r="S1121" s="2"/>
      <c r="T1121" s="5">
        <v>0</v>
      </c>
      <c r="U1121" s="4">
        <v>0</v>
      </c>
      <c r="V1121" s="4">
        <v>0</v>
      </c>
      <c r="W1121" s="2">
        <v>0</v>
      </c>
      <c r="X1121" s="4">
        <v>0</v>
      </c>
      <c r="Y1121" s="4">
        <v>0</v>
      </c>
      <c r="Z1121" s="3">
        <v>0</v>
      </c>
      <c r="AA1121" s="3">
        <v>0</v>
      </c>
    </row>
    <row r="1122" spans="1:27" x14ac:dyDescent="0.2">
      <c r="A1122">
        <f t="shared" si="34"/>
        <v>3</v>
      </c>
      <c r="B1122">
        <f t="shared" si="35"/>
        <v>11</v>
      </c>
      <c r="C1122" s="1">
        <v>46089</v>
      </c>
      <c r="D1122" t="s">
        <v>25</v>
      </c>
      <c r="E1122" t="s">
        <v>26</v>
      </c>
      <c r="F1122" t="s">
        <v>53</v>
      </c>
      <c r="G1122" t="s">
        <v>54</v>
      </c>
      <c r="H1122" t="s">
        <v>29</v>
      </c>
      <c r="I1122" t="s">
        <v>30</v>
      </c>
      <c r="J1122" t="s">
        <v>47</v>
      </c>
      <c r="K1122" t="s">
        <v>42</v>
      </c>
      <c r="L1122" t="s">
        <v>719</v>
      </c>
      <c r="M1122" s="4">
        <v>3</v>
      </c>
      <c r="N1122" s="4">
        <v>1</v>
      </c>
      <c r="O1122" s="2">
        <v>0.33333333333333331</v>
      </c>
      <c r="P1122" s="3">
        <v>0.6</v>
      </c>
      <c r="Q1122" s="3">
        <v>0.6</v>
      </c>
      <c r="R1122" s="3">
        <v>0</v>
      </c>
      <c r="S1122" s="2"/>
      <c r="T1122" s="5">
        <v>0</v>
      </c>
      <c r="U1122" s="4">
        <v>0</v>
      </c>
      <c r="V1122" s="4">
        <v>0</v>
      </c>
      <c r="W1122" s="2">
        <v>0</v>
      </c>
      <c r="X1122" s="4">
        <v>0</v>
      </c>
      <c r="Y1122" s="4">
        <v>0</v>
      </c>
      <c r="Z1122" s="3">
        <v>0</v>
      </c>
      <c r="AA1122" s="3">
        <v>0</v>
      </c>
    </row>
    <row r="1123" spans="1:27" x14ac:dyDescent="0.2">
      <c r="A1123">
        <f t="shared" si="34"/>
        <v>3</v>
      </c>
      <c r="B1123">
        <f t="shared" si="35"/>
        <v>10</v>
      </c>
      <c r="C1123" s="1">
        <v>46084</v>
      </c>
      <c r="D1123" t="s">
        <v>25</v>
      </c>
      <c r="E1123" t="s">
        <v>26</v>
      </c>
      <c r="F1123" t="s">
        <v>53</v>
      </c>
      <c r="G1123" t="s">
        <v>54</v>
      </c>
      <c r="H1123" t="s">
        <v>29</v>
      </c>
      <c r="I1123" t="s">
        <v>30</v>
      </c>
      <c r="J1123" t="s">
        <v>47</v>
      </c>
      <c r="K1123" t="s">
        <v>42</v>
      </c>
      <c r="L1123" t="s">
        <v>110</v>
      </c>
      <c r="M1123" s="4">
        <v>1</v>
      </c>
      <c r="N1123" s="4">
        <v>1</v>
      </c>
      <c r="O1123" s="2">
        <v>1</v>
      </c>
      <c r="P1123" s="3">
        <v>0.6</v>
      </c>
      <c r="Q1123" s="3">
        <v>0.6</v>
      </c>
      <c r="R1123" s="3">
        <v>0</v>
      </c>
      <c r="S1123" s="2"/>
      <c r="T1123" s="5">
        <v>0</v>
      </c>
      <c r="U1123" s="4">
        <v>0</v>
      </c>
      <c r="V1123" s="4">
        <v>0</v>
      </c>
      <c r="W1123" s="2">
        <v>0</v>
      </c>
      <c r="X1123" s="4">
        <v>0</v>
      </c>
      <c r="Y1123" s="4">
        <v>0</v>
      </c>
      <c r="Z1123" s="3">
        <v>0</v>
      </c>
      <c r="AA1123" s="3">
        <v>0</v>
      </c>
    </row>
    <row r="1124" spans="1:27" x14ac:dyDescent="0.2">
      <c r="A1124">
        <f t="shared" si="34"/>
        <v>3</v>
      </c>
      <c r="B1124">
        <f t="shared" si="35"/>
        <v>12</v>
      </c>
      <c r="C1124" s="1">
        <v>46097</v>
      </c>
      <c r="D1124" t="s">
        <v>25</v>
      </c>
      <c r="E1124" t="s">
        <v>26</v>
      </c>
      <c r="F1124" t="s">
        <v>53</v>
      </c>
      <c r="G1124" t="s">
        <v>54</v>
      </c>
      <c r="H1124" t="s">
        <v>29</v>
      </c>
      <c r="I1124" t="s">
        <v>30</v>
      </c>
      <c r="J1124" t="s">
        <v>47</v>
      </c>
      <c r="K1124" t="s">
        <v>42</v>
      </c>
      <c r="L1124" t="s">
        <v>431</v>
      </c>
      <c r="M1124" s="4">
        <v>11</v>
      </c>
      <c r="N1124" s="4">
        <v>1</v>
      </c>
      <c r="O1124" s="2">
        <v>9.0909090909090925E-2</v>
      </c>
      <c r="P1124" s="3">
        <v>0.5</v>
      </c>
      <c r="Q1124" s="3">
        <v>0.5</v>
      </c>
      <c r="R1124" s="3">
        <v>0</v>
      </c>
      <c r="S1124" s="2"/>
      <c r="T1124" s="5">
        <v>0</v>
      </c>
      <c r="U1124" s="4">
        <v>0</v>
      </c>
      <c r="V1124" s="4">
        <v>0</v>
      </c>
      <c r="W1124" s="2">
        <v>0</v>
      </c>
      <c r="X1124" s="4">
        <v>0</v>
      </c>
      <c r="Y1124" s="4">
        <v>0</v>
      </c>
      <c r="Z1124" s="3">
        <v>0</v>
      </c>
      <c r="AA1124" s="3">
        <v>0</v>
      </c>
    </row>
    <row r="1125" spans="1:27" x14ac:dyDescent="0.2">
      <c r="A1125">
        <f t="shared" si="34"/>
        <v>3</v>
      </c>
      <c r="B1125">
        <f t="shared" si="35"/>
        <v>11</v>
      </c>
      <c r="C1125" s="1">
        <v>46089</v>
      </c>
      <c r="D1125" t="s">
        <v>25</v>
      </c>
      <c r="E1125" t="s">
        <v>26</v>
      </c>
      <c r="F1125" t="s">
        <v>112</v>
      </c>
      <c r="G1125" t="s">
        <v>113</v>
      </c>
      <c r="H1125" t="s">
        <v>29</v>
      </c>
      <c r="I1125" t="s">
        <v>30</v>
      </c>
      <c r="J1125" t="s">
        <v>720</v>
      </c>
      <c r="K1125" t="s">
        <v>32</v>
      </c>
      <c r="L1125" t="s">
        <v>431</v>
      </c>
      <c r="M1125" s="4">
        <v>3</v>
      </c>
      <c r="N1125" s="4">
        <v>1</v>
      </c>
      <c r="O1125" s="2">
        <v>0.33333333333333331</v>
      </c>
      <c r="P1125" s="3">
        <v>0.45</v>
      </c>
      <c r="Q1125" s="3">
        <v>0.45</v>
      </c>
      <c r="R1125" s="3">
        <v>0</v>
      </c>
      <c r="S1125" s="2"/>
      <c r="T1125" s="5">
        <v>0</v>
      </c>
      <c r="U1125" s="4">
        <v>0</v>
      </c>
      <c r="V1125" s="4">
        <v>0</v>
      </c>
      <c r="W1125" s="2">
        <v>0</v>
      </c>
      <c r="X1125" s="4">
        <v>0</v>
      </c>
      <c r="Y1125" s="4">
        <v>0</v>
      </c>
      <c r="Z1125" s="3">
        <v>0</v>
      </c>
      <c r="AA1125" s="3">
        <v>0</v>
      </c>
    </row>
    <row r="1126" spans="1:27" x14ac:dyDescent="0.2">
      <c r="A1126">
        <f t="shared" si="34"/>
        <v>3</v>
      </c>
      <c r="B1126">
        <f t="shared" si="35"/>
        <v>12</v>
      </c>
      <c r="C1126" s="1">
        <v>46099</v>
      </c>
      <c r="D1126" t="s">
        <v>25</v>
      </c>
      <c r="E1126" t="s">
        <v>26</v>
      </c>
      <c r="F1126" t="s">
        <v>53</v>
      </c>
      <c r="G1126" t="s">
        <v>54</v>
      </c>
      <c r="H1126" t="s">
        <v>29</v>
      </c>
      <c r="I1126" t="s">
        <v>30</v>
      </c>
      <c r="J1126" t="s">
        <v>47</v>
      </c>
      <c r="K1126" t="s">
        <v>42</v>
      </c>
      <c r="L1126" t="s">
        <v>111</v>
      </c>
      <c r="M1126" s="4">
        <v>7</v>
      </c>
      <c r="N1126" s="4">
        <v>2</v>
      </c>
      <c r="O1126" s="2">
        <v>0.2857142857142857</v>
      </c>
      <c r="P1126" s="3">
        <v>0.65</v>
      </c>
      <c r="Q1126" s="3">
        <v>1.3</v>
      </c>
      <c r="R1126" s="3">
        <v>0</v>
      </c>
      <c r="S1126" s="2"/>
      <c r="T1126" s="5">
        <v>0</v>
      </c>
      <c r="U1126" s="4">
        <v>0</v>
      </c>
      <c r="V1126" s="4">
        <v>0</v>
      </c>
      <c r="W1126" s="2">
        <v>0</v>
      </c>
      <c r="X1126" s="4">
        <v>0</v>
      </c>
      <c r="Y1126" s="4">
        <v>0</v>
      </c>
      <c r="Z1126" s="3">
        <v>0</v>
      </c>
      <c r="AA1126" s="3">
        <v>0</v>
      </c>
    </row>
    <row r="1127" spans="1:27" x14ac:dyDescent="0.2">
      <c r="A1127">
        <f t="shared" si="34"/>
        <v>3</v>
      </c>
      <c r="B1127">
        <f t="shared" si="35"/>
        <v>10</v>
      </c>
      <c r="C1127" s="1">
        <v>46086</v>
      </c>
      <c r="D1127" t="s">
        <v>25</v>
      </c>
      <c r="E1127" t="s">
        <v>26</v>
      </c>
      <c r="F1127" t="s">
        <v>53</v>
      </c>
      <c r="G1127" t="s">
        <v>54</v>
      </c>
      <c r="H1127" t="s">
        <v>29</v>
      </c>
      <c r="I1127" t="s">
        <v>30</v>
      </c>
      <c r="J1127" t="s">
        <v>95</v>
      </c>
      <c r="K1127" t="s">
        <v>42</v>
      </c>
      <c r="L1127" t="s">
        <v>114</v>
      </c>
      <c r="M1127" s="4">
        <v>14</v>
      </c>
      <c r="N1127" s="4">
        <v>1</v>
      </c>
      <c r="O1127" s="2">
        <v>7.1428571428571425E-2</v>
      </c>
      <c r="P1127" s="3">
        <v>0.72</v>
      </c>
      <c r="Q1127" s="3">
        <v>0.72</v>
      </c>
      <c r="R1127" s="3">
        <v>0</v>
      </c>
      <c r="S1127" s="2"/>
      <c r="T1127" s="5">
        <v>0</v>
      </c>
      <c r="U1127" s="4">
        <v>0</v>
      </c>
      <c r="V1127" s="4">
        <v>0</v>
      </c>
      <c r="W1127" s="2">
        <v>0</v>
      </c>
      <c r="X1127" s="4">
        <v>0</v>
      </c>
      <c r="Y1127" s="4">
        <v>0</v>
      </c>
      <c r="Z1127" s="3">
        <v>0</v>
      </c>
      <c r="AA1127" s="3">
        <v>0</v>
      </c>
    </row>
    <row r="1128" spans="1:27" x14ac:dyDescent="0.2">
      <c r="A1128">
        <f t="shared" si="34"/>
        <v>3</v>
      </c>
      <c r="B1128">
        <f t="shared" si="35"/>
        <v>11</v>
      </c>
      <c r="C1128" s="1">
        <v>46092</v>
      </c>
      <c r="D1128" t="s">
        <v>25</v>
      </c>
      <c r="E1128" t="s">
        <v>26</v>
      </c>
      <c r="F1128" t="s">
        <v>27</v>
      </c>
      <c r="G1128" t="s">
        <v>28</v>
      </c>
      <c r="H1128" t="s">
        <v>29</v>
      </c>
      <c r="I1128" t="s">
        <v>30</v>
      </c>
      <c r="J1128" t="s">
        <v>50</v>
      </c>
      <c r="K1128" t="s">
        <v>32</v>
      </c>
      <c r="L1128" t="s">
        <v>721</v>
      </c>
      <c r="M1128" s="4">
        <v>15</v>
      </c>
      <c r="N1128" s="4">
        <v>1</v>
      </c>
      <c r="O1128" s="2">
        <v>6.6666666666666666E-2</v>
      </c>
      <c r="P1128" s="3">
        <v>0.2</v>
      </c>
      <c r="Q1128" s="3">
        <v>0.2</v>
      </c>
      <c r="R1128" s="3">
        <v>0</v>
      </c>
      <c r="S1128" s="2"/>
      <c r="T1128" s="5">
        <v>0</v>
      </c>
      <c r="U1128" s="4">
        <v>0</v>
      </c>
      <c r="V1128" s="4">
        <v>0</v>
      </c>
      <c r="W1128" s="2">
        <v>0</v>
      </c>
      <c r="X1128" s="4">
        <v>0</v>
      </c>
      <c r="Y1128" s="4">
        <v>0</v>
      </c>
      <c r="Z1128" s="3">
        <v>0</v>
      </c>
      <c r="AA1128" s="3">
        <v>0</v>
      </c>
    </row>
    <row r="1129" spans="1:27" x14ac:dyDescent="0.2">
      <c r="A1129">
        <f t="shared" si="34"/>
        <v>3</v>
      </c>
      <c r="B1129">
        <f t="shared" si="35"/>
        <v>12</v>
      </c>
      <c r="C1129" s="1">
        <v>46096</v>
      </c>
      <c r="D1129" t="s">
        <v>25</v>
      </c>
      <c r="E1129" t="s">
        <v>26</v>
      </c>
      <c r="F1129" t="s">
        <v>61</v>
      </c>
      <c r="G1129" t="s">
        <v>62</v>
      </c>
      <c r="H1129" t="s">
        <v>29</v>
      </c>
      <c r="I1129" t="s">
        <v>30</v>
      </c>
      <c r="J1129" t="s">
        <v>95</v>
      </c>
      <c r="K1129" t="s">
        <v>42</v>
      </c>
      <c r="L1129" t="s">
        <v>722</v>
      </c>
      <c r="M1129" s="4">
        <v>10</v>
      </c>
      <c r="N1129" s="4">
        <v>1</v>
      </c>
      <c r="O1129" s="2">
        <v>0.1</v>
      </c>
      <c r="P1129" s="3">
        <v>1.1299999999999999</v>
      </c>
      <c r="Q1129" s="3">
        <v>1.1299999999999999</v>
      </c>
      <c r="R1129" s="3">
        <v>0</v>
      </c>
      <c r="S1129" s="2"/>
      <c r="T1129" s="5">
        <v>0</v>
      </c>
      <c r="U1129" s="4">
        <v>0</v>
      </c>
      <c r="V1129" s="4">
        <v>0</v>
      </c>
      <c r="W1129" s="2">
        <v>0</v>
      </c>
      <c r="X1129" s="4">
        <v>0</v>
      </c>
      <c r="Y1129" s="4">
        <v>0</v>
      </c>
      <c r="Z1129" s="3">
        <v>0</v>
      </c>
      <c r="AA1129" s="3">
        <v>0</v>
      </c>
    </row>
    <row r="1130" spans="1:27" x14ac:dyDescent="0.2">
      <c r="A1130">
        <f t="shared" si="34"/>
        <v>3</v>
      </c>
      <c r="B1130">
        <f t="shared" si="35"/>
        <v>12</v>
      </c>
      <c r="C1130" s="1">
        <v>46102</v>
      </c>
      <c r="D1130" t="s">
        <v>25</v>
      </c>
      <c r="E1130" t="s">
        <v>26</v>
      </c>
      <c r="F1130" t="s">
        <v>27</v>
      </c>
      <c r="G1130" t="s">
        <v>28</v>
      </c>
      <c r="H1130" t="s">
        <v>29</v>
      </c>
      <c r="I1130" t="s">
        <v>30</v>
      </c>
      <c r="J1130" t="s">
        <v>50</v>
      </c>
      <c r="K1130" t="s">
        <v>32</v>
      </c>
      <c r="L1130" t="s">
        <v>615</v>
      </c>
      <c r="M1130" s="4">
        <v>5</v>
      </c>
      <c r="N1130" s="4">
        <v>1</v>
      </c>
      <c r="O1130" s="2">
        <v>0.2</v>
      </c>
      <c r="P1130" s="3">
        <v>0.21</v>
      </c>
      <c r="Q1130" s="3">
        <v>0.21</v>
      </c>
      <c r="R1130" s="3">
        <v>0</v>
      </c>
      <c r="S1130" s="2"/>
      <c r="T1130" s="5">
        <v>0</v>
      </c>
      <c r="U1130" s="4">
        <v>0</v>
      </c>
      <c r="V1130" s="4">
        <v>0</v>
      </c>
      <c r="W1130" s="2">
        <v>0</v>
      </c>
      <c r="X1130" s="4">
        <v>0</v>
      </c>
      <c r="Y1130" s="4">
        <v>0</v>
      </c>
      <c r="Z1130" s="3">
        <v>0</v>
      </c>
      <c r="AA1130" s="3">
        <v>0</v>
      </c>
    </row>
    <row r="1131" spans="1:27" x14ac:dyDescent="0.2">
      <c r="A1131">
        <f t="shared" si="34"/>
        <v>3</v>
      </c>
      <c r="B1131">
        <f t="shared" si="35"/>
        <v>12</v>
      </c>
      <c r="C1131" s="1">
        <v>46098</v>
      </c>
      <c r="D1131" t="s">
        <v>25</v>
      </c>
      <c r="E1131" t="s">
        <v>26</v>
      </c>
      <c r="F1131" t="s">
        <v>61</v>
      </c>
      <c r="G1131" t="s">
        <v>62</v>
      </c>
      <c r="H1131" t="s">
        <v>29</v>
      </c>
      <c r="I1131" t="s">
        <v>30</v>
      </c>
      <c r="J1131" t="s">
        <v>95</v>
      </c>
      <c r="K1131" t="s">
        <v>42</v>
      </c>
      <c r="L1131" t="s">
        <v>723</v>
      </c>
      <c r="M1131" s="4">
        <v>6</v>
      </c>
      <c r="N1131" s="4">
        <v>1</v>
      </c>
      <c r="O1131" s="2">
        <v>0.16666666666666663</v>
      </c>
      <c r="P1131" s="3">
        <v>1.17</v>
      </c>
      <c r="Q1131" s="3">
        <v>1.17</v>
      </c>
      <c r="R1131" s="3">
        <v>0</v>
      </c>
      <c r="S1131" s="2"/>
      <c r="T1131" s="5">
        <v>0</v>
      </c>
      <c r="U1131" s="4">
        <v>0</v>
      </c>
      <c r="V1131" s="4">
        <v>0</v>
      </c>
      <c r="W1131" s="2">
        <v>0</v>
      </c>
      <c r="X1131" s="4">
        <v>0</v>
      </c>
      <c r="Y1131" s="4">
        <v>0</v>
      </c>
      <c r="Z1131" s="3">
        <v>0</v>
      </c>
      <c r="AA1131" s="3">
        <v>0</v>
      </c>
    </row>
    <row r="1132" spans="1:27" x14ac:dyDescent="0.2">
      <c r="A1132">
        <f t="shared" si="34"/>
        <v>3</v>
      </c>
      <c r="B1132">
        <f t="shared" si="35"/>
        <v>11</v>
      </c>
      <c r="C1132" s="1">
        <v>46089</v>
      </c>
      <c r="D1132" t="s">
        <v>25</v>
      </c>
      <c r="E1132" t="s">
        <v>26</v>
      </c>
      <c r="F1132" t="s">
        <v>27</v>
      </c>
      <c r="G1132" t="s">
        <v>28</v>
      </c>
      <c r="H1132" t="s">
        <v>29</v>
      </c>
      <c r="I1132" t="s">
        <v>30</v>
      </c>
      <c r="J1132" t="s">
        <v>50</v>
      </c>
      <c r="K1132" t="s">
        <v>32</v>
      </c>
      <c r="L1132" t="s">
        <v>724</v>
      </c>
      <c r="M1132" s="4">
        <v>5</v>
      </c>
      <c r="N1132" s="4">
        <v>2</v>
      </c>
      <c r="O1132" s="2">
        <v>0.4</v>
      </c>
      <c r="P1132" s="3">
        <v>0.21</v>
      </c>
      <c r="Q1132" s="3">
        <v>0.42</v>
      </c>
      <c r="R1132" s="3">
        <v>0</v>
      </c>
      <c r="S1132" s="2"/>
      <c r="T1132" s="5">
        <v>0</v>
      </c>
      <c r="U1132" s="4">
        <v>0</v>
      </c>
      <c r="V1132" s="4">
        <v>0</v>
      </c>
      <c r="W1132" s="2">
        <v>0</v>
      </c>
      <c r="X1132" s="4">
        <v>0</v>
      </c>
      <c r="Y1132" s="4">
        <v>0</v>
      </c>
      <c r="Z1132" s="3">
        <v>0</v>
      </c>
      <c r="AA1132" s="3">
        <v>0</v>
      </c>
    </row>
    <row r="1133" spans="1:27" x14ac:dyDescent="0.2">
      <c r="A1133">
        <f t="shared" si="34"/>
        <v>3</v>
      </c>
      <c r="B1133">
        <f t="shared" si="35"/>
        <v>11</v>
      </c>
      <c r="C1133" s="1">
        <v>46089</v>
      </c>
      <c r="D1133" t="s">
        <v>25</v>
      </c>
      <c r="E1133" t="s">
        <v>26</v>
      </c>
      <c r="F1133" t="s">
        <v>53</v>
      </c>
      <c r="G1133" t="s">
        <v>54</v>
      </c>
      <c r="H1133" t="s">
        <v>29</v>
      </c>
      <c r="I1133" t="s">
        <v>30</v>
      </c>
      <c r="J1133" t="s">
        <v>95</v>
      </c>
      <c r="K1133" t="s">
        <v>42</v>
      </c>
      <c r="L1133" t="s">
        <v>725</v>
      </c>
      <c r="M1133" s="4">
        <v>3</v>
      </c>
      <c r="N1133" s="4">
        <v>1</v>
      </c>
      <c r="O1133" s="2">
        <v>0.33333333333333331</v>
      </c>
      <c r="P1133" s="3">
        <v>0.95</v>
      </c>
      <c r="Q1133" s="3">
        <v>0.95</v>
      </c>
      <c r="R1133" s="3">
        <v>0</v>
      </c>
      <c r="S1133" s="2"/>
      <c r="T1133" s="5">
        <v>0</v>
      </c>
      <c r="U1133" s="4">
        <v>0</v>
      </c>
      <c r="V1133" s="4">
        <v>0</v>
      </c>
      <c r="W1133" s="2">
        <v>0</v>
      </c>
      <c r="X1133" s="4">
        <v>0</v>
      </c>
      <c r="Y1133" s="4">
        <v>0</v>
      </c>
      <c r="Z1133" s="3">
        <v>0</v>
      </c>
      <c r="AA1133" s="3">
        <v>0</v>
      </c>
    </row>
    <row r="1134" spans="1:27" x14ac:dyDescent="0.2">
      <c r="A1134">
        <f t="shared" si="34"/>
        <v>3</v>
      </c>
      <c r="B1134">
        <f t="shared" si="35"/>
        <v>12</v>
      </c>
      <c r="C1134" s="1">
        <v>46102</v>
      </c>
      <c r="D1134" t="s">
        <v>25</v>
      </c>
      <c r="E1134" t="s">
        <v>26</v>
      </c>
      <c r="F1134" t="s">
        <v>27</v>
      </c>
      <c r="G1134" t="s">
        <v>28</v>
      </c>
      <c r="H1134" t="s">
        <v>29</v>
      </c>
      <c r="I1134" t="s">
        <v>30</v>
      </c>
      <c r="J1134" t="s">
        <v>31</v>
      </c>
      <c r="K1134" t="s">
        <v>32</v>
      </c>
      <c r="L1134" t="s">
        <v>726</v>
      </c>
      <c r="M1134" s="4">
        <v>2</v>
      </c>
      <c r="N1134" s="4">
        <v>1</v>
      </c>
      <c r="O1134" s="2">
        <v>0.5</v>
      </c>
      <c r="P1134" s="3">
        <v>0.21</v>
      </c>
      <c r="Q1134" s="3">
        <v>0.21</v>
      </c>
      <c r="R1134" s="3">
        <v>0</v>
      </c>
      <c r="S1134" s="2"/>
      <c r="T1134" s="5">
        <v>0</v>
      </c>
      <c r="U1134" s="4">
        <v>0</v>
      </c>
      <c r="V1134" s="4">
        <v>0</v>
      </c>
      <c r="W1134" s="2">
        <v>0</v>
      </c>
      <c r="X1134" s="4">
        <v>0</v>
      </c>
      <c r="Y1134" s="4">
        <v>0</v>
      </c>
      <c r="Z1134" s="3">
        <v>0</v>
      </c>
      <c r="AA1134" s="3">
        <v>0</v>
      </c>
    </row>
    <row r="1135" spans="1:27" x14ac:dyDescent="0.2">
      <c r="A1135">
        <f t="shared" si="34"/>
        <v>3</v>
      </c>
      <c r="B1135">
        <f t="shared" si="35"/>
        <v>11</v>
      </c>
      <c r="C1135" s="1">
        <v>46090</v>
      </c>
      <c r="D1135" t="s">
        <v>25</v>
      </c>
      <c r="E1135" t="s">
        <v>26</v>
      </c>
      <c r="F1135" t="s">
        <v>27</v>
      </c>
      <c r="G1135" t="s">
        <v>28</v>
      </c>
      <c r="H1135" t="s">
        <v>29</v>
      </c>
      <c r="I1135" t="s">
        <v>30</v>
      </c>
      <c r="J1135" t="s">
        <v>133</v>
      </c>
      <c r="K1135" t="s">
        <v>32</v>
      </c>
      <c r="L1135" t="s">
        <v>727</v>
      </c>
      <c r="M1135" s="4">
        <v>3</v>
      </c>
      <c r="N1135" s="4">
        <v>1</v>
      </c>
      <c r="O1135" s="2">
        <v>0.33333333333333331</v>
      </c>
      <c r="P1135" s="3">
        <v>0.21</v>
      </c>
      <c r="Q1135" s="3">
        <v>0.21</v>
      </c>
      <c r="R1135" s="3">
        <v>0</v>
      </c>
      <c r="S1135" s="2"/>
      <c r="T1135" s="5">
        <v>0</v>
      </c>
      <c r="U1135" s="4">
        <v>0</v>
      </c>
      <c r="V1135" s="4">
        <v>0</v>
      </c>
      <c r="W1135" s="2">
        <v>0</v>
      </c>
      <c r="X1135" s="4">
        <v>0</v>
      </c>
      <c r="Y1135" s="4">
        <v>0</v>
      </c>
      <c r="Z1135" s="3">
        <v>0</v>
      </c>
      <c r="AA1135" s="3">
        <v>0</v>
      </c>
    </row>
    <row r="1136" spans="1:27" x14ac:dyDescent="0.2">
      <c r="A1136">
        <f t="shared" si="34"/>
        <v>3</v>
      </c>
      <c r="B1136">
        <f t="shared" si="35"/>
        <v>11</v>
      </c>
      <c r="C1136" s="1">
        <v>46095</v>
      </c>
      <c r="D1136" t="s">
        <v>25</v>
      </c>
      <c r="E1136" t="s">
        <v>26</v>
      </c>
      <c r="F1136" t="s">
        <v>27</v>
      </c>
      <c r="G1136" t="s">
        <v>28</v>
      </c>
      <c r="H1136" t="s">
        <v>29</v>
      </c>
      <c r="I1136" t="s">
        <v>30</v>
      </c>
      <c r="J1136" t="s">
        <v>101</v>
      </c>
      <c r="K1136" t="s">
        <v>32</v>
      </c>
      <c r="L1136" t="s">
        <v>728</v>
      </c>
      <c r="M1136" s="4">
        <v>3</v>
      </c>
      <c r="N1136" s="4">
        <v>1</v>
      </c>
      <c r="O1136" s="2">
        <v>0.33333333333333331</v>
      </c>
      <c r="P1136" s="3">
        <v>0.21</v>
      </c>
      <c r="Q1136" s="3">
        <v>0.21</v>
      </c>
      <c r="R1136" s="3">
        <v>0</v>
      </c>
      <c r="S1136" s="2"/>
      <c r="T1136" s="5">
        <v>0</v>
      </c>
      <c r="U1136" s="4">
        <v>0</v>
      </c>
      <c r="V1136" s="4">
        <v>0</v>
      </c>
      <c r="W1136" s="2">
        <v>0</v>
      </c>
      <c r="X1136" s="4">
        <v>0</v>
      </c>
      <c r="Y1136" s="4">
        <v>0</v>
      </c>
      <c r="Z1136" s="3">
        <v>0</v>
      </c>
      <c r="AA1136" s="3">
        <v>0</v>
      </c>
    </row>
    <row r="1137" spans="1:27" x14ac:dyDescent="0.2">
      <c r="A1137">
        <f t="shared" si="34"/>
        <v>3</v>
      </c>
      <c r="B1137">
        <f t="shared" si="35"/>
        <v>10</v>
      </c>
      <c r="C1137" s="1">
        <v>46086</v>
      </c>
      <c r="D1137" t="s">
        <v>25</v>
      </c>
      <c r="E1137" t="s">
        <v>26</v>
      </c>
      <c r="F1137" t="s">
        <v>53</v>
      </c>
      <c r="G1137" t="s">
        <v>54</v>
      </c>
      <c r="H1137" t="s">
        <v>29</v>
      </c>
      <c r="I1137" t="s">
        <v>30</v>
      </c>
      <c r="J1137" t="s">
        <v>95</v>
      </c>
      <c r="K1137" t="s">
        <v>42</v>
      </c>
      <c r="L1137" t="s">
        <v>729</v>
      </c>
      <c r="M1137" s="4">
        <v>2</v>
      </c>
      <c r="N1137" s="4">
        <v>1</v>
      </c>
      <c r="O1137" s="2">
        <v>0.5</v>
      </c>
      <c r="P1137" s="3">
        <v>0.72</v>
      </c>
      <c r="Q1137" s="3">
        <v>0.72</v>
      </c>
      <c r="R1137" s="3">
        <v>0</v>
      </c>
      <c r="S1137" s="2"/>
      <c r="T1137" s="5">
        <v>0</v>
      </c>
      <c r="U1137" s="4">
        <v>0</v>
      </c>
      <c r="V1137" s="4">
        <v>0</v>
      </c>
      <c r="W1137" s="2">
        <v>0</v>
      </c>
      <c r="X1137" s="4">
        <v>0</v>
      </c>
      <c r="Y1137" s="4">
        <v>0</v>
      </c>
      <c r="Z1137" s="3">
        <v>0</v>
      </c>
      <c r="AA1137" s="3">
        <v>0</v>
      </c>
    </row>
    <row r="1138" spans="1:27" x14ac:dyDescent="0.2">
      <c r="A1138">
        <f t="shared" si="34"/>
        <v>3</v>
      </c>
      <c r="B1138">
        <f t="shared" si="35"/>
        <v>12</v>
      </c>
      <c r="C1138" s="1">
        <v>46101</v>
      </c>
      <c r="D1138" t="s">
        <v>25</v>
      </c>
      <c r="E1138" t="s">
        <v>26</v>
      </c>
      <c r="F1138" t="s">
        <v>27</v>
      </c>
      <c r="G1138" t="s">
        <v>28</v>
      </c>
      <c r="H1138" t="s">
        <v>29</v>
      </c>
      <c r="I1138" t="s">
        <v>30</v>
      </c>
      <c r="J1138" t="s">
        <v>44</v>
      </c>
      <c r="K1138" t="s">
        <v>32</v>
      </c>
      <c r="L1138" t="s">
        <v>730</v>
      </c>
      <c r="M1138" s="4">
        <v>2</v>
      </c>
      <c r="N1138" s="4">
        <v>1</v>
      </c>
      <c r="O1138" s="2">
        <v>0.5</v>
      </c>
      <c r="P1138" s="3">
        <v>0.21</v>
      </c>
      <c r="Q1138" s="3">
        <v>0.21</v>
      </c>
      <c r="R1138" s="3">
        <v>0</v>
      </c>
      <c r="S1138" s="2"/>
      <c r="T1138" s="5">
        <v>0</v>
      </c>
      <c r="U1138" s="4">
        <v>0</v>
      </c>
      <c r="V1138" s="4">
        <v>0</v>
      </c>
      <c r="W1138" s="2">
        <v>0</v>
      </c>
      <c r="X1138" s="4">
        <v>0</v>
      </c>
      <c r="Y1138" s="4">
        <v>0</v>
      </c>
      <c r="Z1138" s="3">
        <v>0</v>
      </c>
      <c r="AA1138" s="3">
        <v>0</v>
      </c>
    </row>
    <row r="1139" spans="1:27" x14ac:dyDescent="0.2">
      <c r="A1139">
        <f t="shared" si="34"/>
        <v>3</v>
      </c>
      <c r="B1139">
        <f t="shared" si="35"/>
        <v>12</v>
      </c>
      <c r="C1139" s="1">
        <v>46101</v>
      </c>
      <c r="D1139" t="s">
        <v>25</v>
      </c>
      <c r="E1139" t="s">
        <v>26</v>
      </c>
      <c r="F1139" t="s">
        <v>27</v>
      </c>
      <c r="G1139" t="s">
        <v>28</v>
      </c>
      <c r="H1139" t="s">
        <v>29</v>
      </c>
      <c r="I1139" t="s">
        <v>30</v>
      </c>
      <c r="J1139" t="s">
        <v>101</v>
      </c>
      <c r="K1139" t="s">
        <v>32</v>
      </c>
      <c r="L1139" t="s">
        <v>618</v>
      </c>
      <c r="M1139" s="4">
        <v>6</v>
      </c>
      <c r="N1139" s="4">
        <v>1</v>
      </c>
      <c r="O1139" s="2">
        <v>0.16666666666666663</v>
      </c>
      <c r="P1139" s="3">
        <v>0.21</v>
      </c>
      <c r="Q1139" s="3">
        <v>0.21</v>
      </c>
      <c r="R1139" s="3">
        <v>0</v>
      </c>
      <c r="S1139" s="2"/>
      <c r="T1139" s="5">
        <v>0</v>
      </c>
      <c r="U1139" s="4">
        <v>0</v>
      </c>
      <c r="V1139" s="4">
        <v>0</v>
      </c>
      <c r="W1139" s="2">
        <v>0</v>
      </c>
      <c r="X1139" s="4">
        <v>0</v>
      </c>
      <c r="Y1139" s="4">
        <v>0</v>
      </c>
      <c r="Z1139" s="3">
        <v>0</v>
      </c>
      <c r="AA1139" s="3">
        <v>0</v>
      </c>
    </row>
    <row r="1140" spans="1:27" x14ac:dyDescent="0.2">
      <c r="A1140">
        <f t="shared" si="34"/>
        <v>3</v>
      </c>
      <c r="B1140">
        <f t="shared" si="35"/>
        <v>10</v>
      </c>
      <c r="C1140" s="1">
        <v>46088</v>
      </c>
      <c r="D1140" t="s">
        <v>25</v>
      </c>
      <c r="E1140" t="s">
        <v>26</v>
      </c>
      <c r="F1140" t="s">
        <v>39</v>
      </c>
      <c r="G1140" t="s">
        <v>40</v>
      </c>
      <c r="H1140" t="s">
        <v>29</v>
      </c>
      <c r="I1140" t="s">
        <v>30</v>
      </c>
      <c r="J1140" t="s">
        <v>70</v>
      </c>
      <c r="K1140" t="s">
        <v>42</v>
      </c>
      <c r="L1140" t="s">
        <v>618</v>
      </c>
      <c r="M1140" s="4">
        <v>2</v>
      </c>
      <c r="N1140" s="4">
        <v>1</v>
      </c>
      <c r="O1140" s="2">
        <v>0.5</v>
      </c>
      <c r="P1140" s="3">
        <v>0.79</v>
      </c>
      <c r="Q1140" s="3">
        <v>0.79</v>
      </c>
      <c r="R1140" s="3">
        <v>0</v>
      </c>
      <c r="S1140" s="2"/>
      <c r="T1140" s="5">
        <v>0</v>
      </c>
      <c r="U1140" s="4">
        <v>0</v>
      </c>
      <c r="V1140" s="4">
        <v>0</v>
      </c>
      <c r="W1140" s="2">
        <v>0</v>
      </c>
      <c r="X1140" s="4">
        <v>0</v>
      </c>
      <c r="Y1140" s="4">
        <v>0</v>
      </c>
      <c r="Z1140" s="3">
        <v>0</v>
      </c>
      <c r="AA1140" s="3">
        <v>0</v>
      </c>
    </row>
    <row r="1141" spans="1:27" x14ac:dyDescent="0.2">
      <c r="A1141">
        <f t="shared" si="34"/>
        <v>3</v>
      </c>
      <c r="B1141">
        <f t="shared" si="35"/>
        <v>12</v>
      </c>
      <c r="C1141" s="1">
        <v>46098</v>
      </c>
      <c r="D1141" t="s">
        <v>25</v>
      </c>
      <c r="E1141" t="s">
        <v>26</v>
      </c>
      <c r="F1141" t="s">
        <v>27</v>
      </c>
      <c r="G1141" t="s">
        <v>28</v>
      </c>
      <c r="H1141" t="s">
        <v>29</v>
      </c>
      <c r="I1141" t="s">
        <v>30</v>
      </c>
      <c r="J1141" t="s">
        <v>44</v>
      </c>
      <c r="K1141" t="s">
        <v>32</v>
      </c>
      <c r="L1141" t="s">
        <v>618</v>
      </c>
      <c r="M1141" s="4">
        <v>2</v>
      </c>
      <c r="N1141" s="4">
        <v>1</v>
      </c>
      <c r="O1141" s="2">
        <v>0.5</v>
      </c>
      <c r="P1141" s="3">
        <v>0.22</v>
      </c>
      <c r="Q1141" s="3">
        <v>0.22</v>
      </c>
      <c r="R1141" s="3">
        <v>0</v>
      </c>
      <c r="S1141" s="2"/>
      <c r="T1141" s="5">
        <v>0</v>
      </c>
      <c r="U1141" s="4">
        <v>0</v>
      </c>
      <c r="V1141" s="4">
        <v>0</v>
      </c>
      <c r="W1141" s="2">
        <v>0</v>
      </c>
      <c r="X1141" s="4">
        <v>0</v>
      </c>
      <c r="Y1141" s="4">
        <v>0</v>
      </c>
      <c r="Z1141" s="3">
        <v>0</v>
      </c>
      <c r="AA1141" s="3">
        <v>0</v>
      </c>
    </row>
    <row r="1142" spans="1:27" x14ac:dyDescent="0.2">
      <c r="A1142">
        <f t="shared" si="34"/>
        <v>3</v>
      </c>
      <c r="B1142">
        <f t="shared" si="35"/>
        <v>10</v>
      </c>
      <c r="C1142" s="1">
        <v>46086</v>
      </c>
      <c r="D1142" t="s">
        <v>25</v>
      </c>
      <c r="E1142" t="s">
        <v>26</v>
      </c>
      <c r="F1142" t="s">
        <v>27</v>
      </c>
      <c r="G1142" t="s">
        <v>28</v>
      </c>
      <c r="H1142" t="s">
        <v>29</v>
      </c>
      <c r="I1142" t="s">
        <v>30</v>
      </c>
      <c r="J1142" t="s">
        <v>253</v>
      </c>
      <c r="K1142" t="s">
        <v>32</v>
      </c>
      <c r="L1142" t="s">
        <v>731</v>
      </c>
      <c r="M1142" s="4">
        <v>2</v>
      </c>
      <c r="N1142" s="4">
        <v>2</v>
      </c>
      <c r="O1142" s="2">
        <v>1</v>
      </c>
      <c r="P1142" s="3">
        <v>0.14499999999999999</v>
      </c>
      <c r="Q1142" s="3">
        <v>0.28999999999999998</v>
      </c>
      <c r="R1142" s="3">
        <v>0</v>
      </c>
      <c r="S1142" s="2"/>
      <c r="T1142" s="5">
        <v>0</v>
      </c>
      <c r="U1142" s="4">
        <v>0</v>
      </c>
      <c r="V1142" s="4">
        <v>0</v>
      </c>
      <c r="W1142" s="2">
        <v>0</v>
      </c>
      <c r="X1142" s="4">
        <v>0</v>
      </c>
      <c r="Y1142" s="4">
        <v>0</v>
      </c>
      <c r="Z1142" s="3">
        <v>0</v>
      </c>
      <c r="AA1142" s="3">
        <v>0</v>
      </c>
    </row>
    <row r="1143" spans="1:27" x14ac:dyDescent="0.2">
      <c r="A1143">
        <f t="shared" si="34"/>
        <v>3</v>
      </c>
      <c r="B1143">
        <f t="shared" si="35"/>
        <v>11</v>
      </c>
      <c r="C1143" s="1">
        <v>46092</v>
      </c>
      <c r="D1143" t="s">
        <v>25</v>
      </c>
      <c r="E1143" t="s">
        <v>26</v>
      </c>
      <c r="F1143" t="s">
        <v>27</v>
      </c>
      <c r="G1143" t="s">
        <v>28</v>
      </c>
      <c r="H1143" t="s">
        <v>29</v>
      </c>
      <c r="I1143" t="s">
        <v>30</v>
      </c>
      <c r="J1143" t="s">
        <v>133</v>
      </c>
      <c r="K1143" t="s">
        <v>32</v>
      </c>
      <c r="L1143" t="s">
        <v>732</v>
      </c>
      <c r="M1143" s="4">
        <v>3</v>
      </c>
      <c r="N1143" s="4">
        <v>1</v>
      </c>
      <c r="O1143" s="2">
        <v>0.33333333333333331</v>
      </c>
      <c r="P1143" s="3">
        <v>0.4</v>
      </c>
      <c r="Q1143" s="3">
        <v>0.4</v>
      </c>
      <c r="R1143" s="3">
        <v>0</v>
      </c>
      <c r="S1143" s="2"/>
      <c r="T1143" s="5">
        <v>0</v>
      </c>
      <c r="U1143" s="4">
        <v>0</v>
      </c>
      <c r="V1143" s="4">
        <v>0</v>
      </c>
      <c r="W1143" s="2">
        <v>0</v>
      </c>
      <c r="X1143" s="4">
        <v>0</v>
      </c>
      <c r="Y1143" s="4">
        <v>0</v>
      </c>
      <c r="Z1143" s="3">
        <v>0</v>
      </c>
      <c r="AA1143" s="3">
        <v>0</v>
      </c>
    </row>
    <row r="1144" spans="1:27" x14ac:dyDescent="0.2">
      <c r="A1144">
        <f t="shared" si="34"/>
        <v>3</v>
      </c>
      <c r="B1144">
        <f t="shared" si="35"/>
        <v>10</v>
      </c>
      <c r="C1144" s="1">
        <v>46085</v>
      </c>
      <c r="D1144" t="s">
        <v>25</v>
      </c>
      <c r="E1144" t="s">
        <v>26</v>
      </c>
      <c r="F1144" t="s">
        <v>27</v>
      </c>
      <c r="G1144" t="s">
        <v>28</v>
      </c>
      <c r="H1144" t="s">
        <v>29</v>
      </c>
      <c r="I1144" t="s">
        <v>30</v>
      </c>
      <c r="J1144" t="s">
        <v>243</v>
      </c>
      <c r="K1144" t="s">
        <v>32</v>
      </c>
      <c r="L1144" t="s">
        <v>733</v>
      </c>
      <c r="M1144" s="4">
        <v>3</v>
      </c>
      <c r="N1144" s="4">
        <v>1</v>
      </c>
      <c r="O1144" s="2">
        <v>0.33333333333333331</v>
      </c>
      <c r="P1144" s="3">
        <v>0.08</v>
      </c>
      <c r="Q1144" s="3">
        <v>0.08</v>
      </c>
      <c r="R1144" s="3">
        <v>0</v>
      </c>
      <c r="S1144" s="2"/>
      <c r="T1144" s="5">
        <v>0</v>
      </c>
      <c r="U1144" s="4">
        <v>0</v>
      </c>
      <c r="V1144" s="4">
        <v>0</v>
      </c>
      <c r="W1144" s="2">
        <v>0</v>
      </c>
      <c r="X1144" s="4">
        <v>0</v>
      </c>
      <c r="Y1144" s="4">
        <v>0</v>
      </c>
      <c r="Z1144" s="3">
        <v>0</v>
      </c>
      <c r="AA1144" s="3">
        <v>0</v>
      </c>
    </row>
    <row r="1145" spans="1:27" x14ac:dyDescent="0.2">
      <c r="A1145">
        <f t="shared" si="34"/>
        <v>3</v>
      </c>
      <c r="B1145">
        <f t="shared" si="35"/>
        <v>11</v>
      </c>
      <c r="C1145" s="1">
        <v>46091</v>
      </c>
      <c r="D1145" t="s">
        <v>25</v>
      </c>
      <c r="E1145" t="s">
        <v>26</v>
      </c>
      <c r="F1145" t="s">
        <v>27</v>
      </c>
      <c r="G1145" t="s">
        <v>28</v>
      </c>
      <c r="H1145" t="s">
        <v>29</v>
      </c>
      <c r="I1145" t="s">
        <v>30</v>
      </c>
      <c r="J1145" t="s">
        <v>144</v>
      </c>
      <c r="K1145" t="s">
        <v>32</v>
      </c>
      <c r="L1145" t="s">
        <v>734</v>
      </c>
      <c r="M1145" s="4">
        <v>4</v>
      </c>
      <c r="N1145" s="4">
        <v>2</v>
      </c>
      <c r="O1145" s="2">
        <v>0.5</v>
      </c>
      <c r="P1145" s="3">
        <v>0.21</v>
      </c>
      <c r="Q1145" s="3">
        <v>0.42</v>
      </c>
      <c r="R1145" s="3">
        <v>0</v>
      </c>
      <c r="S1145" s="2"/>
      <c r="T1145" s="5">
        <v>0</v>
      </c>
      <c r="U1145" s="4">
        <v>0</v>
      </c>
      <c r="V1145" s="4">
        <v>0</v>
      </c>
      <c r="W1145" s="2">
        <v>0</v>
      </c>
      <c r="X1145" s="4">
        <v>0</v>
      </c>
      <c r="Y1145" s="4">
        <v>0</v>
      </c>
      <c r="Z1145" s="3">
        <v>0</v>
      </c>
      <c r="AA1145" s="3">
        <v>0</v>
      </c>
    </row>
    <row r="1146" spans="1:27" x14ac:dyDescent="0.2">
      <c r="A1146">
        <f t="shared" si="34"/>
        <v>3</v>
      </c>
      <c r="B1146">
        <f t="shared" si="35"/>
        <v>12</v>
      </c>
      <c r="C1146" s="1">
        <v>46102</v>
      </c>
      <c r="D1146" t="s">
        <v>25</v>
      </c>
      <c r="E1146" t="s">
        <v>26</v>
      </c>
      <c r="F1146" t="s">
        <v>27</v>
      </c>
      <c r="G1146" t="s">
        <v>28</v>
      </c>
      <c r="H1146" t="s">
        <v>29</v>
      </c>
      <c r="I1146" t="s">
        <v>30</v>
      </c>
      <c r="J1146" t="s">
        <v>542</v>
      </c>
      <c r="K1146" t="s">
        <v>32</v>
      </c>
      <c r="L1146" t="s">
        <v>735</v>
      </c>
      <c r="M1146" s="4">
        <v>1</v>
      </c>
      <c r="N1146" s="4">
        <v>1</v>
      </c>
      <c r="O1146" s="2">
        <v>1</v>
      </c>
      <c r="P1146" s="3">
        <v>0.4</v>
      </c>
      <c r="Q1146" s="3">
        <v>0.4</v>
      </c>
      <c r="R1146" s="3">
        <v>0</v>
      </c>
      <c r="S1146" s="2"/>
      <c r="T1146" s="5">
        <v>0</v>
      </c>
      <c r="U1146" s="4">
        <v>0</v>
      </c>
      <c r="V1146" s="4">
        <v>0</v>
      </c>
      <c r="W1146" s="2">
        <v>0</v>
      </c>
      <c r="X1146" s="4">
        <v>0</v>
      </c>
      <c r="Y1146" s="4">
        <v>0</v>
      </c>
      <c r="Z1146" s="3">
        <v>0</v>
      </c>
      <c r="AA1146" s="3">
        <v>0</v>
      </c>
    </row>
    <row r="1147" spans="1:27" x14ac:dyDescent="0.2">
      <c r="A1147">
        <f t="shared" si="34"/>
        <v>3</v>
      </c>
      <c r="B1147">
        <f t="shared" si="35"/>
        <v>10</v>
      </c>
      <c r="C1147" s="1">
        <v>46087</v>
      </c>
      <c r="D1147" t="s">
        <v>25</v>
      </c>
      <c r="E1147" t="s">
        <v>26</v>
      </c>
      <c r="F1147" t="s">
        <v>27</v>
      </c>
      <c r="G1147" t="s">
        <v>28</v>
      </c>
      <c r="H1147" t="s">
        <v>29</v>
      </c>
      <c r="I1147" t="s">
        <v>30</v>
      </c>
      <c r="J1147" t="s">
        <v>31</v>
      </c>
      <c r="K1147" t="s">
        <v>32</v>
      </c>
      <c r="L1147" t="s">
        <v>736</v>
      </c>
      <c r="M1147" s="4">
        <v>2</v>
      </c>
      <c r="N1147" s="4">
        <v>1</v>
      </c>
      <c r="O1147" s="2">
        <v>0.5</v>
      </c>
      <c r="P1147" s="3">
        <v>0.2</v>
      </c>
      <c r="Q1147" s="3">
        <v>0.2</v>
      </c>
      <c r="R1147" s="3">
        <v>0</v>
      </c>
      <c r="S1147" s="2"/>
      <c r="T1147" s="5">
        <v>0</v>
      </c>
      <c r="U1147" s="4">
        <v>0</v>
      </c>
      <c r="V1147" s="4">
        <v>0</v>
      </c>
      <c r="W1147" s="2">
        <v>0</v>
      </c>
      <c r="X1147" s="4">
        <v>0</v>
      </c>
      <c r="Y1147" s="4">
        <v>0</v>
      </c>
      <c r="Z1147" s="3">
        <v>0</v>
      </c>
      <c r="AA1147" s="3">
        <v>0</v>
      </c>
    </row>
    <row r="1148" spans="1:27" x14ac:dyDescent="0.2">
      <c r="A1148">
        <f t="shared" si="34"/>
        <v>3</v>
      </c>
      <c r="B1148">
        <f t="shared" si="35"/>
        <v>11</v>
      </c>
      <c r="C1148" s="1">
        <v>46092</v>
      </c>
      <c r="D1148" t="s">
        <v>25</v>
      </c>
      <c r="E1148" t="s">
        <v>26</v>
      </c>
      <c r="F1148" t="s">
        <v>27</v>
      </c>
      <c r="G1148" t="s">
        <v>124</v>
      </c>
      <c r="H1148" t="s">
        <v>29</v>
      </c>
      <c r="I1148" t="s">
        <v>30</v>
      </c>
      <c r="J1148" t="s">
        <v>133</v>
      </c>
      <c r="K1148" t="s">
        <v>87</v>
      </c>
      <c r="L1148" t="s">
        <v>133</v>
      </c>
      <c r="M1148" s="4">
        <v>7</v>
      </c>
      <c r="N1148" s="4">
        <v>1</v>
      </c>
      <c r="O1148" s="2">
        <v>0.14285714285714285</v>
      </c>
      <c r="P1148" s="3">
        <v>0.21</v>
      </c>
      <c r="Q1148" s="3">
        <v>0.21</v>
      </c>
      <c r="R1148" s="3">
        <v>0</v>
      </c>
      <c r="S1148" s="2"/>
      <c r="T1148" s="5">
        <v>0</v>
      </c>
      <c r="U1148" s="4">
        <v>0</v>
      </c>
      <c r="V1148" s="4">
        <v>0</v>
      </c>
      <c r="W1148" s="2">
        <v>0</v>
      </c>
      <c r="X1148" s="4">
        <v>0</v>
      </c>
      <c r="Y1148" s="4">
        <v>0</v>
      </c>
      <c r="Z1148" s="3">
        <v>0</v>
      </c>
      <c r="AA1148" s="3">
        <v>0</v>
      </c>
    </row>
    <row r="1149" spans="1:27" x14ac:dyDescent="0.2">
      <c r="A1149">
        <f t="shared" si="34"/>
        <v>3</v>
      </c>
      <c r="B1149">
        <f t="shared" si="35"/>
        <v>11</v>
      </c>
      <c r="C1149" s="1">
        <v>46095</v>
      </c>
      <c r="D1149" t="s">
        <v>25</v>
      </c>
      <c r="E1149" t="s">
        <v>26</v>
      </c>
      <c r="F1149" t="s">
        <v>27</v>
      </c>
      <c r="G1149" t="s">
        <v>124</v>
      </c>
      <c r="H1149" t="s">
        <v>29</v>
      </c>
      <c r="I1149" t="s">
        <v>30</v>
      </c>
      <c r="J1149" t="s">
        <v>101</v>
      </c>
      <c r="K1149" t="s">
        <v>87</v>
      </c>
      <c r="L1149" t="s">
        <v>737</v>
      </c>
      <c r="M1149" s="4">
        <v>2</v>
      </c>
      <c r="N1149" s="4">
        <v>1</v>
      </c>
      <c r="O1149" s="2">
        <v>0.5</v>
      </c>
      <c r="P1149" s="3">
        <v>0.21</v>
      </c>
      <c r="Q1149" s="3">
        <v>0.21</v>
      </c>
      <c r="R1149" s="3">
        <v>0</v>
      </c>
      <c r="S1149" s="2"/>
      <c r="T1149" s="5">
        <v>0</v>
      </c>
      <c r="U1149" s="4">
        <v>0</v>
      </c>
      <c r="V1149" s="4">
        <v>0</v>
      </c>
      <c r="W1149" s="2">
        <v>0</v>
      </c>
      <c r="X1149" s="4">
        <v>0</v>
      </c>
      <c r="Y1149" s="4">
        <v>0</v>
      </c>
      <c r="Z1149" s="3">
        <v>0</v>
      </c>
      <c r="AA1149" s="3">
        <v>0</v>
      </c>
    </row>
    <row r="1150" spans="1:27" x14ac:dyDescent="0.2">
      <c r="A1150">
        <f t="shared" si="34"/>
        <v>3</v>
      </c>
      <c r="B1150">
        <f t="shared" si="35"/>
        <v>11</v>
      </c>
      <c r="C1150" s="1">
        <v>46091</v>
      </c>
      <c r="D1150" t="s">
        <v>25</v>
      </c>
      <c r="E1150" t="s">
        <v>26</v>
      </c>
      <c r="F1150" t="s">
        <v>49</v>
      </c>
      <c r="G1150" t="s">
        <v>50</v>
      </c>
      <c r="H1150" t="s">
        <v>29</v>
      </c>
      <c r="I1150" t="s">
        <v>30</v>
      </c>
      <c r="J1150" t="s">
        <v>95</v>
      </c>
      <c r="K1150" t="s">
        <v>42</v>
      </c>
      <c r="L1150" t="s">
        <v>738</v>
      </c>
      <c r="M1150" s="4">
        <v>2</v>
      </c>
      <c r="N1150" s="4">
        <v>1</v>
      </c>
      <c r="O1150" s="2">
        <v>0.5</v>
      </c>
      <c r="P1150" s="3">
        <v>0.55000000000000004</v>
      </c>
      <c r="Q1150" s="3">
        <v>0.55000000000000004</v>
      </c>
      <c r="R1150" s="3">
        <v>0</v>
      </c>
      <c r="S1150" s="2"/>
      <c r="T1150" s="5">
        <v>0</v>
      </c>
      <c r="U1150" s="4">
        <v>0</v>
      </c>
      <c r="V1150" s="4">
        <v>0</v>
      </c>
      <c r="W1150" s="2">
        <v>0</v>
      </c>
      <c r="X1150" s="4">
        <v>0</v>
      </c>
      <c r="Y1150" s="4">
        <v>0</v>
      </c>
      <c r="Z1150" s="3">
        <v>0</v>
      </c>
      <c r="AA1150" s="3">
        <v>0</v>
      </c>
    </row>
    <row r="1151" spans="1:27" x14ac:dyDescent="0.2">
      <c r="A1151">
        <f t="shared" si="34"/>
        <v>3</v>
      </c>
      <c r="B1151">
        <f t="shared" si="35"/>
        <v>11</v>
      </c>
      <c r="C1151" s="1">
        <v>46092</v>
      </c>
      <c r="D1151" t="s">
        <v>25</v>
      </c>
      <c r="E1151" t="s">
        <v>26</v>
      </c>
      <c r="F1151" t="s">
        <v>27</v>
      </c>
      <c r="G1151" t="s">
        <v>28</v>
      </c>
      <c r="H1151" t="s">
        <v>29</v>
      </c>
      <c r="I1151" t="s">
        <v>30</v>
      </c>
      <c r="J1151" t="s">
        <v>542</v>
      </c>
      <c r="K1151" t="s">
        <v>32</v>
      </c>
      <c r="L1151" t="s">
        <v>739</v>
      </c>
      <c r="M1151" s="4">
        <v>1</v>
      </c>
      <c r="N1151" s="4">
        <v>1</v>
      </c>
      <c r="O1151" s="2">
        <v>1</v>
      </c>
      <c r="P1151" s="3">
        <v>0.4</v>
      </c>
      <c r="Q1151" s="3">
        <v>0.4</v>
      </c>
      <c r="R1151" s="3">
        <v>0</v>
      </c>
      <c r="S1151" s="2"/>
      <c r="T1151" s="5">
        <v>0</v>
      </c>
      <c r="U1151" s="4">
        <v>0</v>
      </c>
      <c r="V1151" s="4">
        <v>0</v>
      </c>
      <c r="W1151" s="2">
        <v>0</v>
      </c>
      <c r="X1151" s="4">
        <v>0</v>
      </c>
      <c r="Y1151" s="4">
        <v>0</v>
      </c>
      <c r="Z1151" s="3">
        <v>0</v>
      </c>
      <c r="AA1151" s="3">
        <v>0</v>
      </c>
    </row>
    <row r="1152" spans="1:27" x14ac:dyDescent="0.2">
      <c r="A1152">
        <f t="shared" si="34"/>
        <v>3</v>
      </c>
      <c r="B1152">
        <f t="shared" si="35"/>
        <v>11</v>
      </c>
      <c r="C1152" s="1">
        <v>46094</v>
      </c>
      <c r="D1152" t="s">
        <v>25</v>
      </c>
      <c r="E1152" t="s">
        <v>26</v>
      </c>
      <c r="F1152" t="s">
        <v>27</v>
      </c>
      <c r="G1152" t="s">
        <v>28</v>
      </c>
      <c r="H1152" t="s">
        <v>29</v>
      </c>
      <c r="I1152" t="s">
        <v>30</v>
      </c>
      <c r="J1152" t="s">
        <v>50</v>
      </c>
      <c r="K1152" t="s">
        <v>32</v>
      </c>
      <c r="L1152" t="s">
        <v>740</v>
      </c>
      <c r="M1152" s="4">
        <v>2</v>
      </c>
      <c r="N1152" s="4">
        <v>1</v>
      </c>
      <c r="O1152" s="2">
        <v>0.5</v>
      </c>
      <c r="P1152" s="3">
        <v>0.4</v>
      </c>
      <c r="Q1152" s="3">
        <v>0.4</v>
      </c>
      <c r="R1152" s="3">
        <v>34.18</v>
      </c>
      <c r="S1152" s="2">
        <v>1.1702750146284377E-2</v>
      </c>
      <c r="T1152" s="5">
        <v>85.449999999999989</v>
      </c>
      <c r="U1152" s="4">
        <v>1</v>
      </c>
      <c r="V1152" s="4">
        <v>2</v>
      </c>
      <c r="W1152" s="2">
        <v>1</v>
      </c>
      <c r="X1152" s="4">
        <v>2</v>
      </c>
      <c r="Y1152" s="4">
        <v>0</v>
      </c>
      <c r="Z1152" s="3">
        <v>34.18</v>
      </c>
      <c r="AA1152" s="3">
        <v>0</v>
      </c>
    </row>
    <row r="1153" spans="1:27" x14ac:dyDescent="0.2">
      <c r="A1153">
        <f t="shared" si="34"/>
        <v>3</v>
      </c>
      <c r="B1153">
        <f t="shared" si="35"/>
        <v>12</v>
      </c>
      <c r="C1153" s="1">
        <v>46096</v>
      </c>
      <c r="D1153" t="s">
        <v>25</v>
      </c>
      <c r="E1153" t="s">
        <v>26</v>
      </c>
      <c r="F1153" t="s">
        <v>27</v>
      </c>
      <c r="G1153" t="s">
        <v>28</v>
      </c>
      <c r="H1153" t="s">
        <v>29</v>
      </c>
      <c r="I1153" t="s">
        <v>30</v>
      </c>
      <c r="J1153" t="s">
        <v>31</v>
      </c>
      <c r="K1153" t="s">
        <v>32</v>
      </c>
      <c r="L1153" t="s">
        <v>156</v>
      </c>
      <c r="M1153" s="4">
        <v>6</v>
      </c>
      <c r="N1153" s="4">
        <v>2</v>
      </c>
      <c r="O1153" s="2">
        <v>0.33333333333333331</v>
      </c>
      <c r="P1153" s="3">
        <v>0.20499999999999999</v>
      </c>
      <c r="Q1153" s="3">
        <v>0.41</v>
      </c>
      <c r="R1153" s="3">
        <v>0</v>
      </c>
      <c r="S1153" s="2"/>
      <c r="T1153" s="5">
        <v>0</v>
      </c>
      <c r="U1153" s="4">
        <v>0</v>
      </c>
      <c r="V1153" s="4">
        <v>0</v>
      </c>
      <c r="W1153" s="2">
        <v>0</v>
      </c>
      <c r="X1153" s="4">
        <v>0</v>
      </c>
      <c r="Y1153" s="4">
        <v>0</v>
      </c>
      <c r="Z1153" s="3">
        <v>0</v>
      </c>
      <c r="AA1153" s="3">
        <v>0</v>
      </c>
    </row>
    <row r="1154" spans="1:27" x14ac:dyDescent="0.2">
      <c r="A1154">
        <f t="shared" si="34"/>
        <v>3</v>
      </c>
      <c r="B1154">
        <f t="shared" si="35"/>
        <v>10</v>
      </c>
      <c r="C1154" s="1">
        <v>46088</v>
      </c>
      <c r="D1154" t="s">
        <v>25</v>
      </c>
      <c r="E1154" t="s">
        <v>26</v>
      </c>
      <c r="F1154" t="s">
        <v>27</v>
      </c>
      <c r="G1154" t="s">
        <v>28</v>
      </c>
      <c r="H1154" t="s">
        <v>29</v>
      </c>
      <c r="I1154" t="s">
        <v>30</v>
      </c>
      <c r="J1154" t="s">
        <v>272</v>
      </c>
      <c r="K1154" t="s">
        <v>32</v>
      </c>
      <c r="L1154" t="s">
        <v>741</v>
      </c>
      <c r="M1154" s="4">
        <v>1</v>
      </c>
      <c r="N1154" s="4">
        <v>1</v>
      </c>
      <c r="O1154" s="2">
        <v>1</v>
      </c>
      <c r="P1154" s="3">
        <v>0.2</v>
      </c>
      <c r="Q1154" s="3">
        <v>0.2</v>
      </c>
      <c r="R1154" s="3">
        <v>0</v>
      </c>
      <c r="S1154" s="2"/>
      <c r="T1154" s="5">
        <v>0</v>
      </c>
      <c r="U1154" s="4">
        <v>0</v>
      </c>
      <c r="V1154" s="4">
        <v>0</v>
      </c>
      <c r="W1154" s="2">
        <v>0</v>
      </c>
      <c r="X1154" s="4">
        <v>0</v>
      </c>
      <c r="Y1154" s="4">
        <v>0</v>
      </c>
      <c r="Z1154" s="3">
        <v>0</v>
      </c>
      <c r="AA1154" s="3">
        <v>0</v>
      </c>
    </row>
    <row r="1155" spans="1:27" x14ac:dyDescent="0.2">
      <c r="A1155">
        <f t="shared" ref="A1155:A1218" si="36">MONTH(C1155)</f>
        <v>3</v>
      </c>
      <c r="B1155">
        <f t="shared" ref="B1155:B1218" si="37">WEEKNUM(C1155,1)</f>
        <v>11</v>
      </c>
      <c r="C1155" s="1">
        <v>46093</v>
      </c>
      <c r="D1155" t="s">
        <v>25</v>
      </c>
      <c r="E1155" t="s">
        <v>26</v>
      </c>
      <c r="F1155" t="s">
        <v>27</v>
      </c>
      <c r="G1155" t="s">
        <v>124</v>
      </c>
      <c r="H1155" t="s">
        <v>29</v>
      </c>
      <c r="I1155" t="s">
        <v>30</v>
      </c>
      <c r="J1155" t="s">
        <v>144</v>
      </c>
      <c r="K1155" t="s">
        <v>87</v>
      </c>
      <c r="L1155" t="s">
        <v>742</v>
      </c>
      <c r="M1155" s="4">
        <v>7</v>
      </c>
      <c r="N1155" s="4">
        <v>1</v>
      </c>
      <c r="O1155" s="2">
        <v>0.14285714285714285</v>
      </c>
      <c r="P1155" s="3">
        <v>0.21</v>
      </c>
      <c r="Q1155" s="3">
        <v>0.21</v>
      </c>
      <c r="R1155" s="3">
        <v>0</v>
      </c>
      <c r="S1155" s="2"/>
      <c r="T1155" s="5">
        <v>0</v>
      </c>
      <c r="U1155" s="4">
        <v>0</v>
      </c>
      <c r="V1155" s="4">
        <v>0</v>
      </c>
      <c r="W1155" s="2">
        <v>0</v>
      </c>
      <c r="X1155" s="4">
        <v>0</v>
      </c>
      <c r="Y1155" s="4">
        <v>0</v>
      </c>
      <c r="Z1155" s="3">
        <v>0</v>
      </c>
      <c r="AA1155" s="3">
        <v>0</v>
      </c>
    </row>
    <row r="1156" spans="1:27" x14ac:dyDescent="0.2">
      <c r="A1156">
        <f t="shared" si="36"/>
        <v>3</v>
      </c>
      <c r="B1156">
        <f t="shared" si="37"/>
        <v>11</v>
      </c>
      <c r="C1156" s="1">
        <v>46094</v>
      </c>
      <c r="D1156" t="s">
        <v>25</v>
      </c>
      <c r="E1156" t="s">
        <v>26</v>
      </c>
      <c r="F1156" t="s">
        <v>27</v>
      </c>
      <c r="G1156" t="s">
        <v>124</v>
      </c>
      <c r="H1156" t="s">
        <v>29</v>
      </c>
      <c r="I1156" t="s">
        <v>30</v>
      </c>
      <c r="J1156" t="s">
        <v>144</v>
      </c>
      <c r="K1156" t="s">
        <v>87</v>
      </c>
      <c r="L1156" t="s">
        <v>743</v>
      </c>
      <c r="M1156" s="4">
        <v>1</v>
      </c>
      <c r="N1156" s="4">
        <v>1</v>
      </c>
      <c r="O1156" s="2">
        <v>1</v>
      </c>
      <c r="P1156" s="3">
        <v>0.44</v>
      </c>
      <c r="Q1156" s="3">
        <v>0.44</v>
      </c>
      <c r="R1156" s="3">
        <v>0</v>
      </c>
      <c r="S1156" s="2"/>
      <c r="T1156" s="5">
        <v>0</v>
      </c>
      <c r="U1156" s="4">
        <v>0</v>
      </c>
      <c r="V1156" s="4">
        <v>0</v>
      </c>
      <c r="W1156" s="2">
        <v>0</v>
      </c>
      <c r="X1156" s="4">
        <v>0</v>
      </c>
      <c r="Y1156" s="4">
        <v>0</v>
      </c>
      <c r="Z1156" s="3">
        <v>0</v>
      </c>
      <c r="AA1156" s="3">
        <v>0</v>
      </c>
    </row>
    <row r="1157" spans="1:27" x14ac:dyDescent="0.2">
      <c r="A1157">
        <f t="shared" si="36"/>
        <v>3</v>
      </c>
      <c r="B1157">
        <f t="shared" si="37"/>
        <v>12</v>
      </c>
      <c r="C1157" s="1">
        <v>46097</v>
      </c>
      <c r="D1157" t="s">
        <v>25</v>
      </c>
      <c r="E1157" t="s">
        <v>26</v>
      </c>
      <c r="F1157" t="s">
        <v>27</v>
      </c>
      <c r="G1157" t="s">
        <v>28</v>
      </c>
      <c r="H1157" t="s">
        <v>29</v>
      </c>
      <c r="I1157" t="s">
        <v>30</v>
      </c>
      <c r="J1157" t="s">
        <v>101</v>
      </c>
      <c r="K1157" t="s">
        <v>32</v>
      </c>
      <c r="L1157" t="s">
        <v>744</v>
      </c>
      <c r="M1157" s="4">
        <v>2</v>
      </c>
      <c r="N1157" s="4">
        <v>1</v>
      </c>
      <c r="O1157" s="2">
        <v>0.5</v>
      </c>
      <c r="P1157" s="3">
        <v>0.44</v>
      </c>
      <c r="Q1157" s="3">
        <v>0.44</v>
      </c>
      <c r="R1157" s="3">
        <v>0</v>
      </c>
      <c r="S1157" s="2"/>
      <c r="T1157" s="5">
        <v>0</v>
      </c>
      <c r="U1157" s="4">
        <v>0</v>
      </c>
      <c r="V1157" s="4">
        <v>0</v>
      </c>
      <c r="W1157" s="2">
        <v>0</v>
      </c>
      <c r="X1157" s="4">
        <v>0</v>
      </c>
      <c r="Y1157" s="4">
        <v>0</v>
      </c>
      <c r="Z1157" s="3">
        <v>0</v>
      </c>
      <c r="AA1157" s="3">
        <v>0</v>
      </c>
    </row>
    <row r="1158" spans="1:27" x14ac:dyDescent="0.2">
      <c r="A1158">
        <f t="shared" si="36"/>
        <v>3</v>
      </c>
      <c r="B1158">
        <f t="shared" si="37"/>
        <v>11</v>
      </c>
      <c r="C1158" s="1">
        <v>46095</v>
      </c>
      <c r="D1158" t="s">
        <v>25</v>
      </c>
      <c r="E1158" t="s">
        <v>26</v>
      </c>
      <c r="F1158" t="s">
        <v>27</v>
      </c>
      <c r="G1158" t="s">
        <v>28</v>
      </c>
      <c r="H1158" t="s">
        <v>29</v>
      </c>
      <c r="I1158" t="s">
        <v>30</v>
      </c>
      <c r="J1158" t="s">
        <v>119</v>
      </c>
      <c r="K1158" t="s">
        <v>32</v>
      </c>
      <c r="L1158" t="s">
        <v>745</v>
      </c>
      <c r="M1158" s="4">
        <v>1</v>
      </c>
      <c r="N1158" s="4">
        <v>1</v>
      </c>
      <c r="O1158" s="2">
        <v>1</v>
      </c>
      <c r="P1158" s="3">
        <v>0.16</v>
      </c>
      <c r="Q1158" s="3">
        <v>0.16</v>
      </c>
      <c r="R1158" s="3">
        <v>0</v>
      </c>
      <c r="S1158" s="2"/>
      <c r="T1158" s="5">
        <v>0</v>
      </c>
      <c r="U1158" s="4">
        <v>0</v>
      </c>
      <c r="V1158" s="4">
        <v>0</v>
      </c>
      <c r="W1158" s="2">
        <v>0</v>
      </c>
      <c r="X1158" s="4">
        <v>0</v>
      </c>
      <c r="Y1158" s="4">
        <v>0</v>
      </c>
      <c r="Z1158" s="3">
        <v>0</v>
      </c>
      <c r="AA1158" s="3">
        <v>0</v>
      </c>
    </row>
    <row r="1159" spans="1:27" x14ac:dyDescent="0.2">
      <c r="A1159">
        <f t="shared" si="36"/>
        <v>3</v>
      </c>
      <c r="B1159">
        <f t="shared" si="37"/>
        <v>10</v>
      </c>
      <c r="C1159" s="1">
        <v>46088</v>
      </c>
      <c r="D1159" t="s">
        <v>25</v>
      </c>
      <c r="E1159" t="s">
        <v>26</v>
      </c>
      <c r="F1159" t="s">
        <v>34</v>
      </c>
      <c r="G1159" t="s">
        <v>28</v>
      </c>
      <c r="H1159" t="s">
        <v>29</v>
      </c>
      <c r="I1159" t="s">
        <v>30</v>
      </c>
      <c r="J1159" t="s">
        <v>280</v>
      </c>
      <c r="K1159" t="s">
        <v>32</v>
      </c>
      <c r="L1159" t="s">
        <v>746</v>
      </c>
      <c r="M1159" s="4">
        <v>3</v>
      </c>
      <c r="N1159" s="4">
        <v>1</v>
      </c>
      <c r="O1159" s="2">
        <v>0.33333333333333331</v>
      </c>
      <c r="P1159" s="3">
        <v>1.62</v>
      </c>
      <c r="Q1159" s="3">
        <v>1.62</v>
      </c>
      <c r="R1159" s="3">
        <v>0</v>
      </c>
      <c r="S1159" s="2"/>
      <c r="T1159" s="5">
        <v>0</v>
      </c>
      <c r="U1159" s="4">
        <v>0</v>
      </c>
      <c r="V1159" s="4">
        <v>0</v>
      </c>
      <c r="W1159" s="2">
        <v>0</v>
      </c>
      <c r="X1159" s="4">
        <v>0</v>
      </c>
      <c r="Y1159" s="4">
        <v>0</v>
      </c>
      <c r="Z1159" s="3">
        <v>0</v>
      </c>
      <c r="AA1159" s="3">
        <v>0</v>
      </c>
    </row>
    <row r="1160" spans="1:27" x14ac:dyDescent="0.2">
      <c r="A1160">
        <f t="shared" si="36"/>
        <v>3</v>
      </c>
      <c r="B1160">
        <f t="shared" si="37"/>
        <v>12</v>
      </c>
      <c r="C1160" s="1">
        <v>46102</v>
      </c>
      <c r="D1160" t="s">
        <v>25</v>
      </c>
      <c r="E1160" t="s">
        <v>26</v>
      </c>
      <c r="F1160" t="s">
        <v>27</v>
      </c>
      <c r="G1160" t="s">
        <v>28</v>
      </c>
      <c r="H1160" t="s">
        <v>29</v>
      </c>
      <c r="I1160" t="s">
        <v>30</v>
      </c>
      <c r="J1160" t="s">
        <v>156</v>
      </c>
      <c r="K1160" t="s">
        <v>32</v>
      </c>
      <c r="L1160" t="s">
        <v>747</v>
      </c>
      <c r="M1160" s="4">
        <v>2</v>
      </c>
      <c r="N1160" s="4">
        <v>1</v>
      </c>
      <c r="O1160" s="2">
        <v>0.5</v>
      </c>
      <c r="P1160" s="3">
        <v>0.16</v>
      </c>
      <c r="Q1160" s="3">
        <v>0.16</v>
      </c>
      <c r="R1160" s="3">
        <v>0</v>
      </c>
      <c r="S1160" s="2"/>
      <c r="T1160" s="5">
        <v>0</v>
      </c>
      <c r="U1160" s="4">
        <v>0</v>
      </c>
      <c r="V1160" s="4">
        <v>0</v>
      </c>
      <c r="W1160" s="2">
        <v>0</v>
      </c>
      <c r="X1160" s="4">
        <v>0</v>
      </c>
      <c r="Y1160" s="4">
        <v>0</v>
      </c>
      <c r="Z1160" s="3">
        <v>0</v>
      </c>
      <c r="AA1160" s="3">
        <v>0</v>
      </c>
    </row>
    <row r="1161" spans="1:27" x14ac:dyDescent="0.2">
      <c r="A1161">
        <f t="shared" si="36"/>
        <v>3</v>
      </c>
      <c r="B1161">
        <f t="shared" si="37"/>
        <v>10</v>
      </c>
      <c r="C1161" s="1">
        <v>46082</v>
      </c>
      <c r="D1161" t="s">
        <v>25</v>
      </c>
      <c r="E1161" t="s">
        <v>26</v>
      </c>
      <c r="F1161" t="s">
        <v>61</v>
      </c>
      <c r="G1161" t="s">
        <v>62</v>
      </c>
      <c r="H1161" t="s">
        <v>29</v>
      </c>
      <c r="I1161" t="s">
        <v>30</v>
      </c>
      <c r="J1161" t="s">
        <v>95</v>
      </c>
      <c r="K1161" t="s">
        <v>42</v>
      </c>
      <c r="L1161" t="s">
        <v>748</v>
      </c>
      <c r="M1161" s="4">
        <v>1</v>
      </c>
      <c r="N1161" s="4">
        <v>1</v>
      </c>
      <c r="O1161" s="2">
        <v>1</v>
      </c>
      <c r="P1161" s="3">
        <v>1.05</v>
      </c>
      <c r="Q1161" s="3">
        <v>1.05</v>
      </c>
      <c r="R1161" s="3">
        <v>0</v>
      </c>
      <c r="S1161" s="2"/>
      <c r="T1161" s="5">
        <v>0</v>
      </c>
      <c r="U1161" s="4">
        <v>0</v>
      </c>
      <c r="V1161" s="4">
        <v>0</v>
      </c>
      <c r="W1161" s="2">
        <v>0</v>
      </c>
      <c r="X1161" s="4">
        <v>0</v>
      </c>
      <c r="Y1161" s="4">
        <v>0</v>
      </c>
      <c r="Z1161" s="3">
        <v>0</v>
      </c>
      <c r="AA1161" s="3">
        <v>0</v>
      </c>
    </row>
    <row r="1162" spans="1:27" x14ac:dyDescent="0.2">
      <c r="A1162">
        <f t="shared" si="36"/>
        <v>3</v>
      </c>
      <c r="B1162">
        <f t="shared" si="37"/>
        <v>11</v>
      </c>
      <c r="C1162" s="1">
        <v>46091</v>
      </c>
      <c r="D1162" t="s">
        <v>25</v>
      </c>
      <c r="E1162" t="s">
        <v>26</v>
      </c>
      <c r="F1162" t="s">
        <v>61</v>
      </c>
      <c r="G1162" t="s">
        <v>62</v>
      </c>
      <c r="H1162" t="s">
        <v>29</v>
      </c>
      <c r="I1162" t="s">
        <v>30</v>
      </c>
      <c r="J1162" t="s">
        <v>47</v>
      </c>
      <c r="K1162" t="s">
        <v>42</v>
      </c>
      <c r="L1162" t="s">
        <v>173</v>
      </c>
      <c r="M1162" s="4">
        <v>73</v>
      </c>
      <c r="N1162" s="4">
        <v>1</v>
      </c>
      <c r="O1162" s="2">
        <v>1.3698630136986301E-2</v>
      </c>
      <c r="P1162" s="3">
        <v>1.25</v>
      </c>
      <c r="Q1162" s="3">
        <v>1.25</v>
      </c>
      <c r="R1162" s="3">
        <v>0</v>
      </c>
      <c r="S1162" s="2"/>
      <c r="T1162" s="5">
        <v>0</v>
      </c>
      <c r="U1162" s="4">
        <v>0</v>
      </c>
      <c r="V1162" s="4">
        <v>0</v>
      </c>
      <c r="W1162" s="2">
        <v>0</v>
      </c>
      <c r="X1162" s="4">
        <v>0</v>
      </c>
      <c r="Y1162" s="4">
        <v>0</v>
      </c>
      <c r="Z1162" s="3">
        <v>0</v>
      </c>
      <c r="AA1162" s="3">
        <v>0</v>
      </c>
    </row>
    <row r="1163" spans="1:27" x14ac:dyDescent="0.2">
      <c r="A1163">
        <f t="shared" si="36"/>
        <v>3</v>
      </c>
      <c r="B1163">
        <f t="shared" si="37"/>
        <v>11</v>
      </c>
      <c r="C1163" s="1">
        <v>46091</v>
      </c>
      <c r="D1163" t="s">
        <v>25</v>
      </c>
      <c r="E1163" t="s">
        <v>26</v>
      </c>
      <c r="F1163" t="s">
        <v>112</v>
      </c>
      <c r="G1163" t="s">
        <v>62</v>
      </c>
      <c r="H1163" t="s">
        <v>29</v>
      </c>
      <c r="I1163" t="s">
        <v>30</v>
      </c>
      <c r="J1163" t="s">
        <v>173</v>
      </c>
      <c r="K1163" t="s">
        <v>32</v>
      </c>
      <c r="L1163" t="s">
        <v>173</v>
      </c>
      <c r="M1163" s="4">
        <v>20</v>
      </c>
      <c r="N1163" s="4">
        <v>1</v>
      </c>
      <c r="O1163" s="2">
        <v>0.05</v>
      </c>
      <c r="P1163" s="3">
        <v>0.35</v>
      </c>
      <c r="Q1163" s="3">
        <v>0.35</v>
      </c>
      <c r="R1163" s="3">
        <v>0</v>
      </c>
      <c r="S1163" s="2"/>
      <c r="T1163" s="5">
        <v>0</v>
      </c>
      <c r="U1163" s="4">
        <v>0</v>
      </c>
      <c r="V1163" s="4">
        <v>0</v>
      </c>
      <c r="W1163" s="2">
        <v>0</v>
      </c>
      <c r="X1163" s="4">
        <v>0</v>
      </c>
      <c r="Y1163" s="4">
        <v>0</v>
      </c>
      <c r="Z1163" s="3">
        <v>0</v>
      </c>
      <c r="AA1163" s="3">
        <v>0</v>
      </c>
    </row>
    <row r="1164" spans="1:27" x14ac:dyDescent="0.2">
      <c r="A1164">
        <f t="shared" si="36"/>
        <v>3</v>
      </c>
      <c r="B1164">
        <f t="shared" si="37"/>
        <v>12</v>
      </c>
      <c r="C1164" s="1">
        <v>46101</v>
      </c>
      <c r="D1164" t="s">
        <v>25</v>
      </c>
      <c r="E1164" t="s">
        <v>26</v>
      </c>
      <c r="F1164" t="s">
        <v>61</v>
      </c>
      <c r="G1164" t="s">
        <v>62</v>
      </c>
      <c r="H1164" t="s">
        <v>29</v>
      </c>
      <c r="I1164" t="s">
        <v>30</v>
      </c>
      <c r="J1164" t="s">
        <v>47</v>
      </c>
      <c r="K1164" t="s">
        <v>42</v>
      </c>
      <c r="L1164" t="s">
        <v>749</v>
      </c>
      <c r="M1164" s="4">
        <v>1</v>
      </c>
      <c r="N1164" s="4">
        <v>1</v>
      </c>
      <c r="O1164" s="2">
        <v>1</v>
      </c>
      <c r="P1164" s="3">
        <v>1.81</v>
      </c>
      <c r="Q1164" s="3">
        <v>1.81</v>
      </c>
      <c r="R1164" s="3">
        <v>0</v>
      </c>
      <c r="S1164" s="2"/>
      <c r="T1164" s="5">
        <v>0</v>
      </c>
      <c r="U1164" s="4">
        <v>0</v>
      </c>
      <c r="V1164" s="4">
        <v>0</v>
      </c>
      <c r="W1164" s="2">
        <v>0</v>
      </c>
      <c r="X1164" s="4">
        <v>0</v>
      </c>
      <c r="Y1164" s="4">
        <v>0</v>
      </c>
      <c r="Z1164" s="3">
        <v>0</v>
      </c>
      <c r="AA1164" s="3">
        <v>0</v>
      </c>
    </row>
    <row r="1165" spans="1:27" x14ac:dyDescent="0.2">
      <c r="A1165">
        <f t="shared" si="36"/>
        <v>3</v>
      </c>
      <c r="B1165">
        <f t="shared" si="37"/>
        <v>11</v>
      </c>
      <c r="C1165" s="1">
        <v>46094</v>
      </c>
      <c r="D1165" t="s">
        <v>25</v>
      </c>
      <c r="E1165" t="s">
        <v>26</v>
      </c>
      <c r="F1165" t="s">
        <v>61</v>
      </c>
      <c r="G1165" t="s">
        <v>62</v>
      </c>
      <c r="H1165" t="s">
        <v>29</v>
      </c>
      <c r="I1165" t="s">
        <v>30</v>
      </c>
      <c r="J1165" t="s">
        <v>47</v>
      </c>
      <c r="K1165" t="s">
        <v>42</v>
      </c>
      <c r="L1165" t="s">
        <v>184</v>
      </c>
      <c r="M1165" s="4">
        <v>11</v>
      </c>
      <c r="N1165" s="4">
        <v>1</v>
      </c>
      <c r="O1165" s="2">
        <v>9.0909090909090925E-2</v>
      </c>
      <c r="P1165" s="3">
        <v>1.28</v>
      </c>
      <c r="Q1165" s="3">
        <v>1.28</v>
      </c>
      <c r="R1165" s="3">
        <v>0</v>
      </c>
      <c r="S1165" s="2"/>
      <c r="T1165" s="5">
        <v>0</v>
      </c>
      <c r="U1165" s="4">
        <v>0</v>
      </c>
      <c r="V1165" s="4">
        <v>0</v>
      </c>
      <c r="W1165" s="2">
        <v>0</v>
      </c>
      <c r="X1165" s="4">
        <v>0</v>
      </c>
      <c r="Y1165" s="4">
        <v>0</v>
      </c>
      <c r="Z1165" s="3">
        <v>0</v>
      </c>
      <c r="AA1165" s="3">
        <v>0</v>
      </c>
    </row>
    <row r="1166" spans="1:27" x14ac:dyDescent="0.2">
      <c r="A1166">
        <f t="shared" si="36"/>
        <v>3</v>
      </c>
      <c r="B1166">
        <f t="shared" si="37"/>
        <v>10</v>
      </c>
      <c r="C1166" s="1">
        <v>46082</v>
      </c>
      <c r="D1166" t="s">
        <v>25</v>
      </c>
      <c r="E1166" t="s">
        <v>26</v>
      </c>
      <c r="F1166" t="s">
        <v>112</v>
      </c>
      <c r="G1166" t="s">
        <v>62</v>
      </c>
      <c r="H1166" t="s">
        <v>29</v>
      </c>
      <c r="I1166" t="s">
        <v>30</v>
      </c>
      <c r="J1166" t="s">
        <v>173</v>
      </c>
      <c r="K1166" t="s">
        <v>32</v>
      </c>
      <c r="L1166" t="s">
        <v>184</v>
      </c>
      <c r="M1166" s="4">
        <v>22</v>
      </c>
      <c r="N1166" s="4">
        <v>1</v>
      </c>
      <c r="O1166" s="2">
        <v>4.5454545454545463E-2</v>
      </c>
      <c r="P1166" s="3">
        <v>0.68</v>
      </c>
      <c r="Q1166" s="3">
        <v>0.68</v>
      </c>
      <c r="R1166" s="3">
        <v>0</v>
      </c>
      <c r="S1166" s="2"/>
      <c r="T1166" s="5">
        <v>0</v>
      </c>
      <c r="U1166" s="4">
        <v>0</v>
      </c>
      <c r="V1166" s="4">
        <v>0</v>
      </c>
      <c r="W1166" s="2">
        <v>0</v>
      </c>
      <c r="X1166" s="4">
        <v>0</v>
      </c>
      <c r="Y1166" s="4">
        <v>0</v>
      </c>
      <c r="Z1166" s="3">
        <v>0</v>
      </c>
      <c r="AA1166" s="3">
        <v>0</v>
      </c>
    </row>
    <row r="1167" spans="1:27" x14ac:dyDescent="0.2">
      <c r="A1167">
        <f t="shared" si="36"/>
        <v>3</v>
      </c>
      <c r="B1167">
        <f t="shared" si="37"/>
        <v>12</v>
      </c>
      <c r="C1167" s="1">
        <v>46101</v>
      </c>
      <c r="D1167" t="s">
        <v>25</v>
      </c>
      <c r="E1167" t="s">
        <v>26</v>
      </c>
      <c r="F1167" t="s">
        <v>61</v>
      </c>
      <c r="G1167" t="s">
        <v>62</v>
      </c>
      <c r="H1167" t="s">
        <v>29</v>
      </c>
      <c r="I1167" t="s">
        <v>30</v>
      </c>
      <c r="J1167" t="s">
        <v>47</v>
      </c>
      <c r="K1167" t="s">
        <v>42</v>
      </c>
      <c r="L1167" t="s">
        <v>750</v>
      </c>
      <c r="M1167" s="4">
        <v>2</v>
      </c>
      <c r="N1167" s="4">
        <v>1</v>
      </c>
      <c r="O1167" s="2">
        <v>0.5</v>
      </c>
      <c r="P1167" s="3">
        <v>1.58</v>
      </c>
      <c r="Q1167" s="3">
        <v>1.58</v>
      </c>
      <c r="R1167" s="3">
        <v>0</v>
      </c>
      <c r="S1167" s="2"/>
      <c r="T1167" s="5">
        <v>0</v>
      </c>
      <c r="U1167" s="4">
        <v>0</v>
      </c>
      <c r="V1167" s="4">
        <v>0</v>
      </c>
      <c r="W1167" s="2">
        <v>0</v>
      </c>
      <c r="X1167" s="4">
        <v>0</v>
      </c>
      <c r="Y1167" s="4">
        <v>0</v>
      </c>
      <c r="Z1167" s="3">
        <v>0</v>
      </c>
      <c r="AA1167" s="3">
        <v>0</v>
      </c>
    </row>
    <row r="1168" spans="1:27" x14ac:dyDescent="0.2">
      <c r="A1168">
        <f t="shared" si="36"/>
        <v>3</v>
      </c>
      <c r="B1168">
        <f t="shared" si="37"/>
        <v>10</v>
      </c>
      <c r="C1168" s="1">
        <v>46082</v>
      </c>
      <c r="D1168" t="s">
        <v>25</v>
      </c>
      <c r="E1168" t="s">
        <v>26</v>
      </c>
      <c r="F1168" t="s">
        <v>61</v>
      </c>
      <c r="G1168" t="s">
        <v>62</v>
      </c>
      <c r="H1168" t="s">
        <v>29</v>
      </c>
      <c r="I1168" t="s">
        <v>30</v>
      </c>
      <c r="J1168" t="s">
        <v>47</v>
      </c>
      <c r="K1168" t="s">
        <v>42</v>
      </c>
      <c r="L1168" t="s">
        <v>185</v>
      </c>
      <c r="M1168" s="4">
        <v>318</v>
      </c>
      <c r="N1168" s="4">
        <v>1</v>
      </c>
      <c r="O1168" s="2">
        <v>3.1446540880503151E-3</v>
      </c>
      <c r="P1168" s="3">
        <v>1.1299999999999999</v>
      </c>
      <c r="Q1168" s="3">
        <v>1.1299999999999999</v>
      </c>
      <c r="R1168" s="3">
        <v>0</v>
      </c>
      <c r="S1168" s="2"/>
      <c r="T1168" s="5">
        <v>0</v>
      </c>
      <c r="U1168" s="4">
        <v>0</v>
      </c>
      <c r="V1168" s="4">
        <v>0</v>
      </c>
      <c r="W1168" s="2">
        <v>0</v>
      </c>
      <c r="X1168" s="4">
        <v>0</v>
      </c>
      <c r="Y1168" s="4">
        <v>0</v>
      </c>
      <c r="Z1168" s="3">
        <v>0</v>
      </c>
      <c r="AA1168" s="3">
        <v>0</v>
      </c>
    </row>
    <row r="1169" spans="1:27" x14ac:dyDescent="0.2">
      <c r="A1169">
        <f t="shared" si="36"/>
        <v>3</v>
      </c>
      <c r="B1169">
        <f t="shared" si="37"/>
        <v>10</v>
      </c>
      <c r="C1169" s="1">
        <v>46083</v>
      </c>
      <c r="D1169" t="s">
        <v>25</v>
      </c>
      <c r="E1169" t="s">
        <v>26</v>
      </c>
      <c r="F1169" t="s">
        <v>61</v>
      </c>
      <c r="G1169" t="s">
        <v>62</v>
      </c>
      <c r="H1169" t="s">
        <v>29</v>
      </c>
      <c r="I1169" t="s">
        <v>30</v>
      </c>
      <c r="J1169" t="s">
        <v>47</v>
      </c>
      <c r="K1169" t="s">
        <v>42</v>
      </c>
      <c r="L1169" t="s">
        <v>185</v>
      </c>
      <c r="M1169" s="4">
        <v>337</v>
      </c>
      <c r="N1169" s="4">
        <v>1</v>
      </c>
      <c r="O1169" s="2">
        <v>2.967359050445104E-3</v>
      </c>
      <c r="P1169" s="3">
        <v>1.48</v>
      </c>
      <c r="Q1169" s="3">
        <v>1.48</v>
      </c>
      <c r="R1169" s="3">
        <v>0</v>
      </c>
      <c r="S1169" s="2"/>
      <c r="T1169" s="5">
        <v>0</v>
      </c>
      <c r="U1169" s="4">
        <v>0</v>
      </c>
      <c r="V1169" s="4">
        <v>0</v>
      </c>
      <c r="W1169" s="2">
        <v>0</v>
      </c>
      <c r="X1169" s="4">
        <v>0</v>
      </c>
      <c r="Y1169" s="4">
        <v>0</v>
      </c>
      <c r="Z1169" s="3">
        <v>0</v>
      </c>
      <c r="AA1169" s="3">
        <v>0</v>
      </c>
    </row>
    <row r="1170" spans="1:27" x14ac:dyDescent="0.2">
      <c r="A1170">
        <f t="shared" si="36"/>
        <v>3</v>
      </c>
      <c r="B1170">
        <f t="shared" si="37"/>
        <v>10</v>
      </c>
      <c r="C1170" s="1">
        <v>46084</v>
      </c>
      <c r="D1170" t="s">
        <v>25</v>
      </c>
      <c r="E1170" t="s">
        <v>26</v>
      </c>
      <c r="F1170" t="s">
        <v>61</v>
      </c>
      <c r="G1170" t="s">
        <v>62</v>
      </c>
      <c r="H1170" t="s">
        <v>29</v>
      </c>
      <c r="I1170" t="s">
        <v>30</v>
      </c>
      <c r="J1170" t="s">
        <v>47</v>
      </c>
      <c r="K1170" t="s">
        <v>42</v>
      </c>
      <c r="L1170" t="s">
        <v>185</v>
      </c>
      <c r="M1170" s="4">
        <v>617</v>
      </c>
      <c r="N1170" s="4">
        <v>1</v>
      </c>
      <c r="O1170" s="2">
        <v>1.620745542949757E-3</v>
      </c>
      <c r="P1170" s="3">
        <v>1.51</v>
      </c>
      <c r="Q1170" s="3">
        <v>1.51</v>
      </c>
      <c r="R1170" s="3">
        <v>0</v>
      </c>
      <c r="S1170" s="2"/>
      <c r="T1170" s="5">
        <v>0</v>
      </c>
      <c r="U1170" s="4">
        <v>0</v>
      </c>
      <c r="V1170" s="4">
        <v>0</v>
      </c>
      <c r="W1170" s="2">
        <v>0</v>
      </c>
      <c r="X1170" s="4">
        <v>0</v>
      </c>
      <c r="Y1170" s="4">
        <v>0</v>
      </c>
      <c r="Z1170" s="3">
        <v>0</v>
      </c>
      <c r="AA1170" s="3">
        <v>0</v>
      </c>
    </row>
    <row r="1171" spans="1:27" x14ac:dyDescent="0.2">
      <c r="A1171">
        <f t="shared" si="36"/>
        <v>3</v>
      </c>
      <c r="B1171">
        <f t="shared" si="37"/>
        <v>10</v>
      </c>
      <c r="C1171" s="1">
        <v>46085</v>
      </c>
      <c r="D1171" t="s">
        <v>25</v>
      </c>
      <c r="E1171" t="s">
        <v>26</v>
      </c>
      <c r="F1171" t="s">
        <v>61</v>
      </c>
      <c r="G1171" t="s">
        <v>62</v>
      </c>
      <c r="H1171" t="s">
        <v>29</v>
      </c>
      <c r="I1171" t="s">
        <v>30</v>
      </c>
      <c r="J1171" t="s">
        <v>47</v>
      </c>
      <c r="K1171" t="s">
        <v>42</v>
      </c>
      <c r="L1171" t="s">
        <v>185</v>
      </c>
      <c r="M1171" s="4">
        <v>376</v>
      </c>
      <c r="N1171" s="4">
        <v>1</v>
      </c>
      <c r="O1171" s="2">
        <v>2.6595744680851063E-3</v>
      </c>
      <c r="P1171" s="3">
        <v>1.51</v>
      </c>
      <c r="Q1171" s="3">
        <v>1.51</v>
      </c>
      <c r="R1171" s="3">
        <v>0</v>
      </c>
      <c r="S1171" s="2"/>
      <c r="T1171" s="5">
        <v>0</v>
      </c>
      <c r="U1171" s="4">
        <v>0</v>
      </c>
      <c r="V1171" s="4">
        <v>0</v>
      </c>
      <c r="W1171" s="2">
        <v>0</v>
      </c>
      <c r="X1171" s="4">
        <v>0</v>
      </c>
      <c r="Y1171" s="4">
        <v>0</v>
      </c>
      <c r="Z1171" s="3">
        <v>0</v>
      </c>
      <c r="AA1171" s="3">
        <v>0</v>
      </c>
    </row>
    <row r="1172" spans="1:27" x14ac:dyDescent="0.2">
      <c r="A1172">
        <f t="shared" si="36"/>
        <v>3</v>
      </c>
      <c r="B1172">
        <f t="shared" si="37"/>
        <v>10</v>
      </c>
      <c r="C1172" s="1">
        <v>46086</v>
      </c>
      <c r="D1172" t="s">
        <v>25</v>
      </c>
      <c r="E1172" t="s">
        <v>26</v>
      </c>
      <c r="F1172" t="s">
        <v>61</v>
      </c>
      <c r="G1172" t="s">
        <v>62</v>
      </c>
      <c r="H1172" t="s">
        <v>29</v>
      </c>
      <c r="I1172" t="s">
        <v>30</v>
      </c>
      <c r="J1172" t="s">
        <v>47</v>
      </c>
      <c r="K1172" t="s">
        <v>42</v>
      </c>
      <c r="L1172" t="s">
        <v>185</v>
      </c>
      <c r="M1172" s="4">
        <v>261</v>
      </c>
      <c r="N1172" s="4">
        <v>1</v>
      </c>
      <c r="O1172" s="2">
        <v>3.8314176245210726E-3</v>
      </c>
      <c r="P1172" s="3">
        <v>1.58</v>
      </c>
      <c r="Q1172" s="3">
        <v>1.58</v>
      </c>
      <c r="R1172" s="3">
        <v>0</v>
      </c>
      <c r="S1172" s="2"/>
      <c r="T1172" s="5">
        <v>0</v>
      </c>
      <c r="U1172" s="4">
        <v>0</v>
      </c>
      <c r="V1172" s="4">
        <v>0</v>
      </c>
      <c r="W1172" s="2">
        <v>0</v>
      </c>
      <c r="X1172" s="4">
        <v>0</v>
      </c>
      <c r="Y1172" s="4">
        <v>0</v>
      </c>
      <c r="Z1172" s="3">
        <v>0</v>
      </c>
      <c r="AA1172" s="3">
        <v>0</v>
      </c>
    </row>
    <row r="1173" spans="1:27" x14ac:dyDescent="0.2">
      <c r="A1173">
        <f t="shared" si="36"/>
        <v>3</v>
      </c>
      <c r="B1173">
        <f t="shared" si="37"/>
        <v>10</v>
      </c>
      <c r="C1173" s="1">
        <v>46087</v>
      </c>
      <c r="D1173" t="s">
        <v>25</v>
      </c>
      <c r="E1173" t="s">
        <v>26</v>
      </c>
      <c r="F1173" t="s">
        <v>61</v>
      </c>
      <c r="G1173" t="s">
        <v>62</v>
      </c>
      <c r="H1173" t="s">
        <v>29</v>
      </c>
      <c r="I1173" t="s">
        <v>30</v>
      </c>
      <c r="J1173" t="s">
        <v>47</v>
      </c>
      <c r="K1173" t="s">
        <v>42</v>
      </c>
      <c r="L1173" t="s">
        <v>185</v>
      </c>
      <c r="M1173" s="4">
        <v>216</v>
      </c>
      <c r="N1173" s="4">
        <v>1</v>
      </c>
      <c r="O1173" s="2">
        <v>4.6296296296296294E-3</v>
      </c>
      <c r="P1173" s="3">
        <v>1.58</v>
      </c>
      <c r="Q1173" s="3">
        <v>1.58</v>
      </c>
      <c r="R1173" s="3">
        <v>0</v>
      </c>
      <c r="S1173" s="2"/>
      <c r="T1173" s="5">
        <v>0</v>
      </c>
      <c r="U1173" s="4">
        <v>0</v>
      </c>
      <c r="V1173" s="4">
        <v>0</v>
      </c>
      <c r="W1173" s="2">
        <v>0</v>
      </c>
      <c r="X1173" s="4">
        <v>0</v>
      </c>
      <c r="Y1173" s="4">
        <v>0</v>
      </c>
      <c r="Z1173" s="3">
        <v>0</v>
      </c>
      <c r="AA1173" s="3">
        <v>0</v>
      </c>
    </row>
    <row r="1174" spans="1:27" x14ac:dyDescent="0.2">
      <c r="A1174">
        <f t="shared" si="36"/>
        <v>3</v>
      </c>
      <c r="B1174">
        <f t="shared" si="37"/>
        <v>11</v>
      </c>
      <c r="C1174" s="1">
        <v>46089</v>
      </c>
      <c r="D1174" t="s">
        <v>25</v>
      </c>
      <c r="E1174" t="s">
        <v>26</v>
      </c>
      <c r="F1174" t="s">
        <v>61</v>
      </c>
      <c r="G1174" t="s">
        <v>62</v>
      </c>
      <c r="H1174" t="s">
        <v>29</v>
      </c>
      <c r="I1174" t="s">
        <v>30</v>
      </c>
      <c r="J1174" t="s">
        <v>47</v>
      </c>
      <c r="K1174" t="s">
        <v>42</v>
      </c>
      <c r="L1174" t="s">
        <v>185</v>
      </c>
      <c r="M1174" s="4">
        <v>70</v>
      </c>
      <c r="N1174" s="4">
        <v>1</v>
      </c>
      <c r="O1174" s="2">
        <v>1.4285714285714285E-2</v>
      </c>
      <c r="P1174" s="3">
        <v>1.31</v>
      </c>
      <c r="Q1174" s="3">
        <v>1.31</v>
      </c>
      <c r="R1174" s="3">
        <v>0</v>
      </c>
      <c r="S1174" s="2"/>
      <c r="T1174" s="5">
        <v>0</v>
      </c>
      <c r="U1174" s="4">
        <v>0</v>
      </c>
      <c r="V1174" s="4">
        <v>0</v>
      </c>
      <c r="W1174" s="2">
        <v>0</v>
      </c>
      <c r="X1174" s="4">
        <v>0</v>
      </c>
      <c r="Y1174" s="4">
        <v>0</v>
      </c>
      <c r="Z1174" s="3">
        <v>0</v>
      </c>
      <c r="AA1174" s="3">
        <v>0</v>
      </c>
    </row>
    <row r="1175" spans="1:27" x14ac:dyDescent="0.2">
      <c r="A1175">
        <f t="shared" si="36"/>
        <v>3</v>
      </c>
      <c r="B1175">
        <f t="shared" si="37"/>
        <v>12</v>
      </c>
      <c r="C1175" s="1">
        <v>46102</v>
      </c>
      <c r="D1175" t="s">
        <v>25</v>
      </c>
      <c r="E1175" t="s">
        <v>26</v>
      </c>
      <c r="F1175" t="s">
        <v>61</v>
      </c>
      <c r="G1175" t="s">
        <v>62</v>
      </c>
      <c r="H1175" t="s">
        <v>29</v>
      </c>
      <c r="I1175" t="s">
        <v>30</v>
      </c>
      <c r="J1175" t="s">
        <v>95</v>
      </c>
      <c r="K1175" t="s">
        <v>42</v>
      </c>
      <c r="L1175" t="s">
        <v>751</v>
      </c>
      <c r="M1175" s="4">
        <v>1</v>
      </c>
      <c r="N1175" s="4">
        <v>1</v>
      </c>
      <c r="O1175" s="2">
        <v>1</v>
      </c>
      <c r="P1175" s="3">
        <v>1.5</v>
      </c>
      <c r="Q1175" s="3">
        <v>1.5</v>
      </c>
      <c r="R1175" s="3">
        <v>0</v>
      </c>
      <c r="S1175" s="2"/>
      <c r="T1175" s="5">
        <v>0</v>
      </c>
      <c r="U1175" s="4">
        <v>0</v>
      </c>
      <c r="V1175" s="4">
        <v>0</v>
      </c>
      <c r="W1175" s="2">
        <v>0</v>
      </c>
      <c r="X1175" s="4">
        <v>0</v>
      </c>
      <c r="Y1175" s="4">
        <v>0</v>
      </c>
      <c r="Z1175" s="3">
        <v>0</v>
      </c>
      <c r="AA1175" s="3">
        <v>0</v>
      </c>
    </row>
    <row r="1176" spans="1:27" x14ac:dyDescent="0.2">
      <c r="A1176">
        <f t="shared" si="36"/>
        <v>3</v>
      </c>
      <c r="B1176">
        <f t="shared" si="37"/>
        <v>10</v>
      </c>
      <c r="C1176" s="1">
        <v>46086</v>
      </c>
      <c r="D1176" t="s">
        <v>25</v>
      </c>
      <c r="E1176" t="s">
        <v>26</v>
      </c>
      <c r="F1176" t="s">
        <v>61</v>
      </c>
      <c r="G1176" t="s">
        <v>62</v>
      </c>
      <c r="H1176" t="s">
        <v>29</v>
      </c>
      <c r="I1176" t="s">
        <v>30</v>
      </c>
      <c r="J1176" t="s">
        <v>47</v>
      </c>
      <c r="K1176" t="s">
        <v>42</v>
      </c>
      <c r="L1176" t="s">
        <v>752</v>
      </c>
      <c r="M1176" s="4">
        <v>1</v>
      </c>
      <c r="N1176" s="4">
        <v>1</v>
      </c>
      <c r="O1176" s="2">
        <v>1</v>
      </c>
      <c r="P1176" s="3">
        <v>1.58</v>
      </c>
      <c r="Q1176" s="3">
        <v>1.58</v>
      </c>
      <c r="R1176" s="3">
        <v>0</v>
      </c>
      <c r="S1176" s="2"/>
      <c r="T1176" s="5">
        <v>0</v>
      </c>
      <c r="U1176" s="4">
        <v>0</v>
      </c>
      <c r="V1176" s="4">
        <v>0</v>
      </c>
      <c r="W1176" s="2">
        <v>0</v>
      </c>
      <c r="X1176" s="4">
        <v>0</v>
      </c>
      <c r="Y1176" s="4">
        <v>0</v>
      </c>
      <c r="Z1176" s="3">
        <v>0</v>
      </c>
      <c r="AA1176" s="3">
        <v>0</v>
      </c>
    </row>
    <row r="1177" spans="1:27" x14ac:dyDescent="0.2">
      <c r="A1177">
        <f t="shared" si="36"/>
        <v>3</v>
      </c>
      <c r="B1177">
        <f t="shared" si="37"/>
        <v>11</v>
      </c>
      <c r="C1177" s="1">
        <v>46091</v>
      </c>
      <c r="D1177" t="s">
        <v>25</v>
      </c>
      <c r="E1177" t="s">
        <v>26</v>
      </c>
      <c r="F1177" t="s">
        <v>45</v>
      </c>
      <c r="G1177" t="s">
        <v>46</v>
      </c>
      <c r="H1177" t="s">
        <v>29</v>
      </c>
      <c r="I1177" t="s">
        <v>30</v>
      </c>
      <c r="J1177" t="s">
        <v>95</v>
      </c>
      <c r="K1177" t="s">
        <v>42</v>
      </c>
      <c r="L1177" t="s">
        <v>753</v>
      </c>
      <c r="M1177" s="4">
        <v>1</v>
      </c>
      <c r="N1177" s="4">
        <v>1</v>
      </c>
      <c r="O1177" s="2">
        <v>1</v>
      </c>
      <c r="P1177" s="3">
        <v>0.46</v>
      </c>
      <c r="Q1177" s="3">
        <v>0.46</v>
      </c>
      <c r="R1177" s="3">
        <v>0</v>
      </c>
      <c r="S1177" s="2"/>
      <c r="T1177" s="5">
        <v>0</v>
      </c>
      <c r="U1177" s="4">
        <v>0</v>
      </c>
      <c r="V1177" s="4">
        <v>0</v>
      </c>
      <c r="W1177" s="2">
        <v>0</v>
      </c>
      <c r="X1177" s="4">
        <v>0</v>
      </c>
      <c r="Y1177" s="4">
        <v>0</v>
      </c>
      <c r="Z1177" s="3">
        <v>0</v>
      </c>
      <c r="AA1177" s="3">
        <v>0</v>
      </c>
    </row>
    <row r="1178" spans="1:27" x14ac:dyDescent="0.2">
      <c r="A1178">
        <f t="shared" si="36"/>
        <v>3</v>
      </c>
      <c r="B1178">
        <f t="shared" si="37"/>
        <v>12</v>
      </c>
      <c r="C1178" s="1">
        <v>46097</v>
      </c>
      <c r="D1178" t="s">
        <v>25</v>
      </c>
      <c r="E1178" t="s">
        <v>26</v>
      </c>
      <c r="F1178" t="s">
        <v>61</v>
      </c>
      <c r="G1178" t="s">
        <v>62</v>
      </c>
      <c r="H1178" t="s">
        <v>29</v>
      </c>
      <c r="I1178" t="s">
        <v>30</v>
      </c>
      <c r="J1178" t="s">
        <v>47</v>
      </c>
      <c r="K1178" t="s">
        <v>42</v>
      </c>
      <c r="L1178" t="s">
        <v>188</v>
      </c>
      <c r="M1178" s="4">
        <v>13</v>
      </c>
      <c r="N1178" s="4">
        <v>1</v>
      </c>
      <c r="O1178" s="2">
        <v>7.6923076923076927E-2</v>
      </c>
      <c r="P1178" s="3">
        <v>1.55</v>
      </c>
      <c r="Q1178" s="3">
        <v>1.55</v>
      </c>
      <c r="R1178" s="3">
        <v>0</v>
      </c>
      <c r="S1178" s="2"/>
      <c r="T1178" s="5">
        <v>0</v>
      </c>
      <c r="U1178" s="4">
        <v>0</v>
      </c>
      <c r="V1178" s="4">
        <v>0</v>
      </c>
      <c r="W1178" s="2">
        <v>0</v>
      </c>
      <c r="X1178" s="4">
        <v>0</v>
      </c>
      <c r="Y1178" s="4">
        <v>0</v>
      </c>
      <c r="Z1178" s="3">
        <v>0</v>
      </c>
      <c r="AA1178" s="3">
        <v>0</v>
      </c>
    </row>
    <row r="1179" spans="1:27" x14ac:dyDescent="0.2">
      <c r="A1179">
        <f t="shared" si="36"/>
        <v>3</v>
      </c>
      <c r="B1179">
        <f t="shared" si="37"/>
        <v>10</v>
      </c>
      <c r="C1179" s="1">
        <v>46083</v>
      </c>
      <c r="D1179" t="s">
        <v>25</v>
      </c>
      <c r="E1179" t="s">
        <v>26</v>
      </c>
      <c r="F1179" t="s">
        <v>61</v>
      </c>
      <c r="G1179" t="s">
        <v>62</v>
      </c>
      <c r="H1179" t="s">
        <v>29</v>
      </c>
      <c r="I1179" t="s">
        <v>30</v>
      </c>
      <c r="J1179" t="s">
        <v>47</v>
      </c>
      <c r="K1179" t="s">
        <v>42</v>
      </c>
      <c r="L1179" t="s">
        <v>754</v>
      </c>
      <c r="M1179" s="4">
        <v>5</v>
      </c>
      <c r="N1179" s="4">
        <v>1</v>
      </c>
      <c r="O1179" s="2">
        <v>0.2</v>
      </c>
      <c r="P1179" s="3">
        <v>1.7</v>
      </c>
      <c r="Q1179" s="3">
        <v>1.7</v>
      </c>
      <c r="R1179" s="3">
        <v>0</v>
      </c>
      <c r="S1179" s="2"/>
      <c r="T1179" s="5">
        <v>0</v>
      </c>
      <c r="U1179" s="4">
        <v>0</v>
      </c>
      <c r="V1179" s="4">
        <v>0</v>
      </c>
      <c r="W1179" s="2">
        <v>0</v>
      </c>
      <c r="X1179" s="4">
        <v>0</v>
      </c>
      <c r="Y1179" s="4">
        <v>0</v>
      </c>
      <c r="Z1179" s="3">
        <v>0</v>
      </c>
      <c r="AA1179" s="3">
        <v>0</v>
      </c>
    </row>
    <row r="1180" spans="1:27" x14ac:dyDescent="0.2">
      <c r="A1180">
        <f t="shared" si="36"/>
        <v>3</v>
      </c>
      <c r="B1180">
        <f t="shared" si="37"/>
        <v>12</v>
      </c>
      <c r="C1180" s="1">
        <v>46097</v>
      </c>
      <c r="D1180" t="s">
        <v>25</v>
      </c>
      <c r="E1180" t="s">
        <v>26</v>
      </c>
      <c r="F1180" t="s">
        <v>27</v>
      </c>
      <c r="G1180" t="s">
        <v>28</v>
      </c>
      <c r="H1180" t="s">
        <v>29</v>
      </c>
      <c r="I1180" t="s">
        <v>30</v>
      </c>
      <c r="J1180" t="s">
        <v>119</v>
      </c>
      <c r="K1180" t="s">
        <v>32</v>
      </c>
      <c r="L1180" t="s">
        <v>201</v>
      </c>
      <c r="M1180" s="4">
        <v>2</v>
      </c>
      <c r="N1180" s="4">
        <v>1</v>
      </c>
      <c r="O1180" s="2">
        <v>0.5</v>
      </c>
      <c r="P1180" s="3">
        <v>0.16</v>
      </c>
      <c r="Q1180" s="3">
        <v>0.16</v>
      </c>
      <c r="R1180" s="3">
        <v>0</v>
      </c>
      <c r="S1180" s="2"/>
      <c r="T1180" s="5">
        <v>0</v>
      </c>
      <c r="U1180" s="4">
        <v>0</v>
      </c>
      <c r="V1180" s="4">
        <v>0</v>
      </c>
      <c r="W1180" s="2">
        <v>0</v>
      </c>
      <c r="X1180" s="4">
        <v>0</v>
      </c>
      <c r="Y1180" s="4">
        <v>0</v>
      </c>
      <c r="Z1180" s="3">
        <v>0</v>
      </c>
      <c r="AA1180" s="3">
        <v>0</v>
      </c>
    </row>
    <row r="1181" spans="1:27" x14ac:dyDescent="0.2">
      <c r="A1181">
        <f t="shared" si="36"/>
        <v>3</v>
      </c>
      <c r="B1181">
        <f t="shared" si="37"/>
        <v>11</v>
      </c>
      <c r="C1181" s="1">
        <v>46093</v>
      </c>
      <c r="D1181" t="s">
        <v>25</v>
      </c>
      <c r="E1181" t="s">
        <v>26</v>
      </c>
      <c r="F1181" t="s">
        <v>27</v>
      </c>
      <c r="G1181" t="s">
        <v>28</v>
      </c>
      <c r="H1181" t="s">
        <v>29</v>
      </c>
      <c r="I1181" t="s">
        <v>30</v>
      </c>
      <c r="J1181" t="s">
        <v>44</v>
      </c>
      <c r="K1181" t="s">
        <v>32</v>
      </c>
      <c r="L1181" t="s">
        <v>755</v>
      </c>
      <c r="M1181" s="4">
        <v>1</v>
      </c>
      <c r="N1181" s="4">
        <v>1</v>
      </c>
      <c r="O1181" s="2">
        <v>1</v>
      </c>
      <c r="P1181" s="3">
        <v>0.21</v>
      </c>
      <c r="Q1181" s="3">
        <v>0.21</v>
      </c>
      <c r="R1181" s="3">
        <v>18.989999999999998</v>
      </c>
      <c r="S1181" s="2">
        <v>1.1058451816745656E-2</v>
      </c>
      <c r="T1181" s="5">
        <v>90.428571428571431</v>
      </c>
      <c r="U1181" s="4">
        <v>1</v>
      </c>
      <c r="V1181" s="4">
        <v>1</v>
      </c>
      <c r="W1181" s="2">
        <v>1</v>
      </c>
      <c r="X1181" s="4">
        <v>1</v>
      </c>
      <c r="Y1181" s="4">
        <v>0</v>
      </c>
      <c r="Z1181" s="3">
        <v>18.989999999999998</v>
      </c>
      <c r="AA1181" s="3">
        <v>0</v>
      </c>
    </row>
    <row r="1182" spans="1:27" x14ac:dyDescent="0.2">
      <c r="A1182">
        <f t="shared" si="36"/>
        <v>3</v>
      </c>
      <c r="B1182">
        <f t="shared" si="37"/>
        <v>12</v>
      </c>
      <c r="C1182" s="1">
        <v>46099</v>
      </c>
      <c r="D1182" t="s">
        <v>25</v>
      </c>
      <c r="E1182" t="s">
        <v>26</v>
      </c>
      <c r="F1182" t="s">
        <v>27</v>
      </c>
      <c r="G1182" t="s">
        <v>28</v>
      </c>
      <c r="H1182" t="s">
        <v>29</v>
      </c>
      <c r="I1182" t="s">
        <v>30</v>
      </c>
      <c r="J1182" t="s">
        <v>31</v>
      </c>
      <c r="K1182" t="s">
        <v>32</v>
      </c>
      <c r="L1182" t="s">
        <v>756</v>
      </c>
      <c r="M1182" s="4">
        <v>1</v>
      </c>
      <c r="N1182" s="4">
        <v>1</v>
      </c>
      <c r="O1182" s="2">
        <v>1</v>
      </c>
      <c r="P1182" s="3">
        <v>0.2</v>
      </c>
      <c r="Q1182" s="3">
        <v>0.2</v>
      </c>
      <c r="R1182" s="3">
        <v>0</v>
      </c>
      <c r="S1182" s="2"/>
      <c r="T1182" s="5">
        <v>0</v>
      </c>
      <c r="U1182" s="4">
        <v>0</v>
      </c>
      <c r="V1182" s="4">
        <v>0</v>
      </c>
      <c r="W1182" s="2">
        <v>0</v>
      </c>
      <c r="X1182" s="4">
        <v>0</v>
      </c>
      <c r="Y1182" s="4">
        <v>0</v>
      </c>
      <c r="Z1182" s="3">
        <v>0</v>
      </c>
      <c r="AA1182" s="3">
        <v>0</v>
      </c>
    </row>
    <row r="1183" spans="1:27" x14ac:dyDescent="0.2">
      <c r="A1183">
        <f t="shared" si="36"/>
        <v>3</v>
      </c>
      <c r="B1183">
        <f t="shared" si="37"/>
        <v>11</v>
      </c>
      <c r="C1183" s="1">
        <v>46089</v>
      </c>
      <c r="D1183" t="s">
        <v>25</v>
      </c>
      <c r="E1183" t="s">
        <v>26</v>
      </c>
      <c r="F1183" t="s">
        <v>34</v>
      </c>
      <c r="G1183" t="s">
        <v>28</v>
      </c>
      <c r="H1183" t="s">
        <v>29</v>
      </c>
      <c r="I1183" t="s">
        <v>30</v>
      </c>
      <c r="J1183" t="s">
        <v>50</v>
      </c>
      <c r="K1183" t="s">
        <v>32</v>
      </c>
      <c r="L1183" t="s">
        <v>757</v>
      </c>
      <c r="M1183" s="4">
        <v>1</v>
      </c>
      <c r="N1183" s="4">
        <v>1</v>
      </c>
      <c r="O1183" s="2">
        <v>1</v>
      </c>
      <c r="P1183" s="3">
        <v>0.87</v>
      </c>
      <c r="Q1183" s="3">
        <v>0.87</v>
      </c>
      <c r="R1183" s="3">
        <v>17.989999999999998</v>
      </c>
      <c r="S1183" s="2">
        <v>4.8360200111172882E-2</v>
      </c>
      <c r="T1183" s="5">
        <v>20.678160919540229</v>
      </c>
      <c r="U1183" s="4">
        <v>1</v>
      </c>
      <c r="V1183" s="4">
        <v>1</v>
      </c>
      <c r="W1183" s="2">
        <v>1</v>
      </c>
      <c r="X1183" s="4">
        <v>1</v>
      </c>
      <c r="Y1183" s="4">
        <v>0</v>
      </c>
      <c r="Z1183" s="3">
        <v>17.989999999999998</v>
      </c>
      <c r="AA1183" s="3">
        <v>0</v>
      </c>
    </row>
    <row r="1184" spans="1:27" x14ac:dyDescent="0.2">
      <c r="A1184">
        <f t="shared" si="36"/>
        <v>3</v>
      </c>
      <c r="B1184">
        <f t="shared" si="37"/>
        <v>12</v>
      </c>
      <c r="C1184" s="1">
        <v>46099</v>
      </c>
      <c r="D1184" t="s">
        <v>25</v>
      </c>
      <c r="E1184" t="s">
        <v>26</v>
      </c>
      <c r="F1184" t="s">
        <v>27</v>
      </c>
      <c r="G1184" t="s">
        <v>124</v>
      </c>
      <c r="H1184" t="s">
        <v>29</v>
      </c>
      <c r="I1184" t="s">
        <v>30</v>
      </c>
      <c r="J1184" t="s">
        <v>101</v>
      </c>
      <c r="K1184" t="s">
        <v>87</v>
      </c>
      <c r="L1184" t="s">
        <v>758</v>
      </c>
      <c r="M1184" s="4">
        <v>3</v>
      </c>
      <c r="N1184" s="4">
        <v>1</v>
      </c>
      <c r="O1184" s="2">
        <v>0.33333333333333331</v>
      </c>
      <c r="P1184" s="3">
        <v>0.23</v>
      </c>
      <c r="Q1184" s="3">
        <v>0.23</v>
      </c>
      <c r="R1184" s="3">
        <v>0</v>
      </c>
      <c r="S1184" s="2"/>
      <c r="T1184" s="5">
        <v>0</v>
      </c>
      <c r="U1184" s="4">
        <v>0</v>
      </c>
      <c r="V1184" s="4">
        <v>0</v>
      </c>
      <c r="W1184" s="2">
        <v>0</v>
      </c>
      <c r="X1184" s="4">
        <v>0</v>
      </c>
      <c r="Y1184" s="4">
        <v>0</v>
      </c>
      <c r="Z1184" s="3">
        <v>0</v>
      </c>
      <c r="AA1184" s="3">
        <v>0</v>
      </c>
    </row>
    <row r="1185" spans="1:27" x14ac:dyDescent="0.2">
      <c r="A1185">
        <f t="shared" si="36"/>
        <v>3</v>
      </c>
      <c r="B1185">
        <f t="shared" si="37"/>
        <v>10</v>
      </c>
      <c r="C1185" s="1">
        <v>46083</v>
      </c>
      <c r="D1185" t="s">
        <v>25</v>
      </c>
      <c r="E1185" t="s">
        <v>26</v>
      </c>
      <c r="F1185" t="s">
        <v>27</v>
      </c>
      <c r="G1185" t="s">
        <v>124</v>
      </c>
      <c r="H1185" t="s">
        <v>29</v>
      </c>
      <c r="I1185" t="s">
        <v>30</v>
      </c>
      <c r="J1185" t="s">
        <v>101</v>
      </c>
      <c r="K1185" t="s">
        <v>87</v>
      </c>
      <c r="L1185" t="s">
        <v>759</v>
      </c>
      <c r="M1185" s="4">
        <v>1</v>
      </c>
      <c r="N1185" s="4">
        <v>1</v>
      </c>
      <c r="O1185" s="2">
        <v>1</v>
      </c>
      <c r="P1185" s="3">
        <v>0.4</v>
      </c>
      <c r="Q1185" s="3">
        <v>0.4</v>
      </c>
      <c r="R1185" s="3">
        <v>0</v>
      </c>
      <c r="S1185" s="2"/>
      <c r="T1185" s="5">
        <v>0</v>
      </c>
      <c r="U1185" s="4">
        <v>0</v>
      </c>
      <c r="V1185" s="4">
        <v>0</v>
      </c>
      <c r="W1185" s="2">
        <v>0</v>
      </c>
      <c r="X1185" s="4">
        <v>0</v>
      </c>
      <c r="Y1185" s="4">
        <v>0</v>
      </c>
      <c r="Z1185" s="3">
        <v>0</v>
      </c>
      <c r="AA1185" s="3">
        <v>0</v>
      </c>
    </row>
    <row r="1186" spans="1:27" x14ac:dyDescent="0.2">
      <c r="A1186">
        <f t="shared" si="36"/>
        <v>3</v>
      </c>
      <c r="B1186">
        <f t="shared" si="37"/>
        <v>12</v>
      </c>
      <c r="C1186" s="1">
        <v>46098</v>
      </c>
      <c r="D1186" t="s">
        <v>25</v>
      </c>
      <c r="E1186" t="s">
        <v>26</v>
      </c>
      <c r="F1186" t="s">
        <v>27</v>
      </c>
      <c r="G1186" t="s">
        <v>28</v>
      </c>
      <c r="H1186" t="s">
        <v>29</v>
      </c>
      <c r="I1186" t="s">
        <v>30</v>
      </c>
      <c r="J1186" t="s">
        <v>31</v>
      </c>
      <c r="K1186" t="s">
        <v>32</v>
      </c>
      <c r="L1186" t="s">
        <v>760</v>
      </c>
      <c r="M1186" s="4">
        <v>11</v>
      </c>
      <c r="N1186" s="4">
        <v>1</v>
      </c>
      <c r="O1186" s="2">
        <v>9.0909090909090925E-2</v>
      </c>
      <c r="P1186" s="3">
        <v>0.21</v>
      </c>
      <c r="Q1186" s="3">
        <v>0.21</v>
      </c>
      <c r="R1186" s="3">
        <v>0</v>
      </c>
      <c r="S1186" s="2"/>
      <c r="T1186" s="5">
        <v>0</v>
      </c>
      <c r="U1186" s="4">
        <v>0</v>
      </c>
      <c r="V1186" s="4">
        <v>0</v>
      </c>
      <c r="W1186" s="2">
        <v>0</v>
      </c>
      <c r="X1186" s="4">
        <v>0</v>
      </c>
      <c r="Y1186" s="4">
        <v>0</v>
      </c>
      <c r="Z1186" s="3">
        <v>0</v>
      </c>
      <c r="AA1186" s="3">
        <v>0</v>
      </c>
    </row>
    <row r="1187" spans="1:27" x14ac:dyDescent="0.2">
      <c r="A1187">
        <f t="shared" si="36"/>
        <v>3</v>
      </c>
      <c r="B1187">
        <f t="shared" si="37"/>
        <v>12</v>
      </c>
      <c r="C1187" s="1">
        <v>46098</v>
      </c>
      <c r="D1187" t="s">
        <v>25</v>
      </c>
      <c r="E1187" t="s">
        <v>26</v>
      </c>
      <c r="F1187" t="s">
        <v>49</v>
      </c>
      <c r="G1187" t="s">
        <v>50</v>
      </c>
      <c r="H1187" t="s">
        <v>29</v>
      </c>
      <c r="I1187" t="s">
        <v>30</v>
      </c>
      <c r="J1187" t="s">
        <v>95</v>
      </c>
      <c r="K1187" t="s">
        <v>42</v>
      </c>
      <c r="L1187" t="s">
        <v>761</v>
      </c>
      <c r="M1187" s="4">
        <v>7</v>
      </c>
      <c r="N1187" s="4">
        <v>1</v>
      </c>
      <c r="O1187" s="2">
        <v>0.14285714285714285</v>
      </c>
      <c r="P1187" s="3">
        <v>0.49</v>
      </c>
      <c r="Q1187" s="3">
        <v>0.49</v>
      </c>
      <c r="R1187" s="3">
        <v>0</v>
      </c>
      <c r="S1187" s="2"/>
      <c r="T1187" s="5">
        <v>0</v>
      </c>
      <c r="U1187" s="4">
        <v>0</v>
      </c>
      <c r="V1187" s="4">
        <v>0</v>
      </c>
      <c r="W1187" s="2">
        <v>0</v>
      </c>
      <c r="X1187" s="4">
        <v>0</v>
      </c>
      <c r="Y1187" s="4">
        <v>0</v>
      </c>
      <c r="Z1187" s="3">
        <v>0</v>
      </c>
      <c r="AA1187" s="3">
        <v>0</v>
      </c>
    </row>
    <row r="1188" spans="1:27" x14ac:dyDescent="0.2">
      <c r="A1188">
        <f t="shared" si="36"/>
        <v>3</v>
      </c>
      <c r="B1188">
        <f t="shared" si="37"/>
        <v>12</v>
      </c>
      <c r="C1188" s="1">
        <v>46097</v>
      </c>
      <c r="D1188" t="s">
        <v>25</v>
      </c>
      <c r="E1188" t="s">
        <v>26</v>
      </c>
      <c r="F1188" t="s">
        <v>27</v>
      </c>
      <c r="G1188" t="s">
        <v>28</v>
      </c>
      <c r="H1188" t="s">
        <v>29</v>
      </c>
      <c r="I1188" t="s">
        <v>30</v>
      </c>
      <c r="J1188" t="s">
        <v>50</v>
      </c>
      <c r="K1188" t="s">
        <v>32</v>
      </c>
      <c r="L1188" t="s">
        <v>762</v>
      </c>
      <c r="M1188" s="4">
        <v>4</v>
      </c>
      <c r="N1188" s="4">
        <v>1</v>
      </c>
      <c r="O1188" s="2">
        <v>0.25</v>
      </c>
      <c r="P1188" s="3">
        <v>0.21</v>
      </c>
      <c r="Q1188" s="3">
        <v>0.21</v>
      </c>
      <c r="R1188" s="3">
        <v>0</v>
      </c>
      <c r="S1188" s="2"/>
      <c r="T1188" s="5">
        <v>0</v>
      </c>
      <c r="U1188" s="4">
        <v>0</v>
      </c>
      <c r="V1188" s="4">
        <v>0</v>
      </c>
      <c r="W1188" s="2">
        <v>0</v>
      </c>
      <c r="X1188" s="4">
        <v>0</v>
      </c>
      <c r="Y1188" s="4">
        <v>0</v>
      </c>
      <c r="Z1188" s="3">
        <v>0</v>
      </c>
      <c r="AA1188" s="3">
        <v>0</v>
      </c>
    </row>
    <row r="1189" spans="1:27" x14ac:dyDescent="0.2">
      <c r="A1189">
        <f t="shared" si="36"/>
        <v>3</v>
      </c>
      <c r="B1189">
        <f t="shared" si="37"/>
        <v>10</v>
      </c>
      <c r="C1189" s="1">
        <v>46087</v>
      </c>
      <c r="D1189" t="s">
        <v>25</v>
      </c>
      <c r="E1189" t="s">
        <v>26</v>
      </c>
      <c r="F1189" t="s">
        <v>49</v>
      </c>
      <c r="G1189" t="s">
        <v>50</v>
      </c>
      <c r="H1189" t="s">
        <v>29</v>
      </c>
      <c r="I1189" t="s">
        <v>30</v>
      </c>
      <c r="J1189" t="s">
        <v>95</v>
      </c>
      <c r="K1189" t="s">
        <v>42</v>
      </c>
      <c r="L1189" t="s">
        <v>763</v>
      </c>
      <c r="M1189" s="4">
        <v>2</v>
      </c>
      <c r="N1189" s="4">
        <v>1</v>
      </c>
      <c r="O1189" s="2">
        <v>0.5</v>
      </c>
      <c r="P1189" s="3">
        <v>0.56999999999999995</v>
      </c>
      <c r="Q1189" s="3">
        <v>0.56999999999999995</v>
      </c>
      <c r="R1189" s="3">
        <v>0</v>
      </c>
      <c r="S1189" s="2"/>
      <c r="T1189" s="5">
        <v>0</v>
      </c>
      <c r="U1189" s="4">
        <v>0</v>
      </c>
      <c r="V1189" s="4">
        <v>0</v>
      </c>
      <c r="W1189" s="2">
        <v>0</v>
      </c>
      <c r="X1189" s="4">
        <v>0</v>
      </c>
      <c r="Y1189" s="4">
        <v>0</v>
      </c>
      <c r="Z1189" s="3">
        <v>0</v>
      </c>
      <c r="AA1189" s="3">
        <v>0</v>
      </c>
    </row>
    <row r="1190" spans="1:27" x14ac:dyDescent="0.2">
      <c r="A1190">
        <f t="shared" si="36"/>
        <v>3</v>
      </c>
      <c r="B1190">
        <f t="shared" si="37"/>
        <v>12</v>
      </c>
      <c r="C1190" s="1">
        <v>46100</v>
      </c>
      <c r="D1190" t="s">
        <v>25</v>
      </c>
      <c r="E1190" t="s">
        <v>26</v>
      </c>
      <c r="F1190" t="s">
        <v>27</v>
      </c>
      <c r="G1190" t="s">
        <v>28</v>
      </c>
      <c r="H1190" t="s">
        <v>29</v>
      </c>
      <c r="I1190" t="s">
        <v>30</v>
      </c>
      <c r="J1190" t="s">
        <v>50</v>
      </c>
      <c r="K1190" t="s">
        <v>32</v>
      </c>
      <c r="L1190" t="s">
        <v>764</v>
      </c>
      <c r="M1190" s="4">
        <v>3</v>
      </c>
      <c r="N1190" s="4">
        <v>1</v>
      </c>
      <c r="O1190" s="2">
        <v>0.33333333333333331</v>
      </c>
      <c r="P1190" s="3">
        <v>0.4</v>
      </c>
      <c r="Q1190" s="3">
        <v>0.4</v>
      </c>
      <c r="R1190" s="3">
        <v>0</v>
      </c>
      <c r="S1190" s="2"/>
      <c r="T1190" s="5">
        <v>0</v>
      </c>
      <c r="U1190" s="4">
        <v>0</v>
      </c>
      <c r="V1190" s="4">
        <v>0</v>
      </c>
      <c r="W1190" s="2">
        <v>0</v>
      </c>
      <c r="X1190" s="4">
        <v>0</v>
      </c>
      <c r="Y1190" s="4">
        <v>0</v>
      </c>
      <c r="Z1190" s="3">
        <v>0</v>
      </c>
      <c r="AA1190" s="3">
        <v>0</v>
      </c>
    </row>
    <row r="1191" spans="1:27" x14ac:dyDescent="0.2">
      <c r="A1191">
        <f t="shared" si="36"/>
        <v>3</v>
      </c>
      <c r="B1191">
        <f t="shared" si="37"/>
        <v>11</v>
      </c>
      <c r="C1191" s="1">
        <v>46090</v>
      </c>
      <c r="D1191" t="s">
        <v>25</v>
      </c>
      <c r="E1191" t="s">
        <v>26</v>
      </c>
      <c r="F1191" t="s">
        <v>27</v>
      </c>
      <c r="G1191" t="s">
        <v>124</v>
      </c>
      <c r="H1191" t="s">
        <v>29</v>
      </c>
      <c r="I1191" t="s">
        <v>30</v>
      </c>
      <c r="J1191" t="s">
        <v>280</v>
      </c>
      <c r="K1191" t="s">
        <v>87</v>
      </c>
      <c r="L1191" t="s">
        <v>765</v>
      </c>
      <c r="M1191" s="4">
        <v>5</v>
      </c>
      <c r="N1191" s="4">
        <v>1</v>
      </c>
      <c r="O1191" s="2">
        <v>0.2</v>
      </c>
      <c r="P1191" s="3">
        <v>0.21</v>
      </c>
      <c r="Q1191" s="3">
        <v>0.21</v>
      </c>
      <c r="R1191" s="3">
        <v>0</v>
      </c>
      <c r="S1191" s="2"/>
      <c r="T1191" s="5">
        <v>0</v>
      </c>
      <c r="U1191" s="4">
        <v>0</v>
      </c>
      <c r="V1191" s="4">
        <v>0</v>
      </c>
      <c r="W1191" s="2">
        <v>0</v>
      </c>
      <c r="X1191" s="4">
        <v>0</v>
      </c>
      <c r="Y1191" s="4">
        <v>0</v>
      </c>
      <c r="Z1191" s="3">
        <v>0</v>
      </c>
      <c r="AA1191" s="3">
        <v>0</v>
      </c>
    </row>
    <row r="1192" spans="1:27" x14ac:dyDescent="0.2">
      <c r="A1192">
        <f t="shared" si="36"/>
        <v>3</v>
      </c>
      <c r="B1192">
        <f t="shared" si="37"/>
        <v>10</v>
      </c>
      <c r="C1192" s="1">
        <v>46087</v>
      </c>
      <c r="D1192" t="s">
        <v>25</v>
      </c>
      <c r="E1192" t="s">
        <v>26</v>
      </c>
      <c r="F1192" t="s">
        <v>27</v>
      </c>
      <c r="G1192" t="s">
        <v>28</v>
      </c>
      <c r="H1192" t="s">
        <v>29</v>
      </c>
      <c r="I1192" t="s">
        <v>30</v>
      </c>
      <c r="J1192" t="s">
        <v>243</v>
      </c>
      <c r="K1192" t="s">
        <v>32</v>
      </c>
      <c r="L1192" t="s">
        <v>766</v>
      </c>
      <c r="M1192" s="4">
        <v>1</v>
      </c>
      <c r="N1192" s="4">
        <v>1</v>
      </c>
      <c r="O1192" s="2">
        <v>1</v>
      </c>
      <c r="P1192" s="3">
        <v>0.08</v>
      </c>
      <c r="Q1192" s="3">
        <v>0.08</v>
      </c>
      <c r="R1192" s="3">
        <v>0</v>
      </c>
      <c r="S1192" s="2"/>
      <c r="T1192" s="5">
        <v>0</v>
      </c>
      <c r="U1192" s="4">
        <v>0</v>
      </c>
      <c r="V1192" s="4">
        <v>0</v>
      </c>
      <c r="W1192" s="2">
        <v>0</v>
      </c>
      <c r="X1192" s="4">
        <v>0</v>
      </c>
      <c r="Y1192" s="4">
        <v>0</v>
      </c>
      <c r="Z1192" s="3">
        <v>0</v>
      </c>
      <c r="AA1192" s="3">
        <v>0</v>
      </c>
    </row>
    <row r="1193" spans="1:27" x14ac:dyDescent="0.2">
      <c r="A1193">
        <f t="shared" si="36"/>
        <v>3</v>
      </c>
      <c r="B1193">
        <f t="shared" si="37"/>
        <v>10</v>
      </c>
      <c r="C1193" s="1">
        <v>46085</v>
      </c>
      <c r="D1193" t="s">
        <v>25</v>
      </c>
      <c r="E1193" t="s">
        <v>26</v>
      </c>
      <c r="F1193" t="s">
        <v>27</v>
      </c>
      <c r="G1193" t="s">
        <v>28</v>
      </c>
      <c r="H1193" t="s">
        <v>29</v>
      </c>
      <c r="I1193" t="s">
        <v>30</v>
      </c>
      <c r="J1193" t="s">
        <v>50</v>
      </c>
      <c r="K1193" t="s">
        <v>32</v>
      </c>
      <c r="L1193" t="s">
        <v>767</v>
      </c>
      <c r="M1193" s="4">
        <v>1</v>
      </c>
      <c r="N1193" s="4">
        <v>1</v>
      </c>
      <c r="O1193" s="2">
        <v>1</v>
      </c>
      <c r="P1193" s="3">
        <v>0.08</v>
      </c>
      <c r="Q1193" s="3">
        <v>0.08</v>
      </c>
      <c r="R1193" s="3">
        <v>0</v>
      </c>
      <c r="S1193" s="2"/>
      <c r="T1193" s="5">
        <v>0</v>
      </c>
      <c r="U1193" s="4">
        <v>0</v>
      </c>
      <c r="V1193" s="4">
        <v>0</v>
      </c>
      <c r="W1193" s="2">
        <v>0</v>
      </c>
      <c r="X1193" s="4">
        <v>0</v>
      </c>
      <c r="Y1193" s="4">
        <v>0</v>
      </c>
      <c r="Z1193" s="3">
        <v>0</v>
      </c>
      <c r="AA1193" s="3">
        <v>0</v>
      </c>
    </row>
    <row r="1194" spans="1:27" x14ac:dyDescent="0.2">
      <c r="A1194">
        <f t="shared" si="36"/>
        <v>3</v>
      </c>
      <c r="B1194">
        <f t="shared" si="37"/>
        <v>12</v>
      </c>
      <c r="C1194" s="1">
        <v>46097</v>
      </c>
      <c r="D1194" t="s">
        <v>25</v>
      </c>
      <c r="E1194" t="s">
        <v>26</v>
      </c>
      <c r="F1194" t="s">
        <v>61</v>
      </c>
      <c r="G1194" t="s">
        <v>62</v>
      </c>
      <c r="H1194" t="s">
        <v>29</v>
      </c>
      <c r="I1194" t="s">
        <v>30</v>
      </c>
      <c r="J1194" t="s">
        <v>95</v>
      </c>
      <c r="K1194" t="s">
        <v>42</v>
      </c>
      <c r="L1194" t="s">
        <v>768</v>
      </c>
      <c r="M1194" s="4">
        <v>1</v>
      </c>
      <c r="N1194" s="4">
        <v>1</v>
      </c>
      <c r="O1194" s="2">
        <v>1</v>
      </c>
      <c r="P1194" s="3">
        <v>1.22</v>
      </c>
      <c r="Q1194" s="3">
        <v>1.22</v>
      </c>
      <c r="R1194" s="3">
        <v>0</v>
      </c>
      <c r="S1194" s="2"/>
      <c r="T1194" s="5">
        <v>0</v>
      </c>
      <c r="U1194" s="4">
        <v>0</v>
      </c>
      <c r="V1194" s="4">
        <v>0</v>
      </c>
      <c r="W1194" s="2">
        <v>0</v>
      </c>
      <c r="X1194" s="4">
        <v>0</v>
      </c>
      <c r="Y1194" s="4">
        <v>0</v>
      </c>
      <c r="Z1194" s="3">
        <v>0</v>
      </c>
      <c r="AA1194" s="3">
        <v>0</v>
      </c>
    </row>
    <row r="1195" spans="1:27" x14ac:dyDescent="0.2">
      <c r="A1195">
        <f t="shared" si="36"/>
        <v>3</v>
      </c>
      <c r="B1195">
        <f t="shared" si="37"/>
        <v>12</v>
      </c>
      <c r="C1195" s="1">
        <v>46101</v>
      </c>
      <c r="D1195" t="s">
        <v>25</v>
      </c>
      <c r="E1195" t="s">
        <v>26</v>
      </c>
      <c r="F1195" t="s">
        <v>27</v>
      </c>
      <c r="G1195" t="s">
        <v>28</v>
      </c>
      <c r="H1195" t="s">
        <v>29</v>
      </c>
      <c r="I1195" t="s">
        <v>30</v>
      </c>
      <c r="J1195" t="s">
        <v>119</v>
      </c>
      <c r="K1195" t="s">
        <v>32</v>
      </c>
      <c r="L1195" t="s">
        <v>769</v>
      </c>
      <c r="M1195" s="4">
        <v>1</v>
      </c>
      <c r="N1195" s="4">
        <v>1</v>
      </c>
      <c r="O1195" s="2">
        <v>1</v>
      </c>
      <c r="P1195" s="3">
        <v>0.16</v>
      </c>
      <c r="Q1195" s="3">
        <v>0.16</v>
      </c>
      <c r="R1195" s="3">
        <v>0</v>
      </c>
      <c r="S1195" s="2"/>
      <c r="T1195" s="5">
        <v>0</v>
      </c>
      <c r="U1195" s="4">
        <v>0</v>
      </c>
      <c r="V1195" s="4">
        <v>0</v>
      </c>
      <c r="W1195" s="2">
        <v>0</v>
      </c>
      <c r="X1195" s="4">
        <v>0</v>
      </c>
      <c r="Y1195" s="4">
        <v>0</v>
      </c>
      <c r="Z1195" s="3">
        <v>0</v>
      </c>
      <c r="AA1195" s="3">
        <v>0</v>
      </c>
    </row>
    <row r="1196" spans="1:27" x14ac:dyDescent="0.2">
      <c r="A1196">
        <f t="shared" si="36"/>
        <v>3</v>
      </c>
      <c r="B1196">
        <f t="shared" si="37"/>
        <v>12</v>
      </c>
      <c r="C1196" s="1">
        <v>46101</v>
      </c>
      <c r="D1196" t="s">
        <v>25</v>
      </c>
      <c r="E1196" t="s">
        <v>26</v>
      </c>
      <c r="F1196" t="s">
        <v>27</v>
      </c>
      <c r="G1196" t="s">
        <v>124</v>
      </c>
      <c r="H1196" t="s">
        <v>29</v>
      </c>
      <c r="I1196" t="s">
        <v>30</v>
      </c>
      <c r="J1196" t="s">
        <v>101</v>
      </c>
      <c r="K1196" t="s">
        <v>87</v>
      </c>
      <c r="L1196" t="s">
        <v>770</v>
      </c>
      <c r="M1196" s="4">
        <v>1</v>
      </c>
      <c r="N1196" s="4">
        <v>1</v>
      </c>
      <c r="O1196" s="2">
        <v>1</v>
      </c>
      <c r="P1196" s="3">
        <v>0.4</v>
      </c>
      <c r="Q1196" s="3">
        <v>0.4</v>
      </c>
      <c r="R1196" s="3">
        <v>0</v>
      </c>
      <c r="S1196" s="2"/>
      <c r="T1196" s="5">
        <v>0</v>
      </c>
      <c r="U1196" s="4">
        <v>0</v>
      </c>
      <c r="V1196" s="4">
        <v>0</v>
      </c>
      <c r="W1196" s="2">
        <v>0</v>
      </c>
      <c r="X1196" s="4">
        <v>0</v>
      </c>
      <c r="Y1196" s="4">
        <v>0</v>
      </c>
      <c r="Z1196" s="3">
        <v>0</v>
      </c>
      <c r="AA1196" s="3">
        <v>0</v>
      </c>
    </row>
    <row r="1197" spans="1:27" x14ac:dyDescent="0.2">
      <c r="A1197">
        <f t="shared" si="36"/>
        <v>3</v>
      </c>
      <c r="B1197">
        <f t="shared" si="37"/>
        <v>12</v>
      </c>
      <c r="C1197" s="1">
        <v>46098</v>
      </c>
      <c r="D1197" t="s">
        <v>25</v>
      </c>
      <c r="E1197" t="s">
        <v>26</v>
      </c>
      <c r="F1197" t="s">
        <v>27</v>
      </c>
      <c r="G1197" t="s">
        <v>124</v>
      </c>
      <c r="H1197" t="s">
        <v>29</v>
      </c>
      <c r="I1197" t="s">
        <v>30</v>
      </c>
      <c r="J1197" t="s">
        <v>101</v>
      </c>
      <c r="K1197" t="s">
        <v>87</v>
      </c>
      <c r="L1197" t="s">
        <v>771</v>
      </c>
      <c r="M1197" s="4">
        <v>1</v>
      </c>
      <c r="N1197" s="4">
        <v>1</v>
      </c>
      <c r="O1197" s="2">
        <v>1</v>
      </c>
      <c r="P1197" s="3">
        <v>0.21</v>
      </c>
      <c r="Q1197" s="3">
        <v>0.21</v>
      </c>
      <c r="R1197" s="3">
        <v>0</v>
      </c>
      <c r="S1197" s="2"/>
      <c r="T1197" s="5">
        <v>0</v>
      </c>
      <c r="U1197" s="4">
        <v>0</v>
      </c>
      <c r="V1197" s="4">
        <v>0</v>
      </c>
      <c r="W1197" s="2">
        <v>0</v>
      </c>
      <c r="X1197" s="4">
        <v>0</v>
      </c>
      <c r="Y1197" s="4">
        <v>0</v>
      </c>
      <c r="Z1197" s="3">
        <v>0</v>
      </c>
      <c r="AA1197" s="3">
        <v>0</v>
      </c>
    </row>
    <row r="1198" spans="1:27" x14ac:dyDescent="0.2">
      <c r="A1198">
        <f t="shared" si="36"/>
        <v>3</v>
      </c>
      <c r="B1198">
        <f t="shared" si="37"/>
        <v>10</v>
      </c>
      <c r="C1198" s="1">
        <v>46083</v>
      </c>
      <c r="D1198" t="s">
        <v>25</v>
      </c>
      <c r="E1198" t="s">
        <v>26</v>
      </c>
      <c r="F1198" t="s">
        <v>27</v>
      </c>
      <c r="G1198" t="s">
        <v>124</v>
      </c>
      <c r="H1198" t="s">
        <v>29</v>
      </c>
      <c r="I1198" t="s">
        <v>30</v>
      </c>
      <c r="J1198" t="s">
        <v>31</v>
      </c>
      <c r="K1198" t="s">
        <v>87</v>
      </c>
      <c r="L1198" t="s">
        <v>772</v>
      </c>
      <c r="M1198" s="4">
        <v>1</v>
      </c>
      <c r="N1198" s="4">
        <v>1</v>
      </c>
      <c r="O1198" s="2">
        <v>1</v>
      </c>
      <c r="P1198" s="3">
        <v>0.4</v>
      </c>
      <c r="Q1198" s="3">
        <v>0.4</v>
      </c>
      <c r="R1198" s="3">
        <v>0</v>
      </c>
      <c r="S1198" s="2"/>
      <c r="T1198" s="5">
        <v>0</v>
      </c>
      <c r="U1198" s="4">
        <v>0</v>
      </c>
      <c r="V1198" s="4">
        <v>0</v>
      </c>
      <c r="W1198" s="2">
        <v>0</v>
      </c>
      <c r="X1198" s="4">
        <v>0</v>
      </c>
      <c r="Y1198" s="4">
        <v>0</v>
      </c>
      <c r="Z1198" s="3">
        <v>0</v>
      </c>
      <c r="AA1198" s="3">
        <v>0</v>
      </c>
    </row>
    <row r="1199" spans="1:27" x14ac:dyDescent="0.2">
      <c r="A1199">
        <f t="shared" si="36"/>
        <v>3</v>
      </c>
      <c r="B1199">
        <f t="shared" si="37"/>
        <v>10</v>
      </c>
      <c r="C1199" s="1">
        <v>46086</v>
      </c>
      <c r="D1199" t="s">
        <v>25</v>
      </c>
      <c r="E1199" t="s">
        <v>26</v>
      </c>
      <c r="F1199" t="s">
        <v>27</v>
      </c>
      <c r="G1199" t="s">
        <v>28</v>
      </c>
      <c r="H1199" t="s">
        <v>29</v>
      </c>
      <c r="I1199" t="s">
        <v>30</v>
      </c>
      <c r="J1199" t="s">
        <v>280</v>
      </c>
      <c r="K1199" t="s">
        <v>32</v>
      </c>
      <c r="L1199" t="s">
        <v>773</v>
      </c>
      <c r="M1199" s="4">
        <v>1</v>
      </c>
      <c r="N1199" s="4">
        <v>1</v>
      </c>
      <c r="O1199" s="2">
        <v>1</v>
      </c>
      <c r="P1199" s="3">
        <v>0.08</v>
      </c>
      <c r="Q1199" s="3">
        <v>0.08</v>
      </c>
      <c r="R1199" s="3">
        <v>0</v>
      </c>
      <c r="S1199" s="2"/>
      <c r="T1199" s="5">
        <v>0</v>
      </c>
      <c r="U1199" s="4">
        <v>0</v>
      </c>
      <c r="V1199" s="4">
        <v>0</v>
      </c>
      <c r="W1199" s="2">
        <v>0</v>
      </c>
      <c r="X1199" s="4">
        <v>0</v>
      </c>
      <c r="Y1199" s="4">
        <v>0</v>
      </c>
      <c r="Z1199" s="3">
        <v>0</v>
      </c>
      <c r="AA1199" s="3">
        <v>0</v>
      </c>
    </row>
    <row r="1200" spans="1:27" x14ac:dyDescent="0.2">
      <c r="A1200">
        <f t="shared" si="36"/>
        <v>3</v>
      </c>
      <c r="B1200">
        <f t="shared" si="37"/>
        <v>10</v>
      </c>
      <c r="C1200" s="1">
        <v>46088</v>
      </c>
      <c r="D1200" t="s">
        <v>25</v>
      </c>
      <c r="E1200" t="s">
        <v>26</v>
      </c>
      <c r="F1200" t="s">
        <v>27</v>
      </c>
      <c r="G1200" t="s">
        <v>124</v>
      </c>
      <c r="H1200" t="s">
        <v>29</v>
      </c>
      <c r="I1200" t="s">
        <v>30</v>
      </c>
      <c r="J1200" t="s">
        <v>101</v>
      </c>
      <c r="K1200" t="s">
        <v>87</v>
      </c>
      <c r="L1200" t="s">
        <v>774</v>
      </c>
      <c r="M1200" s="4">
        <v>2</v>
      </c>
      <c r="N1200" s="4">
        <v>1</v>
      </c>
      <c r="O1200" s="2">
        <v>0.5</v>
      </c>
      <c r="P1200" s="3">
        <v>0.21</v>
      </c>
      <c r="Q1200" s="3">
        <v>0.21</v>
      </c>
      <c r="R1200" s="3">
        <v>0</v>
      </c>
      <c r="S1200" s="2"/>
      <c r="T1200" s="5">
        <v>0</v>
      </c>
      <c r="U1200" s="4">
        <v>0</v>
      </c>
      <c r="V1200" s="4">
        <v>0</v>
      </c>
      <c r="W1200" s="2">
        <v>0</v>
      </c>
      <c r="X1200" s="4">
        <v>0</v>
      </c>
      <c r="Y1200" s="4">
        <v>0</v>
      </c>
      <c r="Z1200" s="3">
        <v>0</v>
      </c>
      <c r="AA1200" s="3">
        <v>0</v>
      </c>
    </row>
    <row r="1201" spans="1:27" x14ac:dyDescent="0.2">
      <c r="A1201">
        <f t="shared" si="36"/>
        <v>3</v>
      </c>
      <c r="B1201">
        <f t="shared" si="37"/>
        <v>10</v>
      </c>
      <c r="C1201" s="1">
        <v>46084</v>
      </c>
      <c r="D1201" t="s">
        <v>25</v>
      </c>
      <c r="E1201" t="s">
        <v>26</v>
      </c>
      <c r="F1201" t="s">
        <v>27</v>
      </c>
      <c r="G1201" t="s">
        <v>28</v>
      </c>
      <c r="H1201" t="s">
        <v>29</v>
      </c>
      <c r="I1201" t="s">
        <v>30</v>
      </c>
      <c r="J1201" t="s">
        <v>44</v>
      </c>
      <c r="K1201" t="s">
        <v>32</v>
      </c>
      <c r="L1201" t="s">
        <v>774</v>
      </c>
      <c r="M1201" s="4">
        <v>3</v>
      </c>
      <c r="N1201" s="4">
        <v>1</v>
      </c>
      <c r="O1201" s="2">
        <v>0.33333333333333331</v>
      </c>
      <c r="P1201" s="3">
        <v>0.21</v>
      </c>
      <c r="Q1201" s="3">
        <v>0.21</v>
      </c>
      <c r="R1201" s="3">
        <v>0</v>
      </c>
      <c r="S1201" s="2"/>
      <c r="T1201" s="5">
        <v>0</v>
      </c>
      <c r="U1201" s="4">
        <v>0</v>
      </c>
      <c r="V1201" s="4">
        <v>0</v>
      </c>
      <c r="W1201" s="2">
        <v>0</v>
      </c>
      <c r="X1201" s="4">
        <v>0</v>
      </c>
      <c r="Y1201" s="4">
        <v>0</v>
      </c>
      <c r="Z1201" s="3">
        <v>0</v>
      </c>
      <c r="AA1201" s="3">
        <v>0</v>
      </c>
    </row>
    <row r="1202" spans="1:27" x14ac:dyDescent="0.2">
      <c r="A1202">
        <f t="shared" si="36"/>
        <v>3</v>
      </c>
      <c r="B1202">
        <f t="shared" si="37"/>
        <v>10</v>
      </c>
      <c r="C1202" s="1">
        <v>46088</v>
      </c>
      <c r="D1202" t="s">
        <v>25</v>
      </c>
      <c r="E1202" t="s">
        <v>26</v>
      </c>
      <c r="F1202" t="s">
        <v>27</v>
      </c>
      <c r="G1202" t="s">
        <v>28</v>
      </c>
      <c r="H1202" t="s">
        <v>29</v>
      </c>
      <c r="I1202" t="s">
        <v>30</v>
      </c>
      <c r="J1202" t="s">
        <v>44</v>
      </c>
      <c r="K1202" t="s">
        <v>32</v>
      </c>
      <c r="L1202" t="s">
        <v>774</v>
      </c>
      <c r="M1202" s="4">
        <v>1</v>
      </c>
      <c r="N1202" s="4">
        <v>1</v>
      </c>
      <c r="O1202" s="2">
        <v>1</v>
      </c>
      <c r="P1202" s="3">
        <v>0.2</v>
      </c>
      <c r="Q1202" s="3">
        <v>0.2</v>
      </c>
      <c r="R1202" s="3">
        <v>0</v>
      </c>
      <c r="S1202" s="2"/>
      <c r="T1202" s="5">
        <v>0</v>
      </c>
      <c r="U1202" s="4">
        <v>0</v>
      </c>
      <c r="V1202" s="4">
        <v>0</v>
      </c>
      <c r="W1202" s="2">
        <v>0</v>
      </c>
      <c r="X1202" s="4">
        <v>0</v>
      </c>
      <c r="Y1202" s="4">
        <v>0</v>
      </c>
      <c r="Z1202" s="3">
        <v>0</v>
      </c>
      <c r="AA1202" s="3">
        <v>0</v>
      </c>
    </row>
    <row r="1203" spans="1:27" x14ac:dyDescent="0.2">
      <c r="A1203">
        <f t="shared" si="36"/>
        <v>3</v>
      </c>
      <c r="B1203">
        <f t="shared" si="37"/>
        <v>11</v>
      </c>
      <c r="C1203" s="1">
        <v>46092</v>
      </c>
      <c r="D1203" t="s">
        <v>25</v>
      </c>
      <c r="E1203" t="s">
        <v>26</v>
      </c>
      <c r="F1203" t="s">
        <v>49</v>
      </c>
      <c r="G1203" t="s">
        <v>50</v>
      </c>
      <c r="H1203" t="s">
        <v>29</v>
      </c>
      <c r="I1203" t="s">
        <v>30</v>
      </c>
      <c r="J1203" t="s">
        <v>95</v>
      </c>
      <c r="K1203" t="s">
        <v>42</v>
      </c>
      <c r="L1203" t="s">
        <v>775</v>
      </c>
      <c r="M1203" s="4">
        <v>2</v>
      </c>
      <c r="N1203" s="4">
        <v>1</v>
      </c>
      <c r="O1203" s="2">
        <v>0.5</v>
      </c>
      <c r="P1203" s="3">
        <v>0.71</v>
      </c>
      <c r="Q1203" s="3">
        <v>0.71</v>
      </c>
      <c r="R1203" s="3">
        <v>0</v>
      </c>
      <c r="S1203" s="2"/>
      <c r="T1203" s="5">
        <v>0</v>
      </c>
      <c r="U1203" s="4">
        <v>0</v>
      </c>
      <c r="V1203" s="4">
        <v>0</v>
      </c>
      <c r="W1203" s="2">
        <v>0</v>
      </c>
      <c r="X1203" s="4">
        <v>0</v>
      </c>
      <c r="Y1203" s="4">
        <v>0</v>
      </c>
      <c r="Z1203" s="3">
        <v>0</v>
      </c>
      <c r="AA1203" s="3">
        <v>0</v>
      </c>
    </row>
    <row r="1204" spans="1:27" x14ac:dyDescent="0.2">
      <c r="A1204">
        <f t="shared" si="36"/>
        <v>3</v>
      </c>
      <c r="B1204">
        <f t="shared" si="37"/>
        <v>10</v>
      </c>
      <c r="C1204" s="1">
        <v>46088</v>
      </c>
      <c r="D1204" t="s">
        <v>25</v>
      </c>
      <c r="E1204" t="s">
        <v>26</v>
      </c>
      <c r="F1204" t="s">
        <v>27</v>
      </c>
      <c r="G1204" t="s">
        <v>124</v>
      </c>
      <c r="H1204" t="s">
        <v>29</v>
      </c>
      <c r="I1204" t="s">
        <v>30</v>
      </c>
      <c r="J1204" t="s">
        <v>101</v>
      </c>
      <c r="K1204" t="s">
        <v>87</v>
      </c>
      <c r="L1204" t="s">
        <v>215</v>
      </c>
      <c r="M1204" s="4">
        <v>12</v>
      </c>
      <c r="N1204" s="4">
        <v>1</v>
      </c>
      <c r="O1204" s="2">
        <v>8.3333333333333315E-2</v>
      </c>
      <c r="P1204" s="3">
        <v>0.2</v>
      </c>
      <c r="Q1204" s="3">
        <v>0.2</v>
      </c>
      <c r="R1204" s="3">
        <v>0</v>
      </c>
      <c r="S1204" s="2"/>
      <c r="T1204" s="5">
        <v>0</v>
      </c>
      <c r="U1204" s="4">
        <v>0</v>
      </c>
      <c r="V1204" s="4">
        <v>0</v>
      </c>
      <c r="W1204" s="2">
        <v>0</v>
      </c>
      <c r="X1204" s="4">
        <v>0</v>
      </c>
      <c r="Y1204" s="4">
        <v>0</v>
      </c>
      <c r="Z1204" s="3">
        <v>0</v>
      </c>
      <c r="AA1204" s="3">
        <v>0</v>
      </c>
    </row>
    <row r="1205" spans="1:27" x14ac:dyDescent="0.2">
      <c r="A1205">
        <f t="shared" si="36"/>
        <v>3</v>
      </c>
      <c r="B1205">
        <f t="shared" si="37"/>
        <v>10</v>
      </c>
      <c r="C1205" s="1">
        <v>46085</v>
      </c>
      <c r="D1205" t="s">
        <v>25</v>
      </c>
      <c r="E1205" t="s">
        <v>26</v>
      </c>
      <c r="F1205" t="s">
        <v>27</v>
      </c>
      <c r="G1205" t="s">
        <v>28</v>
      </c>
      <c r="H1205" t="s">
        <v>29</v>
      </c>
      <c r="I1205" t="s">
        <v>30</v>
      </c>
      <c r="J1205" t="s">
        <v>50</v>
      </c>
      <c r="K1205" t="s">
        <v>32</v>
      </c>
      <c r="L1205" t="s">
        <v>776</v>
      </c>
      <c r="M1205" s="4">
        <v>1</v>
      </c>
      <c r="N1205" s="4">
        <v>1</v>
      </c>
      <c r="O1205" s="2">
        <v>1</v>
      </c>
      <c r="P1205" s="3">
        <v>0.21</v>
      </c>
      <c r="Q1205" s="3">
        <v>0.21</v>
      </c>
      <c r="R1205" s="3">
        <v>0</v>
      </c>
      <c r="S1205" s="2"/>
      <c r="T1205" s="5">
        <v>0</v>
      </c>
      <c r="U1205" s="4">
        <v>0</v>
      </c>
      <c r="V1205" s="4">
        <v>0</v>
      </c>
      <c r="W1205" s="2">
        <v>0</v>
      </c>
      <c r="X1205" s="4">
        <v>0</v>
      </c>
      <c r="Y1205" s="4">
        <v>0</v>
      </c>
      <c r="Z1205" s="3">
        <v>0</v>
      </c>
      <c r="AA1205" s="3">
        <v>0</v>
      </c>
    </row>
    <row r="1206" spans="1:27" x14ac:dyDescent="0.2">
      <c r="A1206">
        <f t="shared" si="36"/>
        <v>3</v>
      </c>
      <c r="B1206">
        <f t="shared" si="37"/>
        <v>12</v>
      </c>
      <c r="C1206" s="1">
        <v>46100</v>
      </c>
      <c r="D1206" t="s">
        <v>25</v>
      </c>
      <c r="E1206" t="s">
        <v>26</v>
      </c>
      <c r="F1206" t="s">
        <v>27</v>
      </c>
      <c r="G1206" t="s">
        <v>124</v>
      </c>
      <c r="H1206" t="s">
        <v>29</v>
      </c>
      <c r="I1206" t="s">
        <v>30</v>
      </c>
      <c r="J1206" t="s">
        <v>31</v>
      </c>
      <c r="K1206" t="s">
        <v>87</v>
      </c>
      <c r="L1206" t="s">
        <v>777</v>
      </c>
      <c r="M1206" s="4">
        <v>1</v>
      </c>
      <c r="N1206" s="4">
        <v>1</v>
      </c>
      <c r="O1206" s="2">
        <v>1</v>
      </c>
      <c r="P1206" s="3">
        <v>0.2</v>
      </c>
      <c r="Q1206" s="3">
        <v>0.2</v>
      </c>
      <c r="R1206" s="3">
        <v>0</v>
      </c>
      <c r="S1206" s="2"/>
      <c r="T1206" s="5">
        <v>0</v>
      </c>
      <c r="U1206" s="4">
        <v>0</v>
      </c>
      <c r="V1206" s="4">
        <v>0</v>
      </c>
      <c r="W1206" s="2">
        <v>0</v>
      </c>
      <c r="X1206" s="4">
        <v>0</v>
      </c>
      <c r="Y1206" s="4">
        <v>0</v>
      </c>
      <c r="Z1206" s="3">
        <v>0</v>
      </c>
      <c r="AA1206" s="3">
        <v>0</v>
      </c>
    </row>
    <row r="1207" spans="1:27" x14ac:dyDescent="0.2">
      <c r="A1207">
        <f t="shared" si="36"/>
        <v>3</v>
      </c>
      <c r="B1207">
        <f t="shared" si="37"/>
        <v>11</v>
      </c>
      <c r="C1207" s="1">
        <v>46094</v>
      </c>
      <c r="D1207" t="s">
        <v>25</v>
      </c>
      <c r="E1207" t="s">
        <v>26</v>
      </c>
      <c r="F1207" t="s">
        <v>27</v>
      </c>
      <c r="G1207" t="s">
        <v>28</v>
      </c>
      <c r="H1207" t="s">
        <v>29</v>
      </c>
      <c r="I1207" t="s">
        <v>30</v>
      </c>
      <c r="J1207" t="s">
        <v>31</v>
      </c>
      <c r="K1207" t="s">
        <v>32</v>
      </c>
      <c r="L1207" t="s">
        <v>778</v>
      </c>
      <c r="M1207" s="4">
        <v>2</v>
      </c>
      <c r="N1207" s="4">
        <v>2</v>
      </c>
      <c r="O1207" s="2">
        <v>1</v>
      </c>
      <c r="P1207" s="3">
        <v>0.30499999999999999</v>
      </c>
      <c r="Q1207" s="3">
        <v>0.61</v>
      </c>
      <c r="R1207" s="3">
        <v>0</v>
      </c>
      <c r="S1207" s="2"/>
      <c r="T1207" s="5">
        <v>0</v>
      </c>
      <c r="U1207" s="4">
        <v>0</v>
      </c>
      <c r="V1207" s="4">
        <v>0</v>
      </c>
      <c r="W1207" s="2">
        <v>0</v>
      </c>
      <c r="X1207" s="4">
        <v>0</v>
      </c>
      <c r="Y1207" s="4">
        <v>0</v>
      </c>
      <c r="Z1207" s="3">
        <v>0</v>
      </c>
      <c r="AA1207" s="3">
        <v>0</v>
      </c>
    </row>
    <row r="1208" spans="1:27" x14ac:dyDescent="0.2">
      <c r="A1208">
        <f t="shared" si="36"/>
        <v>3</v>
      </c>
      <c r="B1208">
        <f t="shared" si="37"/>
        <v>10</v>
      </c>
      <c r="C1208" s="1">
        <v>46086</v>
      </c>
      <c r="D1208" t="s">
        <v>25</v>
      </c>
      <c r="E1208" t="s">
        <v>26</v>
      </c>
      <c r="F1208" t="s">
        <v>27</v>
      </c>
      <c r="G1208" t="s">
        <v>124</v>
      </c>
      <c r="H1208" t="s">
        <v>29</v>
      </c>
      <c r="I1208" t="s">
        <v>30</v>
      </c>
      <c r="J1208" t="s">
        <v>257</v>
      </c>
      <c r="K1208" t="s">
        <v>87</v>
      </c>
      <c r="L1208" t="s">
        <v>779</v>
      </c>
      <c r="M1208" s="4">
        <v>2</v>
      </c>
      <c r="N1208" s="4">
        <v>1</v>
      </c>
      <c r="O1208" s="2">
        <v>0.5</v>
      </c>
      <c r="P1208" s="3">
        <v>0.2</v>
      </c>
      <c r="Q1208" s="3">
        <v>0.2</v>
      </c>
      <c r="R1208" s="3">
        <v>0</v>
      </c>
      <c r="S1208" s="2"/>
      <c r="T1208" s="5">
        <v>0</v>
      </c>
      <c r="U1208" s="4">
        <v>0</v>
      </c>
      <c r="V1208" s="4">
        <v>0</v>
      </c>
      <c r="W1208" s="2">
        <v>0</v>
      </c>
      <c r="X1208" s="4">
        <v>0</v>
      </c>
      <c r="Y1208" s="4">
        <v>0</v>
      </c>
      <c r="Z1208" s="3">
        <v>0</v>
      </c>
      <c r="AA1208" s="3">
        <v>0</v>
      </c>
    </row>
    <row r="1209" spans="1:27" x14ac:dyDescent="0.2">
      <c r="A1209">
        <f t="shared" si="36"/>
        <v>3</v>
      </c>
      <c r="B1209">
        <f t="shared" si="37"/>
        <v>12</v>
      </c>
      <c r="C1209" s="1">
        <v>46097</v>
      </c>
      <c r="D1209" t="s">
        <v>25</v>
      </c>
      <c r="E1209" t="s">
        <v>26</v>
      </c>
      <c r="F1209" t="s">
        <v>27</v>
      </c>
      <c r="G1209" t="s">
        <v>28</v>
      </c>
      <c r="H1209" t="s">
        <v>29</v>
      </c>
      <c r="I1209" t="s">
        <v>30</v>
      </c>
      <c r="J1209" t="s">
        <v>50</v>
      </c>
      <c r="K1209" t="s">
        <v>32</v>
      </c>
      <c r="L1209" t="s">
        <v>780</v>
      </c>
      <c r="M1209" s="4">
        <v>7</v>
      </c>
      <c r="N1209" s="4">
        <v>1</v>
      </c>
      <c r="O1209" s="2">
        <v>0.14285714285714285</v>
      </c>
      <c r="P1209" s="3">
        <v>0.23</v>
      </c>
      <c r="Q1209" s="3">
        <v>0.23</v>
      </c>
      <c r="R1209" s="3">
        <v>0</v>
      </c>
      <c r="S1209" s="2"/>
      <c r="T1209" s="5">
        <v>0</v>
      </c>
      <c r="U1209" s="4">
        <v>0</v>
      </c>
      <c r="V1209" s="4">
        <v>0</v>
      </c>
      <c r="W1209" s="2">
        <v>0</v>
      </c>
      <c r="X1209" s="4">
        <v>0</v>
      </c>
      <c r="Y1209" s="4">
        <v>0</v>
      </c>
      <c r="Z1209" s="3">
        <v>0</v>
      </c>
      <c r="AA1209" s="3">
        <v>0</v>
      </c>
    </row>
    <row r="1210" spans="1:27" x14ac:dyDescent="0.2">
      <c r="A1210">
        <f t="shared" si="36"/>
        <v>3</v>
      </c>
      <c r="B1210">
        <f t="shared" si="37"/>
        <v>10</v>
      </c>
      <c r="C1210" s="1">
        <v>46088</v>
      </c>
      <c r="D1210" t="s">
        <v>25</v>
      </c>
      <c r="E1210" t="s">
        <v>26</v>
      </c>
      <c r="F1210" t="s">
        <v>39</v>
      </c>
      <c r="G1210" t="s">
        <v>40</v>
      </c>
      <c r="H1210" t="s">
        <v>29</v>
      </c>
      <c r="I1210" t="s">
        <v>30</v>
      </c>
      <c r="J1210" t="s">
        <v>70</v>
      </c>
      <c r="K1210" t="s">
        <v>42</v>
      </c>
      <c r="L1210" t="s">
        <v>781</v>
      </c>
      <c r="M1210" s="4">
        <v>1</v>
      </c>
      <c r="N1210" s="4">
        <v>1</v>
      </c>
      <c r="O1210" s="2">
        <v>1</v>
      </c>
      <c r="P1210" s="3">
        <v>0.71</v>
      </c>
      <c r="Q1210" s="3">
        <v>0.71</v>
      </c>
      <c r="R1210" s="3">
        <v>0</v>
      </c>
      <c r="S1210" s="2"/>
      <c r="T1210" s="5">
        <v>0</v>
      </c>
      <c r="U1210" s="4">
        <v>0</v>
      </c>
      <c r="V1210" s="4">
        <v>0</v>
      </c>
      <c r="W1210" s="2">
        <v>0</v>
      </c>
      <c r="X1210" s="4">
        <v>0</v>
      </c>
      <c r="Y1210" s="4">
        <v>0</v>
      </c>
      <c r="Z1210" s="3">
        <v>0</v>
      </c>
      <c r="AA1210" s="3">
        <v>0</v>
      </c>
    </row>
    <row r="1211" spans="1:27" x14ac:dyDescent="0.2">
      <c r="A1211">
        <f t="shared" si="36"/>
        <v>3</v>
      </c>
      <c r="B1211">
        <f t="shared" si="37"/>
        <v>10</v>
      </c>
      <c r="C1211" s="1">
        <v>46084</v>
      </c>
      <c r="D1211" t="s">
        <v>25</v>
      </c>
      <c r="E1211" t="s">
        <v>26</v>
      </c>
      <c r="F1211" t="s">
        <v>27</v>
      </c>
      <c r="G1211" t="s">
        <v>124</v>
      </c>
      <c r="H1211" t="s">
        <v>29</v>
      </c>
      <c r="I1211" t="s">
        <v>30</v>
      </c>
      <c r="J1211" t="s">
        <v>782</v>
      </c>
      <c r="K1211" t="s">
        <v>267</v>
      </c>
      <c r="L1211" t="s">
        <v>782</v>
      </c>
      <c r="M1211" s="4">
        <v>9</v>
      </c>
      <c r="N1211" s="4">
        <v>1</v>
      </c>
      <c r="O1211" s="2">
        <v>0.1111111111111111</v>
      </c>
      <c r="P1211" s="3">
        <v>0.2</v>
      </c>
      <c r="Q1211" s="3">
        <v>0.2</v>
      </c>
      <c r="R1211" s="3">
        <v>0</v>
      </c>
      <c r="S1211" s="2"/>
      <c r="T1211" s="5">
        <v>0</v>
      </c>
      <c r="U1211" s="4">
        <v>0</v>
      </c>
      <c r="V1211" s="4">
        <v>0</v>
      </c>
      <c r="W1211" s="2">
        <v>0</v>
      </c>
      <c r="X1211" s="4">
        <v>0</v>
      </c>
      <c r="Y1211" s="4">
        <v>0</v>
      </c>
      <c r="Z1211" s="3">
        <v>0</v>
      </c>
      <c r="AA1211" s="3">
        <v>0</v>
      </c>
    </row>
    <row r="1212" spans="1:27" x14ac:dyDescent="0.2">
      <c r="A1212">
        <f t="shared" si="36"/>
        <v>3</v>
      </c>
      <c r="B1212">
        <f t="shared" si="37"/>
        <v>10</v>
      </c>
      <c r="C1212" s="1">
        <v>46083</v>
      </c>
      <c r="D1212" t="s">
        <v>25</v>
      </c>
      <c r="E1212" t="s">
        <v>26</v>
      </c>
      <c r="F1212" t="s">
        <v>53</v>
      </c>
      <c r="G1212" t="s">
        <v>54</v>
      </c>
      <c r="H1212" t="s">
        <v>29</v>
      </c>
      <c r="I1212" t="s">
        <v>30</v>
      </c>
      <c r="J1212" t="s">
        <v>95</v>
      </c>
      <c r="K1212" t="s">
        <v>42</v>
      </c>
      <c r="L1212" t="s">
        <v>783</v>
      </c>
      <c r="M1212" s="4">
        <v>1</v>
      </c>
      <c r="N1212" s="4">
        <v>1</v>
      </c>
      <c r="O1212" s="2">
        <v>1</v>
      </c>
      <c r="P1212" s="3">
        <v>0.72</v>
      </c>
      <c r="Q1212" s="3">
        <v>0.72</v>
      </c>
      <c r="R1212" s="3">
        <v>0</v>
      </c>
      <c r="S1212" s="2"/>
      <c r="T1212" s="5">
        <v>0</v>
      </c>
      <c r="U1212" s="4">
        <v>0</v>
      </c>
      <c r="V1212" s="4">
        <v>0</v>
      </c>
      <c r="W1212" s="2">
        <v>0</v>
      </c>
      <c r="X1212" s="4">
        <v>0</v>
      </c>
      <c r="Y1212" s="4">
        <v>0</v>
      </c>
      <c r="Z1212" s="3">
        <v>0</v>
      </c>
      <c r="AA1212" s="3">
        <v>0</v>
      </c>
    </row>
    <row r="1213" spans="1:27" x14ac:dyDescent="0.2">
      <c r="A1213">
        <f t="shared" si="36"/>
        <v>3</v>
      </c>
      <c r="B1213">
        <f t="shared" si="37"/>
        <v>12</v>
      </c>
      <c r="C1213" s="1">
        <v>46102</v>
      </c>
      <c r="D1213" t="s">
        <v>25</v>
      </c>
      <c r="E1213" t="s">
        <v>26</v>
      </c>
      <c r="F1213" t="s">
        <v>27</v>
      </c>
      <c r="G1213" t="s">
        <v>28</v>
      </c>
      <c r="H1213" t="s">
        <v>29</v>
      </c>
      <c r="I1213" t="s">
        <v>30</v>
      </c>
      <c r="J1213" t="s">
        <v>542</v>
      </c>
      <c r="K1213" t="s">
        <v>32</v>
      </c>
      <c r="L1213" t="s">
        <v>784</v>
      </c>
      <c r="M1213" s="4">
        <v>3</v>
      </c>
      <c r="N1213" s="4">
        <v>1</v>
      </c>
      <c r="O1213" s="2">
        <v>0.33333333333333331</v>
      </c>
      <c r="P1213" s="3">
        <v>0.2</v>
      </c>
      <c r="Q1213" s="3">
        <v>0.2</v>
      </c>
      <c r="R1213" s="3">
        <v>0</v>
      </c>
      <c r="S1213" s="2"/>
      <c r="T1213" s="5">
        <v>0</v>
      </c>
      <c r="U1213" s="4">
        <v>0</v>
      </c>
      <c r="V1213" s="4">
        <v>0</v>
      </c>
      <c r="W1213" s="2">
        <v>0</v>
      </c>
      <c r="X1213" s="4">
        <v>0</v>
      </c>
      <c r="Y1213" s="4">
        <v>0</v>
      </c>
      <c r="Z1213" s="3">
        <v>0</v>
      </c>
      <c r="AA1213" s="3">
        <v>0</v>
      </c>
    </row>
    <row r="1214" spans="1:27" x14ac:dyDescent="0.2">
      <c r="A1214">
        <f t="shared" si="36"/>
        <v>3</v>
      </c>
      <c r="B1214">
        <f t="shared" si="37"/>
        <v>10</v>
      </c>
      <c r="C1214" s="1">
        <v>46082</v>
      </c>
      <c r="D1214" t="s">
        <v>25</v>
      </c>
      <c r="E1214" t="s">
        <v>26</v>
      </c>
      <c r="F1214" t="s">
        <v>53</v>
      </c>
      <c r="G1214" t="s">
        <v>54</v>
      </c>
      <c r="H1214" t="s">
        <v>29</v>
      </c>
      <c r="I1214" t="s">
        <v>30</v>
      </c>
      <c r="J1214" t="s">
        <v>47</v>
      </c>
      <c r="K1214" t="s">
        <v>42</v>
      </c>
      <c r="L1214" t="s">
        <v>785</v>
      </c>
      <c r="M1214" s="4">
        <v>1</v>
      </c>
      <c r="N1214" s="4">
        <v>1</v>
      </c>
      <c r="O1214" s="2">
        <v>1</v>
      </c>
      <c r="P1214" s="3">
        <v>0.99</v>
      </c>
      <c r="Q1214" s="3">
        <v>0.99</v>
      </c>
      <c r="R1214" s="3">
        <v>0</v>
      </c>
      <c r="S1214" s="2"/>
      <c r="T1214" s="5">
        <v>0</v>
      </c>
      <c r="U1214" s="4">
        <v>0</v>
      </c>
      <c r="V1214" s="4">
        <v>0</v>
      </c>
      <c r="W1214" s="2">
        <v>0</v>
      </c>
      <c r="X1214" s="4">
        <v>0</v>
      </c>
      <c r="Y1214" s="4">
        <v>0</v>
      </c>
      <c r="Z1214" s="3">
        <v>0</v>
      </c>
      <c r="AA1214" s="3">
        <v>0</v>
      </c>
    </row>
    <row r="1215" spans="1:27" x14ac:dyDescent="0.2">
      <c r="A1215">
        <f t="shared" si="36"/>
        <v>3</v>
      </c>
      <c r="B1215">
        <f t="shared" si="37"/>
        <v>10</v>
      </c>
      <c r="C1215" s="1">
        <v>46084</v>
      </c>
      <c r="D1215" t="s">
        <v>25</v>
      </c>
      <c r="E1215" t="s">
        <v>26</v>
      </c>
      <c r="F1215" t="s">
        <v>61</v>
      </c>
      <c r="G1215" t="s">
        <v>62</v>
      </c>
      <c r="H1215" t="s">
        <v>29</v>
      </c>
      <c r="I1215" t="s">
        <v>30</v>
      </c>
      <c r="J1215" t="s">
        <v>47</v>
      </c>
      <c r="K1215" t="s">
        <v>42</v>
      </c>
      <c r="L1215" t="s">
        <v>354</v>
      </c>
      <c r="M1215" s="4">
        <v>191</v>
      </c>
      <c r="N1215" s="4">
        <v>1</v>
      </c>
      <c r="O1215" s="2">
        <v>5.235602094240838E-3</v>
      </c>
      <c r="P1215" s="3">
        <v>1.51</v>
      </c>
      <c r="Q1215" s="3">
        <v>1.51</v>
      </c>
      <c r="R1215" s="3">
        <v>0</v>
      </c>
      <c r="S1215" s="2"/>
      <c r="T1215" s="5">
        <v>0</v>
      </c>
      <c r="U1215" s="4">
        <v>0</v>
      </c>
      <c r="V1215" s="4">
        <v>0</v>
      </c>
      <c r="W1215" s="2">
        <v>0</v>
      </c>
      <c r="X1215" s="4">
        <v>0</v>
      </c>
      <c r="Y1215" s="4">
        <v>0</v>
      </c>
      <c r="Z1215" s="3">
        <v>0</v>
      </c>
      <c r="AA1215" s="3">
        <v>0</v>
      </c>
    </row>
    <row r="1216" spans="1:27" x14ac:dyDescent="0.2">
      <c r="A1216">
        <f t="shared" si="36"/>
        <v>3</v>
      </c>
      <c r="B1216">
        <f t="shared" si="37"/>
        <v>11</v>
      </c>
      <c r="C1216" s="1">
        <v>46091</v>
      </c>
      <c r="D1216" t="s">
        <v>25</v>
      </c>
      <c r="E1216" t="s">
        <v>26</v>
      </c>
      <c r="F1216" t="s">
        <v>61</v>
      </c>
      <c r="G1216" t="s">
        <v>62</v>
      </c>
      <c r="H1216" t="s">
        <v>29</v>
      </c>
      <c r="I1216" t="s">
        <v>30</v>
      </c>
      <c r="J1216" t="s">
        <v>95</v>
      </c>
      <c r="K1216" t="s">
        <v>42</v>
      </c>
      <c r="L1216" t="s">
        <v>786</v>
      </c>
      <c r="M1216" s="4">
        <v>1</v>
      </c>
      <c r="N1216" s="4">
        <v>1</v>
      </c>
      <c r="O1216" s="2">
        <v>1</v>
      </c>
      <c r="P1216" s="3">
        <v>1.2</v>
      </c>
      <c r="Q1216" s="3">
        <v>1.2</v>
      </c>
      <c r="R1216" s="3">
        <v>0</v>
      </c>
      <c r="S1216" s="2"/>
      <c r="T1216" s="5">
        <v>0</v>
      </c>
      <c r="U1216" s="4">
        <v>0</v>
      </c>
      <c r="V1216" s="4">
        <v>0</v>
      </c>
      <c r="W1216" s="2">
        <v>0</v>
      </c>
      <c r="X1216" s="4">
        <v>0</v>
      </c>
      <c r="Y1216" s="4">
        <v>0</v>
      </c>
      <c r="Z1216" s="3">
        <v>0</v>
      </c>
      <c r="AA1216" s="3">
        <v>0</v>
      </c>
    </row>
    <row r="1217" spans="1:27" x14ac:dyDescent="0.2">
      <c r="A1217">
        <f t="shared" si="36"/>
        <v>3</v>
      </c>
      <c r="B1217">
        <f t="shared" si="37"/>
        <v>10</v>
      </c>
      <c r="C1217" s="1">
        <v>46085</v>
      </c>
      <c r="D1217" t="s">
        <v>25</v>
      </c>
      <c r="E1217" t="s">
        <v>26</v>
      </c>
      <c r="F1217" t="s">
        <v>61</v>
      </c>
      <c r="G1217" t="s">
        <v>62</v>
      </c>
      <c r="H1217" t="s">
        <v>29</v>
      </c>
      <c r="I1217" t="s">
        <v>30</v>
      </c>
      <c r="J1217" t="s">
        <v>47</v>
      </c>
      <c r="K1217" t="s">
        <v>42</v>
      </c>
      <c r="L1217" t="s">
        <v>232</v>
      </c>
      <c r="M1217" s="4">
        <v>36</v>
      </c>
      <c r="N1217" s="4">
        <v>1</v>
      </c>
      <c r="O1217" s="2">
        <v>2.7777777777777776E-2</v>
      </c>
      <c r="P1217" s="3">
        <v>1.55</v>
      </c>
      <c r="Q1217" s="3">
        <v>1.55</v>
      </c>
      <c r="R1217" s="3">
        <v>0</v>
      </c>
      <c r="S1217" s="2"/>
      <c r="T1217" s="5">
        <v>0</v>
      </c>
      <c r="U1217" s="4">
        <v>0</v>
      </c>
      <c r="V1217" s="4">
        <v>0</v>
      </c>
      <c r="W1217" s="2">
        <v>0</v>
      </c>
      <c r="X1217" s="4">
        <v>0</v>
      </c>
      <c r="Y1217" s="4">
        <v>0</v>
      </c>
      <c r="Z1217" s="3">
        <v>0</v>
      </c>
      <c r="AA1217" s="3">
        <v>0</v>
      </c>
    </row>
    <row r="1218" spans="1:27" x14ac:dyDescent="0.2">
      <c r="A1218">
        <f t="shared" si="36"/>
        <v>3</v>
      </c>
      <c r="B1218">
        <f t="shared" si="37"/>
        <v>10</v>
      </c>
      <c r="C1218" s="1">
        <v>46088</v>
      </c>
      <c r="D1218" t="s">
        <v>25</v>
      </c>
      <c r="E1218" t="s">
        <v>26</v>
      </c>
      <c r="F1218" t="s">
        <v>61</v>
      </c>
      <c r="G1218" t="s">
        <v>62</v>
      </c>
      <c r="H1218" t="s">
        <v>29</v>
      </c>
      <c r="I1218" t="s">
        <v>30</v>
      </c>
      <c r="J1218" t="s">
        <v>47</v>
      </c>
      <c r="K1218" t="s">
        <v>42</v>
      </c>
      <c r="L1218" t="s">
        <v>232</v>
      </c>
      <c r="M1218" s="4">
        <v>130</v>
      </c>
      <c r="N1218" s="4">
        <v>2</v>
      </c>
      <c r="O1218" s="2">
        <v>1.5384615384615385E-2</v>
      </c>
      <c r="P1218" s="3">
        <v>1.56</v>
      </c>
      <c r="Q1218" s="3">
        <v>3.12</v>
      </c>
      <c r="R1218" s="3">
        <v>0</v>
      </c>
      <c r="S1218" s="2"/>
      <c r="T1218" s="5">
        <v>0</v>
      </c>
      <c r="U1218" s="4">
        <v>0</v>
      </c>
      <c r="V1218" s="4">
        <v>0</v>
      </c>
      <c r="W1218" s="2">
        <v>0</v>
      </c>
      <c r="X1218" s="4">
        <v>0</v>
      </c>
      <c r="Y1218" s="4">
        <v>0</v>
      </c>
      <c r="Z1218" s="3">
        <v>0</v>
      </c>
      <c r="AA1218" s="3">
        <v>0</v>
      </c>
    </row>
    <row r="1219" spans="1:27" x14ac:dyDescent="0.2">
      <c r="A1219">
        <f t="shared" ref="A1219:A1282" si="38">MONTH(C1219)</f>
        <v>3</v>
      </c>
      <c r="B1219">
        <f t="shared" ref="B1219:B1282" si="39">WEEKNUM(C1219,1)</f>
        <v>11</v>
      </c>
      <c r="C1219" s="1">
        <v>46089</v>
      </c>
      <c r="D1219" t="s">
        <v>25</v>
      </c>
      <c r="E1219" t="s">
        <v>26</v>
      </c>
      <c r="F1219" t="s">
        <v>61</v>
      </c>
      <c r="G1219" t="s">
        <v>62</v>
      </c>
      <c r="H1219" t="s">
        <v>29</v>
      </c>
      <c r="I1219" t="s">
        <v>30</v>
      </c>
      <c r="J1219" t="s">
        <v>47</v>
      </c>
      <c r="K1219" t="s">
        <v>42</v>
      </c>
      <c r="L1219" t="s">
        <v>232</v>
      </c>
      <c r="M1219" s="4">
        <v>13</v>
      </c>
      <c r="N1219" s="4">
        <v>1</v>
      </c>
      <c r="O1219" s="2">
        <v>7.6923076923076927E-2</v>
      </c>
      <c r="P1219" s="3">
        <v>1.31</v>
      </c>
      <c r="Q1219" s="3">
        <v>1.31</v>
      </c>
      <c r="R1219" s="3">
        <v>0</v>
      </c>
      <c r="S1219" s="2"/>
      <c r="T1219" s="5">
        <v>0</v>
      </c>
      <c r="U1219" s="4">
        <v>0</v>
      </c>
      <c r="V1219" s="4">
        <v>0</v>
      </c>
      <c r="W1219" s="2">
        <v>0</v>
      </c>
      <c r="X1219" s="4">
        <v>0</v>
      </c>
      <c r="Y1219" s="4">
        <v>0</v>
      </c>
      <c r="Z1219" s="3">
        <v>0</v>
      </c>
      <c r="AA1219" s="3">
        <v>0</v>
      </c>
    </row>
    <row r="1220" spans="1:27" x14ac:dyDescent="0.2">
      <c r="A1220">
        <f t="shared" si="38"/>
        <v>3</v>
      </c>
      <c r="B1220">
        <f t="shared" si="39"/>
        <v>11</v>
      </c>
      <c r="C1220" s="1">
        <v>46093</v>
      </c>
      <c r="D1220" t="s">
        <v>25</v>
      </c>
      <c r="E1220" t="s">
        <v>26</v>
      </c>
      <c r="F1220" t="s">
        <v>61</v>
      </c>
      <c r="G1220" t="s">
        <v>62</v>
      </c>
      <c r="H1220" t="s">
        <v>29</v>
      </c>
      <c r="I1220" t="s">
        <v>30</v>
      </c>
      <c r="J1220" t="s">
        <v>47</v>
      </c>
      <c r="K1220" t="s">
        <v>42</v>
      </c>
      <c r="L1220" t="s">
        <v>232</v>
      </c>
      <c r="M1220" s="4">
        <v>695</v>
      </c>
      <c r="N1220" s="4">
        <v>1</v>
      </c>
      <c r="O1220" s="2">
        <v>1.4388489208633094E-3</v>
      </c>
      <c r="P1220" s="3">
        <v>1.53</v>
      </c>
      <c r="Q1220" s="3">
        <v>1.53</v>
      </c>
      <c r="R1220" s="3">
        <v>0</v>
      </c>
      <c r="S1220" s="2"/>
      <c r="T1220" s="5">
        <v>0</v>
      </c>
      <c r="U1220" s="4">
        <v>0</v>
      </c>
      <c r="V1220" s="4">
        <v>0</v>
      </c>
      <c r="W1220" s="2">
        <v>0</v>
      </c>
      <c r="X1220" s="4">
        <v>0</v>
      </c>
      <c r="Y1220" s="4">
        <v>0</v>
      </c>
      <c r="Z1220" s="3">
        <v>0</v>
      </c>
      <c r="AA1220" s="3">
        <v>0</v>
      </c>
    </row>
    <row r="1221" spans="1:27" x14ac:dyDescent="0.2">
      <c r="A1221">
        <f t="shared" si="38"/>
        <v>3</v>
      </c>
      <c r="B1221">
        <f t="shared" si="39"/>
        <v>12</v>
      </c>
      <c r="C1221" s="1">
        <v>46099</v>
      </c>
      <c r="D1221" t="s">
        <v>25</v>
      </c>
      <c r="E1221" t="s">
        <v>26</v>
      </c>
      <c r="F1221" t="s">
        <v>61</v>
      </c>
      <c r="G1221" t="s">
        <v>62</v>
      </c>
      <c r="H1221" t="s">
        <v>29</v>
      </c>
      <c r="I1221" t="s">
        <v>30</v>
      </c>
      <c r="J1221" t="s">
        <v>47</v>
      </c>
      <c r="K1221" t="s">
        <v>42</v>
      </c>
      <c r="L1221" t="s">
        <v>232</v>
      </c>
      <c r="M1221" s="4">
        <v>22</v>
      </c>
      <c r="N1221" s="4">
        <v>2</v>
      </c>
      <c r="O1221" s="2">
        <v>9.0909090909090925E-2</v>
      </c>
      <c r="P1221" s="3">
        <v>1.55</v>
      </c>
      <c r="Q1221" s="3">
        <v>3.1</v>
      </c>
      <c r="R1221" s="3">
        <v>0</v>
      </c>
      <c r="S1221" s="2"/>
      <c r="T1221" s="5">
        <v>0</v>
      </c>
      <c r="U1221" s="4">
        <v>0</v>
      </c>
      <c r="V1221" s="4">
        <v>0</v>
      </c>
      <c r="W1221" s="2">
        <v>0</v>
      </c>
      <c r="X1221" s="4">
        <v>0</v>
      </c>
      <c r="Y1221" s="4">
        <v>0</v>
      </c>
      <c r="Z1221" s="3">
        <v>0</v>
      </c>
      <c r="AA1221" s="3">
        <v>0</v>
      </c>
    </row>
    <row r="1222" spans="1:27" x14ac:dyDescent="0.2">
      <c r="A1222">
        <f t="shared" si="38"/>
        <v>3</v>
      </c>
      <c r="B1222">
        <f t="shared" si="39"/>
        <v>11</v>
      </c>
      <c r="C1222" s="1">
        <v>46094</v>
      </c>
      <c r="D1222" t="s">
        <v>25</v>
      </c>
      <c r="E1222" t="s">
        <v>26</v>
      </c>
      <c r="F1222" t="s">
        <v>61</v>
      </c>
      <c r="G1222" t="s">
        <v>62</v>
      </c>
      <c r="H1222" t="s">
        <v>29</v>
      </c>
      <c r="I1222" t="s">
        <v>30</v>
      </c>
      <c r="J1222" t="s">
        <v>47</v>
      </c>
      <c r="K1222" t="s">
        <v>42</v>
      </c>
      <c r="L1222" t="s">
        <v>233</v>
      </c>
      <c r="M1222" s="4">
        <v>1</v>
      </c>
      <c r="N1222" s="4">
        <v>1</v>
      </c>
      <c r="O1222" s="2">
        <v>1</v>
      </c>
      <c r="P1222" s="3">
        <v>1.28</v>
      </c>
      <c r="Q1222" s="3">
        <v>1.28</v>
      </c>
      <c r="R1222" s="3">
        <v>0</v>
      </c>
      <c r="S1222" s="2"/>
      <c r="T1222" s="5">
        <v>0</v>
      </c>
      <c r="U1222" s="4">
        <v>0</v>
      </c>
      <c r="V1222" s="4">
        <v>0</v>
      </c>
      <c r="W1222" s="2">
        <v>0</v>
      </c>
      <c r="X1222" s="4">
        <v>0</v>
      </c>
      <c r="Y1222" s="4">
        <v>0</v>
      </c>
      <c r="Z1222" s="3">
        <v>0</v>
      </c>
      <c r="AA1222" s="3">
        <v>0</v>
      </c>
    </row>
    <row r="1223" spans="1:27" x14ac:dyDescent="0.2">
      <c r="A1223">
        <f t="shared" si="38"/>
        <v>3</v>
      </c>
      <c r="B1223">
        <f t="shared" si="39"/>
        <v>10</v>
      </c>
      <c r="C1223" s="1">
        <v>46084</v>
      </c>
      <c r="D1223" t="s">
        <v>25</v>
      </c>
      <c r="E1223" t="s">
        <v>26</v>
      </c>
      <c r="F1223" t="s">
        <v>53</v>
      </c>
      <c r="G1223" t="s">
        <v>54</v>
      </c>
      <c r="H1223" t="s">
        <v>29</v>
      </c>
      <c r="I1223" t="s">
        <v>30</v>
      </c>
      <c r="J1223" t="s">
        <v>47</v>
      </c>
      <c r="K1223" t="s">
        <v>42</v>
      </c>
      <c r="L1223" t="s">
        <v>233</v>
      </c>
      <c r="M1223" s="4">
        <v>3</v>
      </c>
      <c r="N1223" s="4">
        <v>2</v>
      </c>
      <c r="O1223" s="2">
        <v>0.66666666666666663</v>
      </c>
      <c r="P1223" s="3">
        <v>0.97499999999999998</v>
      </c>
      <c r="Q1223" s="3">
        <v>1.95</v>
      </c>
      <c r="R1223" s="3">
        <v>0</v>
      </c>
      <c r="S1223" s="2"/>
      <c r="T1223" s="5">
        <v>0</v>
      </c>
      <c r="U1223" s="4">
        <v>0</v>
      </c>
      <c r="V1223" s="4">
        <v>0</v>
      </c>
      <c r="W1223" s="2">
        <v>0</v>
      </c>
      <c r="X1223" s="4">
        <v>0</v>
      </c>
      <c r="Y1223" s="4">
        <v>0</v>
      </c>
      <c r="Z1223" s="3">
        <v>0</v>
      </c>
      <c r="AA1223" s="3">
        <v>0</v>
      </c>
    </row>
    <row r="1224" spans="1:27" x14ac:dyDescent="0.2">
      <c r="A1224">
        <f t="shared" si="38"/>
        <v>3</v>
      </c>
      <c r="B1224">
        <f t="shared" si="39"/>
        <v>10</v>
      </c>
      <c r="C1224" s="1">
        <v>46085</v>
      </c>
      <c r="D1224" t="s">
        <v>25</v>
      </c>
      <c r="E1224" t="s">
        <v>26</v>
      </c>
      <c r="F1224" t="s">
        <v>53</v>
      </c>
      <c r="G1224" t="s">
        <v>54</v>
      </c>
      <c r="H1224" t="s">
        <v>29</v>
      </c>
      <c r="I1224" t="s">
        <v>30</v>
      </c>
      <c r="J1224" t="s">
        <v>47</v>
      </c>
      <c r="K1224" t="s">
        <v>42</v>
      </c>
      <c r="L1224" t="s">
        <v>233</v>
      </c>
      <c r="M1224" s="4">
        <v>3</v>
      </c>
      <c r="N1224" s="4">
        <v>1</v>
      </c>
      <c r="O1224" s="2">
        <v>0.33333333333333331</v>
      </c>
      <c r="P1224" s="3">
        <v>0.99</v>
      </c>
      <c r="Q1224" s="3">
        <v>0.99</v>
      </c>
      <c r="R1224" s="3">
        <v>0</v>
      </c>
      <c r="S1224" s="2"/>
      <c r="T1224" s="5">
        <v>0</v>
      </c>
      <c r="U1224" s="4">
        <v>0</v>
      </c>
      <c r="V1224" s="4">
        <v>0</v>
      </c>
      <c r="W1224" s="2">
        <v>0</v>
      </c>
      <c r="X1224" s="4">
        <v>0</v>
      </c>
      <c r="Y1224" s="4">
        <v>0</v>
      </c>
      <c r="Z1224" s="3">
        <v>0</v>
      </c>
      <c r="AA1224" s="3">
        <v>0</v>
      </c>
    </row>
    <row r="1225" spans="1:27" x14ac:dyDescent="0.2">
      <c r="A1225">
        <f t="shared" si="38"/>
        <v>3</v>
      </c>
      <c r="B1225">
        <f t="shared" si="39"/>
        <v>12</v>
      </c>
      <c r="C1225" s="1">
        <v>46098</v>
      </c>
      <c r="D1225" t="s">
        <v>25</v>
      </c>
      <c r="E1225" t="s">
        <v>26</v>
      </c>
      <c r="F1225" t="s">
        <v>61</v>
      </c>
      <c r="G1225" t="s">
        <v>62</v>
      </c>
      <c r="H1225" t="s">
        <v>29</v>
      </c>
      <c r="I1225" t="s">
        <v>30</v>
      </c>
      <c r="J1225" t="s">
        <v>95</v>
      </c>
      <c r="K1225" t="s">
        <v>42</v>
      </c>
      <c r="L1225" t="s">
        <v>787</v>
      </c>
      <c r="M1225" s="4">
        <v>1</v>
      </c>
      <c r="N1225" s="4">
        <v>1</v>
      </c>
      <c r="O1225" s="2">
        <v>1</v>
      </c>
      <c r="P1225" s="3">
        <v>1.29</v>
      </c>
      <c r="Q1225" s="3">
        <v>1.29</v>
      </c>
      <c r="R1225" s="3">
        <v>0</v>
      </c>
      <c r="S1225" s="2"/>
      <c r="T1225" s="5">
        <v>0</v>
      </c>
      <c r="U1225" s="4">
        <v>0</v>
      </c>
      <c r="V1225" s="4">
        <v>0</v>
      </c>
      <c r="W1225" s="2">
        <v>0</v>
      </c>
      <c r="X1225" s="4">
        <v>0</v>
      </c>
      <c r="Y1225" s="4">
        <v>0</v>
      </c>
      <c r="Z1225" s="3">
        <v>0</v>
      </c>
      <c r="AA1225" s="3">
        <v>0</v>
      </c>
    </row>
    <row r="1226" spans="1:27" x14ac:dyDescent="0.2">
      <c r="A1226">
        <f t="shared" si="38"/>
        <v>3</v>
      </c>
      <c r="B1226">
        <f t="shared" si="39"/>
        <v>10</v>
      </c>
      <c r="C1226" s="1">
        <v>46086</v>
      </c>
      <c r="D1226" t="s">
        <v>25</v>
      </c>
      <c r="E1226" t="s">
        <v>26</v>
      </c>
      <c r="F1226" t="s">
        <v>61</v>
      </c>
      <c r="G1226" t="s">
        <v>62</v>
      </c>
      <c r="H1226" t="s">
        <v>29</v>
      </c>
      <c r="I1226" t="s">
        <v>30</v>
      </c>
      <c r="J1226" t="s">
        <v>47</v>
      </c>
      <c r="K1226" t="s">
        <v>42</v>
      </c>
      <c r="L1226" t="s">
        <v>642</v>
      </c>
      <c r="M1226" s="4">
        <v>56</v>
      </c>
      <c r="N1226" s="4">
        <v>1</v>
      </c>
      <c r="O1226" s="2">
        <v>1.7857142857142856E-2</v>
      </c>
      <c r="P1226" s="3">
        <v>1.58</v>
      </c>
      <c r="Q1226" s="3">
        <v>1.58</v>
      </c>
      <c r="R1226" s="3">
        <v>0</v>
      </c>
      <c r="S1226" s="2"/>
      <c r="T1226" s="5">
        <v>0</v>
      </c>
      <c r="U1226" s="4">
        <v>0</v>
      </c>
      <c r="V1226" s="4">
        <v>0</v>
      </c>
      <c r="W1226" s="2">
        <v>0</v>
      </c>
      <c r="X1226" s="4">
        <v>0</v>
      </c>
      <c r="Y1226" s="4">
        <v>0</v>
      </c>
      <c r="Z1226" s="3">
        <v>0</v>
      </c>
      <c r="AA1226" s="3">
        <v>0</v>
      </c>
    </row>
    <row r="1227" spans="1:27" x14ac:dyDescent="0.2">
      <c r="A1227">
        <f t="shared" si="38"/>
        <v>3</v>
      </c>
      <c r="B1227">
        <f t="shared" si="39"/>
        <v>11</v>
      </c>
      <c r="C1227" s="1">
        <v>46095</v>
      </c>
      <c r="D1227" t="s">
        <v>25</v>
      </c>
      <c r="E1227" t="s">
        <v>26</v>
      </c>
      <c r="F1227" t="s">
        <v>53</v>
      </c>
      <c r="G1227" t="s">
        <v>54</v>
      </c>
      <c r="H1227" t="s">
        <v>29</v>
      </c>
      <c r="I1227" t="s">
        <v>30</v>
      </c>
      <c r="J1227" t="s">
        <v>47</v>
      </c>
      <c r="K1227" t="s">
        <v>42</v>
      </c>
      <c r="L1227" t="s">
        <v>720</v>
      </c>
      <c r="M1227" s="4">
        <v>1</v>
      </c>
      <c r="N1227" s="4">
        <v>1</v>
      </c>
      <c r="O1227" s="2">
        <v>1</v>
      </c>
      <c r="P1227" s="3">
        <v>0.65</v>
      </c>
      <c r="Q1227" s="3">
        <v>0.65</v>
      </c>
      <c r="R1227" s="3">
        <v>0</v>
      </c>
      <c r="S1227" s="2"/>
      <c r="T1227" s="5">
        <v>0</v>
      </c>
      <c r="U1227" s="4">
        <v>0</v>
      </c>
      <c r="V1227" s="4">
        <v>0</v>
      </c>
      <c r="W1227" s="2">
        <v>0</v>
      </c>
      <c r="X1227" s="4">
        <v>0</v>
      </c>
      <c r="Y1227" s="4">
        <v>0</v>
      </c>
      <c r="Z1227" s="3">
        <v>0</v>
      </c>
      <c r="AA1227" s="3">
        <v>0</v>
      </c>
    </row>
    <row r="1228" spans="1:27" x14ac:dyDescent="0.2">
      <c r="A1228">
        <f t="shared" si="38"/>
        <v>3</v>
      </c>
      <c r="B1228">
        <f t="shared" si="39"/>
        <v>12</v>
      </c>
      <c r="C1228" s="1">
        <v>46102</v>
      </c>
      <c r="D1228" t="s">
        <v>25</v>
      </c>
      <c r="E1228" t="s">
        <v>26</v>
      </c>
      <c r="F1228" t="s">
        <v>53</v>
      </c>
      <c r="G1228" t="s">
        <v>54</v>
      </c>
      <c r="H1228" t="s">
        <v>29</v>
      </c>
      <c r="I1228" t="s">
        <v>30</v>
      </c>
      <c r="J1228" t="s">
        <v>47</v>
      </c>
      <c r="K1228" t="s">
        <v>42</v>
      </c>
      <c r="L1228" t="s">
        <v>720</v>
      </c>
      <c r="M1228" s="4">
        <v>1</v>
      </c>
      <c r="N1228" s="4">
        <v>1</v>
      </c>
      <c r="O1228" s="2">
        <v>1</v>
      </c>
      <c r="P1228" s="3">
        <v>0.9</v>
      </c>
      <c r="Q1228" s="3">
        <v>0.9</v>
      </c>
      <c r="R1228" s="3">
        <v>0</v>
      </c>
      <c r="S1228" s="2"/>
      <c r="T1228" s="5">
        <v>0</v>
      </c>
      <c r="U1228" s="4">
        <v>0</v>
      </c>
      <c r="V1228" s="4">
        <v>0</v>
      </c>
      <c r="W1228" s="2">
        <v>0</v>
      </c>
      <c r="X1228" s="4">
        <v>0</v>
      </c>
      <c r="Y1228" s="4">
        <v>0</v>
      </c>
      <c r="Z1228" s="3">
        <v>0</v>
      </c>
      <c r="AA1228" s="3">
        <v>0</v>
      </c>
    </row>
    <row r="1229" spans="1:27" x14ac:dyDescent="0.2">
      <c r="A1229">
        <f t="shared" si="38"/>
        <v>3</v>
      </c>
      <c r="B1229">
        <f t="shared" si="39"/>
        <v>11</v>
      </c>
      <c r="C1229" s="1">
        <v>46092</v>
      </c>
      <c r="D1229" t="s">
        <v>25</v>
      </c>
      <c r="E1229" t="s">
        <v>26</v>
      </c>
      <c r="F1229" t="s">
        <v>61</v>
      </c>
      <c r="G1229" t="s">
        <v>62</v>
      </c>
      <c r="H1229" t="s">
        <v>29</v>
      </c>
      <c r="I1229" t="s">
        <v>30</v>
      </c>
      <c r="J1229" t="s">
        <v>95</v>
      </c>
      <c r="K1229" t="s">
        <v>42</v>
      </c>
      <c r="L1229" t="s">
        <v>236</v>
      </c>
      <c r="M1229" s="4">
        <v>17</v>
      </c>
      <c r="N1229" s="4">
        <v>2</v>
      </c>
      <c r="O1229" s="2">
        <v>0.1176470588235294</v>
      </c>
      <c r="P1229" s="3">
        <v>1.18</v>
      </c>
      <c r="Q1229" s="3">
        <v>2.36</v>
      </c>
      <c r="R1229" s="3">
        <v>0</v>
      </c>
      <c r="S1229" s="2"/>
      <c r="T1229" s="5">
        <v>0</v>
      </c>
      <c r="U1229" s="4">
        <v>0</v>
      </c>
      <c r="V1229" s="4">
        <v>0</v>
      </c>
      <c r="W1229" s="2">
        <v>0</v>
      </c>
      <c r="X1229" s="4">
        <v>0</v>
      </c>
      <c r="Y1229" s="4">
        <v>0</v>
      </c>
      <c r="Z1229" s="3">
        <v>0</v>
      </c>
      <c r="AA1229" s="3">
        <v>0</v>
      </c>
    </row>
    <row r="1230" spans="1:27" x14ac:dyDescent="0.2">
      <c r="A1230">
        <f t="shared" si="38"/>
        <v>3</v>
      </c>
      <c r="B1230">
        <f t="shared" si="39"/>
        <v>12</v>
      </c>
      <c r="C1230" s="1">
        <v>46098</v>
      </c>
      <c r="D1230" t="s">
        <v>25</v>
      </c>
      <c r="E1230" t="s">
        <v>26</v>
      </c>
      <c r="F1230" t="s">
        <v>27</v>
      </c>
      <c r="G1230" t="s">
        <v>28</v>
      </c>
      <c r="H1230" t="s">
        <v>29</v>
      </c>
      <c r="I1230" t="s">
        <v>30</v>
      </c>
      <c r="J1230" t="s">
        <v>257</v>
      </c>
      <c r="K1230" t="s">
        <v>32</v>
      </c>
      <c r="L1230" t="s">
        <v>788</v>
      </c>
      <c r="M1230" s="4">
        <v>3</v>
      </c>
      <c r="N1230" s="4">
        <v>1</v>
      </c>
      <c r="O1230" s="2">
        <v>0.33333333333333331</v>
      </c>
      <c r="P1230" s="3">
        <v>0.23</v>
      </c>
      <c r="Q1230" s="3">
        <v>0.23</v>
      </c>
      <c r="R1230" s="3">
        <v>0</v>
      </c>
      <c r="S1230" s="2"/>
      <c r="T1230" s="5">
        <v>0</v>
      </c>
      <c r="U1230" s="4">
        <v>0</v>
      </c>
      <c r="V1230" s="4">
        <v>0</v>
      </c>
      <c r="W1230" s="2">
        <v>0</v>
      </c>
      <c r="X1230" s="4">
        <v>0</v>
      </c>
      <c r="Y1230" s="4">
        <v>0</v>
      </c>
      <c r="Z1230" s="3">
        <v>0</v>
      </c>
      <c r="AA1230" s="3">
        <v>0</v>
      </c>
    </row>
    <row r="1231" spans="1:27" x14ac:dyDescent="0.2">
      <c r="A1231">
        <f t="shared" si="38"/>
        <v>3</v>
      </c>
      <c r="B1231">
        <f t="shared" si="39"/>
        <v>10</v>
      </c>
      <c r="C1231" s="1">
        <v>46082</v>
      </c>
      <c r="D1231" t="s">
        <v>25</v>
      </c>
      <c r="E1231" t="s">
        <v>26</v>
      </c>
      <c r="F1231" t="s">
        <v>27</v>
      </c>
      <c r="G1231" t="s">
        <v>28</v>
      </c>
      <c r="H1231" t="s">
        <v>29</v>
      </c>
      <c r="I1231" t="s">
        <v>30</v>
      </c>
      <c r="J1231" t="s">
        <v>243</v>
      </c>
      <c r="K1231" t="s">
        <v>32</v>
      </c>
      <c r="L1231" t="s">
        <v>789</v>
      </c>
      <c r="M1231" s="4">
        <v>1</v>
      </c>
      <c r="N1231" s="4">
        <v>1</v>
      </c>
      <c r="O1231" s="2">
        <v>1</v>
      </c>
      <c r="P1231" s="3">
        <v>0.21</v>
      </c>
      <c r="Q1231" s="3">
        <v>0.21</v>
      </c>
      <c r="R1231" s="3">
        <v>0</v>
      </c>
      <c r="S1231" s="2"/>
      <c r="T1231" s="5">
        <v>0</v>
      </c>
      <c r="U1231" s="4">
        <v>0</v>
      </c>
      <c r="V1231" s="4">
        <v>0</v>
      </c>
      <c r="W1231" s="2">
        <v>0</v>
      </c>
      <c r="X1231" s="4">
        <v>0</v>
      </c>
      <c r="Y1231" s="4">
        <v>0</v>
      </c>
      <c r="Z1231" s="3">
        <v>0</v>
      </c>
      <c r="AA1231" s="3">
        <v>0</v>
      </c>
    </row>
    <row r="1232" spans="1:27" x14ac:dyDescent="0.2">
      <c r="A1232">
        <f t="shared" si="38"/>
        <v>3</v>
      </c>
      <c r="B1232">
        <f t="shared" si="39"/>
        <v>12</v>
      </c>
      <c r="C1232" s="1">
        <v>46096</v>
      </c>
      <c r="D1232" t="s">
        <v>25</v>
      </c>
      <c r="E1232" t="s">
        <v>26</v>
      </c>
      <c r="F1232" t="s">
        <v>61</v>
      </c>
      <c r="G1232" t="s">
        <v>62</v>
      </c>
      <c r="H1232" t="s">
        <v>29</v>
      </c>
      <c r="I1232" t="s">
        <v>30</v>
      </c>
      <c r="J1232" t="s">
        <v>95</v>
      </c>
      <c r="K1232" t="s">
        <v>42</v>
      </c>
      <c r="L1232" t="s">
        <v>790</v>
      </c>
      <c r="M1232" s="4">
        <v>1</v>
      </c>
      <c r="N1232" s="4">
        <v>1</v>
      </c>
      <c r="O1232" s="2">
        <v>1</v>
      </c>
      <c r="P1232" s="3">
        <v>1.1299999999999999</v>
      </c>
      <c r="Q1232" s="3">
        <v>1.1299999999999999</v>
      </c>
      <c r="R1232" s="3">
        <v>0</v>
      </c>
      <c r="S1232" s="2"/>
      <c r="T1232" s="5">
        <v>0</v>
      </c>
      <c r="U1232" s="4">
        <v>0</v>
      </c>
      <c r="V1232" s="4">
        <v>0</v>
      </c>
      <c r="W1232" s="2">
        <v>0</v>
      </c>
      <c r="X1232" s="4">
        <v>0</v>
      </c>
      <c r="Y1232" s="4">
        <v>0</v>
      </c>
      <c r="Z1232" s="3">
        <v>0</v>
      </c>
      <c r="AA1232" s="3">
        <v>0</v>
      </c>
    </row>
    <row r="1233" spans="1:27" x14ac:dyDescent="0.2">
      <c r="A1233">
        <f t="shared" si="38"/>
        <v>3</v>
      </c>
      <c r="B1233">
        <f t="shared" si="39"/>
        <v>12</v>
      </c>
      <c r="C1233" s="1">
        <v>46102</v>
      </c>
      <c r="D1233" t="s">
        <v>25</v>
      </c>
      <c r="E1233" t="s">
        <v>26</v>
      </c>
      <c r="F1233" t="s">
        <v>27</v>
      </c>
      <c r="G1233" t="s">
        <v>28</v>
      </c>
      <c r="H1233" t="s">
        <v>29</v>
      </c>
      <c r="I1233" t="s">
        <v>30</v>
      </c>
      <c r="J1233" t="s">
        <v>31</v>
      </c>
      <c r="K1233" t="s">
        <v>32</v>
      </c>
      <c r="L1233" t="s">
        <v>791</v>
      </c>
      <c r="M1233" s="4">
        <v>1</v>
      </c>
      <c r="N1233" s="4">
        <v>1</v>
      </c>
      <c r="O1233" s="2">
        <v>1</v>
      </c>
      <c r="P1233" s="3">
        <v>0.21</v>
      </c>
      <c r="Q1233" s="3">
        <v>0.21</v>
      </c>
      <c r="R1233" s="3">
        <v>0</v>
      </c>
      <c r="S1233" s="2"/>
      <c r="T1233" s="5">
        <v>0</v>
      </c>
      <c r="U1233" s="4">
        <v>0</v>
      </c>
      <c r="V1233" s="4">
        <v>0</v>
      </c>
      <c r="W1233" s="2">
        <v>0</v>
      </c>
      <c r="X1233" s="4">
        <v>0</v>
      </c>
      <c r="Y1233" s="4">
        <v>0</v>
      </c>
      <c r="Z1233" s="3">
        <v>0</v>
      </c>
      <c r="AA1233" s="3">
        <v>0</v>
      </c>
    </row>
    <row r="1234" spans="1:27" x14ac:dyDescent="0.2">
      <c r="A1234">
        <f t="shared" si="38"/>
        <v>3</v>
      </c>
      <c r="B1234">
        <f t="shared" si="39"/>
        <v>12</v>
      </c>
      <c r="C1234" s="1">
        <v>46097</v>
      </c>
      <c r="D1234" t="s">
        <v>25</v>
      </c>
      <c r="E1234" t="s">
        <v>26</v>
      </c>
      <c r="F1234" t="s">
        <v>27</v>
      </c>
      <c r="G1234" t="s">
        <v>28</v>
      </c>
      <c r="H1234" t="s">
        <v>29</v>
      </c>
      <c r="I1234" t="s">
        <v>30</v>
      </c>
      <c r="J1234" t="s">
        <v>133</v>
      </c>
      <c r="K1234" t="s">
        <v>32</v>
      </c>
      <c r="L1234" t="s">
        <v>792</v>
      </c>
      <c r="M1234" s="4">
        <v>3</v>
      </c>
      <c r="N1234" s="4">
        <v>1</v>
      </c>
      <c r="O1234" s="2">
        <v>0.33333333333333331</v>
      </c>
      <c r="P1234" s="3">
        <v>0.4</v>
      </c>
      <c r="Q1234" s="3">
        <v>0.4</v>
      </c>
      <c r="R1234" s="3">
        <v>0</v>
      </c>
      <c r="S1234" s="2"/>
      <c r="T1234" s="5">
        <v>0</v>
      </c>
      <c r="U1234" s="4">
        <v>0</v>
      </c>
      <c r="V1234" s="4">
        <v>0</v>
      </c>
      <c r="W1234" s="2">
        <v>0</v>
      </c>
      <c r="X1234" s="4">
        <v>0</v>
      </c>
      <c r="Y1234" s="4">
        <v>0</v>
      </c>
      <c r="Z1234" s="3">
        <v>0</v>
      </c>
      <c r="AA1234" s="3">
        <v>0</v>
      </c>
    </row>
    <row r="1235" spans="1:27" x14ac:dyDescent="0.2">
      <c r="A1235">
        <f t="shared" si="38"/>
        <v>3</v>
      </c>
      <c r="B1235">
        <f t="shared" si="39"/>
        <v>11</v>
      </c>
      <c r="C1235" s="1">
        <v>46092</v>
      </c>
      <c r="D1235" t="s">
        <v>25</v>
      </c>
      <c r="E1235" t="s">
        <v>26</v>
      </c>
      <c r="F1235" t="s">
        <v>27</v>
      </c>
      <c r="G1235" t="s">
        <v>28</v>
      </c>
      <c r="H1235" t="s">
        <v>29</v>
      </c>
      <c r="I1235" t="s">
        <v>30</v>
      </c>
      <c r="J1235" t="s">
        <v>50</v>
      </c>
      <c r="K1235" t="s">
        <v>32</v>
      </c>
      <c r="L1235" t="s">
        <v>793</v>
      </c>
      <c r="M1235" s="4">
        <v>1</v>
      </c>
      <c r="N1235" s="4">
        <v>1</v>
      </c>
      <c r="O1235" s="2">
        <v>1</v>
      </c>
      <c r="P1235" s="3">
        <v>0.2</v>
      </c>
      <c r="Q1235" s="3">
        <v>0.2</v>
      </c>
      <c r="R1235" s="3">
        <v>0</v>
      </c>
      <c r="S1235" s="2"/>
      <c r="T1235" s="5">
        <v>0</v>
      </c>
      <c r="U1235" s="4">
        <v>0</v>
      </c>
      <c r="V1235" s="4">
        <v>0</v>
      </c>
      <c r="W1235" s="2">
        <v>0</v>
      </c>
      <c r="X1235" s="4">
        <v>0</v>
      </c>
      <c r="Y1235" s="4">
        <v>0</v>
      </c>
      <c r="Z1235" s="3">
        <v>0</v>
      </c>
      <c r="AA1235" s="3">
        <v>0</v>
      </c>
    </row>
    <row r="1236" spans="1:27" x14ac:dyDescent="0.2">
      <c r="A1236">
        <f t="shared" si="38"/>
        <v>3</v>
      </c>
      <c r="B1236">
        <f t="shared" si="39"/>
        <v>12</v>
      </c>
      <c r="C1236" s="1">
        <v>46098</v>
      </c>
      <c r="D1236" t="s">
        <v>25</v>
      </c>
      <c r="E1236" t="s">
        <v>26</v>
      </c>
      <c r="F1236" t="s">
        <v>112</v>
      </c>
      <c r="G1236" t="s">
        <v>113</v>
      </c>
      <c r="H1236" t="s">
        <v>29</v>
      </c>
      <c r="I1236" t="s">
        <v>30</v>
      </c>
      <c r="J1236" t="s">
        <v>429</v>
      </c>
      <c r="K1236" t="s">
        <v>42</v>
      </c>
      <c r="L1236" t="s">
        <v>794</v>
      </c>
      <c r="M1236" s="4">
        <v>1</v>
      </c>
      <c r="N1236" s="4">
        <v>1</v>
      </c>
      <c r="O1236" s="2">
        <v>1</v>
      </c>
      <c r="P1236" s="3">
        <v>0.51</v>
      </c>
      <c r="Q1236" s="3">
        <v>0.51</v>
      </c>
      <c r="R1236" s="3">
        <v>0</v>
      </c>
      <c r="S1236" s="2"/>
      <c r="T1236" s="5">
        <v>0</v>
      </c>
      <c r="U1236" s="4">
        <v>0</v>
      </c>
      <c r="V1236" s="4">
        <v>0</v>
      </c>
      <c r="W1236" s="2">
        <v>0</v>
      </c>
      <c r="X1236" s="4">
        <v>0</v>
      </c>
      <c r="Y1236" s="4">
        <v>0</v>
      </c>
      <c r="Z1236" s="3">
        <v>0</v>
      </c>
      <c r="AA1236" s="3">
        <v>0</v>
      </c>
    </row>
    <row r="1237" spans="1:27" x14ac:dyDescent="0.2">
      <c r="A1237">
        <f t="shared" si="38"/>
        <v>3</v>
      </c>
      <c r="B1237">
        <f t="shared" si="39"/>
        <v>12</v>
      </c>
      <c r="C1237" s="1">
        <v>46096</v>
      </c>
      <c r="D1237" t="s">
        <v>25</v>
      </c>
      <c r="E1237" t="s">
        <v>26</v>
      </c>
      <c r="F1237" t="s">
        <v>27</v>
      </c>
      <c r="G1237" t="s">
        <v>28</v>
      </c>
      <c r="H1237" t="s">
        <v>29</v>
      </c>
      <c r="I1237" t="s">
        <v>30</v>
      </c>
      <c r="J1237" t="s">
        <v>31</v>
      </c>
      <c r="K1237" t="s">
        <v>32</v>
      </c>
      <c r="L1237" t="s">
        <v>795</v>
      </c>
      <c r="M1237" s="4">
        <v>1</v>
      </c>
      <c r="N1237" s="4">
        <v>1</v>
      </c>
      <c r="O1237" s="2">
        <v>1</v>
      </c>
      <c r="P1237" s="3">
        <v>0.21</v>
      </c>
      <c r="Q1237" s="3">
        <v>0.21</v>
      </c>
      <c r="R1237" s="3">
        <v>0</v>
      </c>
      <c r="S1237" s="2"/>
      <c r="T1237" s="5">
        <v>0</v>
      </c>
      <c r="U1237" s="4">
        <v>0</v>
      </c>
      <c r="V1237" s="4">
        <v>0</v>
      </c>
      <c r="W1237" s="2">
        <v>0</v>
      </c>
      <c r="X1237" s="4">
        <v>0</v>
      </c>
      <c r="Y1237" s="4">
        <v>0</v>
      </c>
      <c r="Z1237" s="3">
        <v>0</v>
      </c>
      <c r="AA1237" s="3">
        <v>0</v>
      </c>
    </row>
    <row r="1238" spans="1:27" x14ac:dyDescent="0.2">
      <c r="A1238">
        <f t="shared" si="38"/>
        <v>3</v>
      </c>
      <c r="B1238">
        <f t="shared" si="39"/>
        <v>12</v>
      </c>
      <c r="C1238" s="1">
        <v>46096</v>
      </c>
      <c r="D1238" t="s">
        <v>25</v>
      </c>
      <c r="E1238" t="s">
        <v>26</v>
      </c>
      <c r="F1238" t="s">
        <v>27</v>
      </c>
      <c r="G1238" t="s">
        <v>28</v>
      </c>
      <c r="H1238" t="s">
        <v>29</v>
      </c>
      <c r="I1238" t="s">
        <v>30</v>
      </c>
      <c r="J1238" t="s">
        <v>257</v>
      </c>
      <c r="K1238" t="s">
        <v>32</v>
      </c>
      <c r="L1238" t="s">
        <v>796</v>
      </c>
      <c r="M1238" s="4">
        <v>3</v>
      </c>
      <c r="N1238" s="4">
        <v>1</v>
      </c>
      <c r="O1238" s="2">
        <v>0.33333333333333331</v>
      </c>
      <c r="P1238" s="3">
        <v>0.08</v>
      </c>
      <c r="Q1238" s="3">
        <v>0.08</v>
      </c>
      <c r="R1238" s="3">
        <v>0</v>
      </c>
      <c r="S1238" s="2"/>
      <c r="T1238" s="5">
        <v>0</v>
      </c>
      <c r="U1238" s="4">
        <v>0</v>
      </c>
      <c r="V1238" s="4">
        <v>0</v>
      </c>
      <c r="W1238" s="2">
        <v>0</v>
      </c>
      <c r="X1238" s="4">
        <v>0</v>
      </c>
      <c r="Y1238" s="4">
        <v>0</v>
      </c>
      <c r="Z1238" s="3">
        <v>0</v>
      </c>
      <c r="AA1238" s="3">
        <v>0</v>
      </c>
    </row>
    <row r="1239" spans="1:27" x14ac:dyDescent="0.2">
      <c r="A1239">
        <f t="shared" si="38"/>
        <v>3</v>
      </c>
      <c r="B1239">
        <f t="shared" si="39"/>
        <v>11</v>
      </c>
      <c r="C1239" s="1">
        <v>46092</v>
      </c>
      <c r="D1239" t="s">
        <v>25</v>
      </c>
      <c r="E1239" t="s">
        <v>26</v>
      </c>
      <c r="F1239" t="s">
        <v>27</v>
      </c>
      <c r="G1239" t="s">
        <v>28</v>
      </c>
      <c r="H1239" t="s">
        <v>29</v>
      </c>
      <c r="I1239" t="s">
        <v>30</v>
      </c>
      <c r="J1239" t="s">
        <v>243</v>
      </c>
      <c r="K1239" t="s">
        <v>32</v>
      </c>
      <c r="L1239" t="s">
        <v>797</v>
      </c>
      <c r="M1239" s="4">
        <v>6</v>
      </c>
      <c r="N1239" s="4">
        <v>1</v>
      </c>
      <c r="O1239" s="2">
        <v>0.16666666666666663</v>
      </c>
      <c r="P1239" s="3">
        <v>0.21</v>
      </c>
      <c r="Q1239" s="3">
        <v>0.21</v>
      </c>
      <c r="R1239" s="3">
        <v>0</v>
      </c>
      <c r="S1239" s="2"/>
      <c r="T1239" s="5">
        <v>0</v>
      </c>
      <c r="U1239" s="4">
        <v>0</v>
      </c>
      <c r="V1239" s="4">
        <v>0</v>
      </c>
      <c r="W1239" s="2">
        <v>0</v>
      </c>
      <c r="X1239" s="4">
        <v>0</v>
      </c>
      <c r="Y1239" s="4">
        <v>0</v>
      </c>
      <c r="Z1239" s="3">
        <v>0</v>
      </c>
      <c r="AA1239" s="3">
        <v>0</v>
      </c>
    </row>
    <row r="1240" spans="1:27" x14ac:dyDescent="0.2">
      <c r="A1240">
        <f t="shared" si="38"/>
        <v>3</v>
      </c>
      <c r="B1240">
        <f t="shared" si="39"/>
        <v>12</v>
      </c>
      <c r="C1240" s="1">
        <v>46102</v>
      </c>
      <c r="D1240" t="s">
        <v>25</v>
      </c>
      <c r="E1240" t="s">
        <v>26</v>
      </c>
      <c r="F1240" t="s">
        <v>27</v>
      </c>
      <c r="G1240" t="s">
        <v>28</v>
      </c>
      <c r="H1240" t="s">
        <v>29</v>
      </c>
      <c r="I1240" t="s">
        <v>30</v>
      </c>
      <c r="J1240" t="s">
        <v>253</v>
      </c>
      <c r="K1240" t="s">
        <v>32</v>
      </c>
      <c r="L1240" t="s">
        <v>798</v>
      </c>
      <c r="M1240" s="4">
        <v>3</v>
      </c>
      <c r="N1240" s="4">
        <v>1</v>
      </c>
      <c r="O1240" s="2">
        <v>0.33333333333333331</v>
      </c>
      <c r="P1240" s="3">
        <v>0.21</v>
      </c>
      <c r="Q1240" s="3">
        <v>0.21</v>
      </c>
      <c r="R1240" s="3">
        <v>0</v>
      </c>
      <c r="S1240" s="2"/>
      <c r="T1240" s="5">
        <v>0</v>
      </c>
      <c r="U1240" s="4">
        <v>0</v>
      </c>
      <c r="V1240" s="4">
        <v>0</v>
      </c>
      <c r="W1240" s="2">
        <v>0</v>
      </c>
      <c r="X1240" s="4">
        <v>0</v>
      </c>
      <c r="Y1240" s="4">
        <v>0</v>
      </c>
      <c r="Z1240" s="3">
        <v>0</v>
      </c>
      <c r="AA1240" s="3">
        <v>0</v>
      </c>
    </row>
    <row r="1241" spans="1:27" x14ac:dyDescent="0.2">
      <c r="A1241">
        <f t="shared" si="38"/>
        <v>3</v>
      </c>
      <c r="B1241">
        <f t="shared" si="39"/>
        <v>11</v>
      </c>
      <c r="C1241" s="1">
        <v>46089</v>
      </c>
      <c r="D1241" t="s">
        <v>25</v>
      </c>
      <c r="E1241" t="s">
        <v>26</v>
      </c>
      <c r="F1241" t="s">
        <v>112</v>
      </c>
      <c r="G1241" t="s">
        <v>62</v>
      </c>
      <c r="H1241" t="s">
        <v>29</v>
      </c>
      <c r="I1241" t="s">
        <v>30</v>
      </c>
      <c r="J1241" t="s">
        <v>173</v>
      </c>
      <c r="K1241" t="s">
        <v>32</v>
      </c>
      <c r="L1241" t="s">
        <v>249</v>
      </c>
      <c r="M1241" s="4">
        <v>2</v>
      </c>
      <c r="N1241" s="4">
        <v>1</v>
      </c>
      <c r="O1241" s="2">
        <v>0.5</v>
      </c>
      <c r="P1241" s="3">
        <v>0.68</v>
      </c>
      <c r="Q1241" s="3">
        <v>0.68</v>
      </c>
      <c r="R1241" s="3">
        <v>0</v>
      </c>
      <c r="S1241" s="2"/>
      <c r="T1241" s="5">
        <v>0</v>
      </c>
      <c r="U1241" s="4">
        <v>0</v>
      </c>
      <c r="V1241" s="4">
        <v>0</v>
      </c>
      <c r="W1241" s="2">
        <v>0</v>
      </c>
      <c r="X1241" s="4">
        <v>0</v>
      </c>
      <c r="Y1241" s="4">
        <v>0</v>
      </c>
      <c r="Z1241" s="3">
        <v>0</v>
      </c>
      <c r="AA1241" s="3">
        <v>0</v>
      </c>
    </row>
    <row r="1242" spans="1:27" x14ac:dyDescent="0.2">
      <c r="A1242">
        <f t="shared" si="38"/>
        <v>3</v>
      </c>
      <c r="B1242">
        <f t="shared" si="39"/>
        <v>10</v>
      </c>
      <c r="C1242" s="1">
        <v>46086</v>
      </c>
      <c r="D1242" t="s">
        <v>25</v>
      </c>
      <c r="E1242" t="s">
        <v>26</v>
      </c>
      <c r="F1242" t="s">
        <v>39</v>
      </c>
      <c r="G1242" t="s">
        <v>40</v>
      </c>
      <c r="H1242" t="s">
        <v>29</v>
      </c>
      <c r="I1242" t="s">
        <v>30</v>
      </c>
      <c r="J1242" t="s">
        <v>41</v>
      </c>
      <c r="K1242" t="s">
        <v>42</v>
      </c>
      <c r="L1242" t="s">
        <v>799</v>
      </c>
      <c r="M1242" s="4">
        <v>2</v>
      </c>
      <c r="N1242" s="4">
        <v>1</v>
      </c>
      <c r="O1242" s="2">
        <v>0.5</v>
      </c>
      <c r="P1242" s="3">
        <v>0.81</v>
      </c>
      <c r="Q1242" s="3">
        <v>0.81</v>
      </c>
      <c r="R1242" s="3">
        <v>0</v>
      </c>
      <c r="S1242" s="2"/>
      <c r="T1242" s="5">
        <v>0</v>
      </c>
      <c r="U1242" s="4">
        <v>0</v>
      </c>
      <c r="V1242" s="4">
        <v>0</v>
      </c>
      <c r="W1242" s="2">
        <v>0</v>
      </c>
      <c r="X1242" s="4">
        <v>0</v>
      </c>
      <c r="Y1242" s="4">
        <v>0</v>
      </c>
      <c r="Z1242" s="3">
        <v>0</v>
      </c>
      <c r="AA1242" s="3">
        <v>0</v>
      </c>
    </row>
    <row r="1243" spans="1:27" x14ac:dyDescent="0.2">
      <c r="A1243">
        <f t="shared" si="38"/>
        <v>3</v>
      </c>
      <c r="B1243">
        <f t="shared" si="39"/>
        <v>10</v>
      </c>
      <c r="C1243" s="1">
        <v>46084</v>
      </c>
      <c r="D1243" t="s">
        <v>25</v>
      </c>
      <c r="E1243" t="s">
        <v>26</v>
      </c>
      <c r="F1243" t="s">
        <v>27</v>
      </c>
      <c r="G1243" t="s">
        <v>28</v>
      </c>
      <c r="H1243" t="s">
        <v>29</v>
      </c>
      <c r="I1243" t="s">
        <v>30</v>
      </c>
      <c r="J1243" t="s">
        <v>44</v>
      </c>
      <c r="K1243" t="s">
        <v>32</v>
      </c>
      <c r="L1243" t="s">
        <v>800</v>
      </c>
      <c r="M1243" s="4">
        <v>2</v>
      </c>
      <c r="N1243" s="4">
        <v>1</v>
      </c>
      <c r="O1243" s="2">
        <v>0.5</v>
      </c>
      <c r="P1243" s="3">
        <v>0.44</v>
      </c>
      <c r="Q1243" s="3">
        <v>0.44</v>
      </c>
      <c r="R1243" s="3">
        <v>17.09</v>
      </c>
      <c r="S1243" s="2">
        <v>2.5746050321825632E-2</v>
      </c>
      <c r="T1243" s="5">
        <v>38.840909090909093</v>
      </c>
      <c r="U1243" s="4">
        <v>1</v>
      </c>
      <c r="V1243" s="4">
        <v>1</v>
      </c>
      <c r="W1243" s="2">
        <v>1</v>
      </c>
      <c r="X1243" s="4">
        <v>0</v>
      </c>
      <c r="Y1243" s="4">
        <v>1</v>
      </c>
      <c r="Z1243" s="3">
        <v>0</v>
      </c>
      <c r="AA1243" s="3">
        <v>17.09</v>
      </c>
    </row>
    <row r="1244" spans="1:27" x14ac:dyDescent="0.2">
      <c r="A1244">
        <f t="shared" si="38"/>
        <v>3</v>
      </c>
      <c r="B1244">
        <f t="shared" si="39"/>
        <v>11</v>
      </c>
      <c r="C1244" s="1">
        <v>46089</v>
      </c>
      <c r="D1244" t="s">
        <v>25</v>
      </c>
      <c r="E1244" t="s">
        <v>26</v>
      </c>
      <c r="F1244" t="s">
        <v>49</v>
      </c>
      <c r="G1244" t="s">
        <v>50</v>
      </c>
      <c r="H1244" t="s">
        <v>29</v>
      </c>
      <c r="I1244" t="s">
        <v>30</v>
      </c>
      <c r="J1244" t="s">
        <v>95</v>
      </c>
      <c r="K1244" t="s">
        <v>42</v>
      </c>
      <c r="L1244" t="s">
        <v>801</v>
      </c>
      <c r="M1244" s="4">
        <v>1</v>
      </c>
      <c r="N1244" s="4">
        <v>1</v>
      </c>
      <c r="O1244" s="2">
        <v>1</v>
      </c>
      <c r="P1244" s="3">
        <v>0.64</v>
      </c>
      <c r="Q1244" s="3">
        <v>0.64</v>
      </c>
      <c r="R1244" s="3">
        <v>0</v>
      </c>
      <c r="S1244" s="2"/>
      <c r="T1244" s="5">
        <v>0</v>
      </c>
      <c r="U1244" s="4">
        <v>0</v>
      </c>
      <c r="V1244" s="4">
        <v>0</v>
      </c>
      <c r="W1244" s="2">
        <v>0</v>
      </c>
      <c r="X1244" s="4">
        <v>0</v>
      </c>
      <c r="Y1244" s="4">
        <v>0</v>
      </c>
      <c r="Z1244" s="3">
        <v>0</v>
      </c>
      <c r="AA1244" s="3">
        <v>0</v>
      </c>
    </row>
    <row r="1245" spans="1:27" x14ac:dyDescent="0.2">
      <c r="A1245">
        <f t="shared" si="38"/>
        <v>3</v>
      </c>
      <c r="B1245">
        <f t="shared" si="39"/>
        <v>10</v>
      </c>
      <c r="C1245" s="1">
        <v>46084</v>
      </c>
      <c r="D1245" t="s">
        <v>25</v>
      </c>
      <c r="E1245" t="s">
        <v>26</v>
      </c>
      <c r="F1245" t="s">
        <v>34</v>
      </c>
      <c r="G1245" t="s">
        <v>28</v>
      </c>
      <c r="H1245" t="s">
        <v>29</v>
      </c>
      <c r="I1245" t="s">
        <v>30</v>
      </c>
      <c r="J1245" t="s">
        <v>50</v>
      </c>
      <c r="K1245" t="s">
        <v>32</v>
      </c>
      <c r="L1245" t="s">
        <v>802</v>
      </c>
      <c r="M1245" s="4">
        <v>1</v>
      </c>
      <c r="N1245" s="4">
        <v>1</v>
      </c>
      <c r="O1245" s="2">
        <v>1</v>
      </c>
      <c r="P1245" s="3">
        <v>0.77</v>
      </c>
      <c r="Q1245" s="3">
        <v>0.77</v>
      </c>
      <c r="R1245" s="3">
        <v>0</v>
      </c>
      <c r="S1245" s="2"/>
      <c r="T1245" s="5">
        <v>0</v>
      </c>
      <c r="U1245" s="4">
        <v>0</v>
      </c>
      <c r="V1245" s="4">
        <v>0</v>
      </c>
      <c r="W1245" s="2">
        <v>0</v>
      </c>
      <c r="X1245" s="4">
        <v>0</v>
      </c>
      <c r="Y1245" s="4">
        <v>0</v>
      </c>
      <c r="Z1245" s="3">
        <v>0</v>
      </c>
      <c r="AA1245" s="3">
        <v>0</v>
      </c>
    </row>
    <row r="1246" spans="1:27" x14ac:dyDescent="0.2">
      <c r="A1246">
        <f t="shared" si="38"/>
        <v>3</v>
      </c>
      <c r="B1246">
        <f t="shared" si="39"/>
        <v>12</v>
      </c>
      <c r="C1246" s="1">
        <v>46099</v>
      </c>
      <c r="D1246" t="s">
        <v>25</v>
      </c>
      <c r="E1246" t="s">
        <v>26</v>
      </c>
      <c r="F1246" t="s">
        <v>27</v>
      </c>
      <c r="G1246" t="s">
        <v>28</v>
      </c>
      <c r="H1246" t="s">
        <v>29</v>
      </c>
      <c r="I1246" t="s">
        <v>30</v>
      </c>
      <c r="J1246" t="s">
        <v>243</v>
      </c>
      <c r="K1246" t="s">
        <v>32</v>
      </c>
      <c r="L1246" t="s">
        <v>803</v>
      </c>
      <c r="M1246" s="4">
        <v>3</v>
      </c>
      <c r="N1246" s="4">
        <v>1</v>
      </c>
      <c r="O1246" s="2">
        <v>0.33333333333333331</v>
      </c>
      <c r="P1246" s="3">
        <v>0.21</v>
      </c>
      <c r="Q1246" s="3">
        <v>0.21</v>
      </c>
      <c r="R1246" s="3">
        <v>0</v>
      </c>
      <c r="S1246" s="2"/>
      <c r="T1246" s="5">
        <v>0</v>
      </c>
      <c r="U1246" s="4">
        <v>0</v>
      </c>
      <c r="V1246" s="4">
        <v>0</v>
      </c>
      <c r="W1246" s="2">
        <v>0</v>
      </c>
      <c r="X1246" s="4">
        <v>0</v>
      </c>
      <c r="Y1246" s="4">
        <v>0</v>
      </c>
      <c r="Z1246" s="3">
        <v>0</v>
      </c>
      <c r="AA1246" s="3">
        <v>0</v>
      </c>
    </row>
    <row r="1247" spans="1:27" x14ac:dyDescent="0.2">
      <c r="A1247">
        <f t="shared" si="38"/>
        <v>3</v>
      </c>
      <c r="B1247">
        <f t="shared" si="39"/>
        <v>11</v>
      </c>
      <c r="C1247" s="1">
        <v>46090</v>
      </c>
      <c r="D1247" t="s">
        <v>25</v>
      </c>
      <c r="E1247" t="s">
        <v>26</v>
      </c>
      <c r="F1247" t="s">
        <v>27</v>
      </c>
      <c r="G1247" t="s">
        <v>124</v>
      </c>
      <c r="H1247" t="s">
        <v>29</v>
      </c>
      <c r="I1247" t="s">
        <v>30</v>
      </c>
      <c r="J1247" t="s">
        <v>253</v>
      </c>
      <c r="K1247" t="s">
        <v>87</v>
      </c>
      <c r="L1247" t="s">
        <v>804</v>
      </c>
      <c r="M1247" s="4">
        <v>1</v>
      </c>
      <c r="N1247" s="4">
        <v>1</v>
      </c>
      <c r="O1247" s="2">
        <v>1</v>
      </c>
      <c r="P1247" s="3">
        <v>0.21</v>
      </c>
      <c r="Q1247" s="3">
        <v>0.21</v>
      </c>
      <c r="R1247" s="3">
        <v>0</v>
      </c>
      <c r="S1247" s="2"/>
      <c r="T1247" s="5">
        <v>0</v>
      </c>
      <c r="U1247" s="4">
        <v>0</v>
      </c>
      <c r="V1247" s="4">
        <v>0</v>
      </c>
      <c r="W1247" s="2">
        <v>0</v>
      </c>
      <c r="X1247" s="4">
        <v>0</v>
      </c>
      <c r="Y1247" s="4">
        <v>0</v>
      </c>
      <c r="Z1247" s="3">
        <v>0</v>
      </c>
      <c r="AA1247" s="3">
        <v>0</v>
      </c>
    </row>
    <row r="1248" spans="1:27" x14ac:dyDescent="0.2">
      <c r="A1248">
        <f t="shared" si="38"/>
        <v>3</v>
      </c>
      <c r="B1248">
        <f t="shared" si="39"/>
        <v>12</v>
      </c>
      <c r="C1248" s="1">
        <v>46097</v>
      </c>
      <c r="D1248" t="s">
        <v>25</v>
      </c>
      <c r="E1248" t="s">
        <v>26</v>
      </c>
      <c r="F1248" t="s">
        <v>39</v>
      </c>
      <c r="G1248" t="s">
        <v>40</v>
      </c>
      <c r="H1248" t="s">
        <v>29</v>
      </c>
      <c r="I1248" t="s">
        <v>30</v>
      </c>
      <c r="J1248" t="s">
        <v>70</v>
      </c>
      <c r="K1248" t="s">
        <v>42</v>
      </c>
      <c r="L1248" t="s">
        <v>805</v>
      </c>
      <c r="M1248" s="4">
        <v>2</v>
      </c>
      <c r="N1248" s="4">
        <v>2</v>
      </c>
      <c r="O1248" s="2">
        <v>1</v>
      </c>
      <c r="P1248" s="3">
        <v>0.59499999999999997</v>
      </c>
      <c r="Q1248" s="3">
        <v>1.19</v>
      </c>
      <c r="R1248" s="3">
        <v>0</v>
      </c>
      <c r="S1248" s="2"/>
      <c r="T1248" s="5">
        <v>0</v>
      </c>
      <c r="U1248" s="4">
        <v>0</v>
      </c>
      <c r="V1248" s="4">
        <v>0</v>
      </c>
      <c r="W1248" s="2">
        <v>0</v>
      </c>
      <c r="X1248" s="4">
        <v>0</v>
      </c>
      <c r="Y1248" s="4">
        <v>0</v>
      </c>
      <c r="Z1248" s="3">
        <v>0</v>
      </c>
      <c r="AA1248" s="3">
        <v>0</v>
      </c>
    </row>
    <row r="1249" spans="1:27" x14ac:dyDescent="0.2">
      <c r="A1249">
        <f t="shared" si="38"/>
        <v>3</v>
      </c>
      <c r="B1249">
        <f t="shared" si="39"/>
        <v>12</v>
      </c>
      <c r="C1249" s="1">
        <v>46098</v>
      </c>
      <c r="D1249" t="s">
        <v>25</v>
      </c>
      <c r="E1249" t="s">
        <v>26</v>
      </c>
      <c r="F1249" t="s">
        <v>49</v>
      </c>
      <c r="G1249" t="s">
        <v>50</v>
      </c>
      <c r="H1249" t="s">
        <v>29</v>
      </c>
      <c r="I1249" t="s">
        <v>30</v>
      </c>
      <c r="J1249" t="s">
        <v>95</v>
      </c>
      <c r="K1249" t="s">
        <v>42</v>
      </c>
      <c r="L1249" t="s">
        <v>806</v>
      </c>
      <c r="M1249" s="4">
        <v>1</v>
      </c>
      <c r="N1249" s="4">
        <v>1</v>
      </c>
      <c r="O1249" s="2">
        <v>1</v>
      </c>
      <c r="P1249" s="3">
        <v>0.48</v>
      </c>
      <c r="Q1249" s="3">
        <v>0.48</v>
      </c>
      <c r="R1249" s="3">
        <v>0</v>
      </c>
      <c r="S1249" s="2"/>
      <c r="T1249" s="5">
        <v>0</v>
      </c>
      <c r="U1249" s="4">
        <v>0</v>
      </c>
      <c r="V1249" s="4">
        <v>0</v>
      </c>
      <c r="W1249" s="2">
        <v>0</v>
      </c>
      <c r="X1249" s="4">
        <v>0</v>
      </c>
      <c r="Y1249" s="4">
        <v>0</v>
      </c>
      <c r="Z1249" s="3">
        <v>0</v>
      </c>
      <c r="AA1249" s="3">
        <v>0</v>
      </c>
    </row>
    <row r="1250" spans="1:27" x14ac:dyDescent="0.2">
      <c r="A1250">
        <f t="shared" si="38"/>
        <v>3</v>
      </c>
      <c r="B1250">
        <f t="shared" si="39"/>
        <v>12</v>
      </c>
      <c r="C1250" s="1">
        <v>46102</v>
      </c>
      <c r="D1250" t="s">
        <v>25</v>
      </c>
      <c r="E1250" t="s">
        <v>26</v>
      </c>
      <c r="F1250" t="s">
        <v>49</v>
      </c>
      <c r="G1250" t="s">
        <v>50</v>
      </c>
      <c r="H1250" t="s">
        <v>29</v>
      </c>
      <c r="I1250" t="s">
        <v>30</v>
      </c>
      <c r="J1250" t="s">
        <v>95</v>
      </c>
      <c r="K1250" t="s">
        <v>42</v>
      </c>
      <c r="L1250" t="s">
        <v>807</v>
      </c>
      <c r="M1250" s="4">
        <v>3</v>
      </c>
      <c r="N1250" s="4">
        <v>1</v>
      </c>
      <c r="O1250" s="2">
        <v>0.33333333333333331</v>
      </c>
      <c r="P1250" s="3">
        <v>0.49</v>
      </c>
      <c r="Q1250" s="3">
        <v>0.49</v>
      </c>
      <c r="R1250" s="3">
        <v>0</v>
      </c>
      <c r="S1250" s="2"/>
      <c r="T1250" s="5">
        <v>0</v>
      </c>
      <c r="U1250" s="4">
        <v>0</v>
      </c>
      <c r="V1250" s="4">
        <v>0</v>
      </c>
      <c r="W1250" s="2">
        <v>0</v>
      </c>
      <c r="X1250" s="4">
        <v>0</v>
      </c>
      <c r="Y1250" s="4">
        <v>0</v>
      </c>
      <c r="Z1250" s="3">
        <v>0</v>
      </c>
      <c r="AA1250" s="3">
        <v>0</v>
      </c>
    </row>
    <row r="1251" spans="1:27" x14ac:dyDescent="0.2">
      <c r="A1251">
        <f t="shared" si="38"/>
        <v>3</v>
      </c>
      <c r="B1251">
        <f t="shared" si="39"/>
        <v>10</v>
      </c>
      <c r="C1251" s="1">
        <v>46082</v>
      </c>
      <c r="D1251" t="s">
        <v>25</v>
      </c>
      <c r="E1251" t="s">
        <v>26</v>
      </c>
      <c r="F1251" t="s">
        <v>27</v>
      </c>
      <c r="G1251" t="s">
        <v>28</v>
      </c>
      <c r="H1251" t="s">
        <v>29</v>
      </c>
      <c r="I1251" t="s">
        <v>30</v>
      </c>
      <c r="J1251" t="s">
        <v>50</v>
      </c>
      <c r="K1251" t="s">
        <v>32</v>
      </c>
      <c r="L1251" t="s">
        <v>808</v>
      </c>
      <c r="M1251" s="4">
        <v>2</v>
      </c>
      <c r="N1251" s="4">
        <v>1</v>
      </c>
      <c r="O1251" s="2">
        <v>0.5</v>
      </c>
      <c r="P1251" s="3">
        <v>0.21</v>
      </c>
      <c r="Q1251" s="3">
        <v>0.21</v>
      </c>
      <c r="R1251" s="3">
        <v>0</v>
      </c>
      <c r="S1251" s="2"/>
      <c r="T1251" s="5">
        <v>0</v>
      </c>
      <c r="U1251" s="4">
        <v>0</v>
      </c>
      <c r="V1251" s="4">
        <v>0</v>
      </c>
      <c r="W1251" s="2">
        <v>0</v>
      </c>
      <c r="X1251" s="4">
        <v>0</v>
      </c>
      <c r="Y1251" s="4">
        <v>0</v>
      </c>
      <c r="Z1251" s="3">
        <v>0</v>
      </c>
      <c r="AA1251" s="3">
        <v>0</v>
      </c>
    </row>
    <row r="1252" spans="1:27" x14ac:dyDescent="0.2">
      <c r="A1252">
        <f t="shared" si="38"/>
        <v>3</v>
      </c>
      <c r="B1252">
        <f t="shared" si="39"/>
        <v>12</v>
      </c>
      <c r="C1252" s="1">
        <v>46100</v>
      </c>
      <c r="D1252" t="s">
        <v>25</v>
      </c>
      <c r="E1252" t="s">
        <v>26</v>
      </c>
      <c r="F1252" t="s">
        <v>27</v>
      </c>
      <c r="G1252" t="s">
        <v>28</v>
      </c>
      <c r="H1252" t="s">
        <v>29</v>
      </c>
      <c r="I1252" t="s">
        <v>30</v>
      </c>
      <c r="J1252" t="s">
        <v>44</v>
      </c>
      <c r="K1252" t="s">
        <v>32</v>
      </c>
      <c r="L1252" t="s">
        <v>809</v>
      </c>
      <c r="M1252" s="4">
        <v>2</v>
      </c>
      <c r="N1252" s="4">
        <v>1</v>
      </c>
      <c r="O1252" s="2">
        <v>0.5</v>
      </c>
      <c r="P1252" s="3">
        <v>0.21</v>
      </c>
      <c r="Q1252" s="3">
        <v>0.21</v>
      </c>
      <c r="R1252" s="3">
        <v>0</v>
      </c>
      <c r="S1252" s="2"/>
      <c r="T1252" s="5">
        <v>0</v>
      </c>
      <c r="U1252" s="4">
        <v>0</v>
      </c>
      <c r="V1252" s="4">
        <v>0</v>
      </c>
      <c r="W1252" s="2">
        <v>0</v>
      </c>
      <c r="X1252" s="4">
        <v>0</v>
      </c>
      <c r="Y1252" s="4">
        <v>0</v>
      </c>
      <c r="Z1252" s="3">
        <v>0</v>
      </c>
      <c r="AA1252" s="3">
        <v>0</v>
      </c>
    </row>
    <row r="1253" spans="1:27" x14ac:dyDescent="0.2">
      <c r="A1253">
        <f t="shared" si="38"/>
        <v>3</v>
      </c>
      <c r="B1253">
        <f t="shared" si="39"/>
        <v>12</v>
      </c>
      <c r="C1253" s="1">
        <v>46099</v>
      </c>
      <c r="D1253" t="s">
        <v>25</v>
      </c>
      <c r="E1253" t="s">
        <v>26</v>
      </c>
      <c r="F1253" t="s">
        <v>39</v>
      </c>
      <c r="G1253" t="s">
        <v>40</v>
      </c>
      <c r="H1253" t="s">
        <v>29</v>
      </c>
      <c r="I1253" t="s">
        <v>30</v>
      </c>
      <c r="J1253" t="s">
        <v>810</v>
      </c>
      <c r="K1253" t="s">
        <v>42</v>
      </c>
      <c r="L1253" t="s">
        <v>811</v>
      </c>
      <c r="M1253" s="4">
        <v>2</v>
      </c>
      <c r="N1253" s="4">
        <v>1</v>
      </c>
      <c r="O1253" s="2">
        <v>0.5</v>
      </c>
      <c r="P1253" s="3">
        <v>0.65</v>
      </c>
      <c r="Q1253" s="3">
        <v>0.65</v>
      </c>
      <c r="R1253" s="3">
        <v>0</v>
      </c>
      <c r="S1253" s="2"/>
      <c r="T1253" s="5">
        <v>0</v>
      </c>
      <c r="U1253" s="4">
        <v>0</v>
      </c>
      <c r="V1253" s="4">
        <v>0</v>
      </c>
      <c r="W1253" s="2">
        <v>0</v>
      </c>
      <c r="X1253" s="4">
        <v>0</v>
      </c>
      <c r="Y1253" s="4">
        <v>0</v>
      </c>
      <c r="Z1253" s="3">
        <v>0</v>
      </c>
      <c r="AA1253" s="3">
        <v>0</v>
      </c>
    </row>
    <row r="1254" spans="1:27" x14ac:dyDescent="0.2">
      <c r="A1254">
        <f t="shared" si="38"/>
        <v>3</v>
      </c>
      <c r="B1254">
        <f t="shared" si="39"/>
        <v>11</v>
      </c>
      <c r="C1254" s="1">
        <v>46089</v>
      </c>
      <c r="D1254" t="s">
        <v>25</v>
      </c>
      <c r="E1254" t="s">
        <v>26</v>
      </c>
      <c r="F1254" t="s">
        <v>49</v>
      </c>
      <c r="G1254" t="s">
        <v>50</v>
      </c>
      <c r="H1254" t="s">
        <v>29</v>
      </c>
      <c r="I1254" t="s">
        <v>30</v>
      </c>
      <c r="J1254" t="s">
        <v>95</v>
      </c>
      <c r="K1254" t="s">
        <v>42</v>
      </c>
      <c r="L1254" t="s">
        <v>812</v>
      </c>
      <c r="M1254" s="4">
        <v>1</v>
      </c>
      <c r="N1254" s="4">
        <v>1</v>
      </c>
      <c r="O1254" s="2">
        <v>1</v>
      </c>
      <c r="P1254" s="3">
        <v>0.61</v>
      </c>
      <c r="Q1254" s="3">
        <v>0.61</v>
      </c>
      <c r="R1254" s="3">
        <v>0</v>
      </c>
      <c r="S1254" s="2"/>
      <c r="T1254" s="5">
        <v>0</v>
      </c>
      <c r="U1254" s="4">
        <v>0</v>
      </c>
      <c r="V1254" s="4">
        <v>0</v>
      </c>
      <c r="W1254" s="2">
        <v>0</v>
      </c>
      <c r="X1254" s="4">
        <v>0</v>
      </c>
      <c r="Y1254" s="4">
        <v>0</v>
      </c>
      <c r="Z1254" s="3">
        <v>0</v>
      </c>
      <c r="AA1254" s="3">
        <v>0</v>
      </c>
    </row>
    <row r="1255" spans="1:27" x14ac:dyDescent="0.2">
      <c r="A1255">
        <f t="shared" si="38"/>
        <v>3</v>
      </c>
      <c r="B1255">
        <f t="shared" si="39"/>
        <v>10</v>
      </c>
      <c r="C1255" s="1">
        <v>46083</v>
      </c>
      <c r="D1255" t="s">
        <v>25</v>
      </c>
      <c r="E1255" t="s">
        <v>26</v>
      </c>
      <c r="F1255" t="s">
        <v>49</v>
      </c>
      <c r="G1255" t="s">
        <v>50</v>
      </c>
      <c r="H1255" t="s">
        <v>29</v>
      </c>
      <c r="I1255" t="s">
        <v>30</v>
      </c>
      <c r="J1255" t="s">
        <v>47</v>
      </c>
      <c r="K1255" t="s">
        <v>42</v>
      </c>
      <c r="L1255" t="s">
        <v>44</v>
      </c>
      <c r="M1255" s="4">
        <v>12</v>
      </c>
      <c r="N1255" s="4">
        <v>1</v>
      </c>
      <c r="O1255" s="2">
        <v>8.3333333333333315E-2</v>
      </c>
      <c r="P1255" s="3">
        <v>0.82</v>
      </c>
      <c r="Q1255" s="3">
        <v>0.82</v>
      </c>
      <c r="R1255" s="3">
        <v>0</v>
      </c>
      <c r="S1255" s="2"/>
      <c r="T1255" s="5">
        <v>0</v>
      </c>
      <c r="U1255" s="4">
        <v>0</v>
      </c>
      <c r="V1255" s="4">
        <v>0</v>
      </c>
      <c r="W1255" s="2">
        <v>0</v>
      </c>
      <c r="X1255" s="4">
        <v>0</v>
      </c>
      <c r="Y1255" s="4">
        <v>0</v>
      </c>
      <c r="Z1255" s="3">
        <v>0</v>
      </c>
      <c r="AA1255" s="3">
        <v>0</v>
      </c>
    </row>
    <row r="1256" spans="1:27" x14ac:dyDescent="0.2">
      <c r="A1256">
        <f t="shared" si="38"/>
        <v>3</v>
      </c>
      <c r="B1256">
        <f t="shared" si="39"/>
        <v>11</v>
      </c>
      <c r="C1256" s="1">
        <v>46092</v>
      </c>
      <c r="D1256" t="s">
        <v>25</v>
      </c>
      <c r="E1256" t="s">
        <v>26</v>
      </c>
      <c r="F1256" t="s">
        <v>49</v>
      </c>
      <c r="G1256" t="s">
        <v>50</v>
      </c>
      <c r="H1256" t="s">
        <v>29</v>
      </c>
      <c r="I1256" t="s">
        <v>30</v>
      </c>
      <c r="J1256" t="s">
        <v>47</v>
      </c>
      <c r="K1256" t="s">
        <v>42</v>
      </c>
      <c r="L1256" t="s">
        <v>44</v>
      </c>
      <c r="M1256" s="4">
        <v>27</v>
      </c>
      <c r="N1256" s="4">
        <v>1</v>
      </c>
      <c r="O1256" s="2">
        <v>3.7037037037037035E-2</v>
      </c>
      <c r="P1256" s="3">
        <v>0.83</v>
      </c>
      <c r="Q1256" s="3">
        <v>0.83</v>
      </c>
      <c r="R1256" s="3">
        <v>0</v>
      </c>
      <c r="S1256" s="2"/>
      <c r="T1256" s="5">
        <v>0</v>
      </c>
      <c r="U1256" s="4">
        <v>0</v>
      </c>
      <c r="V1256" s="4">
        <v>0</v>
      </c>
      <c r="W1256" s="2">
        <v>0</v>
      </c>
      <c r="X1256" s="4">
        <v>0</v>
      </c>
      <c r="Y1256" s="4">
        <v>0</v>
      </c>
      <c r="Z1256" s="3">
        <v>0</v>
      </c>
      <c r="AA1256" s="3">
        <v>0</v>
      </c>
    </row>
    <row r="1257" spans="1:27" x14ac:dyDescent="0.2">
      <c r="A1257">
        <f t="shared" si="38"/>
        <v>3</v>
      </c>
      <c r="B1257">
        <f t="shared" si="39"/>
        <v>12</v>
      </c>
      <c r="C1257" s="1">
        <v>46096</v>
      </c>
      <c r="D1257" t="s">
        <v>25</v>
      </c>
      <c r="E1257" t="s">
        <v>26</v>
      </c>
      <c r="F1257" t="s">
        <v>49</v>
      </c>
      <c r="G1257" t="s">
        <v>50</v>
      </c>
      <c r="H1257" t="s">
        <v>29</v>
      </c>
      <c r="I1257" t="s">
        <v>30</v>
      </c>
      <c r="J1257" t="s">
        <v>47</v>
      </c>
      <c r="K1257" t="s">
        <v>42</v>
      </c>
      <c r="L1257" t="s">
        <v>44</v>
      </c>
      <c r="M1257" s="4">
        <v>10</v>
      </c>
      <c r="N1257" s="4">
        <v>1</v>
      </c>
      <c r="O1257" s="2">
        <v>0.1</v>
      </c>
      <c r="P1257" s="3">
        <v>0.53</v>
      </c>
      <c r="Q1257" s="3">
        <v>0.53</v>
      </c>
      <c r="R1257" s="3">
        <v>0</v>
      </c>
      <c r="S1257" s="2"/>
      <c r="T1257" s="5">
        <v>0</v>
      </c>
      <c r="U1257" s="4">
        <v>0</v>
      </c>
      <c r="V1257" s="4">
        <v>0</v>
      </c>
      <c r="W1257" s="2">
        <v>0</v>
      </c>
      <c r="X1257" s="4">
        <v>0</v>
      </c>
      <c r="Y1257" s="4">
        <v>0</v>
      </c>
      <c r="Z1257" s="3">
        <v>0</v>
      </c>
      <c r="AA1257" s="3">
        <v>0</v>
      </c>
    </row>
    <row r="1258" spans="1:27" x14ac:dyDescent="0.2">
      <c r="A1258">
        <f t="shared" si="38"/>
        <v>3</v>
      </c>
      <c r="B1258">
        <f t="shared" si="39"/>
        <v>10</v>
      </c>
      <c r="C1258" s="1">
        <v>46083</v>
      </c>
      <c r="D1258" t="s">
        <v>25</v>
      </c>
      <c r="E1258" t="s">
        <v>26</v>
      </c>
      <c r="F1258" t="s">
        <v>34</v>
      </c>
      <c r="G1258" t="s">
        <v>28</v>
      </c>
      <c r="H1258" t="s">
        <v>29</v>
      </c>
      <c r="I1258" t="s">
        <v>30</v>
      </c>
      <c r="J1258" t="s">
        <v>50</v>
      </c>
      <c r="K1258" t="s">
        <v>32</v>
      </c>
      <c r="L1258" t="s">
        <v>44</v>
      </c>
      <c r="M1258" s="4">
        <v>5</v>
      </c>
      <c r="N1258" s="4">
        <v>1</v>
      </c>
      <c r="O1258" s="2">
        <v>0.2</v>
      </c>
      <c r="P1258" s="3">
        <v>1</v>
      </c>
      <c r="Q1258" s="3">
        <v>1</v>
      </c>
      <c r="R1258" s="3">
        <v>0</v>
      </c>
      <c r="S1258" s="2"/>
      <c r="T1258" s="5">
        <v>0</v>
      </c>
      <c r="U1258" s="4">
        <v>0</v>
      </c>
      <c r="V1258" s="4">
        <v>0</v>
      </c>
      <c r="W1258" s="2">
        <v>0</v>
      </c>
      <c r="X1258" s="4">
        <v>0</v>
      </c>
      <c r="Y1258" s="4">
        <v>0</v>
      </c>
      <c r="Z1258" s="3">
        <v>0</v>
      </c>
      <c r="AA1258" s="3">
        <v>0</v>
      </c>
    </row>
    <row r="1259" spans="1:27" x14ac:dyDescent="0.2">
      <c r="A1259">
        <f t="shared" si="38"/>
        <v>3</v>
      </c>
      <c r="B1259">
        <f t="shared" si="39"/>
        <v>11</v>
      </c>
      <c r="C1259" s="1">
        <v>46089</v>
      </c>
      <c r="D1259" t="s">
        <v>25</v>
      </c>
      <c r="E1259" t="s">
        <v>26</v>
      </c>
      <c r="F1259" t="s">
        <v>27</v>
      </c>
      <c r="G1259" t="s">
        <v>124</v>
      </c>
      <c r="H1259" t="s">
        <v>29</v>
      </c>
      <c r="I1259" t="s">
        <v>30</v>
      </c>
      <c r="J1259" t="s">
        <v>44</v>
      </c>
      <c r="K1259" t="s">
        <v>87</v>
      </c>
      <c r="L1259" t="s">
        <v>44</v>
      </c>
      <c r="M1259" s="4">
        <v>54</v>
      </c>
      <c r="N1259" s="4">
        <v>2</v>
      </c>
      <c r="O1259" s="2">
        <v>3.7037037037037035E-2</v>
      </c>
      <c r="P1259" s="3">
        <v>0.2</v>
      </c>
      <c r="Q1259" s="3">
        <v>0.4</v>
      </c>
      <c r="R1259" s="3">
        <v>0</v>
      </c>
      <c r="S1259" s="2"/>
      <c r="T1259" s="5">
        <v>0</v>
      </c>
      <c r="U1259" s="4">
        <v>0</v>
      </c>
      <c r="V1259" s="4">
        <v>0</v>
      </c>
      <c r="W1259" s="2">
        <v>0</v>
      </c>
      <c r="X1259" s="4">
        <v>0</v>
      </c>
      <c r="Y1259" s="4">
        <v>0</v>
      </c>
      <c r="Z1259" s="3">
        <v>0</v>
      </c>
      <c r="AA1259" s="3">
        <v>0</v>
      </c>
    </row>
    <row r="1260" spans="1:27" x14ac:dyDescent="0.2">
      <c r="A1260">
        <f t="shared" si="38"/>
        <v>3</v>
      </c>
      <c r="B1260">
        <f t="shared" si="39"/>
        <v>12</v>
      </c>
      <c r="C1260" s="1">
        <v>46102</v>
      </c>
      <c r="D1260" t="s">
        <v>25</v>
      </c>
      <c r="E1260" t="s">
        <v>26</v>
      </c>
      <c r="F1260" t="s">
        <v>27</v>
      </c>
      <c r="G1260" t="s">
        <v>124</v>
      </c>
      <c r="H1260" t="s">
        <v>29</v>
      </c>
      <c r="I1260" t="s">
        <v>30</v>
      </c>
      <c r="J1260" t="s">
        <v>44</v>
      </c>
      <c r="K1260" t="s">
        <v>87</v>
      </c>
      <c r="L1260" t="s">
        <v>44</v>
      </c>
      <c r="M1260" s="4">
        <v>12</v>
      </c>
      <c r="N1260" s="4">
        <v>1</v>
      </c>
      <c r="O1260" s="2">
        <v>8.3333333333333315E-2</v>
      </c>
      <c r="P1260" s="3">
        <v>0.21</v>
      </c>
      <c r="Q1260" s="3">
        <v>0.21</v>
      </c>
      <c r="R1260" s="3">
        <v>0</v>
      </c>
      <c r="S1260" s="2"/>
      <c r="T1260" s="5">
        <v>0</v>
      </c>
      <c r="U1260" s="4">
        <v>0</v>
      </c>
      <c r="V1260" s="4">
        <v>0</v>
      </c>
      <c r="W1260" s="2">
        <v>0</v>
      </c>
      <c r="X1260" s="4">
        <v>0</v>
      </c>
      <c r="Y1260" s="4">
        <v>0</v>
      </c>
      <c r="Z1260" s="3">
        <v>0</v>
      </c>
      <c r="AA1260" s="3">
        <v>0</v>
      </c>
    </row>
    <row r="1261" spans="1:27" x14ac:dyDescent="0.2">
      <c r="A1261">
        <f t="shared" si="38"/>
        <v>3</v>
      </c>
      <c r="B1261">
        <f t="shared" si="39"/>
        <v>11</v>
      </c>
      <c r="C1261" s="1">
        <v>46092</v>
      </c>
      <c r="D1261" t="s">
        <v>25</v>
      </c>
      <c r="E1261" t="s">
        <v>26</v>
      </c>
      <c r="F1261" t="s">
        <v>27</v>
      </c>
      <c r="G1261" t="s">
        <v>124</v>
      </c>
      <c r="H1261" t="s">
        <v>29</v>
      </c>
      <c r="I1261" t="s">
        <v>30</v>
      </c>
      <c r="J1261" t="s">
        <v>44</v>
      </c>
      <c r="K1261" t="s">
        <v>267</v>
      </c>
      <c r="L1261" t="s">
        <v>44</v>
      </c>
      <c r="M1261" s="4">
        <v>47</v>
      </c>
      <c r="N1261" s="4">
        <v>1</v>
      </c>
      <c r="O1261" s="2">
        <v>2.1276595744680851E-2</v>
      </c>
      <c r="P1261" s="3">
        <v>0.2</v>
      </c>
      <c r="Q1261" s="3">
        <v>0.2</v>
      </c>
      <c r="R1261" s="3">
        <v>18.989999999999998</v>
      </c>
      <c r="S1261" s="2">
        <v>1.0531858873091103E-2</v>
      </c>
      <c r="T1261" s="5">
        <v>94.949999999999989</v>
      </c>
      <c r="U1261" s="4">
        <v>1</v>
      </c>
      <c r="V1261" s="4">
        <v>1</v>
      </c>
      <c r="W1261" s="2">
        <v>1</v>
      </c>
      <c r="X1261" s="4">
        <v>1</v>
      </c>
      <c r="Y1261" s="4">
        <v>0</v>
      </c>
      <c r="Z1261" s="3">
        <v>18.989999999999998</v>
      </c>
      <c r="AA1261" s="3">
        <v>0</v>
      </c>
    </row>
    <row r="1262" spans="1:27" x14ac:dyDescent="0.2">
      <c r="A1262">
        <f t="shared" si="38"/>
        <v>3</v>
      </c>
      <c r="B1262">
        <f t="shared" si="39"/>
        <v>11</v>
      </c>
      <c r="C1262" s="1">
        <v>46095</v>
      </c>
      <c r="D1262" t="s">
        <v>25</v>
      </c>
      <c r="E1262" t="s">
        <v>26</v>
      </c>
      <c r="F1262" t="s">
        <v>27</v>
      </c>
      <c r="G1262" t="s">
        <v>124</v>
      </c>
      <c r="H1262" t="s">
        <v>29</v>
      </c>
      <c r="I1262" t="s">
        <v>30</v>
      </c>
      <c r="J1262" t="s">
        <v>44</v>
      </c>
      <c r="K1262" t="s">
        <v>267</v>
      </c>
      <c r="L1262" t="s">
        <v>44</v>
      </c>
      <c r="M1262" s="4">
        <v>127</v>
      </c>
      <c r="N1262" s="4">
        <v>1</v>
      </c>
      <c r="O1262" s="2">
        <v>7.8740157480314942E-3</v>
      </c>
      <c r="P1262" s="3">
        <v>0.2</v>
      </c>
      <c r="Q1262" s="3">
        <v>0.2</v>
      </c>
      <c r="R1262" s="3">
        <v>0</v>
      </c>
      <c r="S1262" s="2"/>
      <c r="T1262" s="5">
        <v>0</v>
      </c>
      <c r="U1262" s="4">
        <v>0</v>
      </c>
      <c r="V1262" s="4">
        <v>0</v>
      </c>
      <c r="W1262" s="2">
        <v>0</v>
      </c>
      <c r="X1262" s="4">
        <v>0</v>
      </c>
      <c r="Y1262" s="4">
        <v>0</v>
      </c>
      <c r="Z1262" s="3">
        <v>0</v>
      </c>
      <c r="AA1262" s="3">
        <v>0</v>
      </c>
    </row>
    <row r="1263" spans="1:27" x14ac:dyDescent="0.2">
      <c r="A1263">
        <f t="shared" si="38"/>
        <v>3</v>
      </c>
      <c r="B1263">
        <f t="shared" si="39"/>
        <v>12</v>
      </c>
      <c r="C1263" s="1">
        <v>46098</v>
      </c>
      <c r="D1263" t="s">
        <v>25</v>
      </c>
      <c r="E1263" t="s">
        <v>26</v>
      </c>
      <c r="F1263" t="s">
        <v>27</v>
      </c>
      <c r="G1263" t="s">
        <v>124</v>
      </c>
      <c r="H1263" t="s">
        <v>29</v>
      </c>
      <c r="I1263" t="s">
        <v>30</v>
      </c>
      <c r="J1263" t="s">
        <v>44</v>
      </c>
      <c r="K1263" t="s">
        <v>267</v>
      </c>
      <c r="L1263" t="s">
        <v>44</v>
      </c>
      <c r="M1263" s="4">
        <v>19</v>
      </c>
      <c r="N1263" s="4">
        <v>1</v>
      </c>
      <c r="O1263" s="2">
        <v>5.2631578947368418E-2</v>
      </c>
      <c r="P1263" s="3">
        <v>0.2</v>
      </c>
      <c r="Q1263" s="3">
        <v>0.2</v>
      </c>
      <c r="R1263" s="3">
        <v>0</v>
      </c>
      <c r="S1263" s="2"/>
      <c r="T1263" s="5">
        <v>0</v>
      </c>
      <c r="U1263" s="4">
        <v>0</v>
      </c>
      <c r="V1263" s="4">
        <v>0</v>
      </c>
      <c r="W1263" s="2">
        <v>0</v>
      </c>
      <c r="X1263" s="4">
        <v>0</v>
      </c>
      <c r="Y1263" s="4">
        <v>0</v>
      </c>
      <c r="Z1263" s="3">
        <v>0</v>
      </c>
      <c r="AA1263" s="3">
        <v>0</v>
      </c>
    </row>
    <row r="1264" spans="1:27" x14ac:dyDescent="0.2">
      <c r="A1264">
        <f t="shared" si="38"/>
        <v>3</v>
      </c>
      <c r="B1264">
        <f t="shared" si="39"/>
        <v>12</v>
      </c>
      <c r="C1264" s="1">
        <v>46102</v>
      </c>
      <c r="D1264" t="s">
        <v>25</v>
      </c>
      <c r="E1264" t="s">
        <v>26</v>
      </c>
      <c r="F1264" t="s">
        <v>27</v>
      </c>
      <c r="G1264" t="s">
        <v>124</v>
      </c>
      <c r="H1264" t="s">
        <v>29</v>
      </c>
      <c r="I1264" t="s">
        <v>30</v>
      </c>
      <c r="J1264" t="s">
        <v>44</v>
      </c>
      <c r="K1264" t="s">
        <v>267</v>
      </c>
      <c r="L1264" t="s">
        <v>44</v>
      </c>
      <c r="M1264" s="4">
        <v>19</v>
      </c>
      <c r="N1264" s="4">
        <v>2</v>
      </c>
      <c r="O1264" s="2">
        <v>0.10526315789473684</v>
      </c>
      <c r="P1264" s="3">
        <v>0.2</v>
      </c>
      <c r="Q1264" s="3">
        <v>0.4</v>
      </c>
      <c r="R1264" s="3">
        <v>0</v>
      </c>
      <c r="S1264" s="2"/>
      <c r="T1264" s="5">
        <v>0</v>
      </c>
      <c r="U1264" s="4">
        <v>0</v>
      </c>
      <c r="V1264" s="4">
        <v>0</v>
      </c>
      <c r="W1264" s="2">
        <v>0</v>
      </c>
      <c r="X1264" s="4">
        <v>0</v>
      </c>
      <c r="Y1264" s="4">
        <v>0</v>
      </c>
      <c r="Z1264" s="3">
        <v>0</v>
      </c>
      <c r="AA1264" s="3">
        <v>0</v>
      </c>
    </row>
    <row r="1265" spans="1:27" x14ac:dyDescent="0.2">
      <c r="A1265">
        <f t="shared" si="38"/>
        <v>3</v>
      </c>
      <c r="B1265">
        <f t="shared" si="39"/>
        <v>11</v>
      </c>
      <c r="C1265" s="1">
        <v>46092</v>
      </c>
      <c r="D1265" t="s">
        <v>25</v>
      </c>
      <c r="E1265" t="s">
        <v>26</v>
      </c>
      <c r="F1265" t="s">
        <v>39</v>
      </c>
      <c r="G1265" t="s">
        <v>40</v>
      </c>
      <c r="H1265" t="s">
        <v>29</v>
      </c>
      <c r="I1265" t="s">
        <v>30</v>
      </c>
      <c r="J1265" t="s">
        <v>70</v>
      </c>
      <c r="K1265" t="s">
        <v>42</v>
      </c>
      <c r="L1265" t="s">
        <v>44</v>
      </c>
      <c r="M1265" s="4">
        <v>4</v>
      </c>
      <c r="N1265" s="4">
        <v>1</v>
      </c>
      <c r="O1265" s="2">
        <v>0.25</v>
      </c>
      <c r="P1265" s="3">
        <v>0.52</v>
      </c>
      <c r="Q1265" s="3">
        <v>0.52</v>
      </c>
      <c r="R1265" s="3">
        <v>0</v>
      </c>
      <c r="S1265" s="2"/>
      <c r="T1265" s="5">
        <v>0</v>
      </c>
      <c r="U1265" s="4">
        <v>0</v>
      </c>
      <c r="V1265" s="4">
        <v>0</v>
      </c>
      <c r="W1265" s="2">
        <v>0</v>
      </c>
      <c r="X1265" s="4">
        <v>0</v>
      </c>
      <c r="Y1265" s="4">
        <v>0</v>
      </c>
      <c r="Z1265" s="3">
        <v>0</v>
      </c>
      <c r="AA1265" s="3">
        <v>0</v>
      </c>
    </row>
    <row r="1266" spans="1:27" x14ac:dyDescent="0.2">
      <c r="A1266">
        <f t="shared" si="38"/>
        <v>3</v>
      </c>
      <c r="B1266">
        <f t="shared" si="39"/>
        <v>11</v>
      </c>
      <c r="C1266" s="1">
        <v>46093</v>
      </c>
      <c r="D1266" t="s">
        <v>25</v>
      </c>
      <c r="E1266" t="s">
        <v>26</v>
      </c>
      <c r="F1266" t="s">
        <v>39</v>
      </c>
      <c r="G1266" t="s">
        <v>40</v>
      </c>
      <c r="H1266" t="s">
        <v>29</v>
      </c>
      <c r="I1266" t="s">
        <v>30</v>
      </c>
      <c r="J1266" t="s">
        <v>70</v>
      </c>
      <c r="K1266" t="s">
        <v>42</v>
      </c>
      <c r="L1266" t="s">
        <v>813</v>
      </c>
      <c r="M1266" s="4">
        <v>1</v>
      </c>
      <c r="N1266" s="4">
        <v>1</v>
      </c>
      <c r="O1266" s="2">
        <v>1</v>
      </c>
      <c r="P1266" s="3">
        <v>0.63</v>
      </c>
      <c r="Q1266" s="3">
        <v>0.63</v>
      </c>
      <c r="R1266" s="3">
        <v>0</v>
      </c>
      <c r="S1266" s="2"/>
      <c r="T1266" s="5">
        <v>0</v>
      </c>
      <c r="U1266" s="4">
        <v>0</v>
      </c>
      <c r="V1266" s="4">
        <v>0</v>
      </c>
      <c r="W1266" s="2">
        <v>0</v>
      </c>
      <c r="X1266" s="4">
        <v>0</v>
      </c>
      <c r="Y1266" s="4">
        <v>0</v>
      </c>
      <c r="Z1266" s="3">
        <v>0</v>
      </c>
      <c r="AA1266" s="3">
        <v>0</v>
      </c>
    </row>
    <row r="1267" spans="1:27" x14ac:dyDescent="0.2">
      <c r="A1267">
        <f t="shared" si="38"/>
        <v>3</v>
      </c>
      <c r="B1267">
        <f t="shared" si="39"/>
        <v>10</v>
      </c>
      <c r="C1267" s="1">
        <v>46087</v>
      </c>
      <c r="D1267" t="s">
        <v>25</v>
      </c>
      <c r="E1267" t="s">
        <v>26</v>
      </c>
      <c r="F1267" t="s">
        <v>39</v>
      </c>
      <c r="G1267" t="s">
        <v>40</v>
      </c>
      <c r="H1267" t="s">
        <v>29</v>
      </c>
      <c r="I1267" t="s">
        <v>30</v>
      </c>
      <c r="J1267" t="s">
        <v>70</v>
      </c>
      <c r="K1267" t="s">
        <v>42</v>
      </c>
      <c r="L1267" t="s">
        <v>263</v>
      </c>
      <c r="M1267" s="4">
        <v>6</v>
      </c>
      <c r="N1267" s="4">
        <v>1</v>
      </c>
      <c r="O1267" s="2">
        <v>0.16666666666666663</v>
      </c>
      <c r="P1267" s="3">
        <v>0.73</v>
      </c>
      <c r="Q1267" s="3">
        <v>0.73</v>
      </c>
      <c r="R1267" s="3">
        <v>18.989999999999998</v>
      </c>
      <c r="S1267" s="2">
        <v>3.8441284886782522E-2</v>
      </c>
      <c r="T1267" s="5">
        <v>26.013698630136986</v>
      </c>
      <c r="U1267" s="4">
        <v>1</v>
      </c>
      <c r="V1267" s="4">
        <v>1</v>
      </c>
      <c r="W1267" s="2">
        <v>1</v>
      </c>
      <c r="X1267" s="4">
        <v>1</v>
      </c>
      <c r="Y1267" s="4">
        <v>0</v>
      </c>
      <c r="Z1267" s="3">
        <v>18.989999999999998</v>
      </c>
      <c r="AA1267" s="3">
        <v>0</v>
      </c>
    </row>
    <row r="1268" spans="1:27" x14ac:dyDescent="0.2">
      <c r="A1268">
        <f t="shared" si="38"/>
        <v>3</v>
      </c>
      <c r="B1268">
        <f t="shared" si="39"/>
        <v>11</v>
      </c>
      <c r="C1268" s="1">
        <v>46093</v>
      </c>
      <c r="D1268" t="s">
        <v>25</v>
      </c>
      <c r="E1268" t="s">
        <v>26</v>
      </c>
      <c r="F1268" t="s">
        <v>27</v>
      </c>
      <c r="G1268" t="s">
        <v>28</v>
      </c>
      <c r="H1268" t="s">
        <v>29</v>
      </c>
      <c r="I1268" t="s">
        <v>30</v>
      </c>
      <c r="J1268" t="s">
        <v>44</v>
      </c>
      <c r="K1268" t="s">
        <v>32</v>
      </c>
      <c r="L1268" t="s">
        <v>814</v>
      </c>
      <c r="M1268" s="4">
        <v>1</v>
      </c>
      <c r="N1268" s="4">
        <v>1</v>
      </c>
      <c r="O1268" s="2">
        <v>1</v>
      </c>
      <c r="P1268" s="3">
        <v>0.21</v>
      </c>
      <c r="Q1268" s="3">
        <v>0.21</v>
      </c>
      <c r="R1268" s="3">
        <v>0</v>
      </c>
      <c r="S1268" s="2"/>
      <c r="T1268" s="5">
        <v>0</v>
      </c>
      <c r="U1268" s="4">
        <v>0</v>
      </c>
      <c r="V1268" s="4">
        <v>0</v>
      </c>
      <c r="W1268" s="2">
        <v>0</v>
      </c>
      <c r="X1268" s="4">
        <v>0</v>
      </c>
      <c r="Y1268" s="4">
        <v>0</v>
      </c>
      <c r="Z1268" s="3">
        <v>0</v>
      </c>
      <c r="AA1268" s="3">
        <v>0</v>
      </c>
    </row>
    <row r="1269" spans="1:27" x14ac:dyDescent="0.2">
      <c r="A1269">
        <f t="shared" si="38"/>
        <v>3</v>
      </c>
      <c r="B1269">
        <f t="shared" si="39"/>
        <v>12</v>
      </c>
      <c r="C1269" s="1">
        <v>46096</v>
      </c>
      <c r="D1269" t="s">
        <v>25</v>
      </c>
      <c r="E1269" t="s">
        <v>26</v>
      </c>
      <c r="F1269" t="s">
        <v>27</v>
      </c>
      <c r="G1269" t="s">
        <v>28</v>
      </c>
      <c r="H1269" t="s">
        <v>29</v>
      </c>
      <c r="I1269" t="s">
        <v>30</v>
      </c>
      <c r="J1269" t="s">
        <v>44</v>
      </c>
      <c r="K1269" t="s">
        <v>32</v>
      </c>
      <c r="L1269" t="s">
        <v>815</v>
      </c>
      <c r="M1269" s="4">
        <v>5</v>
      </c>
      <c r="N1269" s="4">
        <v>1</v>
      </c>
      <c r="O1269" s="2">
        <v>0.2</v>
      </c>
      <c r="P1269" s="3">
        <v>0.21</v>
      </c>
      <c r="Q1269" s="3">
        <v>0.21</v>
      </c>
      <c r="R1269" s="3">
        <v>0</v>
      </c>
      <c r="S1269" s="2"/>
      <c r="T1269" s="5">
        <v>0</v>
      </c>
      <c r="U1269" s="4">
        <v>0</v>
      </c>
      <c r="V1269" s="4">
        <v>0</v>
      </c>
      <c r="W1269" s="2">
        <v>0</v>
      </c>
      <c r="X1269" s="4">
        <v>0</v>
      </c>
      <c r="Y1269" s="4">
        <v>0</v>
      </c>
      <c r="Z1269" s="3">
        <v>0</v>
      </c>
      <c r="AA1269" s="3">
        <v>0</v>
      </c>
    </row>
    <row r="1270" spans="1:27" x14ac:dyDescent="0.2">
      <c r="A1270">
        <f t="shared" si="38"/>
        <v>3</v>
      </c>
      <c r="B1270">
        <f t="shared" si="39"/>
        <v>12</v>
      </c>
      <c r="C1270" s="1">
        <v>46096</v>
      </c>
      <c r="D1270" t="s">
        <v>25</v>
      </c>
      <c r="E1270" t="s">
        <v>26</v>
      </c>
      <c r="F1270" t="s">
        <v>27</v>
      </c>
      <c r="G1270" t="s">
        <v>28</v>
      </c>
      <c r="H1270" t="s">
        <v>29</v>
      </c>
      <c r="I1270" t="s">
        <v>30</v>
      </c>
      <c r="J1270" t="s">
        <v>542</v>
      </c>
      <c r="K1270" t="s">
        <v>32</v>
      </c>
      <c r="L1270" t="s">
        <v>816</v>
      </c>
      <c r="M1270" s="4">
        <v>6</v>
      </c>
      <c r="N1270" s="4">
        <v>2</v>
      </c>
      <c r="O1270" s="2">
        <v>0.33333333333333331</v>
      </c>
      <c r="P1270" s="3">
        <v>0.21</v>
      </c>
      <c r="Q1270" s="3">
        <v>0.42</v>
      </c>
      <c r="R1270" s="3">
        <v>0</v>
      </c>
      <c r="S1270" s="2"/>
      <c r="T1270" s="5">
        <v>0</v>
      </c>
      <c r="U1270" s="4">
        <v>0</v>
      </c>
      <c r="V1270" s="4">
        <v>0</v>
      </c>
      <c r="W1270" s="2">
        <v>0</v>
      </c>
      <c r="X1270" s="4">
        <v>0</v>
      </c>
      <c r="Y1270" s="4">
        <v>0</v>
      </c>
      <c r="Z1270" s="3">
        <v>0</v>
      </c>
      <c r="AA1270" s="3">
        <v>0</v>
      </c>
    </row>
    <row r="1271" spans="1:27" x14ac:dyDescent="0.2">
      <c r="A1271">
        <f t="shared" si="38"/>
        <v>3</v>
      </c>
      <c r="B1271">
        <f t="shared" si="39"/>
        <v>12</v>
      </c>
      <c r="C1271" s="1">
        <v>46096</v>
      </c>
      <c r="D1271" t="s">
        <v>25</v>
      </c>
      <c r="E1271" t="s">
        <v>26</v>
      </c>
      <c r="F1271" t="s">
        <v>27</v>
      </c>
      <c r="G1271" t="s">
        <v>28</v>
      </c>
      <c r="H1271" t="s">
        <v>29</v>
      </c>
      <c r="I1271" t="s">
        <v>30</v>
      </c>
      <c r="J1271" t="s">
        <v>133</v>
      </c>
      <c r="K1271" t="s">
        <v>32</v>
      </c>
      <c r="L1271" t="s">
        <v>817</v>
      </c>
      <c r="M1271" s="4">
        <v>6</v>
      </c>
      <c r="N1271" s="4">
        <v>1</v>
      </c>
      <c r="O1271" s="2">
        <v>0.16666666666666663</v>
      </c>
      <c r="P1271" s="3">
        <v>0.4</v>
      </c>
      <c r="Q1271" s="3">
        <v>0.4</v>
      </c>
      <c r="R1271" s="3">
        <v>0</v>
      </c>
      <c r="S1271" s="2"/>
      <c r="T1271" s="5">
        <v>0</v>
      </c>
      <c r="U1271" s="4">
        <v>0</v>
      </c>
      <c r="V1271" s="4">
        <v>0</v>
      </c>
      <c r="W1271" s="2">
        <v>0</v>
      </c>
      <c r="X1271" s="4">
        <v>0</v>
      </c>
      <c r="Y1271" s="4">
        <v>0</v>
      </c>
      <c r="Z1271" s="3">
        <v>0</v>
      </c>
      <c r="AA1271" s="3">
        <v>0</v>
      </c>
    </row>
    <row r="1272" spans="1:27" x14ac:dyDescent="0.2">
      <c r="A1272">
        <f t="shared" si="38"/>
        <v>3</v>
      </c>
      <c r="B1272">
        <f t="shared" si="39"/>
        <v>11</v>
      </c>
      <c r="C1272" s="1">
        <v>46094</v>
      </c>
      <c r="D1272" t="s">
        <v>25</v>
      </c>
      <c r="E1272" t="s">
        <v>26</v>
      </c>
      <c r="F1272" t="s">
        <v>27</v>
      </c>
      <c r="G1272" t="s">
        <v>28</v>
      </c>
      <c r="H1272" t="s">
        <v>29</v>
      </c>
      <c r="I1272" t="s">
        <v>30</v>
      </c>
      <c r="J1272" t="s">
        <v>50</v>
      </c>
      <c r="K1272" t="s">
        <v>32</v>
      </c>
      <c r="L1272" t="s">
        <v>818</v>
      </c>
      <c r="M1272" s="4">
        <v>1</v>
      </c>
      <c r="N1272" s="4">
        <v>1</v>
      </c>
      <c r="O1272" s="2">
        <v>1</v>
      </c>
      <c r="P1272" s="3">
        <v>0.21</v>
      </c>
      <c r="Q1272" s="3">
        <v>0.21</v>
      </c>
      <c r="R1272" s="3">
        <v>0</v>
      </c>
      <c r="S1272" s="2"/>
      <c r="T1272" s="5">
        <v>0</v>
      </c>
      <c r="U1272" s="4">
        <v>0</v>
      </c>
      <c r="V1272" s="4">
        <v>0</v>
      </c>
      <c r="W1272" s="2">
        <v>0</v>
      </c>
      <c r="X1272" s="4">
        <v>0</v>
      </c>
      <c r="Y1272" s="4">
        <v>0</v>
      </c>
      <c r="Z1272" s="3">
        <v>0</v>
      </c>
      <c r="AA1272" s="3">
        <v>0</v>
      </c>
    </row>
    <row r="1273" spans="1:27" x14ac:dyDescent="0.2">
      <c r="A1273">
        <f t="shared" si="38"/>
        <v>3</v>
      </c>
      <c r="B1273">
        <f t="shared" si="39"/>
        <v>12</v>
      </c>
      <c r="C1273" s="1">
        <v>46097</v>
      </c>
      <c r="D1273" t="s">
        <v>25</v>
      </c>
      <c r="E1273" t="s">
        <v>26</v>
      </c>
      <c r="F1273" t="s">
        <v>27</v>
      </c>
      <c r="G1273" t="s">
        <v>28</v>
      </c>
      <c r="H1273" t="s">
        <v>29</v>
      </c>
      <c r="I1273" t="s">
        <v>30</v>
      </c>
      <c r="J1273" t="s">
        <v>133</v>
      </c>
      <c r="K1273" t="s">
        <v>32</v>
      </c>
      <c r="L1273" t="s">
        <v>819</v>
      </c>
      <c r="M1273" s="4">
        <v>2</v>
      </c>
      <c r="N1273" s="4">
        <v>1</v>
      </c>
      <c r="O1273" s="2">
        <v>0.5</v>
      </c>
      <c r="P1273" s="3">
        <v>0.21</v>
      </c>
      <c r="Q1273" s="3">
        <v>0.21</v>
      </c>
      <c r="R1273" s="3">
        <v>0</v>
      </c>
      <c r="S1273" s="2"/>
      <c r="T1273" s="5">
        <v>0</v>
      </c>
      <c r="U1273" s="4">
        <v>0</v>
      </c>
      <c r="V1273" s="4">
        <v>0</v>
      </c>
      <c r="W1273" s="2">
        <v>0</v>
      </c>
      <c r="X1273" s="4">
        <v>0</v>
      </c>
      <c r="Y1273" s="4">
        <v>0</v>
      </c>
      <c r="Z1273" s="3">
        <v>0</v>
      </c>
      <c r="AA1273" s="3">
        <v>0</v>
      </c>
    </row>
    <row r="1274" spans="1:27" x14ac:dyDescent="0.2">
      <c r="A1274">
        <f t="shared" si="38"/>
        <v>3</v>
      </c>
      <c r="B1274">
        <f t="shared" si="39"/>
        <v>11</v>
      </c>
      <c r="C1274" s="1">
        <v>46092</v>
      </c>
      <c r="D1274" t="s">
        <v>25</v>
      </c>
      <c r="E1274" t="s">
        <v>26</v>
      </c>
      <c r="F1274" t="s">
        <v>27</v>
      </c>
      <c r="G1274" t="s">
        <v>28</v>
      </c>
      <c r="H1274" t="s">
        <v>29</v>
      </c>
      <c r="I1274" t="s">
        <v>30</v>
      </c>
      <c r="J1274" t="s">
        <v>119</v>
      </c>
      <c r="K1274" t="s">
        <v>32</v>
      </c>
      <c r="L1274" t="s">
        <v>820</v>
      </c>
      <c r="M1274" s="4">
        <v>1</v>
      </c>
      <c r="N1274" s="4">
        <v>1</v>
      </c>
      <c r="O1274" s="2">
        <v>1</v>
      </c>
      <c r="P1274" s="3">
        <v>0.16</v>
      </c>
      <c r="Q1274" s="3">
        <v>0.16</v>
      </c>
      <c r="R1274" s="3">
        <v>0</v>
      </c>
      <c r="S1274" s="2"/>
      <c r="T1274" s="5">
        <v>0</v>
      </c>
      <c r="U1274" s="4">
        <v>0</v>
      </c>
      <c r="V1274" s="4">
        <v>0</v>
      </c>
      <c r="W1274" s="2">
        <v>0</v>
      </c>
      <c r="X1274" s="4">
        <v>0</v>
      </c>
      <c r="Y1274" s="4">
        <v>0</v>
      </c>
      <c r="Z1274" s="3">
        <v>0</v>
      </c>
      <c r="AA1274" s="3">
        <v>0</v>
      </c>
    </row>
    <row r="1275" spans="1:27" x14ac:dyDescent="0.2">
      <c r="A1275">
        <f t="shared" si="38"/>
        <v>3</v>
      </c>
      <c r="B1275">
        <f t="shared" si="39"/>
        <v>12</v>
      </c>
      <c r="C1275" s="1">
        <v>46098</v>
      </c>
      <c r="D1275" t="s">
        <v>25</v>
      </c>
      <c r="E1275" t="s">
        <v>26</v>
      </c>
      <c r="F1275" t="s">
        <v>39</v>
      </c>
      <c r="G1275" t="s">
        <v>40</v>
      </c>
      <c r="H1275" t="s">
        <v>29</v>
      </c>
      <c r="I1275" t="s">
        <v>30</v>
      </c>
      <c r="J1275" t="s">
        <v>70</v>
      </c>
      <c r="K1275" t="s">
        <v>42</v>
      </c>
      <c r="L1275" t="s">
        <v>821</v>
      </c>
      <c r="M1275" s="4">
        <v>2</v>
      </c>
      <c r="N1275" s="4">
        <v>1</v>
      </c>
      <c r="O1275" s="2">
        <v>0.5</v>
      </c>
      <c r="P1275" s="3">
        <v>0.56999999999999995</v>
      </c>
      <c r="Q1275" s="3">
        <v>0.56999999999999995</v>
      </c>
      <c r="R1275" s="3">
        <v>0</v>
      </c>
      <c r="S1275" s="2"/>
      <c r="T1275" s="5">
        <v>0</v>
      </c>
      <c r="U1275" s="4">
        <v>0</v>
      </c>
      <c r="V1275" s="4">
        <v>0</v>
      </c>
      <c r="W1275" s="2">
        <v>0</v>
      </c>
      <c r="X1275" s="4">
        <v>0</v>
      </c>
      <c r="Y1275" s="4">
        <v>0</v>
      </c>
      <c r="Z1275" s="3">
        <v>0</v>
      </c>
      <c r="AA1275" s="3">
        <v>0</v>
      </c>
    </row>
    <row r="1276" spans="1:27" x14ac:dyDescent="0.2">
      <c r="A1276">
        <f t="shared" si="38"/>
        <v>3</v>
      </c>
      <c r="B1276">
        <f t="shared" si="39"/>
        <v>11</v>
      </c>
      <c r="C1276" s="1">
        <v>46090</v>
      </c>
      <c r="D1276" t="s">
        <v>25</v>
      </c>
      <c r="E1276" t="s">
        <v>26</v>
      </c>
      <c r="F1276" t="s">
        <v>27</v>
      </c>
      <c r="G1276" t="s">
        <v>28</v>
      </c>
      <c r="H1276" t="s">
        <v>29</v>
      </c>
      <c r="I1276" t="s">
        <v>30</v>
      </c>
      <c r="J1276" t="s">
        <v>50</v>
      </c>
      <c r="K1276" t="s">
        <v>32</v>
      </c>
      <c r="L1276" t="s">
        <v>822</v>
      </c>
      <c r="M1276" s="4">
        <v>3</v>
      </c>
      <c r="N1276" s="4">
        <v>1</v>
      </c>
      <c r="O1276" s="2">
        <v>0.33333333333333331</v>
      </c>
      <c r="P1276" s="3">
        <v>0.21</v>
      </c>
      <c r="Q1276" s="3">
        <v>0.21</v>
      </c>
      <c r="R1276" s="3">
        <v>17.09</v>
      </c>
      <c r="S1276" s="2">
        <v>1.2287887653598594E-2</v>
      </c>
      <c r="T1276" s="5">
        <v>81.38095238095238</v>
      </c>
      <c r="U1276" s="4">
        <v>1</v>
      </c>
      <c r="V1276" s="4">
        <v>1</v>
      </c>
      <c r="W1276" s="2">
        <v>1</v>
      </c>
      <c r="X1276" s="4">
        <v>0</v>
      </c>
      <c r="Y1276" s="4">
        <v>1</v>
      </c>
      <c r="Z1276" s="3">
        <v>0</v>
      </c>
      <c r="AA1276" s="3">
        <v>17.09</v>
      </c>
    </row>
    <row r="1277" spans="1:27" x14ac:dyDescent="0.2">
      <c r="A1277">
        <f t="shared" si="38"/>
        <v>3</v>
      </c>
      <c r="B1277">
        <f t="shared" si="39"/>
        <v>10</v>
      </c>
      <c r="C1277" s="1">
        <v>46083</v>
      </c>
      <c r="D1277" t="s">
        <v>25</v>
      </c>
      <c r="E1277" t="s">
        <v>26</v>
      </c>
      <c r="F1277" t="s">
        <v>27</v>
      </c>
      <c r="G1277" t="s">
        <v>124</v>
      </c>
      <c r="H1277" t="s">
        <v>29</v>
      </c>
      <c r="I1277" t="s">
        <v>30</v>
      </c>
      <c r="J1277" t="s">
        <v>119</v>
      </c>
      <c r="K1277" t="s">
        <v>267</v>
      </c>
      <c r="L1277" t="s">
        <v>119</v>
      </c>
      <c r="M1277" s="4">
        <v>5</v>
      </c>
      <c r="N1277" s="4">
        <v>1</v>
      </c>
      <c r="O1277" s="2">
        <v>0.2</v>
      </c>
      <c r="P1277" s="3">
        <v>0.21</v>
      </c>
      <c r="Q1277" s="3">
        <v>0.21</v>
      </c>
      <c r="R1277" s="3">
        <v>17.09</v>
      </c>
      <c r="S1277" s="2">
        <v>1.2287887653598594E-2</v>
      </c>
      <c r="T1277" s="5">
        <v>81.38095238095238</v>
      </c>
      <c r="U1277" s="4">
        <v>1</v>
      </c>
      <c r="V1277" s="4">
        <v>1</v>
      </c>
      <c r="W1277" s="2">
        <v>1</v>
      </c>
      <c r="X1277" s="4">
        <v>1</v>
      </c>
      <c r="Y1277" s="4">
        <v>0</v>
      </c>
      <c r="Z1277" s="3">
        <v>17.09</v>
      </c>
      <c r="AA1277" s="3">
        <v>0</v>
      </c>
    </row>
    <row r="1278" spans="1:27" x14ac:dyDescent="0.2">
      <c r="A1278">
        <f t="shared" si="38"/>
        <v>3</v>
      </c>
      <c r="B1278">
        <f t="shared" si="39"/>
        <v>10</v>
      </c>
      <c r="C1278" s="1">
        <v>46085</v>
      </c>
      <c r="D1278" t="s">
        <v>25</v>
      </c>
      <c r="E1278" t="s">
        <v>26</v>
      </c>
      <c r="F1278" t="s">
        <v>27</v>
      </c>
      <c r="G1278" t="s">
        <v>124</v>
      </c>
      <c r="H1278" t="s">
        <v>29</v>
      </c>
      <c r="I1278" t="s">
        <v>30</v>
      </c>
      <c r="J1278" t="s">
        <v>119</v>
      </c>
      <c r="K1278" t="s">
        <v>267</v>
      </c>
      <c r="L1278" t="s">
        <v>119</v>
      </c>
      <c r="M1278" s="4">
        <v>8</v>
      </c>
      <c r="N1278" s="4">
        <v>2</v>
      </c>
      <c r="O1278" s="2">
        <v>0.25</v>
      </c>
      <c r="P1278" s="3">
        <v>0.20499999999999999</v>
      </c>
      <c r="Q1278" s="3">
        <v>0.41</v>
      </c>
      <c r="R1278" s="3">
        <v>0</v>
      </c>
      <c r="S1278" s="2"/>
      <c r="T1278" s="5">
        <v>0</v>
      </c>
      <c r="U1278" s="4">
        <v>0</v>
      </c>
      <c r="V1278" s="4">
        <v>0</v>
      </c>
      <c r="W1278" s="2">
        <v>0</v>
      </c>
      <c r="X1278" s="4">
        <v>0</v>
      </c>
      <c r="Y1278" s="4">
        <v>0</v>
      </c>
      <c r="Z1278" s="3">
        <v>0</v>
      </c>
      <c r="AA1278" s="3">
        <v>0</v>
      </c>
    </row>
    <row r="1279" spans="1:27" x14ac:dyDescent="0.2">
      <c r="A1279">
        <f t="shared" si="38"/>
        <v>3</v>
      </c>
      <c r="B1279">
        <f t="shared" si="39"/>
        <v>12</v>
      </c>
      <c r="C1279" s="1">
        <v>46098</v>
      </c>
      <c r="D1279" t="s">
        <v>25</v>
      </c>
      <c r="E1279" t="s">
        <v>26</v>
      </c>
      <c r="F1279" t="s">
        <v>27</v>
      </c>
      <c r="G1279" t="s">
        <v>124</v>
      </c>
      <c r="H1279" t="s">
        <v>29</v>
      </c>
      <c r="I1279" t="s">
        <v>30</v>
      </c>
      <c r="J1279" t="s">
        <v>119</v>
      </c>
      <c r="K1279" t="s">
        <v>267</v>
      </c>
      <c r="L1279" t="s">
        <v>119</v>
      </c>
      <c r="M1279" s="4">
        <v>3</v>
      </c>
      <c r="N1279" s="4">
        <v>1</v>
      </c>
      <c r="O1279" s="2">
        <v>0.33333333333333331</v>
      </c>
      <c r="P1279" s="3">
        <v>0.21</v>
      </c>
      <c r="Q1279" s="3">
        <v>0.21</v>
      </c>
      <c r="R1279" s="3">
        <v>0</v>
      </c>
      <c r="S1279" s="2"/>
      <c r="T1279" s="5">
        <v>0</v>
      </c>
      <c r="U1279" s="4">
        <v>0</v>
      </c>
      <c r="V1279" s="4">
        <v>0</v>
      </c>
      <c r="W1279" s="2">
        <v>0</v>
      </c>
      <c r="X1279" s="4">
        <v>0</v>
      </c>
      <c r="Y1279" s="4">
        <v>0</v>
      </c>
      <c r="Z1279" s="3">
        <v>0</v>
      </c>
      <c r="AA1279" s="3">
        <v>0</v>
      </c>
    </row>
    <row r="1280" spans="1:27" x14ac:dyDescent="0.2">
      <c r="A1280">
        <f t="shared" si="38"/>
        <v>3</v>
      </c>
      <c r="B1280">
        <f t="shared" si="39"/>
        <v>12</v>
      </c>
      <c r="C1280" s="1">
        <v>46099</v>
      </c>
      <c r="D1280" t="s">
        <v>25</v>
      </c>
      <c r="E1280" t="s">
        <v>26</v>
      </c>
      <c r="F1280" t="s">
        <v>27</v>
      </c>
      <c r="G1280" t="s">
        <v>124</v>
      </c>
      <c r="H1280" t="s">
        <v>29</v>
      </c>
      <c r="I1280" t="s">
        <v>30</v>
      </c>
      <c r="J1280" t="s">
        <v>119</v>
      </c>
      <c r="K1280" t="s">
        <v>267</v>
      </c>
      <c r="L1280" t="s">
        <v>119</v>
      </c>
      <c r="M1280" s="4">
        <v>6</v>
      </c>
      <c r="N1280" s="4">
        <v>1</v>
      </c>
      <c r="O1280" s="2">
        <v>0.16666666666666663</v>
      </c>
      <c r="P1280" s="3">
        <v>0.23</v>
      </c>
      <c r="Q1280" s="3">
        <v>0.23</v>
      </c>
      <c r="R1280" s="3">
        <v>0</v>
      </c>
      <c r="S1280" s="2"/>
      <c r="T1280" s="5">
        <v>0</v>
      </c>
      <c r="U1280" s="4">
        <v>0</v>
      </c>
      <c r="V1280" s="4">
        <v>0</v>
      </c>
      <c r="W1280" s="2">
        <v>0</v>
      </c>
      <c r="X1280" s="4">
        <v>0</v>
      </c>
      <c r="Y1280" s="4">
        <v>0</v>
      </c>
      <c r="Z1280" s="3">
        <v>0</v>
      </c>
      <c r="AA1280" s="3">
        <v>0</v>
      </c>
    </row>
    <row r="1281" spans="1:27" x14ac:dyDescent="0.2">
      <c r="A1281">
        <f t="shared" si="38"/>
        <v>3</v>
      </c>
      <c r="B1281">
        <f t="shared" si="39"/>
        <v>10</v>
      </c>
      <c r="C1281" s="1">
        <v>46087</v>
      </c>
      <c r="D1281" t="s">
        <v>25</v>
      </c>
      <c r="E1281" t="s">
        <v>26</v>
      </c>
      <c r="F1281" t="s">
        <v>27</v>
      </c>
      <c r="G1281" t="s">
        <v>28</v>
      </c>
      <c r="H1281" t="s">
        <v>29</v>
      </c>
      <c r="I1281" t="s">
        <v>30</v>
      </c>
      <c r="J1281" t="s">
        <v>50</v>
      </c>
      <c r="K1281" t="s">
        <v>32</v>
      </c>
      <c r="L1281" t="s">
        <v>823</v>
      </c>
      <c r="M1281" s="4">
        <v>3</v>
      </c>
      <c r="N1281" s="4">
        <v>1</v>
      </c>
      <c r="O1281" s="2">
        <v>0.33333333333333331</v>
      </c>
      <c r="P1281" s="3">
        <v>0.21</v>
      </c>
      <c r="Q1281" s="3">
        <v>0.21</v>
      </c>
      <c r="R1281" s="3">
        <v>0</v>
      </c>
      <c r="S1281" s="2"/>
      <c r="T1281" s="5">
        <v>0</v>
      </c>
      <c r="U1281" s="4">
        <v>0</v>
      </c>
      <c r="V1281" s="4">
        <v>0</v>
      </c>
      <c r="W1281" s="2">
        <v>0</v>
      </c>
      <c r="X1281" s="4">
        <v>0</v>
      </c>
      <c r="Y1281" s="4">
        <v>0</v>
      </c>
      <c r="Z1281" s="3">
        <v>0</v>
      </c>
      <c r="AA1281" s="3">
        <v>0</v>
      </c>
    </row>
    <row r="1282" spans="1:27" x14ac:dyDescent="0.2">
      <c r="A1282">
        <f t="shared" si="38"/>
        <v>3</v>
      </c>
      <c r="B1282">
        <f t="shared" si="39"/>
        <v>12</v>
      </c>
      <c r="C1282" s="1">
        <v>46102</v>
      </c>
      <c r="D1282" t="s">
        <v>25</v>
      </c>
      <c r="E1282" t="s">
        <v>26</v>
      </c>
      <c r="F1282" t="s">
        <v>27</v>
      </c>
      <c r="G1282" t="s">
        <v>28</v>
      </c>
      <c r="H1282" t="s">
        <v>29</v>
      </c>
      <c r="I1282" t="s">
        <v>30</v>
      </c>
      <c r="J1282" t="s">
        <v>243</v>
      </c>
      <c r="K1282" t="s">
        <v>32</v>
      </c>
      <c r="L1282" t="s">
        <v>243</v>
      </c>
      <c r="M1282" s="4">
        <v>5</v>
      </c>
      <c r="N1282" s="4">
        <v>1</v>
      </c>
      <c r="O1282" s="2">
        <v>0.2</v>
      </c>
      <c r="P1282" s="3">
        <v>0.21</v>
      </c>
      <c r="Q1282" s="3">
        <v>0.21</v>
      </c>
      <c r="R1282" s="3">
        <v>0</v>
      </c>
      <c r="S1282" s="2"/>
      <c r="T1282" s="5">
        <v>0</v>
      </c>
      <c r="U1282" s="4">
        <v>0</v>
      </c>
      <c r="V1282" s="4">
        <v>0</v>
      </c>
      <c r="W1282" s="2">
        <v>0</v>
      </c>
      <c r="X1282" s="4">
        <v>0</v>
      </c>
      <c r="Y1282" s="4">
        <v>0</v>
      </c>
      <c r="Z1282" s="3">
        <v>0</v>
      </c>
      <c r="AA1282" s="3">
        <v>0</v>
      </c>
    </row>
    <row r="1283" spans="1:27" x14ac:dyDescent="0.2">
      <c r="A1283">
        <f t="shared" ref="A1283:A1346" si="40">MONTH(C1283)</f>
        <v>3</v>
      </c>
      <c r="B1283">
        <f t="shared" ref="B1283:B1346" si="41">WEEKNUM(C1283,1)</f>
        <v>12</v>
      </c>
      <c r="C1283" s="1">
        <v>46096</v>
      </c>
      <c r="D1283" t="s">
        <v>25</v>
      </c>
      <c r="E1283" t="s">
        <v>26</v>
      </c>
      <c r="F1283" t="s">
        <v>27</v>
      </c>
      <c r="G1283" t="s">
        <v>28</v>
      </c>
      <c r="H1283" t="s">
        <v>29</v>
      </c>
      <c r="I1283" t="s">
        <v>30</v>
      </c>
      <c r="J1283" t="s">
        <v>243</v>
      </c>
      <c r="K1283" t="s">
        <v>32</v>
      </c>
      <c r="L1283" t="s">
        <v>824</v>
      </c>
      <c r="M1283" s="4">
        <v>1</v>
      </c>
      <c r="N1283" s="4">
        <v>1</v>
      </c>
      <c r="O1283" s="2">
        <v>1</v>
      </c>
      <c r="P1283" s="3">
        <v>0.21</v>
      </c>
      <c r="Q1283" s="3">
        <v>0.21</v>
      </c>
      <c r="R1283" s="3">
        <v>0</v>
      </c>
      <c r="S1283" s="2"/>
      <c r="T1283" s="5">
        <v>0</v>
      </c>
      <c r="U1283" s="4">
        <v>0</v>
      </c>
      <c r="V1283" s="4">
        <v>0</v>
      </c>
      <c r="W1283" s="2">
        <v>0</v>
      </c>
      <c r="X1283" s="4">
        <v>0</v>
      </c>
      <c r="Y1283" s="4">
        <v>0</v>
      </c>
      <c r="Z1283" s="3">
        <v>0</v>
      </c>
      <c r="AA1283" s="3">
        <v>0</v>
      </c>
    </row>
    <row r="1284" spans="1:27" x14ac:dyDescent="0.2">
      <c r="A1284">
        <f t="shared" si="40"/>
        <v>3</v>
      </c>
      <c r="B1284">
        <f t="shared" si="41"/>
        <v>11</v>
      </c>
      <c r="C1284" s="1">
        <v>46090</v>
      </c>
      <c r="D1284" t="s">
        <v>25</v>
      </c>
      <c r="E1284" t="s">
        <v>26</v>
      </c>
      <c r="F1284" t="s">
        <v>49</v>
      </c>
      <c r="G1284" t="s">
        <v>50</v>
      </c>
      <c r="H1284" t="s">
        <v>29</v>
      </c>
      <c r="I1284" t="s">
        <v>30</v>
      </c>
      <c r="J1284" t="s">
        <v>95</v>
      </c>
      <c r="K1284" t="s">
        <v>42</v>
      </c>
      <c r="L1284" t="s">
        <v>825</v>
      </c>
      <c r="M1284" s="4">
        <v>1</v>
      </c>
      <c r="N1284" s="4">
        <v>1</v>
      </c>
      <c r="O1284" s="2">
        <v>1</v>
      </c>
      <c r="P1284" s="3">
        <v>0.64</v>
      </c>
      <c r="Q1284" s="3">
        <v>0.64</v>
      </c>
      <c r="R1284" s="3">
        <v>0</v>
      </c>
      <c r="S1284" s="2"/>
      <c r="T1284" s="5">
        <v>0</v>
      </c>
      <c r="U1284" s="4">
        <v>0</v>
      </c>
      <c r="V1284" s="4">
        <v>0</v>
      </c>
      <c r="W1284" s="2">
        <v>0</v>
      </c>
      <c r="X1284" s="4">
        <v>0</v>
      </c>
      <c r="Y1284" s="4">
        <v>0</v>
      </c>
      <c r="Z1284" s="3">
        <v>0</v>
      </c>
      <c r="AA1284" s="3">
        <v>0</v>
      </c>
    </row>
    <row r="1285" spans="1:27" x14ac:dyDescent="0.2">
      <c r="A1285">
        <f t="shared" si="40"/>
        <v>3</v>
      </c>
      <c r="B1285">
        <f t="shared" si="41"/>
        <v>10</v>
      </c>
      <c r="C1285" s="1">
        <v>46085</v>
      </c>
      <c r="D1285" t="s">
        <v>25</v>
      </c>
      <c r="E1285" t="s">
        <v>26</v>
      </c>
      <c r="F1285" t="s">
        <v>49</v>
      </c>
      <c r="G1285" t="s">
        <v>50</v>
      </c>
      <c r="H1285" t="s">
        <v>29</v>
      </c>
      <c r="I1285" t="s">
        <v>30</v>
      </c>
      <c r="J1285" t="s">
        <v>95</v>
      </c>
      <c r="K1285" t="s">
        <v>42</v>
      </c>
      <c r="L1285" t="s">
        <v>826</v>
      </c>
      <c r="M1285" s="4">
        <v>1</v>
      </c>
      <c r="N1285" s="4">
        <v>1</v>
      </c>
      <c r="O1285" s="2">
        <v>1</v>
      </c>
      <c r="P1285" s="3">
        <v>0.45</v>
      </c>
      <c r="Q1285" s="3">
        <v>0.45</v>
      </c>
      <c r="R1285" s="3">
        <v>0</v>
      </c>
      <c r="S1285" s="2"/>
      <c r="T1285" s="5">
        <v>0</v>
      </c>
      <c r="U1285" s="4">
        <v>0</v>
      </c>
      <c r="V1285" s="4">
        <v>0</v>
      </c>
      <c r="W1285" s="2">
        <v>0</v>
      </c>
      <c r="X1285" s="4">
        <v>0</v>
      </c>
      <c r="Y1285" s="4">
        <v>0</v>
      </c>
      <c r="Z1285" s="3">
        <v>0</v>
      </c>
      <c r="AA1285" s="3">
        <v>0</v>
      </c>
    </row>
    <row r="1286" spans="1:27" x14ac:dyDescent="0.2">
      <c r="A1286">
        <f t="shared" si="40"/>
        <v>3</v>
      </c>
      <c r="B1286">
        <f t="shared" si="41"/>
        <v>11</v>
      </c>
      <c r="C1286" s="1">
        <v>46095</v>
      </c>
      <c r="D1286" t="s">
        <v>25</v>
      </c>
      <c r="E1286" t="s">
        <v>26</v>
      </c>
      <c r="F1286" t="s">
        <v>49</v>
      </c>
      <c r="G1286" t="s">
        <v>50</v>
      </c>
      <c r="H1286" t="s">
        <v>29</v>
      </c>
      <c r="I1286" t="s">
        <v>30</v>
      </c>
      <c r="J1286" t="s">
        <v>51</v>
      </c>
      <c r="K1286" t="s">
        <v>42</v>
      </c>
      <c r="L1286" t="s">
        <v>31</v>
      </c>
      <c r="M1286" s="4">
        <v>2</v>
      </c>
      <c r="N1286" s="4">
        <v>1</v>
      </c>
      <c r="O1286" s="2">
        <v>0.5</v>
      </c>
      <c r="P1286" s="3">
        <v>0.6</v>
      </c>
      <c r="Q1286" s="3">
        <v>0.6</v>
      </c>
      <c r="R1286" s="3">
        <v>0</v>
      </c>
      <c r="S1286" s="2"/>
      <c r="T1286" s="5">
        <v>0</v>
      </c>
      <c r="U1286" s="4">
        <v>0</v>
      </c>
      <c r="V1286" s="4">
        <v>0</v>
      </c>
      <c r="W1286" s="2">
        <v>0</v>
      </c>
      <c r="X1286" s="4">
        <v>0</v>
      </c>
      <c r="Y1286" s="4">
        <v>0</v>
      </c>
      <c r="Z1286" s="3">
        <v>0</v>
      </c>
      <c r="AA1286" s="3">
        <v>0</v>
      </c>
    </row>
    <row r="1287" spans="1:27" x14ac:dyDescent="0.2">
      <c r="A1287">
        <f t="shared" si="40"/>
        <v>3</v>
      </c>
      <c r="B1287">
        <f t="shared" si="41"/>
        <v>11</v>
      </c>
      <c r="C1287" s="1">
        <v>46091</v>
      </c>
      <c r="D1287" t="s">
        <v>25</v>
      </c>
      <c r="E1287" t="s">
        <v>26</v>
      </c>
      <c r="F1287" t="s">
        <v>27</v>
      </c>
      <c r="G1287" t="s">
        <v>28</v>
      </c>
      <c r="H1287" t="s">
        <v>29</v>
      </c>
      <c r="I1287" t="s">
        <v>30</v>
      </c>
      <c r="J1287" t="s">
        <v>31</v>
      </c>
      <c r="K1287" t="s">
        <v>32</v>
      </c>
      <c r="L1287" t="s">
        <v>31</v>
      </c>
      <c r="M1287" s="4">
        <v>3</v>
      </c>
      <c r="N1287" s="4">
        <v>1</v>
      </c>
      <c r="O1287" s="2">
        <v>0.33333333333333331</v>
      </c>
      <c r="P1287" s="3">
        <v>0.21</v>
      </c>
      <c r="Q1287" s="3">
        <v>0.21</v>
      </c>
      <c r="R1287" s="3">
        <v>0</v>
      </c>
      <c r="S1287" s="2"/>
      <c r="T1287" s="5">
        <v>0</v>
      </c>
      <c r="U1287" s="4">
        <v>0</v>
      </c>
      <c r="V1287" s="4">
        <v>0</v>
      </c>
      <c r="W1287" s="2">
        <v>0</v>
      </c>
      <c r="X1287" s="4">
        <v>0</v>
      </c>
      <c r="Y1287" s="4">
        <v>0</v>
      </c>
      <c r="Z1287" s="3">
        <v>0</v>
      </c>
      <c r="AA1287" s="3">
        <v>0</v>
      </c>
    </row>
    <row r="1288" spans="1:27" x14ac:dyDescent="0.2">
      <c r="A1288">
        <f t="shared" si="40"/>
        <v>3</v>
      </c>
      <c r="B1288">
        <f t="shared" si="41"/>
        <v>10</v>
      </c>
      <c r="C1288" s="1">
        <v>46087</v>
      </c>
      <c r="D1288" t="s">
        <v>25</v>
      </c>
      <c r="E1288" t="s">
        <v>26</v>
      </c>
      <c r="F1288" t="s">
        <v>27</v>
      </c>
      <c r="G1288" t="s">
        <v>124</v>
      </c>
      <c r="H1288" t="s">
        <v>29</v>
      </c>
      <c r="I1288" t="s">
        <v>30</v>
      </c>
      <c r="J1288" t="s">
        <v>31</v>
      </c>
      <c r="K1288" t="s">
        <v>87</v>
      </c>
      <c r="L1288" t="s">
        <v>31</v>
      </c>
      <c r="M1288" s="4">
        <v>17</v>
      </c>
      <c r="N1288" s="4">
        <v>1</v>
      </c>
      <c r="O1288" s="2">
        <v>5.8823529411764698E-2</v>
      </c>
      <c r="P1288" s="3">
        <v>0.2</v>
      </c>
      <c r="Q1288" s="3">
        <v>0.2</v>
      </c>
      <c r="R1288" s="3">
        <v>0</v>
      </c>
      <c r="S1288" s="2"/>
      <c r="T1288" s="5">
        <v>0</v>
      </c>
      <c r="U1288" s="4">
        <v>0</v>
      </c>
      <c r="V1288" s="4">
        <v>0</v>
      </c>
      <c r="W1288" s="2">
        <v>0</v>
      </c>
      <c r="X1288" s="4">
        <v>0</v>
      </c>
      <c r="Y1288" s="4">
        <v>0</v>
      </c>
      <c r="Z1288" s="3">
        <v>0</v>
      </c>
      <c r="AA1288" s="3">
        <v>0</v>
      </c>
    </row>
    <row r="1289" spans="1:27" x14ac:dyDescent="0.2">
      <c r="A1289">
        <f t="shared" si="40"/>
        <v>3</v>
      </c>
      <c r="B1289">
        <f t="shared" si="41"/>
        <v>11</v>
      </c>
      <c r="C1289" s="1">
        <v>46092</v>
      </c>
      <c r="D1289" t="s">
        <v>25</v>
      </c>
      <c r="E1289" t="s">
        <v>26</v>
      </c>
      <c r="F1289" t="s">
        <v>27</v>
      </c>
      <c r="G1289" t="s">
        <v>124</v>
      </c>
      <c r="H1289" t="s">
        <v>29</v>
      </c>
      <c r="I1289" t="s">
        <v>30</v>
      </c>
      <c r="J1289" t="s">
        <v>31</v>
      </c>
      <c r="K1289" t="s">
        <v>87</v>
      </c>
      <c r="L1289" t="s">
        <v>31</v>
      </c>
      <c r="M1289" s="4">
        <v>32</v>
      </c>
      <c r="N1289" s="4">
        <v>1</v>
      </c>
      <c r="O1289" s="2">
        <v>3.125E-2</v>
      </c>
      <c r="P1289" s="3">
        <v>0.2</v>
      </c>
      <c r="Q1289" s="3">
        <v>0.2</v>
      </c>
      <c r="R1289" s="3">
        <v>0</v>
      </c>
      <c r="S1289" s="2"/>
      <c r="T1289" s="5">
        <v>0</v>
      </c>
      <c r="U1289" s="4">
        <v>0</v>
      </c>
      <c r="V1289" s="4">
        <v>0</v>
      </c>
      <c r="W1289" s="2">
        <v>0</v>
      </c>
      <c r="X1289" s="4">
        <v>0</v>
      </c>
      <c r="Y1289" s="4">
        <v>0</v>
      </c>
      <c r="Z1289" s="3">
        <v>0</v>
      </c>
      <c r="AA1289" s="3">
        <v>0</v>
      </c>
    </row>
    <row r="1290" spans="1:27" x14ac:dyDescent="0.2">
      <c r="A1290">
        <f t="shared" si="40"/>
        <v>3</v>
      </c>
      <c r="B1290">
        <f t="shared" si="41"/>
        <v>10</v>
      </c>
      <c r="C1290" s="1">
        <v>46086</v>
      </c>
      <c r="D1290" t="s">
        <v>25</v>
      </c>
      <c r="E1290" t="s">
        <v>26</v>
      </c>
      <c r="F1290" t="s">
        <v>27</v>
      </c>
      <c r="G1290" t="s">
        <v>28</v>
      </c>
      <c r="H1290" t="s">
        <v>29</v>
      </c>
      <c r="I1290" t="s">
        <v>30</v>
      </c>
      <c r="J1290" t="s">
        <v>156</v>
      </c>
      <c r="K1290" t="s">
        <v>32</v>
      </c>
      <c r="L1290" t="s">
        <v>31</v>
      </c>
      <c r="M1290" s="4">
        <v>1</v>
      </c>
      <c r="N1290" s="4">
        <v>1</v>
      </c>
      <c r="O1290" s="2">
        <v>1</v>
      </c>
      <c r="P1290" s="3">
        <v>0.21</v>
      </c>
      <c r="Q1290" s="3">
        <v>0.21</v>
      </c>
      <c r="R1290" s="3">
        <v>0</v>
      </c>
      <c r="S1290" s="2"/>
      <c r="T1290" s="5">
        <v>0</v>
      </c>
      <c r="U1290" s="4">
        <v>0</v>
      </c>
      <c r="V1290" s="4">
        <v>0</v>
      </c>
      <c r="W1290" s="2">
        <v>0</v>
      </c>
      <c r="X1290" s="4">
        <v>0</v>
      </c>
      <c r="Y1290" s="4">
        <v>0</v>
      </c>
      <c r="Z1290" s="3">
        <v>0</v>
      </c>
      <c r="AA1290" s="3">
        <v>0</v>
      </c>
    </row>
    <row r="1291" spans="1:27" x14ac:dyDescent="0.2">
      <c r="A1291">
        <f t="shared" si="40"/>
        <v>3</v>
      </c>
      <c r="B1291">
        <f t="shared" si="41"/>
        <v>11</v>
      </c>
      <c r="C1291" s="1">
        <v>46089</v>
      </c>
      <c r="D1291" t="s">
        <v>25</v>
      </c>
      <c r="E1291" t="s">
        <v>26</v>
      </c>
      <c r="F1291" t="s">
        <v>27</v>
      </c>
      <c r="G1291" t="s">
        <v>28</v>
      </c>
      <c r="H1291" t="s">
        <v>29</v>
      </c>
      <c r="I1291" t="s">
        <v>30</v>
      </c>
      <c r="J1291" t="s">
        <v>272</v>
      </c>
      <c r="K1291" t="s">
        <v>32</v>
      </c>
      <c r="L1291" t="s">
        <v>31</v>
      </c>
      <c r="M1291" s="4">
        <v>2</v>
      </c>
      <c r="N1291" s="4">
        <v>1</v>
      </c>
      <c r="O1291" s="2">
        <v>0.5</v>
      </c>
      <c r="P1291" s="3">
        <v>0.2</v>
      </c>
      <c r="Q1291" s="3">
        <v>0.2</v>
      </c>
      <c r="R1291" s="3">
        <v>0</v>
      </c>
      <c r="S1291" s="2"/>
      <c r="T1291" s="5">
        <v>0</v>
      </c>
      <c r="U1291" s="4">
        <v>0</v>
      </c>
      <c r="V1291" s="4">
        <v>0</v>
      </c>
      <c r="W1291" s="2">
        <v>0</v>
      </c>
      <c r="X1291" s="4">
        <v>0</v>
      </c>
      <c r="Y1291" s="4">
        <v>0</v>
      </c>
      <c r="Z1291" s="3">
        <v>0</v>
      </c>
      <c r="AA1291" s="3">
        <v>0</v>
      </c>
    </row>
    <row r="1292" spans="1:27" x14ac:dyDescent="0.2">
      <c r="A1292">
        <f t="shared" si="40"/>
        <v>3</v>
      </c>
      <c r="B1292">
        <f t="shared" si="41"/>
        <v>12</v>
      </c>
      <c r="C1292" s="1">
        <v>46097</v>
      </c>
      <c r="D1292" t="s">
        <v>25</v>
      </c>
      <c r="E1292" t="s">
        <v>26</v>
      </c>
      <c r="F1292" t="s">
        <v>27</v>
      </c>
      <c r="G1292" t="s">
        <v>124</v>
      </c>
      <c r="H1292" t="s">
        <v>29</v>
      </c>
      <c r="I1292" t="s">
        <v>30</v>
      </c>
      <c r="J1292" t="s">
        <v>31</v>
      </c>
      <c r="K1292" t="s">
        <v>87</v>
      </c>
      <c r="L1292" t="s">
        <v>272</v>
      </c>
      <c r="M1292" s="4">
        <v>4</v>
      </c>
      <c r="N1292" s="4">
        <v>2</v>
      </c>
      <c r="O1292" s="2">
        <v>0.5</v>
      </c>
      <c r="P1292" s="3">
        <v>0.21</v>
      </c>
      <c r="Q1292" s="3">
        <v>0.42</v>
      </c>
      <c r="R1292" s="3">
        <v>0</v>
      </c>
      <c r="S1292" s="2"/>
      <c r="T1292" s="5">
        <v>0</v>
      </c>
      <c r="U1292" s="4">
        <v>0</v>
      </c>
      <c r="V1292" s="4">
        <v>0</v>
      </c>
      <c r="W1292" s="2">
        <v>0</v>
      </c>
      <c r="X1292" s="4">
        <v>0</v>
      </c>
      <c r="Y1292" s="4">
        <v>0</v>
      </c>
      <c r="Z1292" s="3">
        <v>0</v>
      </c>
      <c r="AA1292" s="3">
        <v>0</v>
      </c>
    </row>
    <row r="1293" spans="1:27" x14ac:dyDescent="0.2">
      <c r="A1293">
        <f t="shared" si="40"/>
        <v>3</v>
      </c>
      <c r="B1293">
        <f t="shared" si="41"/>
        <v>11</v>
      </c>
      <c r="C1293" s="1">
        <v>46091</v>
      </c>
      <c r="D1293" t="s">
        <v>25</v>
      </c>
      <c r="E1293" t="s">
        <v>26</v>
      </c>
      <c r="F1293" t="s">
        <v>27</v>
      </c>
      <c r="G1293" t="s">
        <v>124</v>
      </c>
      <c r="H1293" t="s">
        <v>29</v>
      </c>
      <c r="I1293" t="s">
        <v>30</v>
      </c>
      <c r="J1293" t="s">
        <v>31</v>
      </c>
      <c r="K1293" t="s">
        <v>87</v>
      </c>
      <c r="L1293" t="s">
        <v>827</v>
      </c>
      <c r="M1293" s="4">
        <v>1</v>
      </c>
      <c r="N1293" s="4">
        <v>1</v>
      </c>
      <c r="O1293" s="2">
        <v>1</v>
      </c>
      <c r="P1293" s="3">
        <v>0.21</v>
      </c>
      <c r="Q1293" s="3">
        <v>0.21</v>
      </c>
      <c r="R1293" s="3">
        <v>0</v>
      </c>
      <c r="S1293" s="2"/>
      <c r="T1293" s="5">
        <v>0</v>
      </c>
      <c r="U1293" s="4">
        <v>0</v>
      </c>
      <c r="V1293" s="4">
        <v>0</v>
      </c>
      <c r="W1293" s="2">
        <v>0</v>
      </c>
      <c r="X1293" s="4">
        <v>0</v>
      </c>
      <c r="Y1293" s="4">
        <v>0</v>
      </c>
      <c r="Z1293" s="3">
        <v>0</v>
      </c>
      <c r="AA1293" s="3">
        <v>0</v>
      </c>
    </row>
    <row r="1294" spans="1:27" x14ac:dyDescent="0.2">
      <c r="A1294">
        <f t="shared" si="40"/>
        <v>3</v>
      </c>
      <c r="B1294">
        <f t="shared" si="41"/>
        <v>12</v>
      </c>
      <c r="C1294" s="1">
        <v>46098</v>
      </c>
      <c r="D1294" t="s">
        <v>25</v>
      </c>
      <c r="E1294" t="s">
        <v>26</v>
      </c>
      <c r="F1294" t="s">
        <v>39</v>
      </c>
      <c r="G1294" t="s">
        <v>40</v>
      </c>
      <c r="H1294" t="s">
        <v>29</v>
      </c>
      <c r="I1294" t="s">
        <v>30</v>
      </c>
      <c r="J1294" t="s">
        <v>70</v>
      </c>
      <c r="K1294" t="s">
        <v>42</v>
      </c>
      <c r="L1294" t="s">
        <v>828</v>
      </c>
      <c r="M1294" s="4">
        <v>2</v>
      </c>
      <c r="N1294" s="4">
        <v>1</v>
      </c>
      <c r="O1294" s="2">
        <v>0.5</v>
      </c>
      <c r="P1294" s="3">
        <v>0.6</v>
      </c>
      <c r="Q1294" s="3">
        <v>0.6</v>
      </c>
      <c r="R1294" s="3">
        <v>0</v>
      </c>
      <c r="S1294" s="2"/>
      <c r="T1294" s="5">
        <v>0</v>
      </c>
      <c r="U1294" s="4">
        <v>0</v>
      </c>
      <c r="V1294" s="4">
        <v>0</v>
      </c>
      <c r="W1294" s="2">
        <v>0</v>
      </c>
      <c r="X1294" s="4">
        <v>0</v>
      </c>
      <c r="Y1294" s="4">
        <v>0</v>
      </c>
      <c r="Z1294" s="3">
        <v>0</v>
      </c>
      <c r="AA1294" s="3">
        <v>0</v>
      </c>
    </row>
    <row r="1295" spans="1:27" x14ac:dyDescent="0.2">
      <c r="A1295">
        <f t="shared" si="40"/>
        <v>3</v>
      </c>
      <c r="B1295">
        <f t="shared" si="41"/>
        <v>12</v>
      </c>
      <c r="C1295" s="1">
        <v>46099</v>
      </c>
      <c r="D1295" t="s">
        <v>25</v>
      </c>
      <c r="E1295" t="s">
        <v>26</v>
      </c>
      <c r="F1295" t="s">
        <v>27</v>
      </c>
      <c r="G1295" t="s">
        <v>124</v>
      </c>
      <c r="H1295" t="s">
        <v>29</v>
      </c>
      <c r="I1295" t="s">
        <v>30</v>
      </c>
      <c r="J1295" t="s">
        <v>31</v>
      </c>
      <c r="K1295" t="s">
        <v>87</v>
      </c>
      <c r="L1295" t="s">
        <v>829</v>
      </c>
      <c r="M1295" s="4">
        <v>1</v>
      </c>
      <c r="N1295" s="4">
        <v>1</v>
      </c>
      <c r="O1295" s="2">
        <v>1</v>
      </c>
      <c r="P1295" s="3">
        <v>0.44</v>
      </c>
      <c r="Q1295" s="3">
        <v>0.44</v>
      </c>
      <c r="R1295" s="3">
        <v>0</v>
      </c>
      <c r="S1295" s="2"/>
      <c r="T1295" s="5">
        <v>0</v>
      </c>
      <c r="U1295" s="4">
        <v>0</v>
      </c>
      <c r="V1295" s="4">
        <v>0</v>
      </c>
      <c r="W1295" s="2">
        <v>0</v>
      </c>
      <c r="X1295" s="4">
        <v>0</v>
      </c>
      <c r="Y1295" s="4">
        <v>0</v>
      </c>
      <c r="Z1295" s="3">
        <v>0</v>
      </c>
      <c r="AA1295" s="3">
        <v>0</v>
      </c>
    </row>
    <row r="1296" spans="1:27" x14ac:dyDescent="0.2">
      <c r="A1296">
        <f t="shared" si="40"/>
        <v>3</v>
      </c>
      <c r="B1296">
        <f t="shared" si="41"/>
        <v>12</v>
      </c>
      <c r="C1296" s="1">
        <v>46102</v>
      </c>
      <c r="D1296" t="s">
        <v>25</v>
      </c>
      <c r="E1296" t="s">
        <v>26</v>
      </c>
      <c r="F1296" t="s">
        <v>27</v>
      </c>
      <c r="G1296" t="s">
        <v>28</v>
      </c>
      <c r="H1296" t="s">
        <v>29</v>
      </c>
      <c r="I1296" t="s">
        <v>30</v>
      </c>
      <c r="J1296" t="s">
        <v>50</v>
      </c>
      <c r="K1296" t="s">
        <v>32</v>
      </c>
      <c r="L1296" t="s">
        <v>830</v>
      </c>
      <c r="M1296" s="4">
        <v>3</v>
      </c>
      <c r="N1296" s="4">
        <v>1</v>
      </c>
      <c r="O1296" s="2">
        <v>0.33333333333333331</v>
      </c>
      <c r="P1296" s="3">
        <v>0.4</v>
      </c>
      <c r="Q1296" s="3">
        <v>0.4</v>
      </c>
      <c r="R1296" s="3">
        <v>0</v>
      </c>
      <c r="S1296" s="2"/>
      <c r="T1296" s="5">
        <v>0</v>
      </c>
      <c r="U1296" s="4">
        <v>0</v>
      </c>
      <c r="V1296" s="4">
        <v>0</v>
      </c>
      <c r="W1296" s="2">
        <v>0</v>
      </c>
      <c r="X1296" s="4">
        <v>0</v>
      </c>
      <c r="Y1296" s="4">
        <v>0</v>
      </c>
      <c r="Z1296" s="3">
        <v>0</v>
      </c>
      <c r="AA1296" s="3">
        <v>0</v>
      </c>
    </row>
    <row r="1297" spans="1:27" x14ac:dyDescent="0.2">
      <c r="A1297">
        <f t="shared" si="40"/>
        <v>3</v>
      </c>
      <c r="B1297">
        <f t="shared" si="41"/>
        <v>11</v>
      </c>
      <c r="C1297" s="1">
        <v>46091</v>
      </c>
      <c r="D1297" t="s">
        <v>25</v>
      </c>
      <c r="E1297" t="s">
        <v>26</v>
      </c>
      <c r="F1297" t="s">
        <v>49</v>
      </c>
      <c r="G1297" t="s">
        <v>50</v>
      </c>
      <c r="H1297" t="s">
        <v>29</v>
      </c>
      <c r="I1297" t="s">
        <v>30</v>
      </c>
      <c r="J1297" t="s">
        <v>95</v>
      </c>
      <c r="K1297" t="s">
        <v>42</v>
      </c>
      <c r="L1297" t="s">
        <v>831</v>
      </c>
      <c r="M1297" s="4">
        <v>1</v>
      </c>
      <c r="N1297" s="4">
        <v>1</v>
      </c>
      <c r="O1297" s="2">
        <v>1</v>
      </c>
      <c r="P1297" s="3">
        <v>0.5</v>
      </c>
      <c r="Q1297" s="3">
        <v>0.5</v>
      </c>
      <c r="R1297" s="3">
        <v>0</v>
      </c>
      <c r="S1297" s="2"/>
      <c r="T1297" s="5">
        <v>0</v>
      </c>
      <c r="U1297" s="4">
        <v>0</v>
      </c>
      <c r="V1297" s="4">
        <v>0</v>
      </c>
      <c r="W1297" s="2">
        <v>0</v>
      </c>
      <c r="X1297" s="4">
        <v>0</v>
      </c>
      <c r="Y1297" s="4">
        <v>0</v>
      </c>
      <c r="Z1297" s="3">
        <v>0</v>
      </c>
      <c r="AA1297" s="3">
        <v>0</v>
      </c>
    </row>
    <row r="1298" spans="1:27" x14ac:dyDescent="0.2">
      <c r="A1298">
        <f t="shared" si="40"/>
        <v>3</v>
      </c>
      <c r="B1298">
        <f t="shared" si="41"/>
        <v>12</v>
      </c>
      <c r="C1298" s="1">
        <v>46099</v>
      </c>
      <c r="D1298" t="s">
        <v>25</v>
      </c>
      <c r="E1298" t="s">
        <v>26</v>
      </c>
      <c r="F1298" t="s">
        <v>27</v>
      </c>
      <c r="G1298" t="s">
        <v>28</v>
      </c>
      <c r="H1298" t="s">
        <v>29</v>
      </c>
      <c r="I1298" t="s">
        <v>30</v>
      </c>
      <c r="J1298" t="s">
        <v>31</v>
      </c>
      <c r="K1298" t="s">
        <v>32</v>
      </c>
      <c r="L1298" t="s">
        <v>832</v>
      </c>
      <c r="M1298" s="4">
        <v>1</v>
      </c>
      <c r="N1298" s="4">
        <v>1</v>
      </c>
      <c r="O1298" s="2">
        <v>1</v>
      </c>
      <c r="P1298" s="3">
        <v>0.4</v>
      </c>
      <c r="Q1298" s="3">
        <v>0.4</v>
      </c>
      <c r="R1298" s="3">
        <v>0</v>
      </c>
      <c r="S1298" s="2"/>
      <c r="T1298" s="5">
        <v>0</v>
      </c>
      <c r="U1298" s="4">
        <v>0</v>
      </c>
      <c r="V1298" s="4">
        <v>0</v>
      </c>
      <c r="W1298" s="2">
        <v>0</v>
      </c>
      <c r="X1298" s="4">
        <v>0</v>
      </c>
      <c r="Y1298" s="4">
        <v>0</v>
      </c>
      <c r="Z1298" s="3">
        <v>0</v>
      </c>
      <c r="AA1298" s="3">
        <v>0</v>
      </c>
    </row>
    <row r="1299" spans="1:27" x14ac:dyDescent="0.2">
      <c r="A1299">
        <f t="shared" si="40"/>
        <v>3</v>
      </c>
      <c r="B1299">
        <f t="shared" si="41"/>
        <v>12</v>
      </c>
      <c r="C1299" s="1">
        <v>46099</v>
      </c>
      <c r="D1299" t="s">
        <v>25</v>
      </c>
      <c r="E1299" t="s">
        <v>26</v>
      </c>
      <c r="F1299" t="s">
        <v>27</v>
      </c>
      <c r="G1299" t="s">
        <v>28</v>
      </c>
      <c r="H1299" t="s">
        <v>29</v>
      </c>
      <c r="I1299" t="s">
        <v>30</v>
      </c>
      <c r="J1299" t="s">
        <v>31</v>
      </c>
      <c r="K1299" t="s">
        <v>32</v>
      </c>
      <c r="L1299" t="s">
        <v>833</v>
      </c>
      <c r="M1299" s="4">
        <v>2</v>
      </c>
      <c r="N1299" s="4">
        <v>1</v>
      </c>
      <c r="O1299" s="2">
        <v>0.5</v>
      </c>
      <c r="P1299" s="3">
        <v>0.21</v>
      </c>
      <c r="Q1299" s="3">
        <v>0.21</v>
      </c>
      <c r="R1299" s="3">
        <v>0</v>
      </c>
      <c r="S1299" s="2"/>
      <c r="T1299" s="5">
        <v>0</v>
      </c>
      <c r="U1299" s="4">
        <v>0</v>
      </c>
      <c r="V1299" s="4">
        <v>0</v>
      </c>
      <c r="W1299" s="2">
        <v>0</v>
      </c>
      <c r="X1299" s="4">
        <v>0</v>
      </c>
      <c r="Y1299" s="4">
        <v>0</v>
      </c>
      <c r="Z1299" s="3">
        <v>0</v>
      </c>
      <c r="AA1299" s="3">
        <v>0</v>
      </c>
    </row>
    <row r="1300" spans="1:27" x14ac:dyDescent="0.2">
      <c r="A1300">
        <f t="shared" si="40"/>
        <v>3</v>
      </c>
      <c r="B1300">
        <f t="shared" si="41"/>
        <v>10</v>
      </c>
      <c r="C1300" s="1">
        <v>46082</v>
      </c>
      <c r="D1300" t="s">
        <v>25</v>
      </c>
      <c r="E1300" t="s">
        <v>26</v>
      </c>
      <c r="F1300" t="s">
        <v>27</v>
      </c>
      <c r="G1300" t="s">
        <v>28</v>
      </c>
      <c r="H1300" t="s">
        <v>29</v>
      </c>
      <c r="I1300" t="s">
        <v>30</v>
      </c>
      <c r="J1300" t="s">
        <v>50</v>
      </c>
      <c r="K1300" t="s">
        <v>32</v>
      </c>
      <c r="L1300" t="s">
        <v>834</v>
      </c>
      <c r="M1300" s="4">
        <v>3</v>
      </c>
      <c r="N1300" s="4">
        <v>1</v>
      </c>
      <c r="O1300" s="2">
        <v>0.33333333333333331</v>
      </c>
      <c r="P1300" s="3">
        <v>0.21</v>
      </c>
      <c r="Q1300" s="3">
        <v>0.21</v>
      </c>
      <c r="R1300" s="3">
        <v>0</v>
      </c>
      <c r="S1300" s="2"/>
      <c r="T1300" s="5">
        <v>0</v>
      </c>
      <c r="U1300" s="4">
        <v>0</v>
      </c>
      <c r="V1300" s="4">
        <v>0</v>
      </c>
      <c r="W1300" s="2">
        <v>0</v>
      </c>
      <c r="X1300" s="4">
        <v>0</v>
      </c>
      <c r="Y1300" s="4">
        <v>0</v>
      </c>
      <c r="Z1300" s="3">
        <v>0</v>
      </c>
      <c r="AA1300" s="3">
        <v>0</v>
      </c>
    </row>
    <row r="1301" spans="1:27" x14ac:dyDescent="0.2">
      <c r="A1301">
        <f t="shared" si="40"/>
        <v>3</v>
      </c>
      <c r="B1301">
        <f t="shared" si="41"/>
        <v>10</v>
      </c>
      <c r="C1301" s="1">
        <v>46087</v>
      </c>
      <c r="D1301" t="s">
        <v>25</v>
      </c>
      <c r="E1301" t="s">
        <v>26</v>
      </c>
      <c r="F1301" t="s">
        <v>49</v>
      </c>
      <c r="G1301" t="s">
        <v>50</v>
      </c>
      <c r="H1301" t="s">
        <v>29</v>
      </c>
      <c r="I1301" t="s">
        <v>30</v>
      </c>
      <c r="J1301" t="s">
        <v>47</v>
      </c>
      <c r="K1301" t="s">
        <v>42</v>
      </c>
      <c r="L1301" t="s">
        <v>101</v>
      </c>
      <c r="M1301" s="4">
        <v>23</v>
      </c>
      <c r="N1301" s="4">
        <v>1</v>
      </c>
      <c r="O1301" s="2">
        <v>4.3478260869565216E-2</v>
      </c>
      <c r="P1301" s="3">
        <v>0.88</v>
      </c>
      <c r="Q1301" s="3">
        <v>0.88</v>
      </c>
      <c r="R1301" s="3">
        <v>0</v>
      </c>
      <c r="S1301" s="2"/>
      <c r="T1301" s="5">
        <v>0</v>
      </c>
      <c r="U1301" s="4">
        <v>0</v>
      </c>
      <c r="V1301" s="4">
        <v>0</v>
      </c>
      <c r="W1301" s="2">
        <v>0</v>
      </c>
      <c r="X1301" s="4">
        <v>0</v>
      </c>
      <c r="Y1301" s="4">
        <v>0</v>
      </c>
      <c r="Z1301" s="3">
        <v>0</v>
      </c>
      <c r="AA1301" s="3">
        <v>0</v>
      </c>
    </row>
    <row r="1302" spans="1:27" x14ac:dyDescent="0.2">
      <c r="A1302">
        <f t="shared" si="40"/>
        <v>3</v>
      </c>
      <c r="B1302">
        <f t="shared" si="41"/>
        <v>12</v>
      </c>
      <c r="C1302" s="1">
        <v>46101</v>
      </c>
      <c r="D1302" t="s">
        <v>25</v>
      </c>
      <c r="E1302" t="s">
        <v>26</v>
      </c>
      <c r="F1302" t="s">
        <v>49</v>
      </c>
      <c r="G1302" t="s">
        <v>50</v>
      </c>
      <c r="H1302" t="s">
        <v>29</v>
      </c>
      <c r="I1302" t="s">
        <v>30</v>
      </c>
      <c r="J1302" t="s">
        <v>47</v>
      </c>
      <c r="K1302" t="s">
        <v>42</v>
      </c>
      <c r="L1302" t="s">
        <v>101</v>
      </c>
      <c r="M1302" s="4">
        <v>19</v>
      </c>
      <c r="N1302" s="4">
        <v>1</v>
      </c>
      <c r="O1302" s="2">
        <v>5.2631578947368418E-2</v>
      </c>
      <c r="P1302" s="3">
        <v>0.72</v>
      </c>
      <c r="Q1302" s="3">
        <v>0.72</v>
      </c>
      <c r="R1302" s="3">
        <v>0</v>
      </c>
      <c r="S1302" s="2"/>
      <c r="T1302" s="5">
        <v>0</v>
      </c>
      <c r="U1302" s="4">
        <v>0</v>
      </c>
      <c r="V1302" s="4">
        <v>0</v>
      </c>
      <c r="W1302" s="2">
        <v>0</v>
      </c>
      <c r="X1302" s="4">
        <v>0</v>
      </c>
      <c r="Y1302" s="4">
        <v>0</v>
      </c>
      <c r="Z1302" s="3">
        <v>0</v>
      </c>
      <c r="AA1302" s="3">
        <v>0</v>
      </c>
    </row>
    <row r="1303" spans="1:27" x14ac:dyDescent="0.2">
      <c r="A1303">
        <f t="shared" si="40"/>
        <v>3</v>
      </c>
      <c r="B1303">
        <f t="shared" si="41"/>
        <v>10</v>
      </c>
      <c r="C1303" s="1">
        <v>46082</v>
      </c>
      <c r="D1303" t="s">
        <v>25</v>
      </c>
      <c r="E1303" t="s">
        <v>26</v>
      </c>
      <c r="F1303" t="s">
        <v>34</v>
      </c>
      <c r="G1303" t="s">
        <v>273</v>
      </c>
      <c r="H1303" t="s">
        <v>29</v>
      </c>
      <c r="I1303" t="s">
        <v>30</v>
      </c>
      <c r="J1303" t="s">
        <v>101</v>
      </c>
      <c r="K1303" t="s">
        <v>267</v>
      </c>
      <c r="L1303" t="s">
        <v>101</v>
      </c>
      <c r="M1303" s="4">
        <v>28</v>
      </c>
      <c r="N1303" s="4">
        <v>1</v>
      </c>
      <c r="O1303" s="2">
        <v>3.5714285714285712E-2</v>
      </c>
      <c r="P1303" s="3">
        <v>1.03</v>
      </c>
      <c r="Q1303" s="3">
        <v>1.03</v>
      </c>
      <c r="R1303" s="3">
        <v>17.09</v>
      </c>
      <c r="S1303" s="2">
        <v>6.0269163253364552E-2</v>
      </c>
      <c r="T1303" s="5">
        <v>16.592233009708739</v>
      </c>
      <c r="U1303" s="4">
        <v>1</v>
      </c>
      <c r="V1303" s="4">
        <v>1</v>
      </c>
      <c r="W1303" s="2">
        <v>1</v>
      </c>
      <c r="X1303" s="4">
        <v>1</v>
      </c>
      <c r="Y1303" s="4">
        <v>0</v>
      </c>
      <c r="Z1303" s="3">
        <v>17.09</v>
      </c>
      <c r="AA1303" s="3">
        <v>0</v>
      </c>
    </row>
    <row r="1304" spans="1:27" x14ac:dyDescent="0.2">
      <c r="A1304">
        <f t="shared" si="40"/>
        <v>3</v>
      </c>
      <c r="B1304">
        <f t="shared" si="41"/>
        <v>10</v>
      </c>
      <c r="C1304" s="1">
        <v>46085</v>
      </c>
      <c r="D1304" t="s">
        <v>25</v>
      </c>
      <c r="E1304" t="s">
        <v>26</v>
      </c>
      <c r="F1304" t="s">
        <v>34</v>
      </c>
      <c r="G1304" t="s">
        <v>273</v>
      </c>
      <c r="H1304" t="s">
        <v>29</v>
      </c>
      <c r="I1304" t="s">
        <v>30</v>
      </c>
      <c r="J1304" t="s">
        <v>101</v>
      </c>
      <c r="K1304" t="s">
        <v>267</v>
      </c>
      <c r="L1304" t="s">
        <v>101</v>
      </c>
      <c r="M1304" s="4">
        <v>85</v>
      </c>
      <c r="N1304" s="4">
        <v>1</v>
      </c>
      <c r="O1304" s="2">
        <v>1.1764705882352943E-2</v>
      </c>
      <c r="P1304" s="3">
        <v>1.34</v>
      </c>
      <c r="Q1304" s="3">
        <v>1.34</v>
      </c>
      <c r="R1304" s="3">
        <v>0</v>
      </c>
      <c r="S1304" s="2"/>
      <c r="T1304" s="5">
        <v>0</v>
      </c>
      <c r="U1304" s="4">
        <v>0</v>
      </c>
      <c r="V1304" s="4">
        <v>0</v>
      </c>
      <c r="W1304" s="2">
        <v>0</v>
      </c>
      <c r="X1304" s="4">
        <v>0</v>
      </c>
      <c r="Y1304" s="4">
        <v>0</v>
      </c>
      <c r="Z1304" s="3">
        <v>0</v>
      </c>
      <c r="AA1304" s="3">
        <v>0</v>
      </c>
    </row>
    <row r="1305" spans="1:27" x14ac:dyDescent="0.2">
      <c r="A1305">
        <f t="shared" si="40"/>
        <v>3</v>
      </c>
      <c r="B1305">
        <f t="shared" si="41"/>
        <v>10</v>
      </c>
      <c r="C1305" s="1">
        <v>46086</v>
      </c>
      <c r="D1305" t="s">
        <v>25</v>
      </c>
      <c r="E1305" t="s">
        <v>26</v>
      </c>
      <c r="F1305" t="s">
        <v>34</v>
      </c>
      <c r="G1305" t="s">
        <v>273</v>
      </c>
      <c r="H1305" t="s">
        <v>29</v>
      </c>
      <c r="I1305" t="s">
        <v>30</v>
      </c>
      <c r="J1305" t="s">
        <v>101</v>
      </c>
      <c r="K1305" t="s">
        <v>267</v>
      </c>
      <c r="L1305" t="s">
        <v>101</v>
      </c>
      <c r="M1305" s="4">
        <v>90</v>
      </c>
      <c r="N1305" s="4">
        <v>1</v>
      </c>
      <c r="O1305" s="2">
        <v>1.1111111111111112E-2</v>
      </c>
      <c r="P1305" s="3">
        <v>1.03</v>
      </c>
      <c r="Q1305" s="3">
        <v>1.03</v>
      </c>
      <c r="R1305" s="3">
        <v>0</v>
      </c>
      <c r="S1305" s="2"/>
      <c r="T1305" s="5">
        <v>0</v>
      </c>
      <c r="U1305" s="4">
        <v>0</v>
      </c>
      <c r="V1305" s="4">
        <v>0</v>
      </c>
      <c r="W1305" s="2">
        <v>0</v>
      </c>
      <c r="X1305" s="4">
        <v>0</v>
      </c>
      <c r="Y1305" s="4">
        <v>0</v>
      </c>
      <c r="Z1305" s="3">
        <v>0</v>
      </c>
      <c r="AA1305" s="3">
        <v>0</v>
      </c>
    </row>
    <row r="1306" spans="1:27" x14ac:dyDescent="0.2">
      <c r="A1306">
        <f t="shared" si="40"/>
        <v>3</v>
      </c>
      <c r="B1306">
        <f t="shared" si="41"/>
        <v>11</v>
      </c>
      <c r="C1306" s="1">
        <v>46090</v>
      </c>
      <c r="D1306" t="s">
        <v>25</v>
      </c>
      <c r="E1306" t="s">
        <v>26</v>
      </c>
      <c r="F1306" t="s">
        <v>34</v>
      </c>
      <c r="G1306" t="s">
        <v>273</v>
      </c>
      <c r="H1306" t="s">
        <v>29</v>
      </c>
      <c r="I1306" t="s">
        <v>30</v>
      </c>
      <c r="J1306" t="s">
        <v>101</v>
      </c>
      <c r="K1306" t="s">
        <v>267</v>
      </c>
      <c r="L1306" t="s">
        <v>101</v>
      </c>
      <c r="M1306" s="4">
        <v>3</v>
      </c>
      <c r="N1306" s="4">
        <v>1</v>
      </c>
      <c r="O1306" s="2">
        <v>0.33333333333333331</v>
      </c>
      <c r="P1306" s="3">
        <v>0.8</v>
      </c>
      <c r="Q1306" s="3">
        <v>0.8</v>
      </c>
      <c r="R1306" s="3">
        <v>0</v>
      </c>
      <c r="S1306" s="2"/>
      <c r="T1306" s="5">
        <v>0</v>
      </c>
      <c r="U1306" s="4">
        <v>0</v>
      </c>
      <c r="V1306" s="4">
        <v>0</v>
      </c>
      <c r="W1306" s="2">
        <v>0</v>
      </c>
      <c r="X1306" s="4">
        <v>0</v>
      </c>
      <c r="Y1306" s="4">
        <v>0</v>
      </c>
      <c r="Z1306" s="3">
        <v>0</v>
      </c>
      <c r="AA1306" s="3">
        <v>0</v>
      </c>
    </row>
    <row r="1307" spans="1:27" x14ac:dyDescent="0.2">
      <c r="A1307">
        <f t="shared" si="40"/>
        <v>3</v>
      </c>
      <c r="B1307">
        <f t="shared" si="41"/>
        <v>10</v>
      </c>
      <c r="C1307" s="1">
        <v>46084</v>
      </c>
      <c r="D1307" t="s">
        <v>25</v>
      </c>
      <c r="E1307" t="s">
        <v>26</v>
      </c>
      <c r="F1307" t="s">
        <v>27</v>
      </c>
      <c r="G1307" t="s">
        <v>124</v>
      </c>
      <c r="H1307" t="s">
        <v>29</v>
      </c>
      <c r="I1307" t="s">
        <v>30</v>
      </c>
      <c r="J1307" t="s">
        <v>101</v>
      </c>
      <c r="K1307" t="s">
        <v>87</v>
      </c>
      <c r="L1307" t="s">
        <v>101</v>
      </c>
      <c r="M1307" s="4">
        <v>16</v>
      </c>
      <c r="N1307" s="4">
        <v>1</v>
      </c>
      <c r="O1307" s="2">
        <v>6.25E-2</v>
      </c>
      <c r="P1307" s="3">
        <v>0.2</v>
      </c>
      <c r="Q1307" s="3">
        <v>0.2</v>
      </c>
      <c r="R1307" s="3">
        <v>0</v>
      </c>
      <c r="S1307" s="2"/>
      <c r="T1307" s="5">
        <v>0</v>
      </c>
      <c r="U1307" s="4">
        <v>0</v>
      </c>
      <c r="V1307" s="4">
        <v>0</v>
      </c>
      <c r="W1307" s="2">
        <v>0</v>
      </c>
      <c r="X1307" s="4">
        <v>0</v>
      </c>
      <c r="Y1307" s="4">
        <v>0</v>
      </c>
      <c r="Z1307" s="3">
        <v>0</v>
      </c>
      <c r="AA1307" s="3">
        <v>0</v>
      </c>
    </row>
    <row r="1308" spans="1:27" x14ac:dyDescent="0.2">
      <c r="A1308">
        <f t="shared" si="40"/>
        <v>3</v>
      </c>
      <c r="B1308">
        <f t="shared" si="41"/>
        <v>12</v>
      </c>
      <c r="C1308" s="1">
        <v>46098</v>
      </c>
      <c r="D1308" t="s">
        <v>25</v>
      </c>
      <c r="E1308" t="s">
        <v>26</v>
      </c>
      <c r="F1308" t="s">
        <v>27</v>
      </c>
      <c r="G1308" t="s">
        <v>124</v>
      </c>
      <c r="H1308" t="s">
        <v>29</v>
      </c>
      <c r="I1308" t="s">
        <v>30</v>
      </c>
      <c r="J1308" t="s">
        <v>101</v>
      </c>
      <c r="K1308" t="s">
        <v>87</v>
      </c>
      <c r="L1308" t="s">
        <v>101</v>
      </c>
      <c r="M1308" s="4">
        <v>12</v>
      </c>
      <c r="N1308" s="4">
        <v>1</v>
      </c>
      <c r="O1308" s="2">
        <v>8.3333333333333315E-2</v>
      </c>
      <c r="P1308" s="3">
        <v>0.21</v>
      </c>
      <c r="Q1308" s="3">
        <v>0.21</v>
      </c>
      <c r="R1308" s="3">
        <v>0</v>
      </c>
      <c r="S1308" s="2"/>
      <c r="T1308" s="5">
        <v>0</v>
      </c>
      <c r="U1308" s="4">
        <v>0</v>
      </c>
      <c r="V1308" s="4">
        <v>0</v>
      </c>
      <c r="W1308" s="2">
        <v>0</v>
      </c>
      <c r="X1308" s="4">
        <v>0</v>
      </c>
      <c r="Y1308" s="4">
        <v>0</v>
      </c>
      <c r="Z1308" s="3">
        <v>0</v>
      </c>
      <c r="AA1308" s="3">
        <v>0</v>
      </c>
    </row>
    <row r="1309" spans="1:27" x14ac:dyDescent="0.2">
      <c r="A1309">
        <f t="shared" si="40"/>
        <v>3</v>
      </c>
      <c r="B1309">
        <f t="shared" si="41"/>
        <v>11</v>
      </c>
      <c r="C1309" s="1">
        <v>46092</v>
      </c>
      <c r="D1309" t="s">
        <v>25</v>
      </c>
      <c r="E1309" t="s">
        <v>26</v>
      </c>
      <c r="F1309" t="s">
        <v>39</v>
      </c>
      <c r="G1309" t="s">
        <v>40</v>
      </c>
      <c r="H1309" t="s">
        <v>29</v>
      </c>
      <c r="I1309" t="s">
        <v>30</v>
      </c>
      <c r="J1309" t="s">
        <v>70</v>
      </c>
      <c r="K1309" t="s">
        <v>42</v>
      </c>
      <c r="L1309" t="s">
        <v>101</v>
      </c>
      <c r="M1309" s="4">
        <v>12</v>
      </c>
      <c r="N1309" s="4">
        <v>1</v>
      </c>
      <c r="O1309" s="2">
        <v>8.3333333333333315E-2</v>
      </c>
      <c r="P1309" s="3">
        <v>0.52</v>
      </c>
      <c r="Q1309" s="3">
        <v>0.52</v>
      </c>
      <c r="R1309" s="3">
        <v>0</v>
      </c>
      <c r="S1309" s="2"/>
      <c r="T1309" s="5">
        <v>0</v>
      </c>
      <c r="U1309" s="4">
        <v>0</v>
      </c>
      <c r="V1309" s="4">
        <v>0</v>
      </c>
      <c r="W1309" s="2">
        <v>0</v>
      </c>
      <c r="X1309" s="4">
        <v>0</v>
      </c>
      <c r="Y1309" s="4">
        <v>0</v>
      </c>
      <c r="Z1309" s="3">
        <v>0</v>
      </c>
      <c r="AA1309" s="3">
        <v>0</v>
      </c>
    </row>
    <row r="1310" spans="1:27" x14ac:dyDescent="0.2">
      <c r="A1310">
        <f t="shared" si="40"/>
        <v>3</v>
      </c>
      <c r="B1310">
        <f t="shared" si="41"/>
        <v>11</v>
      </c>
      <c r="C1310" s="1">
        <v>46095</v>
      </c>
      <c r="D1310" t="s">
        <v>25</v>
      </c>
      <c r="E1310" t="s">
        <v>26</v>
      </c>
      <c r="F1310" t="s">
        <v>27</v>
      </c>
      <c r="G1310" t="s">
        <v>28</v>
      </c>
      <c r="H1310" t="s">
        <v>29</v>
      </c>
      <c r="I1310" t="s">
        <v>30</v>
      </c>
      <c r="J1310" t="s">
        <v>44</v>
      </c>
      <c r="K1310" t="s">
        <v>32</v>
      </c>
      <c r="L1310" t="s">
        <v>101</v>
      </c>
      <c r="M1310" s="4">
        <v>9</v>
      </c>
      <c r="N1310" s="4">
        <v>1</v>
      </c>
      <c r="O1310" s="2">
        <v>0.1111111111111111</v>
      </c>
      <c r="P1310" s="3">
        <v>0.2</v>
      </c>
      <c r="Q1310" s="3">
        <v>0.2</v>
      </c>
      <c r="R1310" s="3">
        <v>0</v>
      </c>
      <c r="S1310" s="2"/>
      <c r="T1310" s="5">
        <v>0</v>
      </c>
      <c r="U1310" s="4">
        <v>0</v>
      </c>
      <c r="V1310" s="4">
        <v>0</v>
      </c>
      <c r="W1310" s="2">
        <v>0</v>
      </c>
      <c r="X1310" s="4">
        <v>0</v>
      </c>
      <c r="Y1310" s="4">
        <v>0</v>
      </c>
      <c r="Z1310" s="3">
        <v>0</v>
      </c>
      <c r="AA1310" s="3">
        <v>0</v>
      </c>
    </row>
    <row r="1311" spans="1:27" x14ac:dyDescent="0.2">
      <c r="A1311">
        <f t="shared" si="40"/>
        <v>3</v>
      </c>
      <c r="B1311">
        <f t="shared" si="41"/>
        <v>10</v>
      </c>
      <c r="C1311" s="1">
        <v>46086</v>
      </c>
      <c r="D1311" t="s">
        <v>25</v>
      </c>
      <c r="E1311" t="s">
        <v>26</v>
      </c>
      <c r="F1311" t="s">
        <v>34</v>
      </c>
      <c r="G1311" t="s">
        <v>28</v>
      </c>
      <c r="H1311" t="s">
        <v>29</v>
      </c>
      <c r="I1311" t="s">
        <v>30</v>
      </c>
      <c r="J1311" t="s">
        <v>44</v>
      </c>
      <c r="K1311" t="s">
        <v>32</v>
      </c>
      <c r="L1311" t="s">
        <v>101</v>
      </c>
      <c r="M1311" s="4">
        <v>4</v>
      </c>
      <c r="N1311" s="4">
        <v>1</v>
      </c>
      <c r="O1311" s="2">
        <v>0.25</v>
      </c>
      <c r="P1311" s="3">
        <v>0.64</v>
      </c>
      <c r="Q1311" s="3">
        <v>0.64</v>
      </c>
      <c r="R1311" s="3">
        <v>0</v>
      </c>
      <c r="S1311" s="2"/>
      <c r="T1311" s="5">
        <v>0</v>
      </c>
      <c r="U1311" s="4">
        <v>0</v>
      </c>
      <c r="V1311" s="4">
        <v>0</v>
      </c>
      <c r="W1311" s="2">
        <v>0</v>
      </c>
      <c r="X1311" s="4">
        <v>0</v>
      </c>
      <c r="Y1311" s="4">
        <v>0</v>
      </c>
      <c r="Z1311" s="3">
        <v>0</v>
      </c>
      <c r="AA1311" s="3">
        <v>0</v>
      </c>
    </row>
    <row r="1312" spans="1:27" x14ac:dyDescent="0.2">
      <c r="A1312">
        <f t="shared" si="40"/>
        <v>3</v>
      </c>
      <c r="B1312">
        <f t="shared" si="41"/>
        <v>12</v>
      </c>
      <c r="C1312" s="1">
        <v>46096</v>
      </c>
      <c r="D1312" t="s">
        <v>25</v>
      </c>
      <c r="E1312" t="s">
        <v>26</v>
      </c>
      <c r="F1312" t="s">
        <v>49</v>
      </c>
      <c r="G1312" t="s">
        <v>50</v>
      </c>
      <c r="H1312" t="s">
        <v>29</v>
      </c>
      <c r="I1312" t="s">
        <v>30</v>
      </c>
      <c r="J1312" t="s">
        <v>47</v>
      </c>
      <c r="K1312" t="s">
        <v>42</v>
      </c>
      <c r="L1312" t="s">
        <v>99</v>
      </c>
      <c r="M1312" s="4">
        <v>13</v>
      </c>
      <c r="N1312" s="4">
        <v>1</v>
      </c>
      <c r="O1312" s="2">
        <v>7.6923076923076927E-2</v>
      </c>
      <c r="P1312" s="3">
        <v>0.53</v>
      </c>
      <c r="Q1312" s="3">
        <v>0.53</v>
      </c>
      <c r="R1312" s="3">
        <v>0</v>
      </c>
      <c r="S1312" s="2"/>
      <c r="T1312" s="5">
        <v>0</v>
      </c>
      <c r="U1312" s="4">
        <v>0</v>
      </c>
      <c r="V1312" s="4">
        <v>0</v>
      </c>
      <c r="W1312" s="2">
        <v>0</v>
      </c>
      <c r="X1312" s="4">
        <v>0</v>
      </c>
      <c r="Y1312" s="4">
        <v>0</v>
      </c>
      <c r="Z1312" s="3">
        <v>0</v>
      </c>
      <c r="AA1312" s="3">
        <v>0</v>
      </c>
    </row>
    <row r="1313" spans="1:27" x14ac:dyDescent="0.2">
      <c r="A1313">
        <f t="shared" si="40"/>
        <v>3</v>
      </c>
      <c r="B1313">
        <f t="shared" si="41"/>
        <v>11</v>
      </c>
      <c r="C1313" s="1">
        <v>46094</v>
      </c>
      <c r="D1313" t="s">
        <v>25</v>
      </c>
      <c r="E1313" t="s">
        <v>26</v>
      </c>
      <c r="F1313" t="s">
        <v>49</v>
      </c>
      <c r="G1313" t="s">
        <v>50</v>
      </c>
      <c r="H1313" t="s">
        <v>29</v>
      </c>
      <c r="I1313" t="s">
        <v>30</v>
      </c>
      <c r="J1313" t="s">
        <v>95</v>
      </c>
      <c r="K1313" t="s">
        <v>42</v>
      </c>
      <c r="L1313" t="s">
        <v>99</v>
      </c>
      <c r="M1313" s="4">
        <v>1</v>
      </c>
      <c r="N1313" s="4">
        <v>1</v>
      </c>
      <c r="O1313" s="2">
        <v>1</v>
      </c>
      <c r="P1313" s="3">
        <v>0.6</v>
      </c>
      <c r="Q1313" s="3">
        <v>0.6</v>
      </c>
      <c r="R1313" s="3">
        <v>0</v>
      </c>
      <c r="S1313" s="2"/>
      <c r="T1313" s="5">
        <v>0</v>
      </c>
      <c r="U1313" s="4">
        <v>0</v>
      </c>
      <c r="V1313" s="4">
        <v>0</v>
      </c>
      <c r="W1313" s="2">
        <v>0</v>
      </c>
      <c r="X1313" s="4">
        <v>0</v>
      </c>
      <c r="Y1313" s="4">
        <v>0</v>
      </c>
      <c r="Z1313" s="3">
        <v>0</v>
      </c>
      <c r="AA1313" s="3">
        <v>0</v>
      </c>
    </row>
    <row r="1314" spans="1:27" x14ac:dyDescent="0.2">
      <c r="A1314">
        <f t="shared" si="40"/>
        <v>3</v>
      </c>
      <c r="B1314">
        <f t="shared" si="41"/>
        <v>10</v>
      </c>
      <c r="C1314" s="1">
        <v>46086</v>
      </c>
      <c r="D1314" t="s">
        <v>25</v>
      </c>
      <c r="E1314" t="s">
        <v>26</v>
      </c>
      <c r="F1314" t="s">
        <v>49</v>
      </c>
      <c r="G1314" t="s">
        <v>50</v>
      </c>
      <c r="H1314" t="s">
        <v>29</v>
      </c>
      <c r="I1314" t="s">
        <v>30</v>
      </c>
      <c r="J1314" t="s">
        <v>51</v>
      </c>
      <c r="K1314" t="s">
        <v>42</v>
      </c>
      <c r="L1314" t="s">
        <v>99</v>
      </c>
      <c r="M1314" s="4">
        <v>1</v>
      </c>
      <c r="N1314" s="4">
        <v>1</v>
      </c>
      <c r="O1314" s="2">
        <v>1</v>
      </c>
      <c r="P1314" s="3">
        <v>1.1599999999999999</v>
      </c>
      <c r="Q1314" s="3">
        <v>1.1599999999999999</v>
      </c>
      <c r="R1314" s="3">
        <v>0</v>
      </c>
      <c r="S1314" s="2"/>
      <c r="T1314" s="5">
        <v>0</v>
      </c>
      <c r="U1314" s="4">
        <v>0</v>
      </c>
      <c r="V1314" s="4">
        <v>0</v>
      </c>
      <c r="W1314" s="2">
        <v>0</v>
      </c>
      <c r="X1314" s="4">
        <v>0</v>
      </c>
      <c r="Y1314" s="4">
        <v>0</v>
      </c>
      <c r="Z1314" s="3">
        <v>0</v>
      </c>
      <c r="AA1314" s="3">
        <v>0</v>
      </c>
    </row>
    <row r="1315" spans="1:27" x14ac:dyDescent="0.2">
      <c r="A1315">
        <f t="shared" si="40"/>
        <v>3</v>
      </c>
      <c r="B1315">
        <f t="shared" si="41"/>
        <v>10</v>
      </c>
      <c r="C1315" s="1">
        <v>46087</v>
      </c>
      <c r="D1315" t="s">
        <v>25</v>
      </c>
      <c r="E1315" t="s">
        <v>26</v>
      </c>
      <c r="F1315" t="s">
        <v>34</v>
      </c>
      <c r="G1315" t="s">
        <v>28</v>
      </c>
      <c r="H1315" t="s">
        <v>29</v>
      </c>
      <c r="I1315" t="s">
        <v>30</v>
      </c>
      <c r="J1315" t="s">
        <v>280</v>
      </c>
      <c r="K1315" t="s">
        <v>32</v>
      </c>
      <c r="L1315" t="s">
        <v>99</v>
      </c>
      <c r="M1315" s="4">
        <v>28</v>
      </c>
      <c r="N1315" s="4">
        <v>1</v>
      </c>
      <c r="O1315" s="2">
        <v>3.5714285714285712E-2</v>
      </c>
      <c r="P1315" s="3">
        <v>1.57</v>
      </c>
      <c r="Q1315" s="3">
        <v>1.57</v>
      </c>
      <c r="R1315" s="3">
        <v>0</v>
      </c>
      <c r="S1315" s="2"/>
      <c r="T1315" s="5">
        <v>0</v>
      </c>
      <c r="U1315" s="4">
        <v>0</v>
      </c>
      <c r="V1315" s="4">
        <v>0</v>
      </c>
      <c r="W1315" s="2">
        <v>0</v>
      </c>
      <c r="X1315" s="4">
        <v>0</v>
      </c>
      <c r="Y1315" s="4">
        <v>0</v>
      </c>
      <c r="Z1315" s="3">
        <v>0</v>
      </c>
      <c r="AA1315" s="3">
        <v>0</v>
      </c>
    </row>
    <row r="1316" spans="1:27" x14ac:dyDescent="0.2">
      <c r="A1316">
        <f t="shared" si="40"/>
        <v>3</v>
      </c>
      <c r="B1316">
        <f t="shared" si="41"/>
        <v>12</v>
      </c>
      <c r="C1316" s="1">
        <v>46097</v>
      </c>
      <c r="D1316" t="s">
        <v>25</v>
      </c>
      <c r="E1316" t="s">
        <v>26</v>
      </c>
      <c r="F1316" t="s">
        <v>27</v>
      </c>
      <c r="G1316" t="s">
        <v>28</v>
      </c>
      <c r="H1316" t="s">
        <v>29</v>
      </c>
      <c r="I1316" t="s">
        <v>30</v>
      </c>
      <c r="J1316" t="s">
        <v>280</v>
      </c>
      <c r="K1316" t="s">
        <v>32</v>
      </c>
      <c r="L1316" t="s">
        <v>99</v>
      </c>
      <c r="M1316" s="4">
        <v>3</v>
      </c>
      <c r="N1316" s="4">
        <v>1</v>
      </c>
      <c r="O1316" s="2">
        <v>0.33333333333333331</v>
      </c>
      <c r="P1316" s="3">
        <v>0.2</v>
      </c>
      <c r="Q1316" s="3">
        <v>0.2</v>
      </c>
      <c r="R1316" s="3">
        <v>0</v>
      </c>
      <c r="S1316" s="2"/>
      <c r="T1316" s="5">
        <v>0</v>
      </c>
      <c r="U1316" s="4">
        <v>0</v>
      </c>
      <c r="V1316" s="4">
        <v>0</v>
      </c>
      <c r="W1316" s="2">
        <v>0</v>
      </c>
      <c r="X1316" s="4">
        <v>0</v>
      </c>
      <c r="Y1316" s="4">
        <v>0</v>
      </c>
      <c r="Z1316" s="3">
        <v>0</v>
      </c>
      <c r="AA1316" s="3">
        <v>0</v>
      </c>
    </row>
    <row r="1317" spans="1:27" x14ac:dyDescent="0.2">
      <c r="A1317">
        <f t="shared" si="40"/>
        <v>3</v>
      </c>
      <c r="B1317">
        <f t="shared" si="41"/>
        <v>12</v>
      </c>
      <c r="C1317" s="1">
        <v>46098</v>
      </c>
      <c r="D1317" t="s">
        <v>25</v>
      </c>
      <c r="E1317" t="s">
        <v>26</v>
      </c>
      <c r="F1317" t="s">
        <v>27</v>
      </c>
      <c r="G1317" t="s">
        <v>28</v>
      </c>
      <c r="H1317" t="s">
        <v>29</v>
      </c>
      <c r="I1317" t="s">
        <v>30</v>
      </c>
      <c r="J1317" t="s">
        <v>280</v>
      </c>
      <c r="K1317" t="s">
        <v>32</v>
      </c>
      <c r="L1317" t="s">
        <v>99</v>
      </c>
      <c r="M1317" s="4">
        <v>4</v>
      </c>
      <c r="N1317" s="4">
        <v>1</v>
      </c>
      <c r="O1317" s="2">
        <v>0.25</v>
      </c>
      <c r="P1317" s="3">
        <v>0.2</v>
      </c>
      <c r="Q1317" s="3">
        <v>0.2</v>
      </c>
      <c r="R1317" s="3">
        <v>0</v>
      </c>
      <c r="S1317" s="2"/>
      <c r="T1317" s="5">
        <v>0</v>
      </c>
      <c r="U1317" s="4">
        <v>0</v>
      </c>
      <c r="V1317" s="4">
        <v>0</v>
      </c>
      <c r="W1317" s="2">
        <v>0</v>
      </c>
      <c r="X1317" s="4">
        <v>0</v>
      </c>
      <c r="Y1317" s="4">
        <v>0</v>
      </c>
      <c r="Z1317" s="3">
        <v>0</v>
      </c>
      <c r="AA1317" s="3">
        <v>0</v>
      </c>
    </row>
    <row r="1318" spans="1:27" x14ac:dyDescent="0.2">
      <c r="A1318">
        <f t="shared" si="40"/>
        <v>3</v>
      </c>
      <c r="B1318">
        <f t="shared" si="41"/>
        <v>11</v>
      </c>
      <c r="C1318" s="1">
        <v>46092</v>
      </c>
      <c r="D1318" t="s">
        <v>25</v>
      </c>
      <c r="E1318" t="s">
        <v>26</v>
      </c>
      <c r="F1318" t="s">
        <v>27</v>
      </c>
      <c r="G1318" t="s">
        <v>124</v>
      </c>
      <c r="H1318" t="s">
        <v>29</v>
      </c>
      <c r="I1318" t="s">
        <v>30</v>
      </c>
      <c r="J1318" t="s">
        <v>101</v>
      </c>
      <c r="K1318" t="s">
        <v>87</v>
      </c>
      <c r="L1318" t="s">
        <v>99</v>
      </c>
      <c r="M1318" s="4">
        <v>25</v>
      </c>
      <c r="N1318" s="4">
        <v>1</v>
      </c>
      <c r="O1318" s="2">
        <v>0.04</v>
      </c>
      <c r="P1318" s="3">
        <v>0.2</v>
      </c>
      <c r="Q1318" s="3">
        <v>0.2</v>
      </c>
      <c r="R1318" s="3">
        <v>0</v>
      </c>
      <c r="S1318" s="2"/>
      <c r="T1318" s="5">
        <v>0</v>
      </c>
      <c r="U1318" s="4">
        <v>0</v>
      </c>
      <c r="V1318" s="4">
        <v>0</v>
      </c>
      <c r="W1318" s="2">
        <v>0</v>
      </c>
      <c r="X1318" s="4">
        <v>0</v>
      </c>
      <c r="Y1318" s="4">
        <v>0</v>
      </c>
      <c r="Z1318" s="3">
        <v>0</v>
      </c>
      <c r="AA1318" s="3">
        <v>0</v>
      </c>
    </row>
    <row r="1319" spans="1:27" x14ac:dyDescent="0.2">
      <c r="A1319">
        <f t="shared" si="40"/>
        <v>3</v>
      </c>
      <c r="B1319">
        <f t="shared" si="41"/>
        <v>12</v>
      </c>
      <c r="C1319" s="1">
        <v>46097</v>
      </c>
      <c r="D1319" t="s">
        <v>25</v>
      </c>
      <c r="E1319" t="s">
        <v>26</v>
      </c>
      <c r="F1319" t="s">
        <v>27</v>
      </c>
      <c r="G1319" t="s">
        <v>124</v>
      </c>
      <c r="H1319" t="s">
        <v>29</v>
      </c>
      <c r="I1319" t="s">
        <v>30</v>
      </c>
      <c r="J1319" t="s">
        <v>101</v>
      </c>
      <c r="K1319" t="s">
        <v>87</v>
      </c>
      <c r="L1319" t="s">
        <v>99</v>
      </c>
      <c r="M1319" s="4">
        <v>2</v>
      </c>
      <c r="N1319" s="4">
        <v>1</v>
      </c>
      <c r="O1319" s="2">
        <v>0.5</v>
      </c>
      <c r="P1319" s="3">
        <v>0.21</v>
      </c>
      <c r="Q1319" s="3">
        <v>0.21</v>
      </c>
      <c r="R1319" s="3">
        <v>0</v>
      </c>
      <c r="S1319" s="2"/>
      <c r="T1319" s="5">
        <v>0</v>
      </c>
      <c r="U1319" s="4">
        <v>0</v>
      </c>
      <c r="V1319" s="4">
        <v>0</v>
      </c>
      <c r="W1319" s="2">
        <v>0</v>
      </c>
      <c r="X1319" s="4">
        <v>0</v>
      </c>
      <c r="Y1319" s="4">
        <v>0</v>
      </c>
      <c r="Z1319" s="3">
        <v>0</v>
      </c>
      <c r="AA1319" s="3">
        <v>0</v>
      </c>
    </row>
    <row r="1320" spans="1:27" x14ac:dyDescent="0.2">
      <c r="A1320">
        <f t="shared" si="40"/>
        <v>3</v>
      </c>
      <c r="B1320">
        <f t="shared" si="41"/>
        <v>12</v>
      </c>
      <c r="C1320" s="1">
        <v>46096</v>
      </c>
      <c r="D1320" t="s">
        <v>25</v>
      </c>
      <c r="E1320" t="s">
        <v>26</v>
      </c>
      <c r="F1320" t="s">
        <v>27</v>
      </c>
      <c r="G1320" t="s">
        <v>28</v>
      </c>
      <c r="H1320" t="s">
        <v>29</v>
      </c>
      <c r="I1320" t="s">
        <v>30</v>
      </c>
      <c r="J1320" t="s">
        <v>243</v>
      </c>
      <c r="K1320" t="s">
        <v>32</v>
      </c>
      <c r="L1320" t="s">
        <v>99</v>
      </c>
      <c r="M1320" s="4">
        <v>3</v>
      </c>
      <c r="N1320" s="4">
        <v>1</v>
      </c>
      <c r="O1320" s="2">
        <v>0.33333333333333331</v>
      </c>
      <c r="P1320" s="3">
        <v>0.2</v>
      </c>
      <c r="Q1320" s="3">
        <v>0.2</v>
      </c>
      <c r="R1320" s="3">
        <v>0</v>
      </c>
      <c r="S1320" s="2"/>
      <c r="T1320" s="5">
        <v>0</v>
      </c>
      <c r="U1320" s="4">
        <v>0</v>
      </c>
      <c r="V1320" s="4">
        <v>0</v>
      </c>
      <c r="W1320" s="2">
        <v>0</v>
      </c>
      <c r="X1320" s="4">
        <v>0</v>
      </c>
      <c r="Y1320" s="4">
        <v>0</v>
      </c>
      <c r="Z1320" s="3">
        <v>0</v>
      </c>
      <c r="AA1320" s="3">
        <v>0</v>
      </c>
    </row>
    <row r="1321" spans="1:27" x14ac:dyDescent="0.2">
      <c r="A1321">
        <f t="shared" si="40"/>
        <v>3</v>
      </c>
      <c r="B1321">
        <f t="shared" si="41"/>
        <v>10</v>
      </c>
      <c r="C1321" s="1">
        <v>46082</v>
      </c>
      <c r="D1321" t="s">
        <v>25</v>
      </c>
      <c r="E1321" t="s">
        <v>26</v>
      </c>
      <c r="F1321" t="s">
        <v>34</v>
      </c>
      <c r="G1321" t="s">
        <v>28</v>
      </c>
      <c r="H1321" t="s">
        <v>29</v>
      </c>
      <c r="I1321" t="s">
        <v>30</v>
      </c>
      <c r="J1321" t="s">
        <v>99</v>
      </c>
      <c r="K1321" t="s">
        <v>32</v>
      </c>
      <c r="L1321" t="s">
        <v>99</v>
      </c>
      <c r="M1321" s="4">
        <v>17</v>
      </c>
      <c r="N1321" s="4">
        <v>1</v>
      </c>
      <c r="O1321" s="2">
        <v>5.8823529411764698E-2</v>
      </c>
      <c r="P1321" s="3">
        <v>1.37</v>
      </c>
      <c r="Q1321" s="3">
        <v>1.37</v>
      </c>
      <c r="R1321" s="3">
        <v>0</v>
      </c>
      <c r="S1321" s="2"/>
      <c r="T1321" s="5">
        <v>0</v>
      </c>
      <c r="U1321" s="4">
        <v>0</v>
      </c>
      <c r="V1321" s="4">
        <v>0</v>
      </c>
      <c r="W1321" s="2">
        <v>0</v>
      </c>
      <c r="X1321" s="4">
        <v>0</v>
      </c>
      <c r="Y1321" s="4">
        <v>0</v>
      </c>
      <c r="Z1321" s="3">
        <v>0</v>
      </c>
      <c r="AA1321" s="3">
        <v>0</v>
      </c>
    </row>
    <row r="1322" spans="1:27" x14ac:dyDescent="0.2">
      <c r="A1322">
        <f t="shared" si="40"/>
        <v>3</v>
      </c>
      <c r="B1322">
        <f t="shared" si="41"/>
        <v>11</v>
      </c>
      <c r="C1322" s="1">
        <v>46095</v>
      </c>
      <c r="D1322" t="s">
        <v>25</v>
      </c>
      <c r="E1322" t="s">
        <v>26</v>
      </c>
      <c r="F1322" t="s">
        <v>27</v>
      </c>
      <c r="G1322" t="s">
        <v>28</v>
      </c>
      <c r="H1322" t="s">
        <v>29</v>
      </c>
      <c r="I1322" t="s">
        <v>30</v>
      </c>
      <c r="J1322" t="s">
        <v>99</v>
      </c>
      <c r="K1322" t="s">
        <v>32</v>
      </c>
      <c r="L1322" t="s">
        <v>99</v>
      </c>
      <c r="M1322" s="4">
        <v>9</v>
      </c>
      <c r="N1322" s="4">
        <v>1</v>
      </c>
      <c r="O1322" s="2">
        <v>0.1111111111111111</v>
      </c>
      <c r="P1322" s="3">
        <v>0.08</v>
      </c>
      <c r="Q1322" s="3">
        <v>0.08</v>
      </c>
      <c r="R1322" s="3">
        <v>0</v>
      </c>
      <c r="S1322" s="2"/>
      <c r="T1322" s="5">
        <v>0</v>
      </c>
      <c r="U1322" s="4">
        <v>0</v>
      </c>
      <c r="V1322" s="4">
        <v>0</v>
      </c>
      <c r="W1322" s="2">
        <v>0</v>
      </c>
      <c r="X1322" s="4">
        <v>0</v>
      </c>
      <c r="Y1322" s="4">
        <v>0</v>
      </c>
      <c r="Z1322" s="3">
        <v>0</v>
      </c>
      <c r="AA1322" s="3">
        <v>0</v>
      </c>
    </row>
    <row r="1323" spans="1:27" x14ac:dyDescent="0.2">
      <c r="A1323">
        <f t="shared" si="40"/>
        <v>3</v>
      </c>
      <c r="B1323">
        <f t="shared" si="41"/>
        <v>11</v>
      </c>
      <c r="C1323" s="1">
        <v>46094</v>
      </c>
      <c r="D1323" t="s">
        <v>25</v>
      </c>
      <c r="E1323" t="s">
        <v>26</v>
      </c>
      <c r="F1323" t="s">
        <v>27</v>
      </c>
      <c r="G1323" t="s">
        <v>124</v>
      </c>
      <c r="H1323" t="s">
        <v>29</v>
      </c>
      <c r="I1323" t="s">
        <v>30</v>
      </c>
      <c r="J1323" t="s">
        <v>99</v>
      </c>
      <c r="K1323" t="s">
        <v>87</v>
      </c>
      <c r="L1323" t="s">
        <v>99</v>
      </c>
      <c r="M1323" s="4">
        <v>2</v>
      </c>
      <c r="N1323" s="4">
        <v>1</v>
      </c>
      <c r="O1323" s="2">
        <v>0.5</v>
      </c>
      <c r="P1323" s="3">
        <v>0.21</v>
      </c>
      <c r="Q1323" s="3">
        <v>0.21</v>
      </c>
      <c r="R1323" s="3">
        <v>0</v>
      </c>
      <c r="S1323" s="2"/>
      <c r="T1323" s="5">
        <v>0</v>
      </c>
      <c r="U1323" s="4">
        <v>0</v>
      </c>
      <c r="V1323" s="4">
        <v>0</v>
      </c>
      <c r="W1323" s="2">
        <v>0</v>
      </c>
      <c r="X1323" s="4">
        <v>0</v>
      </c>
      <c r="Y1323" s="4">
        <v>0</v>
      </c>
      <c r="Z1323" s="3">
        <v>0</v>
      </c>
      <c r="AA1323" s="3">
        <v>0</v>
      </c>
    </row>
    <row r="1324" spans="1:27" x14ac:dyDescent="0.2">
      <c r="A1324">
        <f t="shared" si="40"/>
        <v>3</v>
      </c>
      <c r="B1324">
        <f t="shared" si="41"/>
        <v>10</v>
      </c>
      <c r="C1324" s="1">
        <v>46084</v>
      </c>
      <c r="D1324" t="s">
        <v>25</v>
      </c>
      <c r="E1324" t="s">
        <v>26</v>
      </c>
      <c r="F1324" t="s">
        <v>34</v>
      </c>
      <c r="G1324" t="s">
        <v>273</v>
      </c>
      <c r="H1324" t="s">
        <v>29</v>
      </c>
      <c r="I1324" t="s">
        <v>30</v>
      </c>
      <c r="J1324" t="s">
        <v>99</v>
      </c>
      <c r="K1324" t="s">
        <v>267</v>
      </c>
      <c r="L1324" t="s">
        <v>99</v>
      </c>
      <c r="M1324" s="4">
        <v>177</v>
      </c>
      <c r="N1324" s="4">
        <v>2</v>
      </c>
      <c r="O1324" s="2">
        <v>1.1299435028248588E-2</v>
      </c>
      <c r="P1324" s="3">
        <v>0.87</v>
      </c>
      <c r="Q1324" s="3">
        <v>1.74</v>
      </c>
      <c r="R1324" s="3">
        <v>0</v>
      </c>
      <c r="S1324" s="2"/>
      <c r="T1324" s="5">
        <v>0</v>
      </c>
      <c r="U1324" s="4">
        <v>0</v>
      </c>
      <c r="V1324" s="4">
        <v>0</v>
      </c>
      <c r="W1324" s="2">
        <v>0</v>
      </c>
      <c r="X1324" s="4">
        <v>0</v>
      </c>
      <c r="Y1324" s="4">
        <v>0</v>
      </c>
      <c r="Z1324" s="3">
        <v>0</v>
      </c>
      <c r="AA1324" s="3">
        <v>0</v>
      </c>
    </row>
    <row r="1325" spans="1:27" x14ac:dyDescent="0.2">
      <c r="A1325">
        <f t="shared" si="40"/>
        <v>3</v>
      </c>
      <c r="B1325">
        <f t="shared" si="41"/>
        <v>10</v>
      </c>
      <c r="C1325" s="1">
        <v>46085</v>
      </c>
      <c r="D1325" t="s">
        <v>25</v>
      </c>
      <c r="E1325" t="s">
        <v>26</v>
      </c>
      <c r="F1325" t="s">
        <v>34</v>
      </c>
      <c r="G1325" t="s">
        <v>273</v>
      </c>
      <c r="H1325" t="s">
        <v>29</v>
      </c>
      <c r="I1325" t="s">
        <v>30</v>
      </c>
      <c r="J1325" t="s">
        <v>99</v>
      </c>
      <c r="K1325" t="s">
        <v>267</v>
      </c>
      <c r="L1325" t="s">
        <v>99</v>
      </c>
      <c r="M1325" s="4">
        <v>257</v>
      </c>
      <c r="N1325" s="4">
        <v>1</v>
      </c>
      <c r="O1325" s="2">
        <v>3.8910505836575876E-3</v>
      </c>
      <c r="P1325" s="3">
        <v>0.83</v>
      </c>
      <c r="Q1325" s="3">
        <v>0.83</v>
      </c>
      <c r="R1325" s="3">
        <v>0</v>
      </c>
      <c r="S1325" s="2"/>
      <c r="T1325" s="5">
        <v>0</v>
      </c>
      <c r="U1325" s="4">
        <v>0</v>
      </c>
      <c r="V1325" s="4">
        <v>0</v>
      </c>
      <c r="W1325" s="2">
        <v>0</v>
      </c>
      <c r="X1325" s="4">
        <v>0</v>
      </c>
      <c r="Y1325" s="4">
        <v>0</v>
      </c>
      <c r="Z1325" s="3">
        <v>0</v>
      </c>
      <c r="AA1325" s="3">
        <v>0</v>
      </c>
    </row>
    <row r="1326" spans="1:27" x14ac:dyDescent="0.2">
      <c r="A1326">
        <f t="shared" si="40"/>
        <v>3</v>
      </c>
      <c r="B1326">
        <f t="shared" si="41"/>
        <v>10</v>
      </c>
      <c r="C1326" s="1">
        <v>46086</v>
      </c>
      <c r="D1326" t="s">
        <v>25</v>
      </c>
      <c r="E1326" t="s">
        <v>26</v>
      </c>
      <c r="F1326" t="s">
        <v>34</v>
      </c>
      <c r="G1326" t="s">
        <v>273</v>
      </c>
      <c r="H1326" t="s">
        <v>29</v>
      </c>
      <c r="I1326" t="s">
        <v>30</v>
      </c>
      <c r="J1326" t="s">
        <v>99</v>
      </c>
      <c r="K1326" t="s">
        <v>267</v>
      </c>
      <c r="L1326" t="s">
        <v>99</v>
      </c>
      <c r="M1326" s="4">
        <v>247</v>
      </c>
      <c r="N1326" s="4">
        <v>1</v>
      </c>
      <c r="O1326" s="2">
        <v>4.048582995951417E-3</v>
      </c>
      <c r="P1326" s="3">
        <v>0.86</v>
      </c>
      <c r="Q1326" s="3">
        <v>0.86</v>
      </c>
      <c r="R1326" s="3">
        <v>0</v>
      </c>
      <c r="S1326" s="2"/>
      <c r="T1326" s="5">
        <v>0</v>
      </c>
      <c r="U1326" s="4">
        <v>0</v>
      </c>
      <c r="V1326" s="4">
        <v>0</v>
      </c>
      <c r="W1326" s="2">
        <v>0</v>
      </c>
      <c r="X1326" s="4">
        <v>0</v>
      </c>
      <c r="Y1326" s="4">
        <v>0</v>
      </c>
      <c r="Z1326" s="3">
        <v>0</v>
      </c>
      <c r="AA1326" s="3">
        <v>0</v>
      </c>
    </row>
    <row r="1327" spans="1:27" x14ac:dyDescent="0.2">
      <c r="A1327">
        <f t="shared" si="40"/>
        <v>3</v>
      </c>
      <c r="B1327">
        <f t="shared" si="41"/>
        <v>10</v>
      </c>
      <c r="C1327" s="1">
        <v>46087</v>
      </c>
      <c r="D1327" t="s">
        <v>25</v>
      </c>
      <c r="E1327" t="s">
        <v>26</v>
      </c>
      <c r="F1327" t="s">
        <v>34</v>
      </c>
      <c r="G1327" t="s">
        <v>273</v>
      </c>
      <c r="H1327" t="s">
        <v>29</v>
      </c>
      <c r="I1327" t="s">
        <v>30</v>
      </c>
      <c r="J1327" t="s">
        <v>99</v>
      </c>
      <c r="K1327" t="s">
        <v>267</v>
      </c>
      <c r="L1327" t="s">
        <v>99</v>
      </c>
      <c r="M1327" s="4">
        <v>214</v>
      </c>
      <c r="N1327" s="4">
        <v>1</v>
      </c>
      <c r="O1327" s="2">
        <v>4.6728971962616819E-3</v>
      </c>
      <c r="P1327" s="3">
        <v>0.86</v>
      </c>
      <c r="Q1327" s="3">
        <v>0.86</v>
      </c>
      <c r="R1327" s="3">
        <v>0</v>
      </c>
      <c r="S1327" s="2"/>
      <c r="T1327" s="5">
        <v>0</v>
      </c>
      <c r="U1327" s="4">
        <v>0</v>
      </c>
      <c r="V1327" s="4">
        <v>0</v>
      </c>
      <c r="W1327" s="2">
        <v>0</v>
      </c>
      <c r="X1327" s="4">
        <v>0</v>
      </c>
      <c r="Y1327" s="4">
        <v>0</v>
      </c>
      <c r="Z1327" s="3">
        <v>0</v>
      </c>
      <c r="AA1327" s="3">
        <v>0</v>
      </c>
    </row>
    <row r="1328" spans="1:27" x14ac:dyDescent="0.2">
      <c r="A1328">
        <f t="shared" si="40"/>
        <v>3</v>
      </c>
      <c r="B1328">
        <f t="shared" si="41"/>
        <v>10</v>
      </c>
      <c r="C1328" s="1">
        <v>46088</v>
      </c>
      <c r="D1328" t="s">
        <v>25</v>
      </c>
      <c r="E1328" t="s">
        <v>26</v>
      </c>
      <c r="F1328" t="s">
        <v>34</v>
      </c>
      <c r="G1328" t="s">
        <v>273</v>
      </c>
      <c r="H1328" t="s">
        <v>29</v>
      </c>
      <c r="I1328" t="s">
        <v>30</v>
      </c>
      <c r="J1328" t="s">
        <v>99</v>
      </c>
      <c r="K1328" t="s">
        <v>267</v>
      </c>
      <c r="L1328" t="s">
        <v>99</v>
      </c>
      <c r="M1328" s="4">
        <v>43</v>
      </c>
      <c r="N1328" s="4">
        <v>2</v>
      </c>
      <c r="O1328" s="2">
        <v>4.651162790697675E-2</v>
      </c>
      <c r="P1328" s="3">
        <v>0.86</v>
      </c>
      <c r="Q1328" s="3">
        <v>1.72</v>
      </c>
      <c r="R1328" s="3">
        <v>0</v>
      </c>
      <c r="S1328" s="2"/>
      <c r="T1328" s="5">
        <v>0</v>
      </c>
      <c r="U1328" s="4">
        <v>0</v>
      </c>
      <c r="V1328" s="4">
        <v>0</v>
      </c>
      <c r="W1328" s="2">
        <v>0</v>
      </c>
      <c r="X1328" s="4">
        <v>0</v>
      </c>
      <c r="Y1328" s="4">
        <v>0</v>
      </c>
      <c r="Z1328" s="3">
        <v>0</v>
      </c>
      <c r="AA1328" s="3">
        <v>0</v>
      </c>
    </row>
    <row r="1329" spans="1:27" x14ac:dyDescent="0.2">
      <c r="A1329">
        <f t="shared" si="40"/>
        <v>3</v>
      </c>
      <c r="B1329">
        <f t="shared" si="41"/>
        <v>11</v>
      </c>
      <c r="C1329" s="1">
        <v>46089</v>
      </c>
      <c r="D1329" t="s">
        <v>25</v>
      </c>
      <c r="E1329" t="s">
        <v>26</v>
      </c>
      <c r="F1329" t="s">
        <v>34</v>
      </c>
      <c r="G1329" t="s">
        <v>273</v>
      </c>
      <c r="H1329" t="s">
        <v>29</v>
      </c>
      <c r="I1329" t="s">
        <v>30</v>
      </c>
      <c r="J1329" t="s">
        <v>99</v>
      </c>
      <c r="K1329" t="s">
        <v>267</v>
      </c>
      <c r="L1329" t="s">
        <v>99</v>
      </c>
      <c r="M1329" s="4">
        <v>113</v>
      </c>
      <c r="N1329" s="4">
        <v>2</v>
      </c>
      <c r="O1329" s="2">
        <v>1.7699115044247787E-2</v>
      </c>
      <c r="P1329" s="3">
        <v>0.9</v>
      </c>
      <c r="Q1329" s="3">
        <v>1.8</v>
      </c>
      <c r="R1329" s="3">
        <v>0</v>
      </c>
      <c r="S1329" s="2"/>
      <c r="T1329" s="5">
        <v>0</v>
      </c>
      <c r="U1329" s="4">
        <v>0</v>
      </c>
      <c r="V1329" s="4">
        <v>0</v>
      </c>
      <c r="W1329" s="2">
        <v>0</v>
      </c>
      <c r="X1329" s="4">
        <v>0</v>
      </c>
      <c r="Y1329" s="4">
        <v>0</v>
      </c>
      <c r="Z1329" s="3">
        <v>0</v>
      </c>
      <c r="AA1329" s="3">
        <v>0</v>
      </c>
    </row>
    <row r="1330" spans="1:27" x14ac:dyDescent="0.2">
      <c r="A1330">
        <f t="shared" si="40"/>
        <v>3</v>
      </c>
      <c r="B1330">
        <f t="shared" si="41"/>
        <v>12</v>
      </c>
      <c r="C1330" s="1">
        <v>46099</v>
      </c>
      <c r="D1330" t="s">
        <v>25</v>
      </c>
      <c r="E1330" t="s">
        <v>26</v>
      </c>
      <c r="F1330" t="s">
        <v>27</v>
      </c>
      <c r="G1330" t="s">
        <v>124</v>
      </c>
      <c r="H1330" t="s">
        <v>29</v>
      </c>
      <c r="I1330" t="s">
        <v>30</v>
      </c>
      <c r="J1330" t="s">
        <v>101</v>
      </c>
      <c r="K1330" t="s">
        <v>87</v>
      </c>
      <c r="L1330" t="s">
        <v>835</v>
      </c>
      <c r="M1330" s="4">
        <v>2</v>
      </c>
      <c r="N1330" s="4">
        <v>1</v>
      </c>
      <c r="O1330" s="2">
        <v>0.5</v>
      </c>
      <c r="P1330" s="3">
        <v>0.21</v>
      </c>
      <c r="Q1330" s="3">
        <v>0.21</v>
      </c>
      <c r="R1330" s="3">
        <v>0</v>
      </c>
      <c r="S1330" s="2"/>
      <c r="T1330" s="5">
        <v>0</v>
      </c>
      <c r="U1330" s="4">
        <v>0</v>
      </c>
      <c r="V1330" s="4">
        <v>0</v>
      </c>
      <c r="W1330" s="2">
        <v>0</v>
      </c>
      <c r="X1330" s="4">
        <v>0</v>
      </c>
      <c r="Y1330" s="4">
        <v>0</v>
      </c>
      <c r="Z1330" s="3">
        <v>0</v>
      </c>
      <c r="AA1330" s="3">
        <v>0</v>
      </c>
    </row>
    <row r="1331" spans="1:27" x14ac:dyDescent="0.2">
      <c r="A1331">
        <f t="shared" si="40"/>
        <v>3</v>
      </c>
      <c r="B1331">
        <f t="shared" si="41"/>
        <v>12</v>
      </c>
      <c r="C1331" s="1">
        <v>46097</v>
      </c>
      <c r="D1331" t="s">
        <v>25</v>
      </c>
      <c r="E1331" t="s">
        <v>26</v>
      </c>
      <c r="F1331" t="s">
        <v>27</v>
      </c>
      <c r="G1331" t="s">
        <v>124</v>
      </c>
      <c r="H1331" t="s">
        <v>29</v>
      </c>
      <c r="I1331" t="s">
        <v>30</v>
      </c>
      <c r="J1331" t="s">
        <v>101</v>
      </c>
      <c r="K1331" t="s">
        <v>87</v>
      </c>
      <c r="L1331" t="s">
        <v>836</v>
      </c>
      <c r="M1331" s="4">
        <v>3</v>
      </c>
      <c r="N1331" s="4">
        <v>2</v>
      </c>
      <c r="O1331" s="2">
        <v>0.66666666666666663</v>
      </c>
      <c r="P1331" s="3">
        <v>0.23</v>
      </c>
      <c r="Q1331" s="3">
        <v>0.46</v>
      </c>
      <c r="R1331" s="3">
        <v>0</v>
      </c>
      <c r="S1331" s="2"/>
      <c r="T1331" s="5">
        <v>0</v>
      </c>
      <c r="U1331" s="4">
        <v>0</v>
      </c>
      <c r="V1331" s="4">
        <v>0</v>
      </c>
      <c r="W1331" s="2">
        <v>0</v>
      </c>
      <c r="X1331" s="4">
        <v>0</v>
      </c>
      <c r="Y1331" s="4">
        <v>0</v>
      </c>
      <c r="Z1331" s="3">
        <v>0</v>
      </c>
      <c r="AA1331" s="3">
        <v>0</v>
      </c>
    </row>
    <row r="1332" spans="1:27" x14ac:dyDescent="0.2">
      <c r="A1332">
        <f t="shared" si="40"/>
        <v>3</v>
      </c>
      <c r="B1332">
        <f t="shared" si="41"/>
        <v>12</v>
      </c>
      <c r="C1332" s="1">
        <v>46098</v>
      </c>
      <c r="D1332" t="s">
        <v>25</v>
      </c>
      <c r="E1332" t="s">
        <v>26</v>
      </c>
      <c r="F1332" t="s">
        <v>39</v>
      </c>
      <c r="G1332" t="s">
        <v>40</v>
      </c>
      <c r="H1332" t="s">
        <v>29</v>
      </c>
      <c r="I1332" t="s">
        <v>30</v>
      </c>
      <c r="J1332" t="s">
        <v>70</v>
      </c>
      <c r="K1332" t="s">
        <v>42</v>
      </c>
      <c r="L1332" t="s">
        <v>836</v>
      </c>
      <c r="M1332" s="4">
        <v>1</v>
      </c>
      <c r="N1332" s="4">
        <v>1</v>
      </c>
      <c r="O1332" s="2">
        <v>1</v>
      </c>
      <c r="P1332" s="3">
        <v>0.6</v>
      </c>
      <c r="Q1332" s="3">
        <v>0.6</v>
      </c>
      <c r="R1332" s="3">
        <v>0</v>
      </c>
      <c r="S1332" s="2"/>
      <c r="T1332" s="5">
        <v>0</v>
      </c>
      <c r="U1332" s="4">
        <v>0</v>
      </c>
      <c r="V1332" s="4">
        <v>0</v>
      </c>
      <c r="W1332" s="2">
        <v>0</v>
      </c>
      <c r="X1332" s="4">
        <v>0</v>
      </c>
      <c r="Y1332" s="4">
        <v>0</v>
      </c>
      <c r="Z1332" s="3">
        <v>0</v>
      </c>
      <c r="AA1332" s="3">
        <v>0</v>
      </c>
    </row>
    <row r="1333" spans="1:27" x14ac:dyDescent="0.2">
      <c r="A1333">
        <f t="shared" si="40"/>
        <v>3</v>
      </c>
      <c r="B1333">
        <f t="shared" si="41"/>
        <v>11</v>
      </c>
      <c r="C1333" s="1">
        <v>46094</v>
      </c>
      <c r="D1333" t="s">
        <v>25</v>
      </c>
      <c r="E1333" t="s">
        <v>26</v>
      </c>
      <c r="F1333" t="s">
        <v>27</v>
      </c>
      <c r="G1333" t="s">
        <v>124</v>
      </c>
      <c r="H1333" t="s">
        <v>29</v>
      </c>
      <c r="I1333" t="s">
        <v>30</v>
      </c>
      <c r="J1333" t="s">
        <v>101</v>
      </c>
      <c r="K1333" t="s">
        <v>87</v>
      </c>
      <c r="L1333" t="s">
        <v>837</v>
      </c>
      <c r="M1333" s="4">
        <v>1</v>
      </c>
      <c r="N1333" s="4">
        <v>1</v>
      </c>
      <c r="O1333" s="2">
        <v>1</v>
      </c>
      <c r="P1333" s="3">
        <v>0.08</v>
      </c>
      <c r="Q1333" s="3">
        <v>0.08</v>
      </c>
      <c r="R1333" s="3">
        <v>0</v>
      </c>
      <c r="S1333" s="2"/>
      <c r="T1333" s="5">
        <v>0</v>
      </c>
      <c r="U1333" s="4">
        <v>0</v>
      </c>
      <c r="V1333" s="4">
        <v>0</v>
      </c>
      <c r="W1333" s="2">
        <v>0</v>
      </c>
      <c r="X1333" s="4">
        <v>0</v>
      </c>
      <c r="Y1333" s="4">
        <v>0</v>
      </c>
      <c r="Z1333" s="3">
        <v>0</v>
      </c>
      <c r="AA1333" s="3">
        <v>0</v>
      </c>
    </row>
    <row r="1334" spans="1:27" x14ac:dyDescent="0.2">
      <c r="A1334">
        <f t="shared" si="40"/>
        <v>3</v>
      </c>
      <c r="B1334">
        <f t="shared" si="41"/>
        <v>11</v>
      </c>
      <c r="C1334" s="1">
        <v>46094</v>
      </c>
      <c r="D1334" t="s">
        <v>25</v>
      </c>
      <c r="E1334" t="s">
        <v>26</v>
      </c>
      <c r="F1334" t="s">
        <v>27</v>
      </c>
      <c r="G1334" t="s">
        <v>28</v>
      </c>
      <c r="H1334" t="s">
        <v>29</v>
      </c>
      <c r="I1334" t="s">
        <v>30</v>
      </c>
      <c r="J1334" t="s">
        <v>50</v>
      </c>
      <c r="K1334" t="s">
        <v>32</v>
      </c>
      <c r="L1334" t="s">
        <v>279</v>
      </c>
      <c r="M1334" s="4">
        <v>1</v>
      </c>
      <c r="N1334" s="4">
        <v>1</v>
      </c>
      <c r="O1334" s="2">
        <v>1</v>
      </c>
      <c r="P1334" s="3">
        <v>0.23</v>
      </c>
      <c r="Q1334" s="3">
        <v>0.23</v>
      </c>
      <c r="R1334" s="3">
        <v>18.989999999999998</v>
      </c>
      <c r="S1334" s="2">
        <v>1.2111637704054767E-2</v>
      </c>
      <c r="T1334" s="5">
        <v>82.565217391304344</v>
      </c>
      <c r="U1334" s="4">
        <v>1</v>
      </c>
      <c r="V1334" s="4">
        <v>1</v>
      </c>
      <c r="W1334" s="2">
        <v>1</v>
      </c>
      <c r="X1334" s="4">
        <v>1</v>
      </c>
      <c r="Y1334" s="4">
        <v>0</v>
      </c>
      <c r="Z1334" s="3">
        <v>18.989999999999998</v>
      </c>
      <c r="AA1334" s="3">
        <v>0</v>
      </c>
    </row>
    <row r="1335" spans="1:27" x14ac:dyDescent="0.2">
      <c r="A1335">
        <f t="shared" si="40"/>
        <v>3</v>
      </c>
      <c r="B1335">
        <f t="shared" si="41"/>
        <v>11</v>
      </c>
      <c r="C1335" s="1">
        <v>46095</v>
      </c>
      <c r="D1335" t="s">
        <v>25</v>
      </c>
      <c r="E1335" t="s">
        <v>26</v>
      </c>
      <c r="F1335" t="s">
        <v>27</v>
      </c>
      <c r="G1335" t="s">
        <v>28</v>
      </c>
      <c r="H1335" t="s">
        <v>29</v>
      </c>
      <c r="I1335" t="s">
        <v>30</v>
      </c>
      <c r="J1335" t="s">
        <v>44</v>
      </c>
      <c r="K1335" t="s">
        <v>32</v>
      </c>
      <c r="L1335" t="s">
        <v>838</v>
      </c>
      <c r="M1335" s="4">
        <v>1</v>
      </c>
      <c r="N1335" s="4">
        <v>1</v>
      </c>
      <c r="O1335" s="2">
        <v>1</v>
      </c>
      <c r="P1335" s="3">
        <v>0.21</v>
      </c>
      <c r="Q1335" s="3">
        <v>0.21</v>
      </c>
      <c r="R1335" s="3">
        <v>0</v>
      </c>
      <c r="S1335" s="2"/>
      <c r="T1335" s="5">
        <v>0</v>
      </c>
      <c r="U1335" s="4">
        <v>0</v>
      </c>
      <c r="V1335" s="4">
        <v>0</v>
      </c>
      <c r="W1335" s="2">
        <v>0</v>
      </c>
      <c r="X1335" s="4">
        <v>0</v>
      </c>
      <c r="Y1335" s="4">
        <v>0</v>
      </c>
      <c r="Z1335" s="3">
        <v>0</v>
      </c>
      <c r="AA1335" s="3">
        <v>0</v>
      </c>
    </row>
    <row r="1336" spans="1:27" x14ac:dyDescent="0.2">
      <c r="A1336">
        <f t="shared" si="40"/>
        <v>3</v>
      </c>
      <c r="B1336">
        <f t="shared" si="41"/>
        <v>11</v>
      </c>
      <c r="C1336" s="1">
        <v>46091</v>
      </c>
      <c r="D1336" t="s">
        <v>25</v>
      </c>
      <c r="E1336" t="s">
        <v>26</v>
      </c>
      <c r="F1336" t="s">
        <v>27</v>
      </c>
      <c r="G1336" t="s">
        <v>28</v>
      </c>
      <c r="H1336" t="s">
        <v>29</v>
      </c>
      <c r="I1336" t="s">
        <v>30</v>
      </c>
      <c r="J1336" t="s">
        <v>243</v>
      </c>
      <c r="K1336" t="s">
        <v>32</v>
      </c>
      <c r="L1336" t="s">
        <v>839</v>
      </c>
      <c r="M1336" s="4">
        <v>3</v>
      </c>
      <c r="N1336" s="4">
        <v>1</v>
      </c>
      <c r="O1336" s="2">
        <v>0.33333333333333331</v>
      </c>
      <c r="P1336" s="3">
        <v>0.21</v>
      </c>
      <c r="Q1336" s="3">
        <v>0.21</v>
      </c>
      <c r="R1336" s="3">
        <v>0</v>
      </c>
      <c r="S1336" s="2"/>
      <c r="T1336" s="5">
        <v>0</v>
      </c>
      <c r="U1336" s="4">
        <v>0</v>
      </c>
      <c r="V1336" s="4">
        <v>0</v>
      </c>
      <c r="W1336" s="2">
        <v>0</v>
      </c>
      <c r="X1336" s="4">
        <v>0</v>
      </c>
      <c r="Y1336" s="4">
        <v>0</v>
      </c>
      <c r="Z1336" s="3">
        <v>0</v>
      </c>
      <c r="AA1336" s="3">
        <v>0</v>
      </c>
    </row>
    <row r="1337" spans="1:27" x14ac:dyDescent="0.2">
      <c r="A1337">
        <f t="shared" si="40"/>
        <v>3</v>
      </c>
      <c r="B1337">
        <f t="shared" si="41"/>
        <v>11</v>
      </c>
      <c r="C1337" s="1">
        <v>46093</v>
      </c>
      <c r="D1337" t="s">
        <v>25</v>
      </c>
      <c r="E1337" t="s">
        <v>26</v>
      </c>
      <c r="F1337" t="s">
        <v>49</v>
      </c>
      <c r="G1337" t="s">
        <v>50</v>
      </c>
      <c r="H1337" t="s">
        <v>29</v>
      </c>
      <c r="I1337" t="s">
        <v>30</v>
      </c>
      <c r="J1337" t="s">
        <v>95</v>
      </c>
      <c r="K1337" t="s">
        <v>42</v>
      </c>
      <c r="L1337" t="s">
        <v>840</v>
      </c>
      <c r="M1337" s="4">
        <v>1</v>
      </c>
      <c r="N1337" s="4">
        <v>1</v>
      </c>
      <c r="O1337" s="2">
        <v>1</v>
      </c>
      <c r="P1337" s="3">
        <v>0.59</v>
      </c>
      <c r="Q1337" s="3">
        <v>0.59</v>
      </c>
      <c r="R1337" s="3">
        <v>0</v>
      </c>
      <c r="S1337" s="2"/>
      <c r="T1337" s="5">
        <v>0</v>
      </c>
      <c r="U1337" s="4">
        <v>0</v>
      </c>
      <c r="V1337" s="4">
        <v>0</v>
      </c>
      <c r="W1337" s="2">
        <v>0</v>
      </c>
      <c r="X1337" s="4">
        <v>0</v>
      </c>
      <c r="Y1337" s="4">
        <v>0</v>
      </c>
      <c r="Z1337" s="3">
        <v>0</v>
      </c>
      <c r="AA1337" s="3">
        <v>0</v>
      </c>
    </row>
    <row r="1338" spans="1:27" x14ac:dyDescent="0.2">
      <c r="A1338">
        <f t="shared" si="40"/>
        <v>3</v>
      </c>
      <c r="B1338">
        <f t="shared" si="41"/>
        <v>12</v>
      </c>
      <c r="C1338" s="1">
        <v>46096</v>
      </c>
      <c r="D1338" t="s">
        <v>25</v>
      </c>
      <c r="E1338" t="s">
        <v>26</v>
      </c>
      <c r="F1338" t="s">
        <v>49</v>
      </c>
      <c r="G1338" t="s">
        <v>50</v>
      </c>
      <c r="H1338" t="s">
        <v>29</v>
      </c>
      <c r="I1338" t="s">
        <v>30</v>
      </c>
      <c r="J1338" t="s">
        <v>95</v>
      </c>
      <c r="K1338" t="s">
        <v>42</v>
      </c>
      <c r="L1338" t="s">
        <v>841</v>
      </c>
      <c r="M1338" s="4">
        <v>1</v>
      </c>
      <c r="N1338" s="4">
        <v>1</v>
      </c>
      <c r="O1338" s="2">
        <v>1</v>
      </c>
      <c r="P1338" s="3">
        <v>0.6</v>
      </c>
      <c r="Q1338" s="3">
        <v>0.6</v>
      </c>
      <c r="R1338" s="3">
        <v>0</v>
      </c>
      <c r="S1338" s="2"/>
      <c r="T1338" s="5">
        <v>0</v>
      </c>
      <c r="U1338" s="4">
        <v>0</v>
      </c>
      <c r="V1338" s="4">
        <v>0</v>
      </c>
      <c r="W1338" s="2">
        <v>0</v>
      </c>
      <c r="X1338" s="4">
        <v>0</v>
      </c>
      <c r="Y1338" s="4">
        <v>0</v>
      </c>
      <c r="Z1338" s="3">
        <v>0</v>
      </c>
      <c r="AA1338" s="3">
        <v>0</v>
      </c>
    </row>
    <row r="1339" spans="1:27" x14ac:dyDescent="0.2">
      <c r="A1339">
        <f t="shared" si="40"/>
        <v>3</v>
      </c>
      <c r="B1339">
        <f t="shared" si="41"/>
        <v>11</v>
      </c>
      <c r="C1339" s="1">
        <v>46095</v>
      </c>
      <c r="D1339" t="s">
        <v>25</v>
      </c>
      <c r="E1339" t="s">
        <v>26</v>
      </c>
      <c r="F1339" t="s">
        <v>49</v>
      </c>
      <c r="G1339" t="s">
        <v>50</v>
      </c>
      <c r="H1339" t="s">
        <v>29</v>
      </c>
      <c r="I1339" t="s">
        <v>30</v>
      </c>
      <c r="J1339" t="s">
        <v>95</v>
      </c>
      <c r="K1339" t="s">
        <v>42</v>
      </c>
      <c r="L1339" t="s">
        <v>842</v>
      </c>
      <c r="M1339" s="4">
        <v>2</v>
      </c>
      <c r="N1339" s="4">
        <v>1</v>
      </c>
      <c r="O1339" s="2">
        <v>0.5</v>
      </c>
      <c r="P1339" s="3">
        <v>0.6</v>
      </c>
      <c r="Q1339" s="3">
        <v>0.6</v>
      </c>
      <c r="R1339" s="3">
        <v>0</v>
      </c>
      <c r="S1339" s="2"/>
      <c r="T1339" s="5">
        <v>0</v>
      </c>
      <c r="U1339" s="4">
        <v>0</v>
      </c>
      <c r="V1339" s="4">
        <v>0</v>
      </c>
      <c r="W1339" s="2">
        <v>0</v>
      </c>
      <c r="X1339" s="4">
        <v>0</v>
      </c>
      <c r="Y1339" s="4">
        <v>0</v>
      </c>
      <c r="Z1339" s="3">
        <v>0</v>
      </c>
      <c r="AA1339" s="3">
        <v>0</v>
      </c>
    </row>
    <row r="1340" spans="1:27" x14ac:dyDescent="0.2">
      <c r="A1340">
        <f t="shared" si="40"/>
        <v>3</v>
      </c>
      <c r="B1340">
        <f t="shared" si="41"/>
        <v>10</v>
      </c>
      <c r="C1340" s="1">
        <v>46082</v>
      </c>
      <c r="D1340" t="s">
        <v>25</v>
      </c>
      <c r="E1340" t="s">
        <v>26</v>
      </c>
      <c r="F1340" t="s">
        <v>49</v>
      </c>
      <c r="G1340" t="s">
        <v>50</v>
      </c>
      <c r="H1340" t="s">
        <v>29</v>
      </c>
      <c r="I1340" t="s">
        <v>30</v>
      </c>
      <c r="J1340" t="s">
        <v>47</v>
      </c>
      <c r="K1340" t="s">
        <v>42</v>
      </c>
      <c r="L1340" t="s">
        <v>50</v>
      </c>
      <c r="M1340" s="4">
        <v>6</v>
      </c>
      <c r="N1340" s="4">
        <v>1</v>
      </c>
      <c r="O1340" s="2">
        <v>0.16666666666666663</v>
      </c>
      <c r="P1340" s="3">
        <v>0.78</v>
      </c>
      <c r="Q1340" s="3">
        <v>0.78</v>
      </c>
      <c r="R1340" s="3">
        <v>0</v>
      </c>
      <c r="S1340" s="2"/>
      <c r="T1340" s="5">
        <v>0</v>
      </c>
      <c r="U1340" s="4">
        <v>0</v>
      </c>
      <c r="V1340" s="4">
        <v>0</v>
      </c>
      <c r="W1340" s="2">
        <v>0</v>
      </c>
      <c r="X1340" s="4">
        <v>0</v>
      </c>
      <c r="Y1340" s="4">
        <v>0</v>
      </c>
      <c r="Z1340" s="3">
        <v>0</v>
      </c>
      <c r="AA1340" s="3">
        <v>0</v>
      </c>
    </row>
    <row r="1341" spans="1:27" x14ac:dyDescent="0.2">
      <c r="A1341">
        <f t="shared" si="40"/>
        <v>3</v>
      </c>
      <c r="B1341">
        <f t="shared" si="41"/>
        <v>11</v>
      </c>
      <c r="C1341" s="1">
        <v>46090</v>
      </c>
      <c r="D1341" t="s">
        <v>25</v>
      </c>
      <c r="E1341" t="s">
        <v>26</v>
      </c>
      <c r="F1341" t="s">
        <v>34</v>
      </c>
      <c r="G1341" t="s">
        <v>28</v>
      </c>
      <c r="H1341" t="s">
        <v>29</v>
      </c>
      <c r="I1341" t="s">
        <v>30</v>
      </c>
      <c r="J1341" t="s">
        <v>50</v>
      </c>
      <c r="K1341" t="s">
        <v>32</v>
      </c>
      <c r="L1341" t="s">
        <v>50</v>
      </c>
      <c r="M1341" s="4">
        <v>17</v>
      </c>
      <c r="N1341" s="4">
        <v>1</v>
      </c>
      <c r="O1341" s="2">
        <v>5.8823529411764698E-2</v>
      </c>
      <c r="P1341" s="3">
        <v>0.92</v>
      </c>
      <c r="Q1341" s="3">
        <v>0.92</v>
      </c>
      <c r="R1341" s="3">
        <v>0</v>
      </c>
      <c r="S1341" s="2"/>
      <c r="T1341" s="5">
        <v>0</v>
      </c>
      <c r="U1341" s="4">
        <v>0</v>
      </c>
      <c r="V1341" s="4">
        <v>0</v>
      </c>
      <c r="W1341" s="2">
        <v>0</v>
      </c>
      <c r="X1341" s="4">
        <v>0</v>
      </c>
      <c r="Y1341" s="4">
        <v>0</v>
      </c>
      <c r="Z1341" s="3">
        <v>0</v>
      </c>
      <c r="AA1341" s="3">
        <v>0</v>
      </c>
    </row>
    <row r="1342" spans="1:27" x14ac:dyDescent="0.2">
      <c r="A1342">
        <f t="shared" si="40"/>
        <v>3</v>
      </c>
      <c r="B1342">
        <f t="shared" si="41"/>
        <v>11</v>
      </c>
      <c r="C1342" s="1">
        <v>46095</v>
      </c>
      <c r="D1342" t="s">
        <v>25</v>
      </c>
      <c r="E1342" t="s">
        <v>26</v>
      </c>
      <c r="F1342" t="s">
        <v>27</v>
      </c>
      <c r="G1342" t="s">
        <v>28</v>
      </c>
      <c r="H1342" t="s">
        <v>29</v>
      </c>
      <c r="I1342" t="s">
        <v>30</v>
      </c>
      <c r="J1342" t="s">
        <v>50</v>
      </c>
      <c r="K1342" t="s">
        <v>32</v>
      </c>
      <c r="L1342" t="s">
        <v>50</v>
      </c>
      <c r="M1342" s="4">
        <v>9</v>
      </c>
      <c r="N1342" s="4">
        <v>1</v>
      </c>
      <c r="O1342" s="2">
        <v>0.1111111111111111</v>
      </c>
      <c r="P1342" s="3">
        <v>0.2</v>
      </c>
      <c r="Q1342" s="3">
        <v>0.2</v>
      </c>
      <c r="R1342" s="3">
        <v>0</v>
      </c>
      <c r="S1342" s="2"/>
      <c r="T1342" s="5">
        <v>0</v>
      </c>
      <c r="U1342" s="4">
        <v>0</v>
      </c>
      <c r="V1342" s="4">
        <v>0</v>
      </c>
      <c r="W1342" s="2">
        <v>0</v>
      </c>
      <c r="X1342" s="4">
        <v>0</v>
      </c>
      <c r="Y1342" s="4">
        <v>0</v>
      </c>
      <c r="Z1342" s="3">
        <v>0</v>
      </c>
      <c r="AA1342" s="3">
        <v>0</v>
      </c>
    </row>
    <row r="1343" spans="1:27" x14ac:dyDescent="0.2">
      <c r="A1343">
        <f t="shared" si="40"/>
        <v>3</v>
      </c>
      <c r="B1343">
        <f t="shared" si="41"/>
        <v>12</v>
      </c>
      <c r="C1343" s="1">
        <v>46102</v>
      </c>
      <c r="D1343" t="s">
        <v>25</v>
      </c>
      <c r="E1343" t="s">
        <v>26</v>
      </c>
      <c r="F1343" t="s">
        <v>27</v>
      </c>
      <c r="G1343" t="s">
        <v>28</v>
      </c>
      <c r="H1343" t="s">
        <v>29</v>
      </c>
      <c r="I1343" t="s">
        <v>30</v>
      </c>
      <c r="J1343" t="s">
        <v>50</v>
      </c>
      <c r="K1343" t="s">
        <v>32</v>
      </c>
      <c r="L1343" t="s">
        <v>50</v>
      </c>
      <c r="M1343" s="4">
        <v>15</v>
      </c>
      <c r="N1343" s="4">
        <v>1</v>
      </c>
      <c r="O1343" s="2">
        <v>6.6666666666666666E-2</v>
      </c>
      <c r="P1343" s="3">
        <v>0.21</v>
      </c>
      <c r="Q1343" s="3">
        <v>0.21</v>
      </c>
      <c r="R1343" s="3">
        <v>0</v>
      </c>
      <c r="S1343" s="2"/>
      <c r="T1343" s="5">
        <v>0</v>
      </c>
      <c r="U1343" s="4">
        <v>0</v>
      </c>
      <c r="V1343" s="4">
        <v>0</v>
      </c>
      <c r="W1343" s="2">
        <v>0</v>
      </c>
      <c r="X1343" s="4">
        <v>0</v>
      </c>
      <c r="Y1343" s="4">
        <v>0</v>
      </c>
      <c r="Z1343" s="3">
        <v>0</v>
      </c>
      <c r="AA1343" s="3">
        <v>0</v>
      </c>
    </row>
    <row r="1344" spans="1:27" x14ac:dyDescent="0.2">
      <c r="A1344">
        <f t="shared" si="40"/>
        <v>3</v>
      </c>
      <c r="B1344">
        <f t="shared" si="41"/>
        <v>11</v>
      </c>
      <c r="C1344" s="1">
        <v>46089</v>
      </c>
      <c r="D1344" t="s">
        <v>25</v>
      </c>
      <c r="E1344" t="s">
        <v>26</v>
      </c>
      <c r="F1344" t="s">
        <v>49</v>
      </c>
      <c r="G1344" t="s">
        <v>50</v>
      </c>
      <c r="H1344" t="s">
        <v>29</v>
      </c>
      <c r="I1344" t="s">
        <v>30</v>
      </c>
      <c r="J1344" t="s">
        <v>47</v>
      </c>
      <c r="K1344" t="s">
        <v>42</v>
      </c>
      <c r="L1344" t="s">
        <v>280</v>
      </c>
      <c r="M1344" s="4">
        <v>2</v>
      </c>
      <c r="N1344" s="4">
        <v>1</v>
      </c>
      <c r="O1344" s="2">
        <v>0.5</v>
      </c>
      <c r="P1344" s="3">
        <v>0.9</v>
      </c>
      <c r="Q1344" s="3">
        <v>0.9</v>
      </c>
      <c r="R1344" s="3">
        <v>0</v>
      </c>
      <c r="S1344" s="2"/>
      <c r="T1344" s="5">
        <v>0</v>
      </c>
      <c r="U1344" s="4">
        <v>0</v>
      </c>
      <c r="V1344" s="4">
        <v>0</v>
      </c>
      <c r="W1344" s="2">
        <v>0</v>
      </c>
      <c r="X1344" s="4">
        <v>0</v>
      </c>
      <c r="Y1344" s="4">
        <v>0</v>
      </c>
      <c r="Z1344" s="3">
        <v>0</v>
      </c>
      <c r="AA1344" s="3">
        <v>0</v>
      </c>
    </row>
    <row r="1345" spans="1:27" x14ac:dyDescent="0.2">
      <c r="A1345">
        <f t="shared" si="40"/>
        <v>3</v>
      </c>
      <c r="B1345">
        <f t="shared" si="41"/>
        <v>11</v>
      </c>
      <c r="C1345" s="1">
        <v>46092</v>
      </c>
      <c r="D1345" t="s">
        <v>25</v>
      </c>
      <c r="E1345" t="s">
        <v>26</v>
      </c>
      <c r="F1345" t="s">
        <v>27</v>
      </c>
      <c r="G1345" t="s">
        <v>124</v>
      </c>
      <c r="H1345" t="s">
        <v>29</v>
      </c>
      <c r="I1345" t="s">
        <v>30</v>
      </c>
      <c r="J1345" t="s">
        <v>280</v>
      </c>
      <c r="K1345" t="s">
        <v>87</v>
      </c>
      <c r="L1345" t="s">
        <v>280</v>
      </c>
      <c r="M1345" s="4">
        <v>15</v>
      </c>
      <c r="N1345" s="4">
        <v>1</v>
      </c>
      <c r="O1345" s="2">
        <v>6.6666666666666666E-2</v>
      </c>
      <c r="P1345" s="3">
        <v>0.2</v>
      </c>
      <c r="Q1345" s="3">
        <v>0.2</v>
      </c>
      <c r="R1345" s="3">
        <v>0</v>
      </c>
      <c r="S1345" s="2"/>
      <c r="T1345" s="5">
        <v>0</v>
      </c>
      <c r="U1345" s="4">
        <v>0</v>
      </c>
      <c r="V1345" s="4">
        <v>0</v>
      </c>
      <c r="W1345" s="2">
        <v>0</v>
      </c>
      <c r="X1345" s="4">
        <v>0</v>
      </c>
      <c r="Y1345" s="4">
        <v>0</v>
      </c>
      <c r="Z1345" s="3">
        <v>0</v>
      </c>
      <c r="AA1345" s="3">
        <v>0</v>
      </c>
    </row>
    <row r="1346" spans="1:27" x14ac:dyDescent="0.2">
      <c r="A1346">
        <f t="shared" si="40"/>
        <v>3</v>
      </c>
      <c r="B1346">
        <f t="shared" si="41"/>
        <v>12</v>
      </c>
      <c r="C1346" s="1">
        <v>46101</v>
      </c>
      <c r="D1346" t="s">
        <v>25</v>
      </c>
      <c r="E1346" t="s">
        <v>26</v>
      </c>
      <c r="F1346" t="s">
        <v>27</v>
      </c>
      <c r="G1346" t="s">
        <v>124</v>
      </c>
      <c r="H1346" t="s">
        <v>29</v>
      </c>
      <c r="I1346" t="s">
        <v>30</v>
      </c>
      <c r="J1346" t="s">
        <v>280</v>
      </c>
      <c r="K1346" t="s">
        <v>87</v>
      </c>
      <c r="L1346" t="s">
        <v>280</v>
      </c>
      <c r="M1346" s="4">
        <v>9</v>
      </c>
      <c r="N1346" s="4">
        <v>1</v>
      </c>
      <c r="O1346" s="2">
        <v>0.1111111111111111</v>
      </c>
      <c r="P1346" s="3">
        <v>0.2</v>
      </c>
      <c r="Q1346" s="3">
        <v>0.2</v>
      </c>
      <c r="R1346" s="3">
        <v>0</v>
      </c>
      <c r="S1346" s="2"/>
      <c r="T1346" s="5">
        <v>0</v>
      </c>
      <c r="U1346" s="4">
        <v>0</v>
      </c>
      <c r="V1346" s="4">
        <v>0</v>
      </c>
      <c r="W1346" s="2">
        <v>0</v>
      </c>
      <c r="X1346" s="4">
        <v>0</v>
      </c>
      <c r="Y1346" s="4">
        <v>0</v>
      </c>
      <c r="Z1346" s="3">
        <v>0</v>
      </c>
      <c r="AA1346" s="3">
        <v>0</v>
      </c>
    </row>
    <row r="1347" spans="1:27" x14ac:dyDescent="0.2">
      <c r="A1347">
        <f t="shared" ref="A1347:A1410" si="42">MONTH(C1347)</f>
        <v>3</v>
      </c>
      <c r="B1347">
        <f t="shared" ref="B1347:B1410" si="43">WEEKNUM(C1347,1)</f>
        <v>11</v>
      </c>
      <c r="C1347" s="1">
        <v>46090</v>
      </c>
      <c r="D1347" t="s">
        <v>25</v>
      </c>
      <c r="E1347" t="s">
        <v>26</v>
      </c>
      <c r="F1347" t="s">
        <v>49</v>
      </c>
      <c r="G1347" t="s">
        <v>50</v>
      </c>
      <c r="H1347" t="s">
        <v>29</v>
      </c>
      <c r="I1347" t="s">
        <v>30</v>
      </c>
      <c r="J1347" t="s">
        <v>47</v>
      </c>
      <c r="K1347" t="s">
        <v>42</v>
      </c>
      <c r="L1347" t="s">
        <v>281</v>
      </c>
      <c r="M1347" s="4">
        <v>2</v>
      </c>
      <c r="N1347" s="4">
        <v>1</v>
      </c>
      <c r="O1347" s="2">
        <v>0.5</v>
      </c>
      <c r="P1347" s="3">
        <v>0.62</v>
      </c>
      <c r="Q1347" s="3">
        <v>0.62</v>
      </c>
      <c r="R1347" s="3">
        <v>0</v>
      </c>
      <c r="S1347" s="2"/>
      <c r="T1347" s="5">
        <v>0</v>
      </c>
      <c r="U1347" s="4">
        <v>0</v>
      </c>
      <c r="V1347" s="4">
        <v>0</v>
      </c>
      <c r="W1347" s="2">
        <v>0</v>
      </c>
      <c r="X1347" s="4">
        <v>0</v>
      </c>
      <c r="Y1347" s="4">
        <v>0</v>
      </c>
      <c r="Z1347" s="3">
        <v>0</v>
      </c>
      <c r="AA1347" s="3">
        <v>0</v>
      </c>
    </row>
    <row r="1348" spans="1:27" x14ac:dyDescent="0.2">
      <c r="A1348">
        <f t="shared" si="42"/>
        <v>3</v>
      </c>
      <c r="B1348">
        <f t="shared" si="43"/>
        <v>12</v>
      </c>
      <c r="C1348" s="1">
        <v>46097</v>
      </c>
      <c r="D1348" t="s">
        <v>25</v>
      </c>
      <c r="E1348" t="s">
        <v>26</v>
      </c>
      <c r="F1348" t="s">
        <v>27</v>
      </c>
      <c r="G1348" t="s">
        <v>124</v>
      </c>
      <c r="H1348" t="s">
        <v>29</v>
      </c>
      <c r="I1348" t="s">
        <v>30</v>
      </c>
      <c r="J1348" t="s">
        <v>280</v>
      </c>
      <c r="K1348" t="s">
        <v>87</v>
      </c>
      <c r="L1348" t="s">
        <v>281</v>
      </c>
      <c r="M1348" s="4">
        <v>4</v>
      </c>
      <c r="N1348" s="4">
        <v>1</v>
      </c>
      <c r="O1348" s="2">
        <v>0.25</v>
      </c>
      <c r="P1348" s="3">
        <v>0.21</v>
      </c>
      <c r="Q1348" s="3">
        <v>0.21</v>
      </c>
      <c r="R1348" s="3">
        <v>0</v>
      </c>
      <c r="S1348" s="2"/>
      <c r="T1348" s="5">
        <v>0</v>
      </c>
      <c r="U1348" s="4">
        <v>0</v>
      </c>
      <c r="V1348" s="4">
        <v>0</v>
      </c>
      <c r="W1348" s="2">
        <v>0</v>
      </c>
      <c r="X1348" s="4">
        <v>0</v>
      </c>
      <c r="Y1348" s="4">
        <v>0</v>
      </c>
      <c r="Z1348" s="3">
        <v>0</v>
      </c>
      <c r="AA1348" s="3">
        <v>0</v>
      </c>
    </row>
    <row r="1349" spans="1:27" x14ac:dyDescent="0.2">
      <c r="A1349">
        <f t="shared" si="42"/>
        <v>3</v>
      </c>
      <c r="B1349">
        <f t="shared" si="43"/>
        <v>12</v>
      </c>
      <c r="C1349" s="1">
        <v>46099</v>
      </c>
      <c r="D1349" t="s">
        <v>25</v>
      </c>
      <c r="E1349" t="s">
        <v>26</v>
      </c>
      <c r="F1349" t="s">
        <v>27</v>
      </c>
      <c r="G1349" t="s">
        <v>124</v>
      </c>
      <c r="H1349" t="s">
        <v>29</v>
      </c>
      <c r="I1349" t="s">
        <v>30</v>
      </c>
      <c r="J1349" t="s">
        <v>280</v>
      </c>
      <c r="K1349" t="s">
        <v>87</v>
      </c>
      <c r="L1349" t="s">
        <v>281</v>
      </c>
      <c r="M1349" s="4">
        <v>4</v>
      </c>
      <c r="N1349" s="4">
        <v>2</v>
      </c>
      <c r="O1349" s="2">
        <v>0.5</v>
      </c>
      <c r="P1349" s="3">
        <v>0.22</v>
      </c>
      <c r="Q1349" s="3">
        <v>0.44</v>
      </c>
      <c r="R1349" s="3">
        <v>0</v>
      </c>
      <c r="S1349" s="2"/>
      <c r="T1349" s="5">
        <v>0</v>
      </c>
      <c r="U1349" s="4">
        <v>0</v>
      </c>
      <c r="V1349" s="4">
        <v>0</v>
      </c>
      <c r="W1349" s="2">
        <v>0</v>
      </c>
      <c r="X1349" s="4">
        <v>0</v>
      </c>
      <c r="Y1349" s="4">
        <v>0</v>
      </c>
      <c r="Z1349" s="3">
        <v>0</v>
      </c>
      <c r="AA1349" s="3">
        <v>0</v>
      </c>
    </row>
    <row r="1350" spans="1:27" x14ac:dyDescent="0.2">
      <c r="A1350">
        <f t="shared" si="42"/>
        <v>3</v>
      </c>
      <c r="B1350">
        <f t="shared" si="43"/>
        <v>11</v>
      </c>
      <c r="C1350" s="1">
        <v>46092</v>
      </c>
      <c r="D1350" t="s">
        <v>25</v>
      </c>
      <c r="E1350" t="s">
        <v>26</v>
      </c>
      <c r="F1350" t="s">
        <v>39</v>
      </c>
      <c r="G1350" t="s">
        <v>40</v>
      </c>
      <c r="H1350" t="s">
        <v>29</v>
      </c>
      <c r="I1350" t="s">
        <v>30</v>
      </c>
      <c r="J1350" t="s">
        <v>843</v>
      </c>
      <c r="K1350" t="s">
        <v>42</v>
      </c>
      <c r="L1350" t="s">
        <v>281</v>
      </c>
      <c r="M1350" s="4">
        <v>1</v>
      </c>
      <c r="N1350" s="4">
        <v>1</v>
      </c>
      <c r="O1350" s="2">
        <v>1</v>
      </c>
      <c r="P1350" s="3">
        <v>0.75</v>
      </c>
      <c r="Q1350" s="3">
        <v>0.75</v>
      </c>
      <c r="R1350" s="3">
        <v>0</v>
      </c>
      <c r="S1350" s="2"/>
      <c r="T1350" s="5">
        <v>0</v>
      </c>
      <c r="U1350" s="4">
        <v>0</v>
      </c>
      <c r="V1350" s="4">
        <v>0</v>
      </c>
      <c r="W1350" s="2">
        <v>0</v>
      </c>
      <c r="X1350" s="4">
        <v>0</v>
      </c>
      <c r="Y1350" s="4">
        <v>0</v>
      </c>
      <c r="Z1350" s="3">
        <v>0</v>
      </c>
      <c r="AA1350" s="3">
        <v>0</v>
      </c>
    </row>
    <row r="1351" spans="1:27" x14ac:dyDescent="0.2">
      <c r="A1351">
        <f t="shared" si="42"/>
        <v>3</v>
      </c>
      <c r="B1351">
        <f t="shared" si="43"/>
        <v>11</v>
      </c>
      <c r="C1351" s="1">
        <v>46093</v>
      </c>
      <c r="D1351" t="s">
        <v>25</v>
      </c>
      <c r="E1351" t="s">
        <v>26</v>
      </c>
      <c r="F1351" t="s">
        <v>49</v>
      </c>
      <c r="G1351" t="s">
        <v>50</v>
      </c>
      <c r="H1351" t="s">
        <v>29</v>
      </c>
      <c r="I1351" t="s">
        <v>30</v>
      </c>
      <c r="J1351" t="s">
        <v>47</v>
      </c>
      <c r="K1351" t="s">
        <v>42</v>
      </c>
      <c r="L1351" t="s">
        <v>844</v>
      </c>
      <c r="M1351" s="4">
        <v>1</v>
      </c>
      <c r="N1351" s="4">
        <v>1</v>
      </c>
      <c r="O1351" s="2">
        <v>1</v>
      </c>
      <c r="P1351" s="3">
        <v>1.01</v>
      </c>
      <c r="Q1351" s="3">
        <v>1.01</v>
      </c>
      <c r="R1351" s="3">
        <v>0</v>
      </c>
      <c r="S1351" s="2"/>
      <c r="T1351" s="5">
        <v>0</v>
      </c>
      <c r="U1351" s="4">
        <v>0</v>
      </c>
      <c r="V1351" s="4">
        <v>0</v>
      </c>
      <c r="W1351" s="2">
        <v>0</v>
      </c>
      <c r="X1351" s="4">
        <v>0</v>
      </c>
      <c r="Y1351" s="4">
        <v>0</v>
      </c>
      <c r="Z1351" s="3">
        <v>0</v>
      </c>
      <c r="AA1351" s="3">
        <v>0</v>
      </c>
    </row>
    <row r="1352" spans="1:27" x14ac:dyDescent="0.2">
      <c r="A1352">
        <f t="shared" si="42"/>
        <v>3</v>
      </c>
      <c r="B1352">
        <f t="shared" si="43"/>
        <v>11</v>
      </c>
      <c r="C1352" s="1">
        <v>46092</v>
      </c>
      <c r="D1352" t="s">
        <v>25</v>
      </c>
      <c r="E1352" t="s">
        <v>26</v>
      </c>
      <c r="F1352" t="s">
        <v>27</v>
      </c>
      <c r="G1352" t="s">
        <v>28</v>
      </c>
      <c r="H1352" t="s">
        <v>29</v>
      </c>
      <c r="I1352" t="s">
        <v>30</v>
      </c>
      <c r="J1352" t="s">
        <v>154</v>
      </c>
      <c r="K1352" t="s">
        <v>32</v>
      </c>
      <c r="L1352" t="s">
        <v>559</v>
      </c>
      <c r="M1352" s="4">
        <v>2</v>
      </c>
      <c r="N1352" s="4">
        <v>1</v>
      </c>
      <c r="O1352" s="2">
        <v>0.5</v>
      </c>
      <c r="P1352" s="3">
        <v>0.2</v>
      </c>
      <c r="Q1352" s="3">
        <v>0.2</v>
      </c>
      <c r="R1352" s="3">
        <v>0</v>
      </c>
      <c r="S1352" s="2"/>
      <c r="T1352" s="5">
        <v>0</v>
      </c>
      <c r="U1352" s="4">
        <v>0</v>
      </c>
      <c r="V1352" s="4">
        <v>0</v>
      </c>
      <c r="W1352" s="2">
        <v>0</v>
      </c>
      <c r="X1352" s="4">
        <v>0</v>
      </c>
      <c r="Y1352" s="4">
        <v>0</v>
      </c>
      <c r="Z1352" s="3">
        <v>0</v>
      </c>
      <c r="AA1352" s="3">
        <v>0</v>
      </c>
    </row>
    <row r="1353" spans="1:27" x14ac:dyDescent="0.2">
      <c r="A1353">
        <f t="shared" si="42"/>
        <v>3</v>
      </c>
      <c r="B1353">
        <f t="shared" si="43"/>
        <v>12</v>
      </c>
      <c r="C1353" s="1">
        <v>46101</v>
      </c>
      <c r="D1353" t="s">
        <v>25</v>
      </c>
      <c r="E1353" t="s">
        <v>26</v>
      </c>
      <c r="F1353" t="s">
        <v>49</v>
      </c>
      <c r="G1353" t="s">
        <v>50</v>
      </c>
      <c r="H1353" t="s">
        <v>29</v>
      </c>
      <c r="I1353" t="s">
        <v>30</v>
      </c>
      <c r="J1353" t="s">
        <v>95</v>
      </c>
      <c r="K1353" t="s">
        <v>42</v>
      </c>
      <c r="L1353" t="s">
        <v>845</v>
      </c>
      <c r="M1353" s="4">
        <v>1</v>
      </c>
      <c r="N1353" s="4">
        <v>1</v>
      </c>
      <c r="O1353" s="2">
        <v>1</v>
      </c>
      <c r="P1353" s="3">
        <v>0.49</v>
      </c>
      <c r="Q1353" s="3">
        <v>0.49</v>
      </c>
      <c r="R1353" s="3">
        <v>18.989999999999998</v>
      </c>
      <c r="S1353" s="2">
        <v>2.5803054239073201E-2</v>
      </c>
      <c r="T1353" s="5">
        <v>38.755102040816325</v>
      </c>
      <c r="U1353" s="4">
        <v>1</v>
      </c>
      <c r="V1353" s="4">
        <v>1</v>
      </c>
      <c r="W1353" s="2">
        <v>1</v>
      </c>
      <c r="X1353" s="4">
        <v>1</v>
      </c>
      <c r="Y1353" s="4">
        <v>0</v>
      </c>
      <c r="Z1353" s="3">
        <v>18.989999999999998</v>
      </c>
      <c r="AA1353" s="3">
        <v>0</v>
      </c>
    </row>
    <row r="1354" spans="1:27" x14ac:dyDescent="0.2">
      <c r="A1354">
        <f t="shared" si="42"/>
        <v>3</v>
      </c>
      <c r="B1354">
        <f t="shared" si="43"/>
        <v>12</v>
      </c>
      <c r="C1354" s="1">
        <v>46096</v>
      </c>
      <c r="D1354" t="s">
        <v>25</v>
      </c>
      <c r="E1354" t="s">
        <v>26</v>
      </c>
      <c r="F1354" t="s">
        <v>27</v>
      </c>
      <c r="G1354" t="s">
        <v>28</v>
      </c>
      <c r="H1354" t="s">
        <v>29</v>
      </c>
      <c r="I1354" t="s">
        <v>30</v>
      </c>
      <c r="J1354" t="s">
        <v>50</v>
      </c>
      <c r="K1354" t="s">
        <v>32</v>
      </c>
      <c r="L1354" t="s">
        <v>846</v>
      </c>
      <c r="M1354" s="4">
        <v>2</v>
      </c>
      <c r="N1354" s="4">
        <v>1</v>
      </c>
      <c r="O1354" s="2">
        <v>0.5</v>
      </c>
      <c r="P1354" s="3">
        <v>0.21</v>
      </c>
      <c r="Q1354" s="3">
        <v>0.21</v>
      </c>
      <c r="R1354" s="3">
        <v>0</v>
      </c>
      <c r="S1354" s="2"/>
      <c r="T1354" s="5">
        <v>0</v>
      </c>
      <c r="U1354" s="4">
        <v>0</v>
      </c>
      <c r="V1354" s="4">
        <v>0</v>
      </c>
      <c r="W1354" s="2">
        <v>0</v>
      </c>
      <c r="X1354" s="4">
        <v>0</v>
      </c>
      <c r="Y1354" s="4">
        <v>0</v>
      </c>
      <c r="Z1354" s="3">
        <v>0</v>
      </c>
      <c r="AA1354" s="3">
        <v>0</v>
      </c>
    </row>
    <row r="1355" spans="1:27" x14ac:dyDescent="0.2">
      <c r="A1355">
        <f t="shared" si="42"/>
        <v>3</v>
      </c>
      <c r="B1355">
        <f t="shared" si="43"/>
        <v>12</v>
      </c>
      <c r="C1355" s="1">
        <v>46100</v>
      </c>
      <c r="D1355" t="s">
        <v>25</v>
      </c>
      <c r="E1355" t="s">
        <v>26</v>
      </c>
      <c r="F1355" t="s">
        <v>27</v>
      </c>
      <c r="G1355" t="s">
        <v>28</v>
      </c>
      <c r="H1355" t="s">
        <v>29</v>
      </c>
      <c r="I1355" t="s">
        <v>30</v>
      </c>
      <c r="J1355" t="s">
        <v>239</v>
      </c>
      <c r="K1355" t="s">
        <v>32</v>
      </c>
      <c r="L1355" t="s">
        <v>847</v>
      </c>
      <c r="M1355" s="4">
        <v>1</v>
      </c>
      <c r="N1355" s="4">
        <v>1</v>
      </c>
      <c r="O1355" s="2">
        <v>1</v>
      </c>
      <c r="P1355" s="3">
        <v>0.2</v>
      </c>
      <c r="Q1355" s="3">
        <v>0.2</v>
      </c>
      <c r="R1355" s="3">
        <v>0</v>
      </c>
      <c r="S1355" s="2"/>
      <c r="T1355" s="5">
        <v>0</v>
      </c>
      <c r="U1355" s="4">
        <v>0</v>
      </c>
      <c r="V1355" s="4">
        <v>0</v>
      </c>
      <c r="W1355" s="2">
        <v>0</v>
      </c>
      <c r="X1355" s="4">
        <v>0</v>
      </c>
      <c r="Y1355" s="4">
        <v>0</v>
      </c>
      <c r="Z1355" s="3">
        <v>0</v>
      </c>
      <c r="AA1355" s="3">
        <v>0</v>
      </c>
    </row>
    <row r="1356" spans="1:27" x14ac:dyDescent="0.2">
      <c r="A1356">
        <f t="shared" si="42"/>
        <v>3</v>
      </c>
      <c r="B1356">
        <f t="shared" si="43"/>
        <v>10</v>
      </c>
      <c r="C1356" s="1">
        <v>46085</v>
      </c>
      <c r="D1356" t="s">
        <v>25</v>
      </c>
      <c r="E1356" t="s">
        <v>26</v>
      </c>
      <c r="F1356" t="s">
        <v>27</v>
      </c>
      <c r="G1356" t="s">
        <v>28</v>
      </c>
      <c r="H1356" t="s">
        <v>29</v>
      </c>
      <c r="I1356" t="s">
        <v>30</v>
      </c>
      <c r="J1356" t="s">
        <v>119</v>
      </c>
      <c r="K1356" t="s">
        <v>32</v>
      </c>
      <c r="L1356" t="s">
        <v>565</v>
      </c>
      <c r="M1356" s="4">
        <v>3</v>
      </c>
      <c r="N1356" s="4">
        <v>1</v>
      </c>
      <c r="O1356" s="2">
        <v>0.33333333333333331</v>
      </c>
      <c r="P1356" s="3">
        <v>0.08</v>
      </c>
      <c r="Q1356" s="3">
        <v>0.08</v>
      </c>
      <c r="R1356" s="3">
        <v>0</v>
      </c>
      <c r="S1356" s="2"/>
      <c r="T1356" s="5">
        <v>0</v>
      </c>
      <c r="U1356" s="4">
        <v>0</v>
      </c>
      <c r="V1356" s="4">
        <v>0</v>
      </c>
      <c r="W1356" s="2">
        <v>0</v>
      </c>
      <c r="X1356" s="4">
        <v>0</v>
      </c>
      <c r="Y1356" s="4">
        <v>0</v>
      </c>
      <c r="Z1356" s="3">
        <v>0</v>
      </c>
      <c r="AA1356" s="3">
        <v>0</v>
      </c>
    </row>
    <row r="1357" spans="1:27" x14ac:dyDescent="0.2">
      <c r="A1357">
        <f t="shared" si="42"/>
        <v>3</v>
      </c>
      <c r="B1357">
        <f t="shared" si="43"/>
        <v>12</v>
      </c>
      <c r="C1357" s="1">
        <v>46100</v>
      </c>
      <c r="D1357" t="s">
        <v>25</v>
      </c>
      <c r="E1357" t="s">
        <v>26</v>
      </c>
      <c r="F1357" t="s">
        <v>61</v>
      </c>
      <c r="G1357" t="s">
        <v>62</v>
      </c>
      <c r="H1357" t="s">
        <v>29</v>
      </c>
      <c r="I1357" t="s">
        <v>30</v>
      </c>
      <c r="J1357" t="s">
        <v>47</v>
      </c>
      <c r="K1357" t="s">
        <v>42</v>
      </c>
      <c r="L1357" t="s">
        <v>848</v>
      </c>
      <c r="M1357" s="4">
        <v>4</v>
      </c>
      <c r="N1357" s="4">
        <v>1</v>
      </c>
      <c r="O1357" s="2">
        <v>0.25</v>
      </c>
      <c r="P1357" s="3">
        <v>1.56</v>
      </c>
      <c r="Q1357" s="3">
        <v>1.56</v>
      </c>
      <c r="R1357" s="3">
        <v>0</v>
      </c>
      <c r="S1357" s="2"/>
      <c r="T1357" s="5">
        <v>0</v>
      </c>
      <c r="U1357" s="4">
        <v>0</v>
      </c>
      <c r="V1357" s="4">
        <v>0</v>
      </c>
      <c r="W1357" s="2">
        <v>0</v>
      </c>
      <c r="X1357" s="4">
        <v>0</v>
      </c>
      <c r="Y1357" s="4">
        <v>0</v>
      </c>
      <c r="Z1357" s="3">
        <v>0</v>
      </c>
      <c r="AA1357" s="3">
        <v>0</v>
      </c>
    </row>
    <row r="1358" spans="1:27" x14ac:dyDescent="0.2">
      <c r="A1358">
        <f t="shared" si="42"/>
        <v>3</v>
      </c>
      <c r="B1358">
        <f t="shared" si="43"/>
        <v>11</v>
      </c>
      <c r="C1358" s="1">
        <v>46095</v>
      </c>
      <c r="D1358" t="s">
        <v>25</v>
      </c>
      <c r="E1358" t="s">
        <v>26</v>
      </c>
      <c r="F1358" t="s">
        <v>61</v>
      </c>
      <c r="G1358" t="s">
        <v>62</v>
      </c>
      <c r="H1358" t="s">
        <v>29</v>
      </c>
      <c r="I1358" t="s">
        <v>30</v>
      </c>
      <c r="J1358" t="s">
        <v>95</v>
      </c>
      <c r="K1358" t="s">
        <v>42</v>
      </c>
      <c r="L1358" t="s">
        <v>849</v>
      </c>
      <c r="M1358" s="4">
        <v>1</v>
      </c>
      <c r="N1358" s="4">
        <v>1</v>
      </c>
      <c r="O1358" s="2">
        <v>1</v>
      </c>
      <c r="P1358" s="3">
        <v>1.01</v>
      </c>
      <c r="Q1358" s="3">
        <v>1.01</v>
      </c>
      <c r="R1358" s="3">
        <v>0</v>
      </c>
      <c r="S1358" s="2"/>
      <c r="T1358" s="5">
        <v>0</v>
      </c>
      <c r="U1358" s="4">
        <v>0</v>
      </c>
      <c r="V1358" s="4">
        <v>0</v>
      </c>
      <c r="W1358" s="2">
        <v>0</v>
      </c>
      <c r="X1358" s="4">
        <v>0</v>
      </c>
      <c r="Y1358" s="4">
        <v>0</v>
      </c>
      <c r="Z1358" s="3">
        <v>0</v>
      </c>
      <c r="AA1358" s="3">
        <v>0</v>
      </c>
    </row>
    <row r="1359" spans="1:27" x14ac:dyDescent="0.2">
      <c r="A1359">
        <f t="shared" si="42"/>
        <v>3</v>
      </c>
      <c r="B1359">
        <f t="shared" si="43"/>
        <v>10</v>
      </c>
      <c r="C1359" s="1">
        <v>46087</v>
      </c>
      <c r="D1359" t="s">
        <v>25</v>
      </c>
      <c r="E1359" t="s">
        <v>26</v>
      </c>
      <c r="F1359" t="s">
        <v>61</v>
      </c>
      <c r="G1359" t="s">
        <v>62</v>
      </c>
      <c r="H1359" t="s">
        <v>29</v>
      </c>
      <c r="I1359" t="s">
        <v>30</v>
      </c>
      <c r="J1359" t="s">
        <v>51</v>
      </c>
      <c r="K1359" t="s">
        <v>42</v>
      </c>
      <c r="L1359" t="s">
        <v>850</v>
      </c>
      <c r="M1359" s="4">
        <v>2</v>
      </c>
      <c r="N1359" s="4">
        <v>1</v>
      </c>
      <c r="O1359" s="2">
        <v>0.5</v>
      </c>
      <c r="P1359" s="3">
        <v>1.1599999999999999</v>
      </c>
      <c r="Q1359" s="3">
        <v>1.1599999999999999</v>
      </c>
      <c r="R1359" s="3">
        <v>0</v>
      </c>
      <c r="S1359" s="2"/>
      <c r="T1359" s="5">
        <v>0</v>
      </c>
      <c r="U1359" s="4">
        <v>0</v>
      </c>
      <c r="V1359" s="4">
        <v>0</v>
      </c>
      <c r="W1359" s="2">
        <v>0</v>
      </c>
      <c r="X1359" s="4">
        <v>0</v>
      </c>
      <c r="Y1359" s="4">
        <v>0</v>
      </c>
      <c r="Z1359" s="3">
        <v>0</v>
      </c>
      <c r="AA1359" s="3">
        <v>0</v>
      </c>
    </row>
    <row r="1360" spans="1:27" x14ac:dyDescent="0.2">
      <c r="A1360">
        <f t="shared" si="42"/>
        <v>3</v>
      </c>
      <c r="B1360">
        <f t="shared" si="43"/>
        <v>12</v>
      </c>
      <c r="C1360" s="1">
        <v>46102</v>
      </c>
      <c r="D1360" t="s">
        <v>25</v>
      </c>
      <c r="E1360" t="s">
        <v>26</v>
      </c>
      <c r="F1360" t="s">
        <v>27</v>
      </c>
      <c r="G1360" t="s">
        <v>28</v>
      </c>
      <c r="H1360" t="s">
        <v>29</v>
      </c>
      <c r="I1360" t="s">
        <v>30</v>
      </c>
      <c r="J1360" t="s">
        <v>280</v>
      </c>
      <c r="K1360" t="s">
        <v>32</v>
      </c>
      <c r="L1360" t="s">
        <v>851</v>
      </c>
      <c r="M1360" s="4">
        <v>3</v>
      </c>
      <c r="N1360" s="4">
        <v>1</v>
      </c>
      <c r="O1360" s="2">
        <v>0.33333333333333331</v>
      </c>
      <c r="P1360" s="3">
        <v>0.21</v>
      </c>
      <c r="Q1360" s="3">
        <v>0.21</v>
      </c>
      <c r="R1360" s="3">
        <v>0</v>
      </c>
      <c r="S1360" s="2"/>
      <c r="T1360" s="5">
        <v>0</v>
      </c>
      <c r="U1360" s="4">
        <v>0</v>
      </c>
      <c r="V1360" s="4">
        <v>0</v>
      </c>
      <c r="W1360" s="2">
        <v>0</v>
      </c>
      <c r="X1360" s="4">
        <v>0</v>
      </c>
      <c r="Y1360" s="4">
        <v>0</v>
      </c>
      <c r="Z1360" s="3">
        <v>0</v>
      </c>
      <c r="AA1360" s="3">
        <v>0</v>
      </c>
    </row>
    <row r="1361" spans="1:27" x14ac:dyDescent="0.2">
      <c r="A1361">
        <f t="shared" si="42"/>
        <v>3</v>
      </c>
      <c r="B1361">
        <f t="shared" si="43"/>
        <v>12</v>
      </c>
      <c r="C1361" s="1">
        <v>46099</v>
      </c>
      <c r="D1361" t="s">
        <v>25</v>
      </c>
      <c r="E1361" t="s">
        <v>26</v>
      </c>
      <c r="F1361" t="s">
        <v>27</v>
      </c>
      <c r="G1361" t="s">
        <v>28</v>
      </c>
      <c r="H1361" t="s">
        <v>29</v>
      </c>
      <c r="I1361" t="s">
        <v>30</v>
      </c>
      <c r="J1361" t="s">
        <v>542</v>
      </c>
      <c r="K1361" t="s">
        <v>32</v>
      </c>
      <c r="L1361" t="s">
        <v>852</v>
      </c>
      <c r="M1361" s="4">
        <v>3</v>
      </c>
      <c r="N1361" s="4">
        <v>1</v>
      </c>
      <c r="O1361" s="2">
        <v>0.33333333333333331</v>
      </c>
      <c r="P1361" s="3">
        <v>0.21</v>
      </c>
      <c r="Q1361" s="3">
        <v>0.21</v>
      </c>
      <c r="R1361" s="3">
        <v>0</v>
      </c>
      <c r="S1361" s="2"/>
      <c r="T1361" s="5">
        <v>0</v>
      </c>
      <c r="U1361" s="4">
        <v>0</v>
      </c>
      <c r="V1361" s="4">
        <v>0</v>
      </c>
      <c r="W1361" s="2">
        <v>0</v>
      </c>
      <c r="X1361" s="4">
        <v>0</v>
      </c>
      <c r="Y1361" s="4">
        <v>0</v>
      </c>
      <c r="Z1361" s="3">
        <v>0</v>
      </c>
      <c r="AA1361" s="3">
        <v>0</v>
      </c>
    </row>
    <row r="1362" spans="1:27" x14ac:dyDescent="0.2">
      <c r="A1362">
        <f t="shared" si="42"/>
        <v>3</v>
      </c>
      <c r="B1362">
        <f t="shared" si="43"/>
        <v>12</v>
      </c>
      <c r="C1362" s="1">
        <v>46097</v>
      </c>
      <c r="D1362" t="s">
        <v>25</v>
      </c>
      <c r="E1362" t="s">
        <v>26</v>
      </c>
      <c r="F1362" t="s">
        <v>49</v>
      </c>
      <c r="G1362" t="s">
        <v>50</v>
      </c>
      <c r="H1362" t="s">
        <v>29</v>
      </c>
      <c r="I1362" t="s">
        <v>30</v>
      </c>
      <c r="J1362" t="s">
        <v>47</v>
      </c>
      <c r="K1362" t="s">
        <v>42</v>
      </c>
      <c r="L1362" t="s">
        <v>293</v>
      </c>
      <c r="M1362" s="4">
        <v>10</v>
      </c>
      <c r="N1362" s="4">
        <v>1</v>
      </c>
      <c r="O1362" s="2">
        <v>0.1</v>
      </c>
      <c r="P1362" s="3">
        <v>0.69</v>
      </c>
      <c r="Q1362" s="3">
        <v>0.69</v>
      </c>
      <c r="R1362" s="3">
        <v>0</v>
      </c>
      <c r="S1362" s="2"/>
      <c r="T1362" s="5">
        <v>0</v>
      </c>
      <c r="U1362" s="4">
        <v>0</v>
      </c>
      <c r="V1362" s="4">
        <v>0</v>
      </c>
      <c r="W1362" s="2">
        <v>0</v>
      </c>
      <c r="X1362" s="4">
        <v>0</v>
      </c>
      <c r="Y1362" s="4">
        <v>0</v>
      </c>
      <c r="Z1362" s="3">
        <v>0</v>
      </c>
      <c r="AA1362" s="3">
        <v>0</v>
      </c>
    </row>
    <row r="1363" spans="1:27" x14ac:dyDescent="0.2">
      <c r="A1363">
        <f t="shared" si="42"/>
        <v>3</v>
      </c>
      <c r="B1363">
        <f t="shared" si="43"/>
        <v>10</v>
      </c>
      <c r="C1363" s="1">
        <v>46083</v>
      </c>
      <c r="D1363" t="s">
        <v>25</v>
      </c>
      <c r="E1363" t="s">
        <v>26</v>
      </c>
      <c r="F1363" t="s">
        <v>34</v>
      </c>
      <c r="G1363" t="s">
        <v>28</v>
      </c>
      <c r="H1363" t="s">
        <v>29</v>
      </c>
      <c r="I1363" t="s">
        <v>30</v>
      </c>
      <c r="J1363" t="s">
        <v>50</v>
      </c>
      <c r="K1363" t="s">
        <v>32</v>
      </c>
      <c r="L1363" t="s">
        <v>293</v>
      </c>
      <c r="M1363" s="4">
        <v>3</v>
      </c>
      <c r="N1363" s="4">
        <v>1</v>
      </c>
      <c r="O1363" s="2">
        <v>0.33333333333333331</v>
      </c>
      <c r="P1363" s="3">
        <v>1</v>
      </c>
      <c r="Q1363" s="3">
        <v>1</v>
      </c>
      <c r="R1363" s="3">
        <v>0</v>
      </c>
      <c r="S1363" s="2"/>
      <c r="T1363" s="5">
        <v>0</v>
      </c>
      <c r="U1363" s="4">
        <v>0</v>
      </c>
      <c r="V1363" s="4">
        <v>0</v>
      </c>
      <c r="W1363" s="2">
        <v>0</v>
      </c>
      <c r="X1363" s="4">
        <v>0</v>
      </c>
      <c r="Y1363" s="4">
        <v>0</v>
      </c>
      <c r="Z1363" s="3">
        <v>0</v>
      </c>
      <c r="AA1363" s="3">
        <v>0</v>
      </c>
    </row>
    <row r="1364" spans="1:27" x14ac:dyDescent="0.2">
      <c r="A1364">
        <f t="shared" si="42"/>
        <v>3</v>
      </c>
      <c r="B1364">
        <f t="shared" si="43"/>
        <v>12</v>
      </c>
      <c r="C1364" s="1">
        <v>46096</v>
      </c>
      <c r="D1364" t="s">
        <v>25</v>
      </c>
      <c r="E1364" t="s">
        <v>26</v>
      </c>
      <c r="F1364" t="s">
        <v>27</v>
      </c>
      <c r="G1364" t="s">
        <v>28</v>
      </c>
      <c r="H1364" t="s">
        <v>29</v>
      </c>
      <c r="I1364" t="s">
        <v>30</v>
      </c>
      <c r="J1364" t="s">
        <v>50</v>
      </c>
      <c r="K1364" t="s">
        <v>32</v>
      </c>
      <c r="L1364" t="s">
        <v>853</v>
      </c>
      <c r="M1364" s="4">
        <v>2</v>
      </c>
      <c r="N1364" s="4">
        <v>1</v>
      </c>
      <c r="O1364" s="2">
        <v>0.5</v>
      </c>
      <c r="P1364" s="3">
        <v>0.4</v>
      </c>
      <c r="Q1364" s="3">
        <v>0.4</v>
      </c>
      <c r="R1364" s="3">
        <v>0</v>
      </c>
      <c r="S1364" s="2"/>
      <c r="T1364" s="5">
        <v>0</v>
      </c>
      <c r="U1364" s="4">
        <v>0</v>
      </c>
      <c r="V1364" s="4">
        <v>0</v>
      </c>
      <c r="W1364" s="2">
        <v>0</v>
      </c>
      <c r="X1364" s="4">
        <v>0</v>
      </c>
      <c r="Y1364" s="4">
        <v>0</v>
      </c>
      <c r="Z1364" s="3">
        <v>0</v>
      </c>
      <c r="AA1364" s="3">
        <v>0</v>
      </c>
    </row>
    <row r="1365" spans="1:27" x14ac:dyDescent="0.2">
      <c r="A1365">
        <f t="shared" si="42"/>
        <v>3</v>
      </c>
      <c r="B1365">
        <f t="shared" si="43"/>
        <v>12</v>
      </c>
      <c r="C1365" s="1">
        <v>46098</v>
      </c>
      <c r="D1365" t="s">
        <v>25</v>
      </c>
      <c r="E1365" t="s">
        <v>26</v>
      </c>
      <c r="F1365" t="s">
        <v>27</v>
      </c>
      <c r="G1365" t="s">
        <v>28</v>
      </c>
      <c r="H1365" t="s">
        <v>29</v>
      </c>
      <c r="I1365" t="s">
        <v>30</v>
      </c>
      <c r="J1365" t="s">
        <v>101</v>
      </c>
      <c r="K1365" t="s">
        <v>32</v>
      </c>
      <c r="L1365" t="s">
        <v>854</v>
      </c>
      <c r="M1365" s="4">
        <v>2</v>
      </c>
      <c r="N1365" s="4">
        <v>1</v>
      </c>
      <c r="O1365" s="2">
        <v>0.5</v>
      </c>
      <c r="P1365" s="3">
        <v>0.21</v>
      </c>
      <c r="Q1365" s="3">
        <v>0.21</v>
      </c>
      <c r="R1365" s="3">
        <v>0</v>
      </c>
      <c r="S1365" s="2"/>
      <c r="T1365" s="5">
        <v>0</v>
      </c>
      <c r="U1365" s="4">
        <v>0</v>
      </c>
      <c r="V1365" s="4">
        <v>0</v>
      </c>
      <c r="W1365" s="2">
        <v>0</v>
      </c>
      <c r="X1365" s="4">
        <v>0</v>
      </c>
      <c r="Y1365" s="4">
        <v>0</v>
      </c>
      <c r="Z1365" s="3">
        <v>0</v>
      </c>
      <c r="AA1365" s="3">
        <v>0</v>
      </c>
    </row>
    <row r="1366" spans="1:27" x14ac:dyDescent="0.2">
      <c r="A1366">
        <f t="shared" si="42"/>
        <v>3</v>
      </c>
      <c r="B1366">
        <f t="shared" si="43"/>
        <v>10</v>
      </c>
      <c r="C1366" s="1">
        <v>46082</v>
      </c>
      <c r="D1366" t="s">
        <v>25</v>
      </c>
      <c r="E1366" t="s">
        <v>26</v>
      </c>
      <c r="F1366" t="s">
        <v>27</v>
      </c>
      <c r="G1366" t="s">
        <v>28</v>
      </c>
      <c r="H1366" t="s">
        <v>29</v>
      </c>
      <c r="I1366" t="s">
        <v>30</v>
      </c>
      <c r="J1366" t="s">
        <v>119</v>
      </c>
      <c r="K1366" t="s">
        <v>32</v>
      </c>
      <c r="L1366" t="s">
        <v>577</v>
      </c>
      <c r="M1366" s="4">
        <v>8</v>
      </c>
      <c r="N1366" s="4">
        <v>1</v>
      </c>
      <c r="O1366" s="2">
        <v>0.125</v>
      </c>
      <c r="P1366" s="3">
        <v>0.16</v>
      </c>
      <c r="Q1366" s="3">
        <v>0.16</v>
      </c>
      <c r="R1366" s="3">
        <v>0</v>
      </c>
      <c r="S1366" s="2"/>
      <c r="T1366" s="5">
        <v>0</v>
      </c>
      <c r="U1366" s="4">
        <v>0</v>
      </c>
      <c r="V1366" s="4">
        <v>0</v>
      </c>
      <c r="W1366" s="2">
        <v>0</v>
      </c>
      <c r="X1366" s="4">
        <v>0</v>
      </c>
      <c r="Y1366" s="4">
        <v>0</v>
      </c>
      <c r="Z1366" s="3">
        <v>0</v>
      </c>
      <c r="AA1366" s="3">
        <v>0</v>
      </c>
    </row>
    <row r="1367" spans="1:27" x14ac:dyDescent="0.2">
      <c r="A1367">
        <f t="shared" si="42"/>
        <v>3</v>
      </c>
      <c r="B1367">
        <f t="shared" si="43"/>
        <v>10</v>
      </c>
      <c r="C1367" s="1">
        <v>46088</v>
      </c>
      <c r="D1367" t="s">
        <v>25</v>
      </c>
      <c r="E1367" t="s">
        <v>26</v>
      </c>
      <c r="F1367" t="s">
        <v>27</v>
      </c>
      <c r="G1367" t="s">
        <v>28</v>
      </c>
      <c r="H1367" t="s">
        <v>29</v>
      </c>
      <c r="I1367" t="s">
        <v>30</v>
      </c>
      <c r="J1367" t="s">
        <v>119</v>
      </c>
      <c r="K1367" t="s">
        <v>32</v>
      </c>
      <c r="L1367" t="s">
        <v>577</v>
      </c>
      <c r="M1367" s="4">
        <v>3</v>
      </c>
      <c r="N1367" s="4">
        <v>1</v>
      </c>
      <c r="O1367" s="2">
        <v>0.33333333333333331</v>
      </c>
      <c r="P1367" s="3">
        <v>0.22</v>
      </c>
      <c r="Q1367" s="3">
        <v>0.22</v>
      </c>
      <c r="R1367" s="3">
        <v>0</v>
      </c>
      <c r="S1367" s="2"/>
      <c r="T1367" s="5">
        <v>0</v>
      </c>
      <c r="U1367" s="4">
        <v>0</v>
      </c>
      <c r="V1367" s="4">
        <v>0</v>
      </c>
      <c r="W1367" s="2">
        <v>0</v>
      </c>
      <c r="X1367" s="4">
        <v>0</v>
      </c>
      <c r="Y1367" s="4">
        <v>0</v>
      </c>
      <c r="Z1367" s="3">
        <v>0</v>
      </c>
      <c r="AA1367" s="3">
        <v>0</v>
      </c>
    </row>
    <row r="1368" spans="1:27" x14ac:dyDescent="0.2">
      <c r="A1368">
        <f t="shared" si="42"/>
        <v>3</v>
      </c>
      <c r="B1368">
        <f t="shared" si="43"/>
        <v>12</v>
      </c>
      <c r="C1368" s="1">
        <v>46099</v>
      </c>
      <c r="D1368" t="s">
        <v>25</v>
      </c>
      <c r="E1368" t="s">
        <v>26</v>
      </c>
      <c r="F1368" t="s">
        <v>27</v>
      </c>
      <c r="G1368" t="s">
        <v>28</v>
      </c>
      <c r="H1368" t="s">
        <v>29</v>
      </c>
      <c r="I1368" t="s">
        <v>30</v>
      </c>
      <c r="J1368" t="s">
        <v>119</v>
      </c>
      <c r="K1368" t="s">
        <v>32</v>
      </c>
      <c r="L1368" t="s">
        <v>577</v>
      </c>
      <c r="M1368" s="4">
        <v>2</v>
      </c>
      <c r="N1368" s="4">
        <v>1</v>
      </c>
      <c r="O1368" s="2">
        <v>0.5</v>
      </c>
      <c r="P1368" s="3">
        <v>0.16</v>
      </c>
      <c r="Q1368" s="3">
        <v>0.16</v>
      </c>
      <c r="R1368" s="3">
        <v>0</v>
      </c>
      <c r="S1368" s="2"/>
      <c r="T1368" s="5">
        <v>0</v>
      </c>
      <c r="U1368" s="4">
        <v>0</v>
      </c>
      <c r="V1368" s="4">
        <v>0</v>
      </c>
      <c r="W1368" s="2">
        <v>0</v>
      </c>
      <c r="X1368" s="4">
        <v>0</v>
      </c>
      <c r="Y1368" s="4">
        <v>0</v>
      </c>
      <c r="Z1368" s="3">
        <v>0</v>
      </c>
      <c r="AA1368" s="3">
        <v>0</v>
      </c>
    </row>
    <row r="1369" spans="1:27" x14ac:dyDescent="0.2">
      <c r="A1369">
        <f t="shared" si="42"/>
        <v>3</v>
      </c>
      <c r="B1369">
        <f t="shared" si="43"/>
        <v>11</v>
      </c>
      <c r="C1369" s="1">
        <v>46094</v>
      </c>
      <c r="D1369" t="s">
        <v>25</v>
      </c>
      <c r="E1369" t="s">
        <v>26</v>
      </c>
      <c r="F1369" t="s">
        <v>27</v>
      </c>
      <c r="G1369" t="s">
        <v>28</v>
      </c>
      <c r="H1369" t="s">
        <v>29</v>
      </c>
      <c r="I1369" t="s">
        <v>30</v>
      </c>
      <c r="J1369" t="s">
        <v>50</v>
      </c>
      <c r="K1369" t="s">
        <v>32</v>
      </c>
      <c r="L1369" t="s">
        <v>386</v>
      </c>
      <c r="M1369" s="4">
        <v>1</v>
      </c>
      <c r="N1369" s="4">
        <v>1</v>
      </c>
      <c r="O1369" s="2">
        <v>1</v>
      </c>
      <c r="P1369" s="3">
        <v>0.21</v>
      </c>
      <c r="Q1369" s="3">
        <v>0.21</v>
      </c>
      <c r="R1369" s="3">
        <v>0</v>
      </c>
      <c r="S1369" s="2"/>
      <c r="T1369" s="5">
        <v>0</v>
      </c>
      <c r="U1369" s="4">
        <v>0</v>
      </c>
      <c r="V1369" s="4">
        <v>0</v>
      </c>
      <c r="W1369" s="2">
        <v>0</v>
      </c>
      <c r="X1369" s="4">
        <v>0</v>
      </c>
      <c r="Y1369" s="4">
        <v>0</v>
      </c>
      <c r="Z1369" s="3">
        <v>0</v>
      </c>
      <c r="AA1369" s="3">
        <v>0</v>
      </c>
    </row>
    <row r="1370" spans="1:27" x14ac:dyDescent="0.2">
      <c r="A1370">
        <f t="shared" si="42"/>
        <v>3</v>
      </c>
      <c r="B1370">
        <f t="shared" si="43"/>
        <v>12</v>
      </c>
      <c r="C1370" s="1">
        <v>46100</v>
      </c>
      <c r="D1370" t="s">
        <v>25</v>
      </c>
      <c r="E1370" t="s">
        <v>26</v>
      </c>
      <c r="F1370" t="s">
        <v>27</v>
      </c>
      <c r="G1370" t="s">
        <v>124</v>
      </c>
      <c r="H1370" t="s">
        <v>29</v>
      </c>
      <c r="I1370" t="s">
        <v>30</v>
      </c>
      <c r="J1370" t="s">
        <v>31</v>
      </c>
      <c r="K1370" t="s">
        <v>87</v>
      </c>
      <c r="L1370" t="s">
        <v>855</v>
      </c>
      <c r="M1370" s="4">
        <v>1</v>
      </c>
      <c r="N1370" s="4">
        <v>1</v>
      </c>
      <c r="O1370" s="2">
        <v>1</v>
      </c>
      <c r="P1370" s="3">
        <v>0.4</v>
      </c>
      <c r="Q1370" s="3">
        <v>0.4</v>
      </c>
      <c r="R1370" s="3">
        <v>0</v>
      </c>
      <c r="S1370" s="2"/>
      <c r="T1370" s="5">
        <v>0</v>
      </c>
      <c r="U1370" s="4">
        <v>0</v>
      </c>
      <c r="V1370" s="4">
        <v>0</v>
      </c>
      <c r="W1370" s="2">
        <v>0</v>
      </c>
      <c r="X1370" s="4">
        <v>0</v>
      </c>
      <c r="Y1370" s="4">
        <v>0</v>
      </c>
      <c r="Z1370" s="3">
        <v>0</v>
      </c>
      <c r="AA1370" s="3">
        <v>0</v>
      </c>
    </row>
    <row r="1371" spans="1:27" x14ac:dyDescent="0.2">
      <c r="A1371">
        <f t="shared" si="42"/>
        <v>3</v>
      </c>
      <c r="B1371">
        <f t="shared" si="43"/>
        <v>11</v>
      </c>
      <c r="C1371" s="1">
        <v>46095</v>
      </c>
      <c r="D1371" t="s">
        <v>25</v>
      </c>
      <c r="E1371" t="s">
        <v>26</v>
      </c>
      <c r="F1371" t="s">
        <v>27</v>
      </c>
      <c r="G1371" t="s">
        <v>124</v>
      </c>
      <c r="H1371" t="s">
        <v>29</v>
      </c>
      <c r="I1371" t="s">
        <v>30</v>
      </c>
      <c r="J1371" t="s">
        <v>101</v>
      </c>
      <c r="K1371" t="s">
        <v>87</v>
      </c>
      <c r="L1371" t="s">
        <v>300</v>
      </c>
      <c r="M1371" s="4">
        <v>2</v>
      </c>
      <c r="N1371" s="4">
        <v>1</v>
      </c>
      <c r="O1371" s="2">
        <v>0.5</v>
      </c>
      <c r="P1371" s="3">
        <v>0.21</v>
      </c>
      <c r="Q1371" s="3">
        <v>0.21</v>
      </c>
      <c r="R1371" s="3">
        <v>0</v>
      </c>
      <c r="S1371" s="2"/>
      <c r="T1371" s="5">
        <v>0</v>
      </c>
      <c r="U1371" s="4">
        <v>0</v>
      </c>
      <c r="V1371" s="4">
        <v>0</v>
      </c>
      <c r="W1371" s="2">
        <v>0</v>
      </c>
      <c r="X1371" s="4">
        <v>0</v>
      </c>
      <c r="Y1371" s="4">
        <v>0</v>
      </c>
      <c r="Z1371" s="3">
        <v>0</v>
      </c>
      <c r="AA1371" s="3">
        <v>0</v>
      </c>
    </row>
    <row r="1372" spans="1:27" x14ac:dyDescent="0.2">
      <c r="A1372">
        <f t="shared" si="42"/>
        <v>3</v>
      </c>
      <c r="B1372">
        <f t="shared" si="43"/>
        <v>11</v>
      </c>
      <c r="C1372" s="1">
        <v>46094</v>
      </c>
      <c r="D1372" t="s">
        <v>25</v>
      </c>
      <c r="E1372" t="s">
        <v>26</v>
      </c>
      <c r="F1372" t="s">
        <v>27</v>
      </c>
      <c r="G1372" t="s">
        <v>28</v>
      </c>
      <c r="H1372" t="s">
        <v>29</v>
      </c>
      <c r="I1372" t="s">
        <v>30</v>
      </c>
      <c r="J1372" t="s">
        <v>37</v>
      </c>
      <c r="K1372" t="s">
        <v>32</v>
      </c>
      <c r="L1372" t="s">
        <v>300</v>
      </c>
      <c r="M1372" s="4">
        <v>23</v>
      </c>
      <c r="N1372" s="4">
        <v>1</v>
      </c>
      <c r="O1372" s="2">
        <v>4.3478260869565216E-2</v>
      </c>
      <c r="P1372" s="3">
        <v>0.2</v>
      </c>
      <c r="Q1372" s="3">
        <v>0.2</v>
      </c>
      <c r="R1372" s="3">
        <v>18.989999999999998</v>
      </c>
      <c r="S1372" s="2">
        <v>1.0531858873091103E-2</v>
      </c>
      <c r="T1372" s="5">
        <v>94.949999999999989</v>
      </c>
      <c r="U1372" s="4">
        <v>1</v>
      </c>
      <c r="V1372" s="4">
        <v>1</v>
      </c>
      <c r="W1372" s="2">
        <v>1</v>
      </c>
      <c r="X1372" s="4">
        <v>1</v>
      </c>
      <c r="Y1372" s="4">
        <v>0</v>
      </c>
      <c r="Z1372" s="3">
        <v>18.989999999999998</v>
      </c>
      <c r="AA1372" s="3">
        <v>0</v>
      </c>
    </row>
    <row r="1373" spans="1:27" x14ac:dyDescent="0.2">
      <c r="A1373">
        <f t="shared" si="42"/>
        <v>3</v>
      </c>
      <c r="B1373">
        <f t="shared" si="43"/>
        <v>12</v>
      </c>
      <c r="C1373" s="1">
        <v>46098</v>
      </c>
      <c r="D1373" t="s">
        <v>25</v>
      </c>
      <c r="E1373" t="s">
        <v>26</v>
      </c>
      <c r="F1373" t="s">
        <v>27</v>
      </c>
      <c r="G1373" t="s">
        <v>28</v>
      </c>
      <c r="H1373" t="s">
        <v>29</v>
      </c>
      <c r="I1373" t="s">
        <v>30</v>
      </c>
      <c r="J1373" t="s">
        <v>37</v>
      </c>
      <c r="K1373" t="s">
        <v>32</v>
      </c>
      <c r="L1373" t="s">
        <v>300</v>
      </c>
      <c r="M1373" s="4">
        <v>9</v>
      </c>
      <c r="N1373" s="4">
        <v>1</v>
      </c>
      <c r="O1373" s="2">
        <v>0.1111111111111111</v>
      </c>
      <c r="P1373" s="3">
        <v>0.2</v>
      </c>
      <c r="Q1373" s="3">
        <v>0.2</v>
      </c>
      <c r="R1373" s="3">
        <v>0</v>
      </c>
      <c r="S1373" s="2"/>
      <c r="T1373" s="5">
        <v>0</v>
      </c>
      <c r="U1373" s="4">
        <v>0</v>
      </c>
      <c r="V1373" s="4">
        <v>0</v>
      </c>
      <c r="W1373" s="2">
        <v>0</v>
      </c>
      <c r="X1373" s="4">
        <v>0</v>
      </c>
      <c r="Y1373" s="4">
        <v>0</v>
      </c>
      <c r="Z1373" s="3">
        <v>0</v>
      </c>
      <c r="AA1373" s="3">
        <v>0</v>
      </c>
    </row>
    <row r="1374" spans="1:27" x14ac:dyDescent="0.2">
      <c r="A1374">
        <f t="shared" si="42"/>
        <v>3</v>
      </c>
      <c r="B1374">
        <f t="shared" si="43"/>
        <v>11</v>
      </c>
      <c r="C1374" s="1">
        <v>46094</v>
      </c>
      <c r="D1374" t="s">
        <v>25</v>
      </c>
      <c r="E1374" t="s">
        <v>26</v>
      </c>
      <c r="F1374" t="s">
        <v>27</v>
      </c>
      <c r="G1374" t="s">
        <v>28</v>
      </c>
      <c r="H1374" t="s">
        <v>29</v>
      </c>
      <c r="I1374" t="s">
        <v>30</v>
      </c>
      <c r="J1374" t="s">
        <v>144</v>
      </c>
      <c r="K1374" t="s">
        <v>32</v>
      </c>
      <c r="L1374" t="s">
        <v>856</v>
      </c>
      <c r="M1374" s="4">
        <v>2</v>
      </c>
      <c r="N1374" s="4">
        <v>1</v>
      </c>
      <c r="O1374" s="2">
        <v>0.5</v>
      </c>
      <c r="P1374" s="3">
        <v>0.21</v>
      </c>
      <c r="Q1374" s="3">
        <v>0.21</v>
      </c>
      <c r="R1374" s="3">
        <v>0</v>
      </c>
      <c r="S1374" s="2"/>
      <c r="T1374" s="5">
        <v>0</v>
      </c>
      <c r="U1374" s="4">
        <v>0</v>
      </c>
      <c r="V1374" s="4">
        <v>0</v>
      </c>
      <c r="W1374" s="2">
        <v>0</v>
      </c>
      <c r="X1374" s="4">
        <v>0</v>
      </c>
      <c r="Y1374" s="4">
        <v>0</v>
      </c>
      <c r="Z1374" s="3">
        <v>0</v>
      </c>
      <c r="AA1374" s="3">
        <v>0</v>
      </c>
    </row>
    <row r="1375" spans="1:27" x14ac:dyDescent="0.2">
      <c r="A1375">
        <f t="shared" si="42"/>
        <v>3</v>
      </c>
      <c r="B1375">
        <f t="shared" si="43"/>
        <v>12</v>
      </c>
      <c r="C1375" s="1">
        <v>46100</v>
      </c>
      <c r="D1375" t="s">
        <v>25</v>
      </c>
      <c r="E1375" t="s">
        <v>26</v>
      </c>
      <c r="F1375" t="s">
        <v>49</v>
      </c>
      <c r="G1375" t="s">
        <v>50</v>
      </c>
      <c r="H1375" t="s">
        <v>29</v>
      </c>
      <c r="I1375" t="s">
        <v>30</v>
      </c>
      <c r="J1375" t="s">
        <v>47</v>
      </c>
      <c r="K1375" t="s">
        <v>42</v>
      </c>
      <c r="L1375" t="s">
        <v>857</v>
      </c>
      <c r="M1375" s="4">
        <v>1</v>
      </c>
      <c r="N1375" s="4">
        <v>1</v>
      </c>
      <c r="O1375" s="2">
        <v>1</v>
      </c>
      <c r="P1375" s="3">
        <v>0.78</v>
      </c>
      <c r="Q1375" s="3">
        <v>0.78</v>
      </c>
      <c r="R1375" s="3">
        <v>0</v>
      </c>
      <c r="S1375" s="2"/>
      <c r="T1375" s="5">
        <v>0</v>
      </c>
      <c r="U1375" s="4">
        <v>0</v>
      </c>
      <c r="V1375" s="4">
        <v>0</v>
      </c>
      <c r="W1375" s="2">
        <v>0</v>
      </c>
      <c r="X1375" s="4">
        <v>0</v>
      </c>
      <c r="Y1375" s="4">
        <v>0</v>
      </c>
      <c r="Z1375" s="3">
        <v>0</v>
      </c>
      <c r="AA1375" s="3">
        <v>0</v>
      </c>
    </row>
    <row r="1376" spans="1:27" x14ac:dyDescent="0.2">
      <c r="A1376">
        <f t="shared" si="42"/>
        <v>3</v>
      </c>
      <c r="B1376">
        <f t="shared" si="43"/>
        <v>10</v>
      </c>
      <c r="C1376" s="1">
        <v>46082</v>
      </c>
      <c r="D1376" t="s">
        <v>25</v>
      </c>
      <c r="E1376" t="s">
        <v>26</v>
      </c>
      <c r="F1376" t="s">
        <v>27</v>
      </c>
      <c r="G1376" t="s">
        <v>28</v>
      </c>
      <c r="H1376" t="s">
        <v>29</v>
      </c>
      <c r="I1376" t="s">
        <v>30</v>
      </c>
      <c r="J1376" t="s">
        <v>257</v>
      </c>
      <c r="K1376" t="s">
        <v>32</v>
      </c>
      <c r="L1376" t="s">
        <v>858</v>
      </c>
      <c r="M1376" s="4">
        <v>1</v>
      </c>
      <c r="N1376" s="4">
        <v>1</v>
      </c>
      <c r="O1376" s="2">
        <v>1</v>
      </c>
      <c r="P1376" s="3">
        <v>0.21</v>
      </c>
      <c r="Q1376" s="3">
        <v>0.21</v>
      </c>
      <c r="R1376" s="3">
        <v>0</v>
      </c>
      <c r="S1376" s="2"/>
      <c r="T1376" s="5">
        <v>0</v>
      </c>
      <c r="U1376" s="4">
        <v>0</v>
      </c>
      <c r="V1376" s="4">
        <v>0</v>
      </c>
      <c r="W1376" s="2">
        <v>0</v>
      </c>
      <c r="X1376" s="4">
        <v>0</v>
      </c>
      <c r="Y1376" s="4">
        <v>0</v>
      </c>
      <c r="Z1376" s="3">
        <v>0</v>
      </c>
      <c r="AA1376" s="3">
        <v>0</v>
      </c>
    </row>
    <row r="1377" spans="1:27" x14ac:dyDescent="0.2">
      <c r="A1377">
        <f t="shared" si="42"/>
        <v>3</v>
      </c>
      <c r="B1377">
        <f t="shared" si="43"/>
        <v>12</v>
      </c>
      <c r="C1377" s="1">
        <v>46096</v>
      </c>
      <c r="D1377" t="s">
        <v>25</v>
      </c>
      <c r="E1377" t="s">
        <v>26</v>
      </c>
      <c r="F1377" t="s">
        <v>27</v>
      </c>
      <c r="G1377" t="s">
        <v>124</v>
      </c>
      <c r="H1377" t="s">
        <v>29</v>
      </c>
      <c r="I1377" t="s">
        <v>30</v>
      </c>
      <c r="J1377" t="s">
        <v>31</v>
      </c>
      <c r="K1377" t="s">
        <v>87</v>
      </c>
      <c r="L1377" t="s">
        <v>859</v>
      </c>
      <c r="M1377" s="4">
        <v>1</v>
      </c>
      <c r="N1377" s="4">
        <v>1</v>
      </c>
      <c r="O1377" s="2">
        <v>1</v>
      </c>
      <c r="P1377" s="3">
        <v>0.4</v>
      </c>
      <c r="Q1377" s="3">
        <v>0.4</v>
      </c>
      <c r="R1377" s="3">
        <v>0</v>
      </c>
      <c r="S1377" s="2"/>
      <c r="T1377" s="5">
        <v>0</v>
      </c>
      <c r="U1377" s="4">
        <v>0</v>
      </c>
      <c r="V1377" s="4">
        <v>0</v>
      </c>
      <c r="W1377" s="2">
        <v>0</v>
      </c>
      <c r="X1377" s="4">
        <v>0</v>
      </c>
      <c r="Y1377" s="4">
        <v>0</v>
      </c>
      <c r="Z1377" s="3">
        <v>0</v>
      </c>
      <c r="AA1377" s="3">
        <v>0</v>
      </c>
    </row>
    <row r="1378" spans="1:27" x14ac:dyDescent="0.2">
      <c r="A1378">
        <f t="shared" si="42"/>
        <v>3</v>
      </c>
      <c r="B1378">
        <f t="shared" si="43"/>
        <v>10</v>
      </c>
      <c r="C1378" s="1">
        <v>46084</v>
      </c>
      <c r="D1378" t="s">
        <v>25</v>
      </c>
      <c r="E1378" t="s">
        <v>26</v>
      </c>
      <c r="F1378" t="s">
        <v>49</v>
      </c>
      <c r="G1378" t="s">
        <v>50</v>
      </c>
      <c r="H1378" t="s">
        <v>29</v>
      </c>
      <c r="I1378" t="s">
        <v>30</v>
      </c>
      <c r="J1378" t="s">
        <v>47</v>
      </c>
      <c r="K1378" t="s">
        <v>42</v>
      </c>
      <c r="L1378" t="s">
        <v>304</v>
      </c>
      <c r="M1378" s="4">
        <v>5</v>
      </c>
      <c r="N1378" s="4">
        <v>1</v>
      </c>
      <c r="O1378" s="2">
        <v>0.2</v>
      </c>
      <c r="P1378" s="3">
        <v>0.73</v>
      </c>
      <c r="Q1378" s="3">
        <v>0.73</v>
      </c>
      <c r="R1378" s="3">
        <v>0</v>
      </c>
      <c r="S1378" s="2"/>
      <c r="T1378" s="5">
        <v>0</v>
      </c>
      <c r="U1378" s="4">
        <v>0</v>
      </c>
      <c r="V1378" s="4">
        <v>0</v>
      </c>
      <c r="W1378" s="2">
        <v>0</v>
      </c>
      <c r="X1378" s="4">
        <v>0</v>
      </c>
      <c r="Y1378" s="4">
        <v>0</v>
      </c>
      <c r="Z1378" s="3">
        <v>0</v>
      </c>
      <c r="AA1378" s="3">
        <v>0</v>
      </c>
    </row>
    <row r="1379" spans="1:27" x14ac:dyDescent="0.2">
      <c r="A1379">
        <f t="shared" si="42"/>
        <v>3</v>
      </c>
      <c r="B1379">
        <f t="shared" si="43"/>
        <v>10</v>
      </c>
      <c r="C1379" s="1">
        <v>46083</v>
      </c>
      <c r="D1379" t="s">
        <v>25</v>
      </c>
      <c r="E1379" t="s">
        <v>26</v>
      </c>
      <c r="F1379" t="s">
        <v>49</v>
      </c>
      <c r="G1379" t="s">
        <v>50</v>
      </c>
      <c r="H1379" t="s">
        <v>29</v>
      </c>
      <c r="I1379" t="s">
        <v>30</v>
      </c>
      <c r="J1379" t="s">
        <v>47</v>
      </c>
      <c r="K1379" t="s">
        <v>42</v>
      </c>
      <c r="L1379" t="s">
        <v>305</v>
      </c>
      <c r="M1379" s="4">
        <v>22</v>
      </c>
      <c r="N1379" s="4">
        <v>1</v>
      </c>
      <c r="O1379" s="2">
        <v>4.5454545454545463E-2</v>
      </c>
      <c r="P1379" s="3">
        <v>0.82</v>
      </c>
      <c r="Q1379" s="3">
        <v>0.82</v>
      </c>
      <c r="R1379" s="3">
        <v>0</v>
      </c>
      <c r="S1379" s="2"/>
      <c r="T1379" s="5">
        <v>0</v>
      </c>
      <c r="U1379" s="4">
        <v>0</v>
      </c>
      <c r="V1379" s="4">
        <v>0</v>
      </c>
      <c r="W1379" s="2">
        <v>0</v>
      </c>
      <c r="X1379" s="4">
        <v>0</v>
      </c>
      <c r="Y1379" s="4">
        <v>0</v>
      </c>
      <c r="Z1379" s="3">
        <v>0</v>
      </c>
      <c r="AA1379" s="3">
        <v>0</v>
      </c>
    </row>
    <row r="1380" spans="1:27" x14ac:dyDescent="0.2">
      <c r="A1380">
        <f t="shared" si="42"/>
        <v>3</v>
      </c>
      <c r="B1380">
        <f t="shared" si="43"/>
        <v>12</v>
      </c>
      <c r="C1380" s="1">
        <v>46099</v>
      </c>
      <c r="D1380" t="s">
        <v>25</v>
      </c>
      <c r="E1380" t="s">
        <v>26</v>
      </c>
      <c r="F1380" t="s">
        <v>49</v>
      </c>
      <c r="G1380" t="s">
        <v>50</v>
      </c>
      <c r="H1380" t="s">
        <v>29</v>
      </c>
      <c r="I1380" t="s">
        <v>30</v>
      </c>
      <c r="J1380" t="s">
        <v>47</v>
      </c>
      <c r="K1380" t="s">
        <v>42</v>
      </c>
      <c r="L1380" t="s">
        <v>305</v>
      </c>
      <c r="M1380" s="4">
        <v>18</v>
      </c>
      <c r="N1380" s="4">
        <v>1</v>
      </c>
      <c r="O1380" s="2">
        <v>5.5555555555555552E-2</v>
      </c>
      <c r="P1380" s="3">
        <v>0.72</v>
      </c>
      <c r="Q1380" s="3">
        <v>0.72</v>
      </c>
      <c r="R1380" s="3">
        <v>0</v>
      </c>
      <c r="S1380" s="2"/>
      <c r="T1380" s="5">
        <v>0</v>
      </c>
      <c r="U1380" s="4">
        <v>0</v>
      </c>
      <c r="V1380" s="4">
        <v>0</v>
      </c>
      <c r="W1380" s="2">
        <v>0</v>
      </c>
      <c r="X1380" s="4">
        <v>0</v>
      </c>
      <c r="Y1380" s="4">
        <v>0</v>
      </c>
      <c r="Z1380" s="3">
        <v>0</v>
      </c>
      <c r="AA1380" s="3">
        <v>0</v>
      </c>
    </row>
    <row r="1381" spans="1:27" x14ac:dyDescent="0.2">
      <c r="A1381">
        <f t="shared" si="42"/>
        <v>3</v>
      </c>
      <c r="B1381">
        <f t="shared" si="43"/>
        <v>10</v>
      </c>
      <c r="C1381" s="1">
        <v>46085</v>
      </c>
      <c r="D1381" t="s">
        <v>25</v>
      </c>
      <c r="E1381" t="s">
        <v>26</v>
      </c>
      <c r="F1381" t="s">
        <v>27</v>
      </c>
      <c r="G1381" t="s">
        <v>124</v>
      </c>
      <c r="H1381" t="s">
        <v>29</v>
      </c>
      <c r="I1381" t="s">
        <v>30</v>
      </c>
      <c r="J1381" t="s">
        <v>44</v>
      </c>
      <c r="K1381" t="s">
        <v>87</v>
      </c>
      <c r="L1381" t="s">
        <v>305</v>
      </c>
      <c r="M1381" s="4">
        <v>8</v>
      </c>
      <c r="N1381" s="4">
        <v>1</v>
      </c>
      <c r="O1381" s="2">
        <v>0.125</v>
      </c>
      <c r="P1381" s="3">
        <v>0.2</v>
      </c>
      <c r="Q1381" s="3">
        <v>0.2</v>
      </c>
      <c r="R1381" s="3">
        <v>0</v>
      </c>
      <c r="S1381" s="2"/>
      <c r="T1381" s="5">
        <v>0</v>
      </c>
      <c r="U1381" s="4">
        <v>0</v>
      </c>
      <c r="V1381" s="4">
        <v>0</v>
      </c>
      <c r="W1381" s="2">
        <v>0</v>
      </c>
      <c r="X1381" s="4">
        <v>0</v>
      </c>
      <c r="Y1381" s="4">
        <v>0</v>
      </c>
      <c r="Z1381" s="3">
        <v>0</v>
      </c>
      <c r="AA1381" s="3">
        <v>0</v>
      </c>
    </row>
    <row r="1382" spans="1:27" x14ac:dyDescent="0.2">
      <c r="A1382">
        <f t="shared" si="42"/>
        <v>3</v>
      </c>
      <c r="B1382">
        <f t="shared" si="43"/>
        <v>11</v>
      </c>
      <c r="C1382" s="1">
        <v>46094</v>
      </c>
      <c r="D1382" t="s">
        <v>25</v>
      </c>
      <c r="E1382" t="s">
        <v>26</v>
      </c>
      <c r="F1382" t="s">
        <v>27</v>
      </c>
      <c r="G1382" t="s">
        <v>124</v>
      </c>
      <c r="H1382" t="s">
        <v>29</v>
      </c>
      <c r="I1382" t="s">
        <v>30</v>
      </c>
      <c r="J1382" t="s">
        <v>44</v>
      </c>
      <c r="K1382" t="s">
        <v>87</v>
      </c>
      <c r="L1382" t="s">
        <v>305</v>
      </c>
      <c r="M1382" s="4">
        <v>18</v>
      </c>
      <c r="N1382" s="4">
        <v>1</v>
      </c>
      <c r="O1382" s="2">
        <v>5.5555555555555552E-2</v>
      </c>
      <c r="P1382" s="3">
        <v>0.2</v>
      </c>
      <c r="Q1382" s="3">
        <v>0.2</v>
      </c>
      <c r="R1382" s="3">
        <v>0</v>
      </c>
      <c r="S1382" s="2"/>
      <c r="T1382" s="5">
        <v>0</v>
      </c>
      <c r="U1382" s="4">
        <v>0</v>
      </c>
      <c r="V1382" s="4">
        <v>0</v>
      </c>
      <c r="W1382" s="2">
        <v>0</v>
      </c>
      <c r="X1382" s="4">
        <v>0</v>
      </c>
      <c r="Y1382" s="4">
        <v>0</v>
      </c>
      <c r="Z1382" s="3">
        <v>0</v>
      </c>
      <c r="AA1382" s="3">
        <v>0</v>
      </c>
    </row>
    <row r="1383" spans="1:27" x14ac:dyDescent="0.2">
      <c r="A1383">
        <f t="shared" si="42"/>
        <v>3</v>
      </c>
      <c r="B1383">
        <f t="shared" si="43"/>
        <v>12</v>
      </c>
      <c r="C1383" s="1">
        <v>46100</v>
      </c>
      <c r="D1383" t="s">
        <v>25</v>
      </c>
      <c r="E1383" t="s">
        <v>26</v>
      </c>
      <c r="F1383" t="s">
        <v>27</v>
      </c>
      <c r="G1383" t="s">
        <v>124</v>
      </c>
      <c r="H1383" t="s">
        <v>29</v>
      </c>
      <c r="I1383" t="s">
        <v>30</v>
      </c>
      <c r="J1383" t="s">
        <v>44</v>
      </c>
      <c r="K1383" t="s">
        <v>87</v>
      </c>
      <c r="L1383" t="s">
        <v>305</v>
      </c>
      <c r="M1383" s="4">
        <v>8</v>
      </c>
      <c r="N1383" s="4">
        <v>1</v>
      </c>
      <c r="O1383" s="2">
        <v>0.125</v>
      </c>
      <c r="P1383" s="3">
        <v>0.2</v>
      </c>
      <c r="Q1383" s="3">
        <v>0.2</v>
      </c>
      <c r="R1383" s="3">
        <v>0</v>
      </c>
      <c r="S1383" s="2"/>
      <c r="T1383" s="5">
        <v>0</v>
      </c>
      <c r="U1383" s="4">
        <v>0</v>
      </c>
      <c r="V1383" s="4">
        <v>0</v>
      </c>
      <c r="W1383" s="2">
        <v>0</v>
      </c>
      <c r="X1383" s="4">
        <v>0</v>
      </c>
      <c r="Y1383" s="4">
        <v>0</v>
      </c>
      <c r="Z1383" s="3">
        <v>0</v>
      </c>
      <c r="AA1383" s="3">
        <v>0</v>
      </c>
    </row>
    <row r="1384" spans="1:27" x14ac:dyDescent="0.2">
      <c r="A1384">
        <f t="shared" si="42"/>
        <v>3</v>
      </c>
      <c r="B1384">
        <f t="shared" si="43"/>
        <v>12</v>
      </c>
      <c r="C1384" s="1">
        <v>46097</v>
      </c>
      <c r="D1384" t="s">
        <v>25</v>
      </c>
      <c r="E1384" t="s">
        <v>26</v>
      </c>
      <c r="F1384" t="s">
        <v>27</v>
      </c>
      <c r="G1384" t="s">
        <v>28</v>
      </c>
      <c r="H1384" t="s">
        <v>29</v>
      </c>
      <c r="I1384" t="s">
        <v>30</v>
      </c>
      <c r="J1384" t="s">
        <v>306</v>
      </c>
      <c r="K1384" t="s">
        <v>32</v>
      </c>
      <c r="L1384" t="s">
        <v>305</v>
      </c>
      <c r="M1384" s="4">
        <v>5</v>
      </c>
      <c r="N1384" s="4">
        <v>1</v>
      </c>
      <c r="O1384" s="2">
        <v>0.2</v>
      </c>
      <c r="P1384" s="3">
        <v>0.22</v>
      </c>
      <c r="Q1384" s="3">
        <v>0.22</v>
      </c>
      <c r="R1384" s="3">
        <v>0</v>
      </c>
      <c r="S1384" s="2"/>
      <c r="T1384" s="5">
        <v>0</v>
      </c>
      <c r="U1384" s="4">
        <v>0</v>
      </c>
      <c r="V1384" s="4">
        <v>0</v>
      </c>
      <c r="W1384" s="2">
        <v>0</v>
      </c>
      <c r="X1384" s="4">
        <v>0</v>
      </c>
      <c r="Y1384" s="4">
        <v>0</v>
      </c>
      <c r="Z1384" s="3">
        <v>0</v>
      </c>
      <c r="AA1384" s="3">
        <v>0</v>
      </c>
    </row>
    <row r="1385" spans="1:27" x14ac:dyDescent="0.2">
      <c r="A1385">
        <f t="shared" si="42"/>
        <v>3</v>
      </c>
      <c r="B1385">
        <f t="shared" si="43"/>
        <v>12</v>
      </c>
      <c r="C1385" s="1">
        <v>46100</v>
      </c>
      <c r="D1385" t="s">
        <v>25</v>
      </c>
      <c r="E1385" t="s">
        <v>26</v>
      </c>
      <c r="F1385" t="s">
        <v>27</v>
      </c>
      <c r="G1385" t="s">
        <v>124</v>
      </c>
      <c r="H1385" t="s">
        <v>29</v>
      </c>
      <c r="I1385" t="s">
        <v>30</v>
      </c>
      <c r="J1385" t="s">
        <v>305</v>
      </c>
      <c r="K1385" t="s">
        <v>87</v>
      </c>
      <c r="L1385" t="s">
        <v>305</v>
      </c>
      <c r="M1385" s="4">
        <v>15</v>
      </c>
      <c r="N1385" s="4">
        <v>1</v>
      </c>
      <c r="O1385" s="2">
        <v>6.6666666666666666E-2</v>
      </c>
      <c r="P1385" s="3">
        <v>0.21</v>
      </c>
      <c r="Q1385" s="3">
        <v>0.21</v>
      </c>
      <c r="R1385" s="3">
        <v>0</v>
      </c>
      <c r="S1385" s="2"/>
      <c r="T1385" s="5">
        <v>0</v>
      </c>
      <c r="U1385" s="4">
        <v>0</v>
      </c>
      <c r="V1385" s="4">
        <v>0</v>
      </c>
      <c r="W1385" s="2">
        <v>0</v>
      </c>
      <c r="X1385" s="4">
        <v>0</v>
      </c>
      <c r="Y1385" s="4">
        <v>0</v>
      </c>
      <c r="Z1385" s="3">
        <v>0</v>
      </c>
      <c r="AA1385" s="3">
        <v>0</v>
      </c>
    </row>
    <row r="1386" spans="1:27" x14ac:dyDescent="0.2">
      <c r="A1386">
        <f t="shared" si="42"/>
        <v>3</v>
      </c>
      <c r="B1386">
        <f t="shared" si="43"/>
        <v>12</v>
      </c>
      <c r="C1386" s="1">
        <v>46099</v>
      </c>
      <c r="D1386" t="s">
        <v>25</v>
      </c>
      <c r="E1386" t="s">
        <v>26</v>
      </c>
      <c r="F1386" t="s">
        <v>27</v>
      </c>
      <c r="G1386" t="s">
        <v>124</v>
      </c>
      <c r="H1386" t="s">
        <v>29</v>
      </c>
      <c r="I1386" t="s">
        <v>30</v>
      </c>
      <c r="J1386" t="s">
        <v>37</v>
      </c>
      <c r="K1386" t="s">
        <v>87</v>
      </c>
      <c r="L1386" t="s">
        <v>860</v>
      </c>
      <c r="M1386" s="4">
        <v>9</v>
      </c>
      <c r="N1386" s="4">
        <v>1</v>
      </c>
      <c r="O1386" s="2">
        <v>0.1111111111111111</v>
      </c>
      <c r="P1386" s="3">
        <v>0.2</v>
      </c>
      <c r="Q1386" s="3">
        <v>0.2</v>
      </c>
      <c r="R1386" s="3">
        <v>0</v>
      </c>
      <c r="S1386" s="2"/>
      <c r="T1386" s="5">
        <v>0</v>
      </c>
      <c r="U1386" s="4">
        <v>0</v>
      </c>
      <c r="V1386" s="4">
        <v>0</v>
      </c>
      <c r="W1386" s="2">
        <v>0</v>
      </c>
      <c r="X1386" s="4">
        <v>0</v>
      </c>
      <c r="Y1386" s="4">
        <v>0</v>
      </c>
      <c r="Z1386" s="3">
        <v>0</v>
      </c>
      <c r="AA1386" s="3">
        <v>0</v>
      </c>
    </row>
    <row r="1387" spans="1:27" x14ac:dyDescent="0.2">
      <c r="A1387">
        <f t="shared" si="42"/>
        <v>3</v>
      </c>
      <c r="B1387">
        <f t="shared" si="43"/>
        <v>12</v>
      </c>
      <c r="C1387" s="1">
        <v>46097</v>
      </c>
      <c r="D1387" t="s">
        <v>25</v>
      </c>
      <c r="E1387" t="s">
        <v>26</v>
      </c>
      <c r="F1387" t="s">
        <v>27</v>
      </c>
      <c r="G1387" t="s">
        <v>124</v>
      </c>
      <c r="H1387" t="s">
        <v>29</v>
      </c>
      <c r="I1387" t="s">
        <v>30</v>
      </c>
      <c r="J1387" t="s">
        <v>37</v>
      </c>
      <c r="K1387" t="s">
        <v>87</v>
      </c>
      <c r="L1387" t="s">
        <v>861</v>
      </c>
      <c r="M1387" s="4">
        <v>1</v>
      </c>
      <c r="N1387" s="4">
        <v>1</v>
      </c>
      <c r="O1387" s="2">
        <v>1</v>
      </c>
      <c r="P1387" s="3">
        <v>0.21</v>
      </c>
      <c r="Q1387" s="3">
        <v>0.21</v>
      </c>
      <c r="R1387" s="3">
        <v>0</v>
      </c>
      <c r="S1387" s="2"/>
      <c r="T1387" s="5">
        <v>0</v>
      </c>
      <c r="U1387" s="4">
        <v>0</v>
      </c>
      <c r="V1387" s="4">
        <v>0</v>
      </c>
      <c r="W1387" s="2">
        <v>0</v>
      </c>
      <c r="X1387" s="4">
        <v>0</v>
      </c>
      <c r="Y1387" s="4">
        <v>0</v>
      </c>
      <c r="Z1387" s="3">
        <v>0</v>
      </c>
      <c r="AA1387" s="3">
        <v>0</v>
      </c>
    </row>
    <row r="1388" spans="1:27" x14ac:dyDescent="0.2">
      <c r="A1388">
        <f t="shared" si="42"/>
        <v>3</v>
      </c>
      <c r="B1388">
        <f t="shared" si="43"/>
        <v>11</v>
      </c>
      <c r="C1388" s="1">
        <v>46090</v>
      </c>
      <c r="D1388" t="s">
        <v>25</v>
      </c>
      <c r="E1388" t="s">
        <v>26</v>
      </c>
      <c r="F1388" t="s">
        <v>27</v>
      </c>
      <c r="G1388" t="s">
        <v>28</v>
      </c>
      <c r="H1388" t="s">
        <v>29</v>
      </c>
      <c r="I1388" t="s">
        <v>30</v>
      </c>
      <c r="J1388" t="s">
        <v>257</v>
      </c>
      <c r="K1388" t="s">
        <v>32</v>
      </c>
      <c r="L1388" t="s">
        <v>862</v>
      </c>
      <c r="M1388" s="4">
        <v>1</v>
      </c>
      <c r="N1388" s="4">
        <v>1</v>
      </c>
      <c r="O1388" s="2">
        <v>1</v>
      </c>
      <c r="P1388" s="3">
        <v>0.4</v>
      </c>
      <c r="Q1388" s="3">
        <v>0.4</v>
      </c>
      <c r="R1388" s="3">
        <v>0</v>
      </c>
      <c r="S1388" s="2"/>
      <c r="T1388" s="5">
        <v>0</v>
      </c>
      <c r="U1388" s="4">
        <v>0</v>
      </c>
      <c r="V1388" s="4">
        <v>0</v>
      </c>
      <c r="W1388" s="2">
        <v>0</v>
      </c>
      <c r="X1388" s="4">
        <v>0</v>
      </c>
      <c r="Y1388" s="4">
        <v>0</v>
      </c>
      <c r="Z1388" s="3">
        <v>0</v>
      </c>
      <c r="AA1388" s="3">
        <v>0</v>
      </c>
    </row>
    <row r="1389" spans="1:27" x14ac:dyDescent="0.2">
      <c r="A1389">
        <f t="shared" si="42"/>
        <v>3</v>
      </c>
      <c r="B1389">
        <f t="shared" si="43"/>
        <v>12</v>
      </c>
      <c r="C1389" s="1">
        <v>46100</v>
      </c>
      <c r="D1389" t="s">
        <v>25</v>
      </c>
      <c r="E1389" t="s">
        <v>26</v>
      </c>
      <c r="F1389" t="s">
        <v>49</v>
      </c>
      <c r="G1389" t="s">
        <v>50</v>
      </c>
      <c r="H1389" t="s">
        <v>29</v>
      </c>
      <c r="I1389" t="s">
        <v>30</v>
      </c>
      <c r="J1389" t="s">
        <v>47</v>
      </c>
      <c r="K1389" t="s">
        <v>42</v>
      </c>
      <c r="L1389" t="s">
        <v>308</v>
      </c>
      <c r="M1389" s="4">
        <v>1</v>
      </c>
      <c r="N1389" s="4">
        <v>1</v>
      </c>
      <c r="O1389" s="2">
        <v>1</v>
      </c>
      <c r="P1389" s="3">
        <v>0.69</v>
      </c>
      <c r="Q1389" s="3">
        <v>0.69</v>
      </c>
      <c r="R1389" s="3">
        <v>0</v>
      </c>
      <c r="S1389" s="2"/>
      <c r="T1389" s="5">
        <v>0</v>
      </c>
      <c r="U1389" s="4">
        <v>0</v>
      </c>
      <c r="V1389" s="4">
        <v>0</v>
      </c>
      <c r="W1389" s="2">
        <v>0</v>
      </c>
      <c r="X1389" s="4">
        <v>0</v>
      </c>
      <c r="Y1389" s="4">
        <v>0</v>
      </c>
      <c r="Z1389" s="3">
        <v>0</v>
      </c>
      <c r="AA1389" s="3">
        <v>0</v>
      </c>
    </row>
    <row r="1390" spans="1:27" x14ac:dyDescent="0.2">
      <c r="A1390">
        <f t="shared" si="42"/>
        <v>3</v>
      </c>
      <c r="B1390">
        <f t="shared" si="43"/>
        <v>12</v>
      </c>
      <c r="C1390" s="1">
        <v>46099</v>
      </c>
      <c r="D1390" t="s">
        <v>25</v>
      </c>
      <c r="E1390" t="s">
        <v>26</v>
      </c>
      <c r="F1390" t="s">
        <v>27</v>
      </c>
      <c r="G1390" t="s">
        <v>124</v>
      </c>
      <c r="H1390" t="s">
        <v>29</v>
      </c>
      <c r="I1390" t="s">
        <v>30</v>
      </c>
      <c r="J1390" t="s">
        <v>31</v>
      </c>
      <c r="K1390" t="s">
        <v>87</v>
      </c>
      <c r="L1390" t="s">
        <v>308</v>
      </c>
      <c r="M1390" s="4">
        <v>2</v>
      </c>
      <c r="N1390" s="4">
        <v>1</v>
      </c>
      <c r="O1390" s="2">
        <v>0.5</v>
      </c>
      <c r="P1390" s="3">
        <v>0.2</v>
      </c>
      <c r="Q1390" s="3">
        <v>0.2</v>
      </c>
      <c r="R1390" s="3">
        <v>0</v>
      </c>
      <c r="S1390" s="2"/>
      <c r="T1390" s="5">
        <v>0</v>
      </c>
      <c r="U1390" s="4">
        <v>0</v>
      </c>
      <c r="V1390" s="4">
        <v>0</v>
      </c>
      <c r="W1390" s="2">
        <v>0</v>
      </c>
      <c r="X1390" s="4">
        <v>0</v>
      </c>
      <c r="Y1390" s="4">
        <v>0</v>
      </c>
      <c r="Z1390" s="3">
        <v>0</v>
      </c>
      <c r="AA1390" s="3">
        <v>0</v>
      </c>
    </row>
    <row r="1391" spans="1:27" x14ac:dyDescent="0.2">
      <c r="A1391">
        <f t="shared" si="42"/>
        <v>3</v>
      </c>
      <c r="B1391">
        <f t="shared" si="43"/>
        <v>12</v>
      </c>
      <c r="C1391" s="1">
        <v>46096</v>
      </c>
      <c r="D1391" t="s">
        <v>25</v>
      </c>
      <c r="E1391" t="s">
        <v>26</v>
      </c>
      <c r="F1391" t="s">
        <v>27</v>
      </c>
      <c r="G1391" t="s">
        <v>28</v>
      </c>
      <c r="H1391" t="s">
        <v>29</v>
      </c>
      <c r="I1391" t="s">
        <v>30</v>
      </c>
      <c r="J1391" t="s">
        <v>156</v>
      </c>
      <c r="K1391" t="s">
        <v>32</v>
      </c>
      <c r="L1391" t="s">
        <v>863</v>
      </c>
      <c r="M1391" s="4">
        <v>3</v>
      </c>
      <c r="N1391" s="4">
        <v>1</v>
      </c>
      <c r="O1391" s="2">
        <v>0.33333333333333331</v>
      </c>
      <c r="P1391" s="3">
        <v>0.21</v>
      </c>
      <c r="Q1391" s="3">
        <v>0.21</v>
      </c>
      <c r="R1391" s="3">
        <v>0</v>
      </c>
      <c r="S1391" s="2"/>
      <c r="T1391" s="5">
        <v>0</v>
      </c>
      <c r="U1391" s="4">
        <v>0</v>
      </c>
      <c r="V1391" s="4">
        <v>0</v>
      </c>
      <c r="W1391" s="2">
        <v>0</v>
      </c>
      <c r="X1391" s="4">
        <v>0</v>
      </c>
      <c r="Y1391" s="4">
        <v>0</v>
      </c>
      <c r="Z1391" s="3">
        <v>0</v>
      </c>
      <c r="AA1391" s="3">
        <v>0</v>
      </c>
    </row>
    <row r="1392" spans="1:27" x14ac:dyDescent="0.2">
      <c r="A1392">
        <f t="shared" si="42"/>
        <v>3</v>
      </c>
      <c r="B1392">
        <f t="shared" si="43"/>
        <v>10</v>
      </c>
      <c r="C1392" s="1">
        <v>46085</v>
      </c>
      <c r="D1392" t="s">
        <v>25</v>
      </c>
      <c r="E1392" t="s">
        <v>26</v>
      </c>
      <c r="F1392" t="s">
        <v>49</v>
      </c>
      <c r="G1392" t="s">
        <v>50</v>
      </c>
      <c r="H1392" t="s">
        <v>29</v>
      </c>
      <c r="I1392" t="s">
        <v>30</v>
      </c>
      <c r="J1392" t="s">
        <v>47</v>
      </c>
      <c r="K1392" t="s">
        <v>42</v>
      </c>
      <c r="L1392" t="s">
        <v>306</v>
      </c>
      <c r="M1392" s="4">
        <v>9</v>
      </c>
      <c r="N1392" s="4">
        <v>1</v>
      </c>
      <c r="O1392" s="2">
        <v>0.1111111111111111</v>
      </c>
      <c r="P1392" s="3">
        <v>0.73</v>
      </c>
      <c r="Q1392" s="3">
        <v>0.73</v>
      </c>
      <c r="R1392" s="3">
        <v>0</v>
      </c>
      <c r="S1392" s="2"/>
      <c r="T1392" s="5">
        <v>0</v>
      </c>
      <c r="U1392" s="4">
        <v>0</v>
      </c>
      <c r="V1392" s="4">
        <v>0</v>
      </c>
      <c r="W1392" s="2">
        <v>0</v>
      </c>
      <c r="X1392" s="4">
        <v>0</v>
      </c>
      <c r="Y1392" s="4">
        <v>0</v>
      </c>
      <c r="Z1392" s="3">
        <v>0</v>
      </c>
      <c r="AA1392" s="3">
        <v>0</v>
      </c>
    </row>
    <row r="1393" spans="1:27" x14ac:dyDescent="0.2">
      <c r="A1393">
        <f t="shared" si="42"/>
        <v>3</v>
      </c>
      <c r="B1393">
        <f t="shared" si="43"/>
        <v>12</v>
      </c>
      <c r="C1393" s="1">
        <v>46102</v>
      </c>
      <c r="D1393" t="s">
        <v>25</v>
      </c>
      <c r="E1393" t="s">
        <v>26</v>
      </c>
      <c r="F1393" t="s">
        <v>49</v>
      </c>
      <c r="G1393" t="s">
        <v>50</v>
      </c>
      <c r="H1393" t="s">
        <v>29</v>
      </c>
      <c r="I1393" t="s">
        <v>30</v>
      </c>
      <c r="J1393" t="s">
        <v>47</v>
      </c>
      <c r="K1393" t="s">
        <v>42</v>
      </c>
      <c r="L1393" t="s">
        <v>306</v>
      </c>
      <c r="M1393" s="4">
        <v>30</v>
      </c>
      <c r="N1393" s="4">
        <v>1</v>
      </c>
      <c r="O1393" s="2">
        <v>3.3333333333333333E-2</v>
      </c>
      <c r="P1393" s="3">
        <v>0.95</v>
      </c>
      <c r="Q1393" s="3">
        <v>0.95</v>
      </c>
      <c r="R1393" s="3">
        <v>0</v>
      </c>
      <c r="S1393" s="2"/>
      <c r="T1393" s="5">
        <v>0</v>
      </c>
      <c r="U1393" s="4">
        <v>0</v>
      </c>
      <c r="V1393" s="4">
        <v>0</v>
      </c>
      <c r="W1393" s="2">
        <v>0</v>
      </c>
      <c r="X1393" s="4">
        <v>0</v>
      </c>
      <c r="Y1393" s="4">
        <v>0</v>
      </c>
      <c r="Z1393" s="3">
        <v>0</v>
      </c>
      <c r="AA1393" s="3">
        <v>0</v>
      </c>
    </row>
    <row r="1394" spans="1:27" x14ac:dyDescent="0.2">
      <c r="A1394">
        <f t="shared" si="42"/>
        <v>3</v>
      </c>
      <c r="B1394">
        <f t="shared" si="43"/>
        <v>10</v>
      </c>
      <c r="C1394" s="1">
        <v>46083</v>
      </c>
      <c r="D1394" t="s">
        <v>25</v>
      </c>
      <c r="E1394" t="s">
        <v>26</v>
      </c>
      <c r="F1394" t="s">
        <v>34</v>
      </c>
      <c r="G1394" t="s">
        <v>28</v>
      </c>
      <c r="H1394" t="s">
        <v>29</v>
      </c>
      <c r="I1394" t="s">
        <v>30</v>
      </c>
      <c r="J1394" t="s">
        <v>50</v>
      </c>
      <c r="K1394" t="s">
        <v>32</v>
      </c>
      <c r="L1394" t="s">
        <v>306</v>
      </c>
      <c r="M1394" s="4">
        <v>2</v>
      </c>
      <c r="N1394" s="4">
        <v>1</v>
      </c>
      <c r="O1394" s="2">
        <v>0.5</v>
      </c>
      <c r="P1394" s="3">
        <v>0.92</v>
      </c>
      <c r="Q1394" s="3">
        <v>0.92</v>
      </c>
      <c r="R1394" s="3">
        <v>0</v>
      </c>
      <c r="S1394" s="2"/>
      <c r="T1394" s="5">
        <v>0</v>
      </c>
      <c r="U1394" s="4">
        <v>0</v>
      </c>
      <c r="V1394" s="4">
        <v>0</v>
      </c>
      <c r="W1394" s="2">
        <v>0</v>
      </c>
      <c r="X1394" s="4">
        <v>0</v>
      </c>
      <c r="Y1394" s="4">
        <v>0</v>
      </c>
      <c r="Z1394" s="3">
        <v>0</v>
      </c>
      <c r="AA1394" s="3">
        <v>0</v>
      </c>
    </row>
    <row r="1395" spans="1:27" x14ac:dyDescent="0.2">
      <c r="A1395">
        <f t="shared" si="42"/>
        <v>3</v>
      </c>
      <c r="B1395">
        <f t="shared" si="43"/>
        <v>11</v>
      </c>
      <c r="C1395" s="1">
        <v>46090</v>
      </c>
      <c r="D1395" t="s">
        <v>25</v>
      </c>
      <c r="E1395" t="s">
        <v>26</v>
      </c>
      <c r="F1395" t="s">
        <v>27</v>
      </c>
      <c r="G1395" t="s">
        <v>28</v>
      </c>
      <c r="H1395" t="s">
        <v>29</v>
      </c>
      <c r="I1395" t="s">
        <v>30</v>
      </c>
      <c r="J1395" t="s">
        <v>542</v>
      </c>
      <c r="K1395" t="s">
        <v>32</v>
      </c>
      <c r="L1395" t="s">
        <v>306</v>
      </c>
      <c r="M1395" s="4">
        <v>10</v>
      </c>
      <c r="N1395" s="4">
        <v>1</v>
      </c>
      <c r="O1395" s="2">
        <v>0.1</v>
      </c>
      <c r="P1395" s="3">
        <v>0.2</v>
      </c>
      <c r="Q1395" s="3">
        <v>0.2</v>
      </c>
      <c r="R1395" s="3">
        <v>0</v>
      </c>
      <c r="S1395" s="2"/>
      <c r="T1395" s="5">
        <v>0</v>
      </c>
      <c r="U1395" s="4">
        <v>0</v>
      </c>
      <c r="V1395" s="4">
        <v>0</v>
      </c>
      <c r="W1395" s="2">
        <v>0</v>
      </c>
      <c r="X1395" s="4">
        <v>0</v>
      </c>
      <c r="Y1395" s="4">
        <v>0</v>
      </c>
      <c r="Z1395" s="3">
        <v>0</v>
      </c>
      <c r="AA1395" s="3">
        <v>0</v>
      </c>
    </row>
    <row r="1396" spans="1:27" x14ac:dyDescent="0.2">
      <c r="A1396">
        <f t="shared" si="42"/>
        <v>3</v>
      </c>
      <c r="B1396">
        <f t="shared" si="43"/>
        <v>12</v>
      </c>
      <c r="C1396" s="1">
        <v>46099</v>
      </c>
      <c r="D1396" t="s">
        <v>25</v>
      </c>
      <c r="E1396" t="s">
        <v>26</v>
      </c>
      <c r="F1396" t="s">
        <v>27</v>
      </c>
      <c r="G1396" t="s">
        <v>124</v>
      </c>
      <c r="H1396" t="s">
        <v>29</v>
      </c>
      <c r="I1396" t="s">
        <v>30</v>
      </c>
      <c r="J1396" t="s">
        <v>306</v>
      </c>
      <c r="K1396" t="s">
        <v>87</v>
      </c>
      <c r="L1396" t="s">
        <v>306</v>
      </c>
      <c r="M1396" s="4">
        <v>10</v>
      </c>
      <c r="N1396" s="4">
        <v>1</v>
      </c>
      <c r="O1396" s="2">
        <v>0.1</v>
      </c>
      <c r="P1396" s="3">
        <v>0.21</v>
      </c>
      <c r="Q1396" s="3">
        <v>0.21</v>
      </c>
      <c r="R1396" s="3">
        <v>0</v>
      </c>
      <c r="S1396" s="2"/>
      <c r="T1396" s="5">
        <v>0</v>
      </c>
      <c r="U1396" s="4">
        <v>0</v>
      </c>
      <c r="V1396" s="4">
        <v>0</v>
      </c>
      <c r="W1396" s="2">
        <v>0</v>
      </c>
      <c r="X1396" s="4">
        <v>0</v>
      </c>
      <c r="Y1396" s="4">
        <v>0</v>
      </c>
      <c r="Z1396" s="3">
        <v>0</v>
      </c>
      <c r="AA1396" s="3">
        <v>0</v>
      </c>
    </row>
    <row r="1397" spans="1:27" x14ac:dyDescent="0.2">
      <c r="A1397">
        <f t="shared" si="42"/>
        <v>3</v>
      </c>
      <c r="B1397">
        <f t="shared" si="43"/>
        <v>11</v>
      </c>
      <c r="C1397" s="1">
        <v>46092</v>
      </c>
      <c r="D1397" t="s">
        <v>25</v>
      </c>
      <c r="E1397" t="s">
        <v>26</v>
      </c>
      <c r="F1397" t="s">
        <v>27</v>
      </c>
      <c r="G1397" t="s">
        <v>124</v>
      </c>
      <c r="H1397" t="s">
        <v>29</v>
      </c>
      <c r="I1397" t="s">
        <v>30</v>
      </c>
      <c r="J1397" t="s">
        <v>101</v>
      </c>
      <c r="K1397" t="s">
        <v>87</v>
      </c>
      <c r="L1397" t="s">
        <v>306</v>
      </c>
      <c r="M1397" s="4">
        <v>35</v>
      </c>
      <c r="N1397" s="4">
        <v>1</v>
      </c>
      <c r="O1397" s="2">
        <v>2.8571428571428571E-2</v>
      </c>
      <c r="P1397" s="3">
        <v>0.2</v>
      </c>
      <c r="Q1397" s="3">
        <v>0.2</v>
      </c>
      <c r="R1397" s="3">
        <v>18.989999999999998</v>
      </c>
      <c r="S1397" s="2">
        <v>1.0531858873091103E-2</v>
      </c>
      <c r="T1397" s="5">
        <v>94.949999999999989</v>
      </c>
      <c r="U1397" s="4">
        <v>1</v>
      </c>
      <c r="V1397" s="4">
        <v>1</v>
      </c>
      <c r="W1397" s="2">
        <v>1</v>
      </c>
      <c r="X1397" s="4">
        <v>1</v>
      </c>
      <c r="Y1397" s="4">
        <v>0</v>
      </c>
      <c r="Z1397" s="3">
        <v>18.989999999999998</v>
      </c>
      <c r="AA1397" s="3">
        <v>0</v>
      </c>
    </row>
    <row r="1398" spans="1:27" x14ac:dyDescent="0.2">
      <c r="A1398">
        <f t="shared" si="42"/>
        <v>3</v>
      </c>
      <c r="B1398">
        <f t="shared" si="43"/>
        <v>12</v>
      </c>
      <c r="C1398" s="1">
        <v>46098</v>
      </c>
      <c r="D1398" t="s">
        <v>25</v>
      </c>
      <c r="E1398" t="s">
        <v>26</v>
      </c>
      <c r="F1398" t="s">
        <v>39</v>
      </c>
      <c r="G1398" t="s">
        <v>40</v>
      </c>
      <c r="H1398" t="s">
        <v>29</v>
      </c>
      <c r="I1398" t="s">
        <v>30</v>
      </c>
      <c r="J1398" t="s">
        <v>70</v>
      </c>
      <c r="K1398" t="s">
        <v>42</v>
      </c>
      <c r="L1398" t="s">
        <v>306</v>
      </c>
      <c r="M1398" s="4">
        <v>7</v>
      </c>
      <c r="N1398" s="4">
        <v>1</v>
      </c>
      <c r="O1398" s="2">
        <v>0.14285714285714285</v>
      </c>
      <c r="P1398" s="3">
        <v>0.6</v>
      </c>
      <c r="Q1398" s="3">
        <v>0.6</v>
      </c>
      <c r="R1398" s="3">
        <v>0</v>
      </c>
      <c r="S1398" s="2"/>
      <c r="T1398" s="5">
        <v>0</v>
      </c>
      <c r="U1398" s="4">
        <v>0</v>
      </c>
      <c r="V1398" s="4">
        <v>0</v>
      </c>
      <c r="W1398" s="2">
        <v>0</v>
      </c>
      <c r="X1398" s="4">
        <v>0</v>
      </c>
      <c r="Y1398" s="4">
        <v>0</v>
      </c>
      <c r="Z1398" s="3">
        <v>0</v>
      </c>
      <c r="AA1398" s="3">
        <v>0</v>
      </c>
    </row>
    <row r="1399" spans="1:27" x14ac:dyDescent="0.2">
      <c r="A1399">
        <f t="shared" si="42"/>
        <v>3</v>
      </c>
      <c r="B1399">
        <f t="shared" si="43"/>
        <v>12</v>
      </c>
      <c r="C1399" s="1">
        <v>46101</v>
      </c>
      <c r="D1399" t="s">
        <v>25</v>
      </c>
      <c r="E1399" t="s">
        <v>26</v>
      </c>
      <c r="F1399" t="s">
        <v>27</v>
      </c>
      <c r="G1399" t="s">
        <v>28</v>
      </c>
      <c r="H1399" t="s">
        <v>29</v>
      </c>
      <c r="I1399" t="s">
        <v>30</v>
      </c>
      <c r="J1399" t="s">
        <v>311</v>
      </c>
      <c r="K1399" t="s">
        <v>32</v>
      </c>
      <c r="L1399" t="s">
        <v>306</v>
      </c>
      <c r="M1399" s="4">
        <v>2</v>
      </c>
      <c r="N1399" s="4">
        <v>1</v>
      </c>
      <c r="O1399" s="2">
        <v>0.5</v>
      </c>
      <c r="P1399" s="3">
        <v>0.2</v>
      </c>
      <c r="Q1399" s="3">
        <v>0.2</v>
      </c>
      <c r="R1399" s="3">
        <v>0</v>
      </c>
      <c r="S1399" s="2"/>
      <c r="T1399" s="5">
        <v>0</v>
      </c>
      <c r="U1399" s="4">
        <v>0</v>
      </c>
      <c r="V1399" s="4">
        <v>0</v>
      </c>
      <c r="W1399" s="2">
        <v>0</v>
      </c>
      <c r="X1399" s="4">
        <v>0</v>
      </c>
      <c r="Y1399" s="4">
        <v>0</v>
      </c>
      <c r="Z1399" s="3">
        <v>0</v>
      </c>
      <c r="AA1399" s="3">
        <v>0</v>
      </c>
    </row>
    <row r="1400" spans="1:27" x14ac:dyDescent="0.2">
      <c r="A1400">
        <f t="shared" si="42"/>
        <v>3</v>
      </c>
      <c r="B1400">
        <f t="shared" si="43"/>
        <v>12</v>
      </c>
      <c r="C1400" s="1">
        <v>46099</v>
      </c>
      <c r="D1400" t="s">
        <v>25</v>
      </c>
      <c r="E1400" t="s">
        <v>26</v>
      </c>
      <c r="F1400" t="s">
        <v>39</v>
      </c>
      <c r="G1400" t="s">
        <v>40</v>
      </c>
      <c r="H1400" t="s">
        <v>29</v>
      </c>
      <c r="I1400" t="s">
        <v>30</v>
      </c>
      <c r="J1400" t="s">
        <v>70</v>
      </c>
      <c r="K1400" t="s">
        <v>42</v>
      </c>
      <c r="L1400" t="s">
        <v>395</v>
      </c>
      <c r="M1400" s="4">
        <v>3</v>
      </c>
      <c r="N1400" s="4">
        <v>1</v>
      </c>
      <c r="O1400" s="2">
        <v>0.33333333333333331</v>
      </c>
      <c r="P1400" s="3">
        <v>0.59</v>
      </c>
      <c r="Q1400" s="3">
        <v>0.59</v>
      </c>
      <c r="R1400" s="3">
        <v>0</v>
      </c>
      <c r="S1400" s="2"/>
      <c r="T1400" s="5">
        <v>0</v>
      </c>
      <c r="U1400" s="4">
        <v>0</v>
      </c>
      <c r="V1400" s="4">
        <v>0</v>
      </c>
      <c r="W1400" s="2">
        <v>0</v>
      </c>
      <c r="X1400" s="4">
        <v>0</v>
      </c>
      <c r="Y1400" s="4">
        <v>0</v>
      </c>
      <c r="Z1400" s="3">
        <v>0</v>
      </c>
      <c r="AA1400" s="3">
        <v>0</v>
      </c>
    </row>
    <row r="1401" spans="1:27" x14ac:dyDescent="0.2">
      <c r="A1401">
        <f t="shared" si="42"/>
        <v>3</v>
      </c>
      <c r="B1401">
        <f t="shared" si="43"/>
        <v>11</v>
      </c>
      <c r="C1401" s="1">
        <v>46091</v>
      </c>
      <c r="D1401" t="s">
        <v>25</v>
      </c>
      <c r="E1401" t="s">
        <v>26</v>
      </c>
      <c r="F1401" t="s">
        <v>49</v>
      </c>
      <c r="G1401" t="s">
        <v>50</v>
      </c>
      <c r="H1401" t="s">
        <v>29</v>
      </c>
      <c r="I1401" t="s">
        <v>30</v>
      </c>
      <c r="J1401" t="s">
        <v>95</v>
      </c>
      <c r="K1401" t="s">
        <v>42</v>
      </c>
      <c r="L1401" t="s">
        <v>310</v>
      </c>
      <c r="M1401" s="4">
        <v>3</v>
      </c>
      <c r="N1401" s="4">
        <v>1</v>
      </c>
      <c r="O1401" s="2">
        <v>0.33333333333333331</v>
      </c>
      <c r="P1401" s="3">
        <v>0.55000000000000004</v>
      </c>
      <c r="Q1401" s="3">
        <v>0.55000000000000004</v>
      </c>
      <c r="R1401" s="3">
        <v>0</v>
      </c>
      <c r="S1401" s="2"/>
      <c r="T1401" s="5">
        <v>0</v>
      </c>
      <c r="U1401" s="4">
        <v>0</v>
      </c>
      <c r="V1401" s="4">
        <v>0</v>
      </c>
      <c r="W1401" s="2">
        <v>0</v>
      </c>
      <c r="X1401" s="4">
        <v>0</v>
      </c>
      <c r="Y1401" s="4">
        <v>0</v>
      </c>
      <c r="Z1401" s="3">
        <v>0</v>
      </c>
      <c r="AA1401" s="3">
        <v>0</v>
      </c>
    </row>
    <row r="1402" spans="1:27" x14ac:dyDescent="0.2">
      <c r="A1402">
        <f t="shared" si="42"/>
        <v>3</v>
      </c>
      <c r="B1402">
        <f t="shared" si="43"/>
        <v>11</v>
      </c>
      <c r="C1402" s="1">
        <v>46091</v>
      </c>
      <c r="D1402" t="s">
        <v>25</v>
      </c>
      <c r="E1402" t="s">
        <v>26</v>
      </c>
      <c r="F1402" t="s">
        <v>27</v>
      </c>
      <c r="G1402" t="s">
        <v>28</v>
      </c>
      <c r="H1402" t="s">
        <v>29</v>
      </c>
      <c r="I1402" t="s">
        <v>30</v>
      </c>
      <c r="J1402" t="s">
        <v>50</v>
      </c>
      <c r="K1402" t="s">
        <v>32</v>
      </c>
      <c r="L1402" t="s">
        <v>310</v>
      </c>
      <c r="M1402" s="4">
        <v>2</v>
      </c>
      <c r="N1402" s="4">
        <v>1</v>
      </c>
      <c r="O1402" s="2">
        <v>0.5</v>
      </c>
      <c r="P1402" s="3">
        <v>0.21</v>
      </c>
      <c r="Q1402" s="3">
        <v>0.21</v>
      </c>
      <c r="R1402" s="3">
        <v>0</v>
      </c>
      <c r="S1402" s="2"/>
      <c r="T1402" s="5">
        <v>0</v>
      </c>
      <c r="U1402" s="4">
        <v>0</v>
      </c>
      <c r="V1402" s="4">
        <v>0</v>
      </c>
      <c r="W1402" s="2">
        <v>0</v>
      </c>
      <c r="X1402" s="4">
        <v>0</v>
      </c>
      <c r="Y1402" s="4">
        <v>0</v>
      </c>
      <c r="Z1402" s="3">
        <v>0</v>
      </c>
      <c r="AA1402" s="3">
        <v>0</v>
      </c>
    </row>
    <row r="1403" spans="1:27" x14ac:dyDescent="0.2">
      <c r="A1403">
        <f t="shared" si="42"/>
        <v>3</v>
      </c>
      <c r="B1403">
        <f t="shared" si="43"/>
        <v>12</v>
      </c>
      <c r="C1403" s="1">
        <v>46102</v>
      </c>
      <c r="D1403" t="s">
        <v>25</v>
      </c>
      <c r="E1403" t="s">
        <v>26</v>
      </c>
      <c r="F1403" t="s">
        <v>27</v>
      </c>
      <c r="G1403" t="s">
        <v>124</v>
      </c>
      <c r="H1403" t="s">
        <v>29</v>
      </c>
      <c r="I1403" t="s">
        <v>30</v>
      </c>
      <c r="J1403" t="s">
        <v>311</v>
      </c>
      <c r="K1403" t="s">
        <v>87</v>
      </c>
      <c r="L1403" t="s">
        <v>311</v>
      </c>
      <c r="M1403" s="4">
        <v>4</v>
      </c>
      <c r="N1403" s="4">
        <v>1</v>
      </c>
      <c r="O1403" s="2">
        <v>0.25</v>
      </c>
      <c r="P1403" s="3">
        <v>0.21</v>
      </c>
      <c r="Q1403" s="3">
        <v>0.21</v>
      </c>
      <c r="R1403" s="3">
        <v>0</v>
      </c>
      <c r="S1403" s="2"/>
      <c r="T1403" s="5">
        <v>0</v>
      </c>
      <c r="U1403" s="4">
        <v>0</v>
      </c>
      <c r="V1403" s="4">
        <v>0</v>
      </c>
      <c r="W1403" s="2">
        <v>0</v>
      </c>
      <c r="X1403" s="4">
        <v>0</v>
      </c>
      <c r="Y1403" s="4">
        <v>0</v>
      </c>
      <c r="Z1403" s="3">
        <v>0</v>
      </c>
      <c r="AA1403" s="3">
        <v>0</v>
      </c>
    </row>
    <row r="1404" spans="1:27" x14ac:dyDescent="0.2">
      <c r="A1404">
        <f t="shared" si="42"/>
        <v>3</v>
      </c>
      <c r="B1404">
        <f t="shared" si="43"/>
        <v>11</v>
      </c>
      <c r="C1404" s="1">
        <v>46094</v>
      </c>
      <c r="D1404" t="s">
        <v>25</v>
      </c>
      <c r="E1404" t="s">
        <v>26</v>
      </c>
      <c r="F1404" t="s">
        <v>49</v>
      </c>
      <c r="G1404" t="s">
        <v>50</v>
      </c>
      <c r="H1404" t="s">
        <v>29</v>
      </c>
      <c r="I1404" t="s">
        <v>30</v>
      </c>
      <c r="J1404" t="s">
        <v>47</v>
      </c>
      <c r="K1404" t="s">
        <v>42</v>
      </c>
      <c r="L1404" t="s">
        <v>312</v>
      </c>
      <c r="M1404" s="4">
        <v>7</v>
      </c>
      <c r="N1404" s="4">
        <v>1</v>
      </c>
      <c r="O1404" s="2">
        <v>0.14285714285714285</v>
      </c>
      <c r="P1404" s="3">
        <v>0.83</v>
      </c>
      <c r="Q1404" s="3">
        <v>0.83</v>
      </c>
      <c r="R1404" s="3">
        <v>0</v>
      </c>
      <c r="S1404" s="2"/>
      <c r="T1404" s="5">
        <v>0</v>
      </c>
      <c r="U1404" s="4">
        <v>0</v>
      </c>
      <c r="V1404" s="4">
        <v>0</v>
      </c>
      <c r="W1404" s="2">
        <v>0</v>
      </c>
      <c r="X1404" s="4">
        <v>0</v>
      </c>
      <c r="Y1404" s="4">
        <v>0</v>
      </c>
      <c r="Z1404" s="3">
        <v>0</v>
      </c>
      <c r="AA1404" s="3">
        <v>0</v>
      </c>
    </row>
    <row r="1405" spans="1:27" x14ac:dyDescent="0.2">
      <c r="A1405">
        <f t="shared" si="42"/>
        <v>3</v>
      </c>
      <c r="B1405">
        <f t="shared" si="43"/>
        <v>12</v>
      </c>
      <c r="C1405" s="1">
        <v>46100</v>
      </c>
      <c r="D1405" t="s">
        <v>25</v>
      </c>
      <c r="E1405" t="s">
        <v>26</v>
      </c>
      <c r="F1405" t="s">
        <v>27</v>
      </c>
      <c r="G1405" t="s">
        <v>28</v>
      </c>
      <c r="H1405" t="s">
        <v>29</v>
      </c>
      <c r="I1405" t="s">
        <v>30</v>
      </c>
      <c r="J1405" t="s">
        <v>133</v>
      </c>
      <c r="K1405" t="s">
        <v>32</v>
      </c>
      <c r="L1405" t="s">
        <v>864</v>
      </c>
      <c r="M1405" s="4">
        <v>4</v>
      </c>
      <c r="N1405" s="4">
        <v>1</v>
      </c>
      <c r="O1405" s="2">
        <v>0.25</v>
      </c>
      <c r="P1405" s="3">
        <v>0.08</v>
      </c>
      <c r="Q1405" s="3">
        <v>0.08</v>
      </c>
      <c r="R1405" s="3">
        <v>0</v>
      </c>
      <c r="S1405" s="2"/>
      <c r="T1405" s="5">
        <v>0</v>
      </c>
      <c r="U1405" s="4">
        <v>0</v>
      </c>
      <c r="V1405" s="4">
        <v>0</v>
      </c>
      <c r="W1405" s="2">
        <v>0</v>
      </c>
      <c r="X1405" s="4">
        <v>0</v>
      </c>
      <c r="Y1405" s="4">
        <v>0</v>
      </c>
      <c r="Z1405" s="3">
        <v>0</v>
      </c>
      <c r="AA1405" s="3">
        <v>0</v>
      </c>
    </row>
    <row r="1406" spans="1:27" x14ac:dyDescent="0.2">
      <c r="A1406">
        <f t="shared" si="42"/>
        <v>3</v>
      </c>
      <c r="B1406">
        <f t="shared" si="43"/>
        <v>10</v>
      </c>
      <c r="C1406" s="1">
        <v>46083</v>
      </c>
      <c r="D1406" t="s">
        <v>25</v>
      </c>
      <c r="E1406" t="s">
        <v>26</v>
      </c>
      <c r="F1406" t="s">
        <v>34</v>
      </c>
      <c r="G1406" t="s">
        <v>28</v>
      </c>
      <c r="H1406" t="s">
        <v>29</v>
      </c>
      <c r="I1406" t="s">
        <v>30</v>
      </c>
      <c r="J1406" t="s">
        <v>154</v>
      </c>
      <c r="K1406" t="s">
        <v>32</v>
      </c>
      <c r="L1406" t="s">
        <v>865</v>
      </c>
      <c r="M1406" s="4">
        <v>2</v>
      </c>
      <c r="N1406" s="4">
        <v>1</v>
      </c>
      <c r="O1406" s="2">
        <v>0.5</v>
      </c>
      <c r="P1406" s="3">
        <v>1.03</v>
      </c>
      <c r="Q1406" s="3">
        <v>1.03</v>
      </c>
      <c r="R1406" s="3">
        <v>0</v>
      </c>
      <c r="S1406" s="2"/>
      <c r="T1406" s="5">
        <v>0</v>
      </c>
      <c r="U1406" s="4">
        <v>0</v>
      </c>
      <c r="V1406" s="4">
        <v>0</v>
      </c>
      <c r="W1406" s="2">
        <v>0</v>
      </c>
      <c r="X1406" s="4">
        <v>0</v>
      </c>
      <c r="Y1406" s="4">
        <v>0</v>
      </c>
      <c r="Z1406" s="3">
        <v>0</v>
      </c>
      <c r="AA1406" s="3">
        <v>0</v>
      </c>
    </row>
    <row r="1407" spans="1:27" x14ac:dyDescent="0.2">
      <c r="A1407">
        <f t="shared" si="42"/>
        <v>3</v>
      </c>
      <c r="B1407">
        <f t="shared" si="43"/>
        <v>10</v>
      </c>
      <c r="C1407" s="1">
        <v>46086</v>
      </c>
      <c r="D1407" t="s">
        <v>25</v>
      </c>
      <c r="E1407" t="s">
        <v>26</v>
      </c>
      <c r="F1407" t="s">
        <v>27</v>
      </c>
      <c r="G1407" t="s">
        <v>28</v>
      </c>
      <c r="H1407" t="s">
        <v>29</v>
      </c>
      <c r="I1407" t="s">
        <v>30</v>
      </c>
      <c r="J1407" t="s">
        <v>50</v>
      </c>
      <c r="K1407" t="s">
        <v>32</v>
      </c>
      <c r="L1407" t="s">
        <v>866</v>
      </c>
      <c r="M1407" s="4">
        <v>2</v>
      </c>
      <c r="N1407" s="4">
        <v>1</v>
      </c>
      <c r="O1407" s="2">
        <v>0.5</v>
      </c>
      <c r="P1407" s="3">
        <v>0.21</v>
      </c>
      <c r="Q1407" s="3">
        <v>0.21</v>
      </c>
      <c r="R1407" s="3">
        <v>0</v>
      </c>
      <c r="S1407" s="2"/>
      <c r="T1407" s="5">
        <v>0</v>
      </c>
      <c r="U1407" s="4">
        <v>0</v>
      </c>
      <c r="V1407" s="4">
        <v>0</v>
      </c>
      <c r="W1407" s="2">
        <v>0</v>
      </c>
      <c r="X1407" s="4">
        <v>0</v>
      </c>
      <c r="Y1407" s="4">
        <v>0</v>
      </c>
      <c r="Z1407" s="3">
        <v>0</v>
      </c>
      <c r="AA1407" s="3">
        <v>0</v>
      </c>
    </row>
    <row r="1408" spans="1:27" x14ac:dyDescent="0.2">
      <c r="A1408">
        <f t="shared" si="42"/>
        <v>3</v>
      </c>
      <c r="B1408">
        <f t="shared" si="43"/>
        <v>11</v>
      </c>
      <c r="C1408" s="1">
        <v>46093</v>
      </c>
      <c r="D1408" t="s">
        <v>25</v>
      </c>
      <c r="E1408" t="s">
        <v>26</v>
      </c>
      <c r="F1408" t="s">
        <v>27</v>
      </c>
      <c r="G1408" t="s">
        <v>124</v>
      </c>
      <c r="H1408" t="s">
        <v>29</v>
      </c>
      <c r="I1408" t="s">
        <v>30</v>
      </c>
      <c r="J1408" t="s">
        <v>101</v>
      </c>
      <c r="K1408" t="s">
        <v>87</v>
      </c>
      <c r="L1408" t="s">
        <v>867</v>
      </c>
      <c r="M1408" s="4">
        <v>2</v>
      </c>
      <c r="N1408" s="4">
        <v>1</v>
      </c>
      <c r="O1408" s="2">
        <v>0.5</v>
      </c>
      <c r="P1408" s="3">
        <v>0.2</v>
      </c>
      <c r="Q1408" s="3">
        <v>0.2</v>
      </c>
      <c r="R1408" s="3">
        <v>0</v>
      </c>
      <c r="S1408" s="2"/>
      <c r="T1408" s="5">
        <v>0</v>
      </c>
      <c r="U1408" s="4">
        <v>0</v>
      </c>
      <c r="V1408" s="4">
        <v>0</v>
      </c>
      <c r="W1408" s="2">
        <v>0</v>
      </c>
      <c r="X1408" s="4">
        <v>0</v>
      </c>
      <c r="Y1408" s="4">
        <v>0</v>
      </c>
      <c r="Z1408" s="3">
        <v>0</v>
      </c>
      <c r="AA1408" s="3">
        <v>0</v>
      </c>
    </row>
    <row r="1409" spans="1:27" x14ac:dyDescent="0.2">
      <c r="A1409">
        <f t="shared" si="42"/>
        <v>3</v>
      </c>
      <c r="B1409">
        <f t="shared" si="43"/>
        <v>10</v>
      </c>
      <c r="C1409" s="1">
        <v>46087</v>
      </c>
      <c r="D1409" t="s">
        <v>25</v>
      </c>
      <c r="E1409" t="s">
        <v>26</v>
      </c>
      <c r="F1409" t="s">
        <v>39</v>
      </c>
      <c r="G1409" t="s">
        <v>40</v>
      </c>
      <c r="H1409" t="s">
        <v>29</v>
      </c>
      <c r="I1409" t="s">
        <v>30</v>
      </c>
      <c r="J1409" t="s">
        <v>70</v>
      </c>
      <c r="K1409" t="s">
        <v>42</v>
      </c>
      <c r="L1409" t="s">
        <v>868</v>
      </c>
      <c r="M1409" s="4">
        <v>1</v>
      </c>
      <c r="N1409" s="4">
        <v>1</v>
      </c>
      <c r="O1409" s="2">
        <v>1</v>
      </c>
      <c r="P1409" s="3">
        <v>0.8</v>
      </c>
      <c r="Q1409" s="3">
        <v>0.8</v>
      </c>
      <c r="R1409" s="3">
        <v>0</v>
      </c>
      <c r="S1409" s="2"/>
      <c r="T1409" s="5">
        <v>0</v>
      </c>
      <c r="U1409" s="4">
        <v>0</v>
      </c>
      <c r="V1409" s="4">
        <v>0</v>
      </c>
      <c r="W1409" s="2">
        <v>0</v>
      </c>
      <c r="X1409" s="4">
        <v>0</v>
      </c>
      <c r="Y1409" s="4">
        <v>0</v>
      </c>
      <c r="Z1409" s="3">
        <v>0</v>
      </c>
      <c r="AA1409" s="3">
        <v>0</v>
      </c>
    </row>
    <row r="1410" spans="1:27" x14ac:dyDescent="0.2">
      <c r="A1410">
        <f t="shared" si="42"/>
        <v>3</v>
      </c>
      <c r="B1410">
        <f t="shared" si="43"/>
        <v>14</v>
      </c>
      <c r="C1410" s="1">
        <v>46111</v>
      </c>
      <c r="D1410" t="s">
        <v>25</v>
      </c>
      <c r="E1410" t="s">
        <v>26</v>
      </c>
      <c r="F1410" t="s">
        <v>27</v>
      </c>
      <c r="G1410" t="s">
        <v>28</v>
      </c>
      <c r="H1410" t="s">
        <v>29</v>
      </c>
      <c r="I1410" t="s">
        <v>30</v>
      </c>
      <c r="J1410" t="s">
        <v>31</v>
      </c>
      <c r="K1410" t="s">
        <v>32</v>
      </c>
      <c r="L1410" t="s">
        <v>869</v>
      </c>
      <c r="M1410" s="4">
        <v>2</v>
      </c>
      <c r="N1410" s="4">
        <v>1</v>
      </c>
      <c r="O1410" s="2">
        <v>0.5</v>
      </c>
      <c r="P1410" s="3">
        <v>0.21</v>
      </c>
      <c r="Q1410" s="3">
        <v>0.21</v>
      </c>
      <c r="R1410" s="3">
        <v>0</v>
      </c>
      <c r="S1410" s="2"/>
      <c r="T1410" s="5">
        <v>0</v>
      </c>
      <c r="U1410" s="4">
        <v>0</v>
      </c>
      <c r="V1410" s="4">
        <v>0</v>
      </c>
      <c r="W1410" s="2">
        <v>0</v>
      </c>
      <c r="X1410" s="4">
        <v>0</v>
      </c>
      <c r="Y1410" s="4">
        <v>0</v>
      </c>
      <c r="Z1410" s="3">
        <v>0</v>
      </c>
      <c r="AA1410" s="3">
        <v>0</v>
      </c>
    </row>
    <row r="1411" spans="1:27" x14ac:dyDescent="0.2">
      <c r="A1411">
        <f t="shared" ref="A1411:A1474" si="44">MONTH(C1411)</f>
        <v>3</v>
      </c>
      <c r="B1411">
        <f t="shared" ref="B1411:B1474" si="45">WEEKNUM(C1411,1)</f>
        <v>14</v>
      </c>
      <c r="C1411" s="1">
        <v>46110</v>
      </c>
      <c r="D1411" t="s">
        <v>25</v>
      </c>
      <c r="E1411" t="s">
        <v>26</v>
      </c>
      <c r="F1411" t="s">
        <v>27</v>
      </c>
      <c r="G1411" t="s">
        <v>28</v>
      </c>
      <c r="H1411" t="s">
        <v>29</v>
      </c>
      <c r="I1411" t="s">
        <v>30</v>
      </c>
      <c r="J1411" t="s">
        <v>119</v>
      </c>
      <c r="K1411" t="s">
        <v>32</v>
      </c>
      <c r="L1411" t="s">
        <v>870</v>
      </c>
      <c r="M1411" s="4">
        <v>2</v>
      </c>
      <c r="N1411" s="4">
        <v>1</v>
      </c>
      <c r="O1411" s="2">
        <v>0.5</v>
      </c>
      <c r="P1411" s="3">
        <v>0.16</v>
      </c>
      <c r="Q1411" s="3">
        <v>0.16</v>
      </c>
      <c r="R1411" s="3">
        <v>0</v>
      </c>
      <c r="S1411" s="2"/>
      <c r="T1411" s="5">
        <v>0</v>
      </c>
      <c r="U1411" s="4">
        <v>0</v>
      </c>
      <c r="V1411" s="4">
        <v>0</v>
      </c>
      <c r="W1411" s="2">
        <v>0</v>
      </c>
      <c r="X1411" s="4">
        <v>0</v>
      </c>
      <c r="Y1411" s="4">
        <v>0</v>
      </c>
      <c r="Z1411" s="3">
        <v>0</v>
      </c>
      <c r="AA1411" s="3">
        <v>0</v>
      </c>
    </row>
    <row r="1412" spans="1:27" x14ac:dyDescent="0.2">
      <c r="A1412">
        <f t="shared" si="44"/>
        <v>3</v>
      </c>
      <c r="B1412">
        <f t="shared" si="45"/>
        <v>13</v>
      </c>
      <c r="C1412" s="1">
        <v>46109</v>
      </c>
      <c r="D1412" t="s">
        <v>25</v>
      </c>
      <c r="E1412" t="s">
        <v>26</v>
      </c>
      <c r="F1412" t="s">
        <v>27</v>
      </c>
      <c r="G1412" t="s">
        <v>28</v>
      </c>
      <c r="H1412" t="s">
        <v>29</v>
      </c>
      <c r="I1412" t="s">
        <v>30</v>
      </c>
      <c r="J1412" t="s">
        <v>119</v>
      </c>
      <c r="K1412" t="s">
        <v>32</v>
      </c>
      <c r="L1412" t="s">
        <v>871</v>
      </c>
      <c r="M1412" s="4">
        <v>2</v>
      </c>
      <c r="N1412" s="4">
        <v>1</v>
      </c>
      <c r="O1412" s="2">
        <v>0.5</v>
      </c>
      <c r="P1412" s="3">
        <v>0.16</v>
      </c>
      <c r="Q1412" s="3">
        <v>0.16</v>
      </c>
      <c r="R1412" s="3">
        <v>0</v>
      </c>
      <c r="S1412" s="2"/>
      <c r="T1412" s="5">
        <v>0</v>
      </c>
      <c r="U1412" s="4">
        <v>0</v>
      </c>
      <c r="V1412" s="4">
        <v>0</v>
      </c>
      <c r="W1412" s="2">
        <v>0</v>
      </c>
      <c r="X1412" s="4">
        <v>0</v>
      </c>
      <c r="Y1412" s="4">
        <v>0</v>
      </c>
      <c r="Z1412" s="3">
        <v>0</v>
      </c>
      <c r="AA1412" s="3">
        <v>0</v>
      </c>
    </row>
    <row r="1413" spans="1:27" x14ac:dyDescent="0.2">
      <c r="A1413">
        <f t="shared" si="44"/>
        <v>3</v>
      </c>
      <c r="B1413">
        <f t="shared" si="45"/>
        <v>13</v>
      </c>
      <c r="C1413" s="1">
        <v>46103</v>
      </c>
      <c r="D1413" t="s">
        <v>25</v>
      </c>
      <c r="E1413" t="s">
        <v>26</v>
      </c>
      <c r="F1413" t="s">
        <v>49</v>
      </c>
      <c r="G1413" t="s">
        <v>50</v>
      </c>
      <c r="H1413" t="s">
        <v>29</v>
      </c>
      <c r="I1413" t="s">
        <v>30</v>
      </c>
      <c r="J1413" t="s">
        <v>95</v>
      </c>
      <c r="K1413" t="s">
        <v>42</v>
      </c>
      <c r="L1413" t="s">
        <v>872</v>
      </c>
      <c r="M1413" s="4">
        <v>1</v>
      </c>
      <c r="N1413" s="4">
        <v>1</v>
      </c>
      <c r="O1413" s="2">
        <v>1</v>
      </c>
      <c r="P1413" s="3">
        <v>0.45</v>
      </c>
      <c r="Q1413" s="3">
        <v>0.45</v>
      </c>
      <c r="R1413" s="3">
        <v>18.989999999999998</v>
      </c>
      <c r="S1413" s="2">
        <v>2.3696682464454978E-2</v>
      </c>
      <c r="T1413" s="5">
        <v>42.199999999999996</v>
      </c>
      <c r="U1413" s="4">
        <v>1</v>
      </c>
      <c r="V1413" s="4">
        <v>1</v>
      </c>
      <c r="W1413" s="2">
        <v>1</v>
      </c>
      <c r="X1413" s="4">
        <v>0</v>
      </c>
      <c r="Y1413" s="4">
        <v>1</v>
      </c>
      <c r="Z1413" s="3">
        <v>0</v>
      </c>
      <c r="AA1413" s="3">
        <v>18.989999999999998</v>
      </c>
    </row>
    <row r="1414" spans="1:27" x14ac:dyDescent="0.2">
      <c r="A1414">
        <f t="shared" si="44"/>
        <v>3</v>
      </c>
      <c r="B1414">
        <f t="shared" si="45"/>
        <v>13</v>
      </c>
      <c r="C1414" s="1">
        <v>46109</v>
      </c>
      <c r="D1414" t="s">
        <v>25</v>
      </c>
      <c r="E1414" t="s">
        <v>26</v>
      </c>
      <c r="F1414" t="s">
        <v>27</v>
      </c>
      <c r="G1414" t="s">
        <v>124</v>
      </c>
      <c r="H1414" t="s">
        <v>29</v>
      </c>
      <c r="I1414" t="s">
        <v>30</v>
      </c>
      <c r="J1414" t="s">
        <v>31</v>
      </c>
      <c r="K1414" t="s">
        <v>87</v>
      </c>
      <c r="L1414" t="s">
        <v>873</v>
      </c>
      <c r="M1414" s="4">
        <v>1</v>
      </c>
      <c r="N1414" s="4">
        <v>1</v>
      </c>
      <c r="O1414" s="2">
        <v>1</v>
      </c>
      <c r="P1414" s="3">
        <v>0.21</v>
      </c>
      <c r="Q1414" s="3">
        <v>0.21</v>
      </c>
      <c r="R1414" s="3">
        <v>0</v>
      </c>
      <c r="S1414" s="2"/>
      <c r="T1414" s="5">
        <v>0</v>
      </c>
      <c r="U1414" s="4">
        <v>0</v>
      </c>
      <c r="V1414" s="4">
        <v>0</v>
      </c>
      <c r="W1414" s="2">
        <v>0</v>
      </c>
      <c r="X1414" s="4">
        <v>0</v>
      </c>
      <c r="Y1414" s="4">
        <v>0</v>
      </c>
      <c r="Z1414" s="3">
        <v>0</v>
      </c>
      <c r="AA1414" s="3">
        <v>0</v>
      </c>
    </row>
    <row r="1415" spans="1:27" x14ac:dyDescent="0.2">
      <c r="A1415">
        <f t="shared" si="44"/>
        <v>3</v>
      </c>
      <c r="B1415">
        <f t="shared" si="45"/>
        <v>13</v>
      </c>
      <c r="C1415" s="1">
        <v>46105</v>
      </c>
      <c r="D1415" t="s">
        <v>25</v>
      </c>
      <c r="E1415" t="s">
        <v>26</v>
      </c>
      <c r="F1415" t="s">
        <v>61</v>
      </c>
      <c r="G1415" t="s">
        <v>62</v>
      </c>
      <c r="H1415" t="s">
        <v>29</v>
      </c>
      <c r="I1415" t="s">
        <v>30</v>
      </c>
      <c r="J1415" t="s">
        <v>95</v>
      </c>
      <c r="K1415" t="s">
        <v>42</v>
      </c>
      <c r="L1415" t="s">
        <v>874</v>
      </c>
      <c r="M1415" s="4">
        <v>1</v>
      </c>
      <c r="N1415" s="4">
        <v>1</v>
      </c>
      <c r="O1415" s="2">
        <v>1</v>
      </c>
      <c r="P1415" s="3">
        <v>1.25</v>
      </c>
      <c r="Q1415" s="3">
        <v>1.25</v>
      </c>
      <c r="R1415" s="3">
        <v>0</v>
      </c>
      <c r="S1415" s="2"/>
      <c r="T1415" s="5">
        <v>0</v>
      </c>
      <c r="U1415" s="4">
        <v>0</v>
      </c>
      <c r="V1415" s="4">
        <v>0</v>
      </c>
      <c r="W1415" s="2">
        <v>0</v>
      </c>
      <c r="X1415" s="4">
        <v>0</v>
      </c>
      <c r="Y1415" s="4">
        <v>0</v>
      </c>
      <c r="Z1415" s="3">
        <v>0</v>
      </c>
      <c r="AA1415" s="3">
        <v>0</v>
      </c>
    </row>
    <row r="1416" spans="1:27" x14ac:dyDescent="0.2">
      <c r="A1416">
        <f t="shared" si="44"/>
        <v>3</v>
      </c>
      <c r="B1416">
        <f t="shared" si="45"/>
        <v>13</v>
      </c>
      <c r="C1416" s="1">
        <v>46108</v>
      </c>
      <c r="D1416" t="s">
        <v>25</v>
      </c>
      <c r="E1416" t="s">
        <v>26</v>
      </c>
      <c r="F1416" t="s">
        <v>49</v>
      </c>
      <c r="G1416" t="s">
        <v>50</v>
      </c>
      <c r="H1416" t="s">
        <v>29</v>
      </c>
      <c r="I1416" t="s">
        <v>30</v>
      </c>
      <c r="J1416" t="s">
        <v>51</v>
      </c>
      <c r="K1416" t="s">
        <v>42</v>
      </c>
      <c r="L1416" t="s">
        <v>875</v>
      </c>
      <c r="M1416" s="4">
        <v>1</v>
      </c>
      <c r="N1416" s="4">
        <v>1</v>
      </c>
      <c r="O1416" s="2">
        <v>1</v>
      </c>
      <c r="P1416" s="3">
        <v>0.47</v>
      </c>
      <c r="Q1416" s="3">
        <v>0.47</v>
      </c>
      <c r="R1416" s="3">
        <v>0</v>
      </c>
      <c r="S1416" s="2"/>
      <c r="T1416" s="5">
        <v>0</v>
      </c>
      <c r="U1416" s="4">
        <v>0</v>
      </c>
      <c r="V1416" s="4">
        <v>0</v>
      </c>
      <c r="W1416" s="2">
        <v>0</v>
      </c>
      <c r="X1416" s="4">
        <v>0</v>
      </c>
      <c r="Y1416" s="4">
        <v>0</v>
      </c>
      <c r="Z1416" s="3">
        <v>0</v>
      </c>
      <c r="AA1416" s="3">
        <v>0</v>
      </c>
    </row>
    <row r="1417" spans="1:27" x14ac:dyDescent="0.2">
      <c r="A1417">
        <f t="shared" si="44"/>
        <v>3</v>
      </c>
      <c r="B1417">
        <f t="shared" si="45"/>
        <v>14</v>
      </c>
      <c r="C1417" s="1">
        <v>46112</v>
      </c>
      <c r="D1417" t="s">
        <v>25</v>
      </c>
      <c r="E1417" t="s">
        <v>26</v>
      </c>
      <c r="F1417" t="s">
        <v>49</v>
      </c>
      <c r="G1417" t="s">
        <v>50</v>
      </c>
      <c r="H1417" t="s">
        <v>29</v>
      </c>
      <c r="I1417" t="s">
        <v>30</v>
      </c>
      <c r="J1417" t="s">
        <v>51</v>
      </c>
      <c r="K1417" t="s">
        <v>42</v>
      </c>
      <c r="L1417" t="s">
        <v>876</v>
      </c>
      <c r="M1417" s="4">
        <v>1</v>
      </c>
      <c r="N1417" s="4">
        <v>1</v>
      </c>
      <c r="O1417" s="2">
        <v>1</v>
      </c>
      <c r="P1417" s="3">
        <v>0.47</v>
      </c>
      <c r="Q1417" s="3">
        <v>0.47</v>
      </c>
      <c r="R1417" s="3">
        <v>0</v>
      </c>
      <c r="S1417" s="2"/>
      <c r="T1417" s="5">
        <v>0</v>
      </c>
      <c r="U1417" s="4">
        <v>0</v>
      </c>
      <c r="V1417" s="4">
        <v>0</v>
      </c>
      <c r="W1417" s="2">
        <v>0</v>
      </c>
      <c r="X1417" s="4">
        <v>0</v>
      </c>
      <c r="Y1417" s="4">
        <v>0</v>
      </c>
      <c r="Z1417" s="3">
        <v>0</v>
      </c>
      <c r="AA1417" s="3">
        <v>0</v>
      </c>
    </row>
    <row r="1418" spans="1:27" x14ac:dyDescent="0.2">
      <c r="A1418">
        <f t="shared" si="44"/>
        <v>3</v>
      </c>
      <c r="B1418">
        <f t="shared" si="45"/>
        <v>13</v>
      </c>
      <c r="C1418" s="1">
        <v>46104</v>
      </c>
      <c r="D1418" t="s">
        <v>25</v>
      </c>
      <c r="E1418" t="s">
        <v>26</v>
      </c>
      <c r="F1418" t="s">
        <v>49</v>
      </c>
      <c r="G1418" t="s">
        <v>50</v>
      </c>
      <c r="H1418" t="s">
        <v>29</v>
      </c>
      <c r="I1418" t="s">
        <v>30</v>
      </c>
      <c r="J1418" t="s">
        <v>51</v>
      </c>
      <c r="K1418" t="s">
        <v>42</v>
      </c>
      <c r="L1418" t="s">
        <v>687</v>
      </c>
      <c r="M1418" s="4">
        <v>6</v>
      </c>
      <c r="N1418" s="4">
        <v>1</v>
      </c>
      <c r="O1418" s="2">
        <v>0.16666666666666663</v>
      </c>
      <c r="P1418" s="3">
        <v>0.1</v>
      </c>
      <c r="Q1418" s="3">
        <v>0.1</v>
      </c>
      <c r="R1418" s="3">
        <v>18.989999999999998</v>
      </c>
      <c r="S1418" s="2">
        <v>5.2659294365455514E-3</v>
      </c>
      <c r="T1418" s="5">
        <v>189.89999999999998</v>
      </c>
      <c r="U1418" s="4">
        <v>1</v>
      </c>
      <c r="V1418" s="4">
        <v>1</v>
      </c>
      <c r="W1418" s="2">
        <v>1</v>
      </c>
      <c r="X1418" s="4">
        <v>0</v>
      </c>
      <c r="Y1418" s="4">
        <v>1</v>
      </c>
      <c r="Z1418" s="3">
        <v>0</v>
      </c>
      <c r="AA1418" s="3">
        <v>18.989999999999998</v>
      </c>
    </row>
    <row r="1419" spans="1:27" x14ac:dyDescent="0.2">
      <c r="A1419">
        <f t="shared" si="44"/>
        <v>3</v>
      </c>
      <c r="B1419">
        <f t="shared" si="45"/>
        <v>13</v>
      </c>
      <c r="C1419" s="1">
        <v>46108</v>
      </c>
      <c r="D1419" t="s">
        <v>25</v>
      </c>
      <c r="E1419" t="s">
        <v>26</v>
      </c>
      <c r="F1419" t="s">
        <v>49</v>
      </c>
      <c r="G1419" t="s">
        <v>50</v>
      </c>
      <c r="H1419" t="s">
        <v>29</v>
      </c>
      <c r="I1419" t="s">
        <v>30</v>
      </c>
      <c r="J1419" t="s">
        <v>51</v>
      </c>
      <c r="K1419" t="s">
        <v>42</v>
      </c>
      <c r="L1419" t="s">
        <v>877</v>
      </c>
      <c r="M1419" s="4">
        <v>1</v>
      </c>
      <c r="N1419" s="4">
        <v>1</v>
      </c>
      <c r="O1419" s="2">
        <v>1</v>
      </c>
      <c r="P1419" s="3">
        <v>0.47</v>
      </c>
      <c r="Q1419" s="3">
        <v>0.47</v>
      </c>
      <c r="R1419" s="3">
        <v>0</v>
      </c>
      <c r="S1419" s="2"/>
      <c r="T1419" s="5">
        <v>0</v>
      </c>
      <c r="U1419" s="4">
        <v>0</v>
      </c>
      <c r="V1419" s="4">
        <v>0</v>
      </c>
      <c r="W1419" s="2">
        <v>0</v>
      </c>
      <c r="X1419" s="4">
        <v>0</v>
      </c>
      <c r="Y1419" s="4">
        <v>0</v>
      </c>
      <c r="Z1419" s="3">
        <v>0</v>
      </c>
      <c r="AA1419" s="3">
        <v>0</v>
      </c>
    </row>
    <row r="1420" spans="1:27" x14ac:dyDescent="0.2">
      <c r="A1420">
        <f t="shared" si="44"/>
        <v>3</v>
      </c>
      <c r="B1420">
        <f t="shared" si="45"/>
        <v>13</v>
      </c>
      <c r="C1420" s="1">
        <v>46109</v>
      </c>
      <c r="D1420" t="s">
        <v>25</v>
      </c>
      <c r="E1420" t="s">
        <v>26</v>
      </c>
      <c r="F1420" t="s">
        <v>49</v>
      </c>
      <c r="G1420" t="s">
        <v>50</v>
      </c>
      <c r="H1420" t="s">
        <v>29</v>
      </c>
      <c r="I1420" t="s">
        <v>30</v>
      </c>
      <c r="J1420" t="s">
        <v>51</v>
      </c>
      <c r="K1420" t="s">
        <v>42</v>
      </c>
      <c r="L1420" t="s">
        <v>64</v>
      </c>
      <c r="M1420" s="4">
        <v>2</v>
      </c>
      <c r="N1420" s="4">
        <v>1</v>
      </c>
      <c r="O1420" s="2">
        <v>0.5</v>
      </c>
      <c r="P1420" s="3">
        <v>0.47</v>
      </c>
      <c r="Q1420" s="3">
        <v>0.47</v>
      </c>
      <c r="R1420" s="3">
        <v>0</v>
      </c>
      <c r="S1420" s="2"/>
      <c r="T1420" s="5">
        <v>0</v>
      </c>
      <c r="U1420" s="4">
        <v>0</v>
      </c>
      <c r="V1420" s="4">
        <v>0</v>
      </c>
      <c r="W1420" s="2">
        <v>0</v>
      </c>
      <c r="X1420" s="4">
        <v>0</v>
      </c>
      <c r="Y1420" s="4">
        <v>0</v>
      </c>
      <c r="Z1420" s="3">
        <v>0</v>
      </c>
      <c r="AA1420" s="3">
        <v>0</v>
      </c>
    </row>
    <row r="1421" spans="1:27" x14ac:dyDescent="0.2">
      <c r="A1421">
        <f t="shared" si="44"/>
        <v>3</v>
      </c>
      <c r="B1421">
        <f t="shared" si="45"/>
        <v>13</v>
      </c>
      <c r="C1421" s="1">
        <v>46109</v>
      </c>
      <c r="D1421" t="s">
        <v>25</v>
      </c>
      <c r="E1421" t="s">
        <v>26</v>
      </c>
      <c r="F1421" t="s">
        <v>39</v>
      </c>
      <c r="G1421" t="s">
        <v>40</v>
      </c>
      <c r="H1421" t="s">
        <v>29</v>
      </c>
      <c r="I1421" t="s">
        <v>30</v>
      </c>
      <c r="J1421" t="s">
        <v>393</v>
      </c>
      <c r="K1421" t="s">
        <v>42</v>
      </c>
      <c r="L1421" t="s">
        <v>64</v>
      </c>
      <c r="M1421" s="4">
        <v>4</v>
      </c>
      <c r="N1421" s="4">
        <v>2</v>
      </c>
      <c r="O1421" s="2">
        <v>0.5</v>
      </c>
      <c r="P1421" s="3">
        <v>0.45500000000000002</v>
      </c>
      <c r="Q1421" s="3">
        <v>0.91</v>
      </c>
      <c r="R1421" s="3">
        <v>0</v>
      </c>
      <c r="S1421" s="2"/>
      <c r="T1421" s="5">
        <v>0</v>
      </c>
      <c r="U1421" s="4">
        <v>0</v>
      </c>
      <c r="V1421" s="4">
        <v>0</v>
      </c>
      <c r="W1421" s="2">
        <v>0</v>
      </c>
      <c r="X1421" s="4">
        <v>0</v>
      </c>
      <c r="Y1421" s="4">
        <v>0</v>
      </c>
      <c r="Z1421" s="3">
        <v>0</v>
      </c>
      <c r="AA1421" s="3">
        <v>0</v>
      </c>
    </row>
    <row r="1422" spans="1:27" x14ac:dyDescent="0.2">
      <c r="A1422">
        <f t="shared" si="44"/>
        <v>3</v>
      </c>
      <c r="B1422">
        <f t="shared" si="45"/>
        <v>13</v>
      </c>
      <c r="C1422" s="1">
        <v>46109</v>
      </c>
      <c r="D1422" t="s">
        <v>25</v>
      </c>
      <c r="E1422" t="s">
        <v>26</v>
      </c>
      <c r="F1422" t="s">
        <v>49</v>
      </c>
      <c r="G1422" t="s">
        <v>50</v>
      </c>
      <c r="H1422" t="s">
        <v>29</v>
      </c>
      <c r="I1422" t="s">
        <v>30</v>
      </c>
      <c r="J1422" t="s">
        <v>51</v>
      </c>
      <c r="K1422" t="s">
        <v>42</v>
      </c>
      <c r="L1422" t="s">
        <v>878</v>
      </c>
      <c r="M1422" s="4">
        <v>1</v>
      </c>
      <c r="N1422" s="4">
        <v>1</v>
      </c>
      <c r="O1422" s="2">
        <v>1</v>
      </c>
      <c r="P1422" s="3">
        <v>0.47</v>
      </c>
      <c r="Q1422" s="3">
        <v>0.47</v>
      </c>
      <c r="R1422" s="3">
        <v>0</v>
      </c>
      <c r="S1422" s="2"/>
      <c r="T1422" s="5">
        <v>0</v>
      </c>
      <c r="U1422" s="4">
        <v>0</v>
      </c>
      <c r="V1422" s="4">
        <v>0</v>
      </c>
      <c r="W1422" s="2">
        <v>0</v>
      </c>
      <c r="X1422" s="4">
        <v>0</v>
      </c>
      <c r="Y1422" s="4">
        <v>0</v>
      </c>
      <c r="Z1422" s="3">
        <v>0</v>
      </c>
      <c r="AA1422" s="3">
        <v>0</v>
      </c>
    </row>
    <row r="1423" spans="1:27" x14ac:dyDescent="0.2">
      <c r="A1423">
        <f t="shared" si="44"/>
        <v>3</v>
      </c>
      <c r="B1423">
        <f t="shared" si="45"/>
        <v>14</v>
      </c>
      <c r="C1423" s="1">
        <v>46110</v>
      </c>
      <c r="D1423" t="s">
        <v>25</v>
      </c>
      <c r="E1423" t="s">
        <v>26</v>
      </c>
      <c r="F1423" t="s">
        <v>39</v>
      </c>
      <c r="G1423" t="s">
        <v>40</v>
      </c>
      <c r="H1423" t="s">
        <v>29</v>
      </c>
      <c r="I1423" t="s">
        <v>30</v>
      </c>
      <c r="J1423" t="s">
        <v>411</v>
      </c>
      <c r="K1423" t="s">
        <v>42</v>
      </c>
      <c r="L1423" t="s">
        <v>68</v>
      </c>
      <c r="M1423" s="4">
        <v>2</v>
      </c>
      <c r="N1423" s="4">
        <v>1</v>
      </c>
      <c r="O1423" s="2">
        <v>0.5</v>
      </c>
      <c r="P1423" s="3">
        <v>0.28000000000000003</v>
      </c>
      <c r="Q1423" s="3">
        <v>0.28000000000000003</v>
      </c>
      <c r="R1423" s="3">
        <v>0</v>
      </c>
      <c r="S1423" s="2"/>
      <c r="T1423" s="5">
        <v>0</v>
      </c>
      <c r="U1423" s="4">
        <v>0</v>
      </c>
      <c r="V1423" s="4">
        <v>0</v>
      </c>
      <c r="W1423" s="2">
        <v>0</v>
      </c>
      <c r="X1423" s="4">
        <v>0</v>
      </c>
      <c r="Y1423" s="4">
        <v>0</v>
      </c>
      <c r="Z1423" s="3">
        <v>0</v>
      </c>
      <c r="AA1423" s="3">
        <v>0</v>
      </c>
    </row>
    <row r="1424" spans="1:27" x14ac:dyDescent="0.2">
      <c r="A1424">
        <f t="shared" si="44"/>
        <v>3</v>
      </c>
      <c r="B1424">
        <f t="shared" si="45"/>
        <v>13</v>
      </c>
      <c r="C1424" s="1">
        <v>46103</v>
      </c>
      <c r="D1424" t="s">
        <v>25</v>
      </c>
      <c r="E1424" t="s">
        <v>26</v>
      </c>
      <c r="F1424" t="s">
        <v>39</v>
      </c>
      <c r="G1424" t="s">
        <v>40</v>
      </c>
      <c r="H1424" t="s">
        <v>29</v>
      </c>
      <c r="I1424" t="s">
        <v>30</v>
      </c>
      <c r="J1424" t="s">
        <v>70</v>
      </c>
      <c r="K1424" t="s">
        <v>42</v>
      </c>
      <c r="L1424" t="s">
        <v>71</v>
      </c>
      <c r="M1424" s="4">
        <v>185</v>
      </c>
      <c r="N1424" s="4">
        <v>1</v>
      </c>
      <c r="O1424" s="2">
        <v>5.4054054054054057E-3</v>
      </c>
      <c r="P1424" s="3">
        <v>0.6</v>
      </c>
      <c r="Q1424" s="3">
        <v>0.6</v>
      </c>
      <c r="R1424" s="3">
        <v>0</v>
      </c>
      <c r="S1424" s="2"/>
      <c r="T1424" s="5">
        <v>0</v>
      </c>
      <c r="U1424" s="4">
        <v>0</v>
      </c>
      <c r="V1424" s="4">
        <v>0</v>
      </c>
      <c r="W1424" s="2">
        <v>0</v>
      </c>
      <c r="X1424" s="4">
        <v>0</v>
      </c>
      <c r="Y1424" s="4">
        <v>0</v>
      </c>
      <c r="Z1424" s="3">
        <v>0</v>
      </c>
      <c r="AA1424" s="3">
        <v>0</v>
      </c>
    </row>
    <row r="1425" spans="1:27" x14ac:dyDescent="0.2">
      <c r="A1425">
        <f t="shared" si="44"/>
        <v>3</v>
      </c>
      <c r="B1425">
        <f t="shared" si="45"/>
        <v>13</v>
      </c>
      <c r="C1425" s="1">
        <v>46104</v>
      </c>
      <c r="D1425" t="s">
        <v>25</v>
      </c>
      <c r="E1425" t="s">
        <v>26</v>
      </c>
      <c r="F1425" t="s">
        <v>39</v>
      </c>
      <c r="G1425" t="s">
        <v>40</v>
      </c>
      <c r="H1425" t="s">
        <v>29</v>
      </c>
      <c r="I1425" t="s">
        <v>30</v>
      </c>
      <c r="J1425" t="s">
        <v>70</v>
      </c>
      <c r="K1425" t="s">
        <v>42</v>
      </c>
      <c r="L1425" t="s">
        <v>71</v>
      </c>
      <c r="M1425" s="4">
        <v>104</v>
      </c>
      <c r="N1425" s="4">
        <v>2</v>
      </c>
      <c r="O1425" s="2">
        <v>1.9230769230769232E-2</v>
      </c>
      <c r="P1425" s="3">
        <v>0.38</v>
      </c>
      <c r="Q1425" s="3">
        <v>0.76</v>
      </c>
      <c r="R1425" s="3">
        <v>17.09</v>
      </c>
      <c r="S1425" s="2">
        <v>4.4470450555880628E-2</v>
      </c>
      <c r="T1425" s="5">
        <v>22.486842105263158</v>
      </c>
      <c r="U1425" s="4">
        <v>1</v>
      </c>
      <c r="V1425" s="4">
        <v>1</v>
      </c>
      <c r="W1425" s="2">
        <v>0.5</v>
      </c>
      <c r="X1425" s="4">
        <v>0</v>
      </c>
      <c r="Y1425" s="4">
        <v>1</v>
      </c>
      <c r="Z1425" s="3">
        <v>0</v>
      </c>
      <c r="AA1425" s="3">
        <v>17.09</v>
      </c>
    </row>
    <row r="1426" spans="1:27" x14ac:dyDescent="0.2">
      <c r="A1426">
        <f t="shared" si="44"/>
        <v>3</v>
      </c>
      <c r="B1426">
        <f t="shared" si="45"/>
        <v>13</v>
      </c>
      <c r="C1426" s="1">
        <v>46106</v>
      </c>
      <c r="D1426" t="s">
        <v>25</v>
      </c>
      <c r="E1426" t="s">
        <v>26</v>
      </c>
      <c r="F1426" t="s">
        <v>39</v>
      </c>
      <c r="G1426" t="s">
        <v>40</v>
      </c>
      <c r="H1426" t="s">
        <v>29</v>
      </c>
      <c r="I1426" t="s">
        <v>30</v>
      </c>
      <c r="J1426" t="s">
        <v>70</v>
      </c>
      <c r="K1426" t="s">
        <v>42</v>
      </c>
      <c r="L1426" t="s">
        <v>71</v>
      </c>
      <c r="M1426" s="4">
        <v>87</v>
      </c>
      <c r="N1426" s="4">
        <v>2</v>
      </c>
      <c r="O1426" s="2">
        <v>2.2988505747126436E-2</v>
      </c>
      <c r="P1426" s="3">
        <v>0.45</v>
      </c>
      <c r="Q1426" s="3">
        <v>0.9</v>
      </c>
      <c r="R1426" s="3">
        <v>0</v>
      </c>
      <c r="S1426" s="2"/>
      <c r="T1426" s="5">
        <v>0</v>
      </c>
      <c r="U1426" s="4">
        <v>0</v>
      </c>
      <c r="V1426" s="4">
        <v>0</v>
      </c>
      <c r="W1426" s="2">
        <v>0</v>
      </c>
      <c r="X1426" s="4">
        <v>0</v>
      </c>
      <c r="Y1426" s="4">
        <v>0</v>
      </c>
      <c r="Z1426" s="3">
        <v>0</v>
      </c>
      <c r="AA1426" s="3">
        <v>0</v>
      </c>
    </row>
    <row r="1427" spans="1:27" x14ac:dyDescent="0.2">
      <c r="A1427">
        <f t="shared" si="44"/>
        <v>3</v>
      </c>
      <c r="B1427">
        <f t="shared" si="45"/>
        <v>13</v>
      </c>
      <c r="C1427" s="1">
        <v>46107</v>
      </c>
      <c r="D1427" t="s">
        <v>25</v>
      </c>
      <c r="E1427" t="s">
        <v>26</v>
      </c>
      <c r="F1427" t="s">
        <v>39</v>
      </c>
      <c r="G1427" t="s">
        <v>40</v>
      </c>
      <c r="H1427" t="s">
        <v>29</v>
      </c>
      <c r="I1427" t="s">
        <v>30</v>
      </c>
      <c r="J1427" t="s">
        <v>70</v>
      </c>
      <c r="K1427" t="s">
        <v>42</v>
      </c>
      <c r="L1427" t="s">
        <v>71</v>
      </c>
      <c r="M1427" s="4">
        <v>355</v>
      </c>
      <c r="N1427" s="4">
        <v>3</v>
      </c>
      <c r="O1427" s="2">
        <v>8.4507042253521118E-3</v>
      </c>
      <c r="P1427" s="3">
        <v>0.5</v>
      </c>
      <c r="Q1427" s="3">
        <v>1.5</v>
      </c>
      <c r="R1427" s="3">
        <v>18.989999999999998</v>
      </c>
      <c r="S1427" s="2">
        <v>7.8988941548183256E-2</v>
      </c>
      <c r="T1427" s="5">
        <v>12.659999999999998</v>
      </c>
      <c r="U1427" s="4">
        <v>1</v>
      </c>
      <c r="V1427" s="4">
        <v>1</v>
      </c>
      <c r="W1427" s="2">
        <v>0.33333333333333331</v>
      </c>
      <c r="X1427" s="4">
        <v>1</v>
      </c>
      <c r="Y1427" s="4">
        <v>0</v>
      </c>
      <c r="Z1427" s="3">
        <v>18.989999999999998</v>
      </c>
      <c r="AA1427" s="3">
        <v>0</v>
      </c>
    </row>
    <row r="1428" spans="1:27" x14ac:dyDescent="0.2">
      <c r="A1428">
        <f t="shared" si="44"/>
        <v>3</v>
      </c>
      <c r="B1428">
        <f t="shared" si="45"/>
        <v>13</v>
      </c>
      <c r="C1428" s="1">
        <v>46108</v>
      </c>
      <c r="D1428" t="s">
        <v>25</v>
      </c>
      <c r="E1428" t="s">
        <v>26</v>
      </c>
      <c r="F1428" t="s">
        <v>39</v>
      </c>
      <c r="G1428" t="s">
        <v>40</v>
      </c>
      <c r="H1428" t="s">
        <v>29</v>
      </c>
      <c r="I1428" t="s">
        <v>30</v>
      </c>
      <c r="J1428" t="s">
        <v>70</v>
      </c>
      <c r="K1428" t="s">
        <v>42</v>
      </c>
      <c r="L1428" t="s">
        <v>71</v>
      </c>
      <c r="M1428" s="4">
        <v>77</v>
      </c>
      <c r="N1428" s="4">
        <v>1</v>
      </c>
      <c r="O1428" s="2">
        <v>1.2987012987012986E-2</v>
      </c>
      <c r="P1428" s="3">
        <v>0.56000000000000005</v>
      </c>
      <c r="Q1428" s="3">
        <v>0.56000000000000005</v>
      </c>
      <c r="R1428" s="3">
        <v>0</v>
      </c>
      <c r="S1428" s="2"/>
      <c r="T1428" s="5">
        <v>0</v>
      </c>
      <c r="U1428" s="4">
        <v>0</v>
      </c>
      <c r="V1428" s="4">
        <v>0</v>
      </c>
      <c r="W1428" s="2">
        <v>0</v>
      </c>
      <c r="X1428" s="4">
        <v>0</v>
      </c>
      <c r="Y1428" s="4">
        <v>0</v>
      </c>
      <c r="Z1428" s="3">
        <v>0</v>
      </c>
      <c r="AA1428" s="3">
        <v>0</v>
      </c>
    </row>
    <row r="1429" spans="1:27" x14ac:dyDescent="0.2">
      <c r="A1429">
        <f t="shared" si="44"/>
        <v>3</v>
      </c>
      <c r="B1429">
        <f t="shared" si="45"/>
        <v>13</v>
      </c>
      <c r="C1429" s="1">
        <v>46109</v>
      </c>
      <c r="D1429" t="s">
        <v>25</v>
      </c>
      <c r="E1429" t="s">
        <v>26</v>
      </c>
      <c r="F1429" t="s">
        <v>39</v>
      </c>
      <c r="G1429" t="s">
        <v>40</v>
      </c>
      <c r="H1429" t="s">
        <v>29</v>
      </c>
      <c r="I1429" t="s">
        <v>30</v>
      </c>
      <c r="J1429" t="s">
        <v>70</v>
      </c>
      <c r="K1429" t="s">
        <v>42</v>
      </c>
      <c r="L1429" t="s">
        <v>71</v>
      </c>
      <c r="M1429" s="4">
        <v>134</v>
      </c>
      <c r="N1429" s="4">
        <v>2</v>
      </c>
      <c r="O1429" s="2">
        <v>1.4925373134328356E-2</v>
      </c>
      <c r="P1429" s="3">
        <v>0.56000000000000005</v>
      </c>
      <c r="Q1429" s="3">
        <v>1.1200000000000001</v>
      </c>
      <c r="R1429" s="3">
        <v>0</v>
      </c>
      <c r="S1429" s="2"/>
      <c r="T1429" s="5">
        <v>0</v>
      </c>
      <c r="U1429" s="4">
        <v>0</v>
      </c>
      <c r="V1429" s="4">
        <v>0</v>
      </c>
      <c r="W1429" s="2">
        <v>0</v>
      </c>
      <c r="X1429" s="4">
        <v>0</v>
      </c>
      <c r="Y1429" s="4">
        <v>0</v>
      </c>
      <c r="Z1429" s="3">
        <v>0</v>
      </c>
      <c r="AA1429" s="3">
        <v>0</v>
      </c>
    </row>
    <row r="1430" spans="1:27" x14ac:dyDescent="0.2">
      <c r="A1430">
        <f t="shared" si="44"/>
        <v>3</v>
      </c>
      <c r="B1430">
        <f t="shared" si="45"/>
        <v>14</v>
      </c>
      <c r="C1430" s="1">
        <v>46110</v>
      </c>
      <c r="D1430" t="s">
        <v>25</v>
      </c>
      <c r="E1430" t="s">
        <v>26</v>
      </c>
      <c r="F1430" t="s">
        <v>39</v>
      </c>
      <c r="G1430" t="s">
        <v>40</v>
      </c>
      <c r="H1430" t="s">
        <v>29</v>
      </c>
      <c r="I1430" t="s">
        <v>30</v>
      </c>
      <c r="J1430" t="s">
        <v>70</v>
      </c>
      <c r="K1430" t="s">
        <v>42</v>
      </c>
      <c r="L1430" t="s">
        <v>71</v>
      </c>
      <c r="M1430" s="4">
        <v>231</v>
      </c>
      <c r="N1430" s="4">
        <v>2</v>
      </c>
      <c r="O1430" s="2">
        <v>8.658008658008658E-3</v>
      </c>
      <c r="P1430" s="3">
        <v>0.56000000000000005</v>
      </c>
      <c r="Q1430" s="3">
        <v>1.1200000000000001</v>
      </c>
      <c r="R1430" s="3">
        <v>0</v>
      </c>
      <c r="S1430" s="2"/>
      <c r="T1430" s="5">
        <v>0</v>
      </c>
      <c r="U1430" s="4">
        <v>0</v>
      </c>
      <c r="V1430" s="4">
        <v>0</v>
      </c>
      <c r="W1430" s="2">
        <v>0</v>
      </c>
      <c r="X1430" s="4">
        <v>0</v>
      </c>
      <c r="Y1430" s="4">
        <v>0</v>
      </c>
      <c r="Z1430" s="3">
        <v>0</v>
      </c>
      <c r="AA1430" s="3">
        <v>0</v>
      </c>
    </row>
    <row r="1431" spans="1:27" x14ac:dyDescent="0.2">
      <c r="A1431">
        <f t="shared" si="44"/>
        <v>3</v>
      </c>
      <c r="B1431">
        <f t="shared" si="45"/>
        <v>14</v>
      </c>
      <c r="C1431" s="1">
        <v>46111</v>
      </c>
      <c r="D1431" t="s">
        <v>25</v>
      </c>
      <c r="E1431" t="s">
        <v>26</v>
      </c>
      <c r="F1431" t="s">
        <v>39</v>
      </c>
      <c r="G1431" t="s">
        <v>40</v>
      </c>
      <c r="H1431" t="s">
        <v>29</v>
      </c>
      <c r="I1431" t="s">
        <v>30</v>
      </c>
      <c r="J1431" t="s">
        <v>70</v>
      </c>
      <c r="K1431" t="s">
        <v>42</v>
      </c>
      <c r="L1431" t="s">
        <v>71</v>
      </c>
      <c r="M1431" s="4">
        <v>161</v>
      </c>
      <c r="N1431" s="4">
        <v>4</v>
      </c>
      <c r="O1431" s="2">
        <v>2.4844720496894412E-2</v>
      </c>
      <c r="P1431" s="3">
        <v>0.67500000000000004</v>
      </c>
      <c r="Q1431" s="3">
        <v>2.7</v>
      </c>
      <c r="R1431" s="3">
        <v>0</v>
      </c>
      <c r="S1431" s="2"/>
      <c r="T1431" s="5">
        <v>0</v>
      </c>
      <c r="U1431" s="4">
        <v>0</v>
      </c>
      <c r="V1431" s="4">
        <v>0</v>
      </c>
      <c r="W1431" s="2">
        <v>0</v>
      </c>
      <c r="X1431" s="4">
        <v>0</v>
      </c>
      <c r="Y1431" s="4">
        <v>0</v>
      </c>
      <c r="Z1431" s="3">
        <v>0</v>
      </c>
      <c r="AA1431" s="3">
        <v>0</v>
      </c>
    </row>
    <row r="1432" spans="1:27" x14ac:dyDescent="0.2">
      <c r="A1432">
        <f t="shared" si="44"/>
        <v>3</v>
      </c>
      <c r="B1432">
        <f t="shared" si="45"/>
        <v>14</v>
      </c>
      <c r="C1432" s="1">
        <v>46112</v>
      </c>
      <c r="D1432" t="s">
        <v>25</v>
      </c>
      <c r="E1432" t="s">
        <v>26</v>
      </c>
      <c r="F1432" t="s">
        <v>39</v>
      </c>
      <c r="G1432" t="s">
        <v>40</v>
      </c>
      <c r="H1432" t="s">
        <v>29</v>
      </c>
      <c r="I1432" t="s">
        <v>30</v>
      </c>
      <c r="J1432" t="s">
        <v>70</v>
      </c>
      <c r="K1432" t="s">
        <v>42</v>
      </c>
      <c r="L1432" t="s">
        <v>71</v>
      </c>
      <c r="M1432" s="4">
        <v>316</v>
      </c>
      <c r="N1432" s="4">
        <v>2</v>
      </c>
      <c r="O1432" s="2">
        <v>6.3291139240506328E-3</v>
      </c>
      <c r="P1432" s="3">
        <v>0.57999999999999996</v>
      </c>
      <c r="Q1432" s="3">
        <v>1.1599999999999999</v>
      </c>
      <c r="R1432" s="3">
        <v>0</v>
      </c>
      <c r="S1432" s="2"/>
      <c r="T1432" s="5">
        <v>0</v>
      </c>
      <c r="U1432" s="4">
        <v>0</v>
      </c>
      <c r="V1432" s="4">
        <v>0</v>
      </c>
      <c r="W1432" s="2">
        <v>0</v>
      </c>
      <c r="X1432" s="4">
        <v>0</v>
      </c>
      <c r="Y1432" s="4">
        <v>0</v>
      </c>
      <c r="Z1432" s="3">
        <v>0</v>
      </c>
      <c r="AA1432" s="3">
        <v>0</v>
      </c>
    </row>
    <row r="1433" spans="1:27" x14ac:dyDescent="0.2">
      <c r="A1433">
        <f t="shared" si="44"/>
        <v>3</v>
      </c>
      <c r="B1433">
        <f t="shared" si="45"/>
        <v>13</v>
      </c>
      <c r="C1433" s="1">
        <v>46104</v>
      </c>
      <c r="D1433" t="s">
        <v>25</v>
      </c>
      <c r="E1433" t="s">
        <v>26</v>
      </c>
      <c r="F1433" t="s">
        <v>39</v>
      </c>
      <c r="G1433" t="s">
        <v>40</v>
      </c>
      <c r="H1433" t="s">
        <v>29</v>
      </c>
      <c r="I1433" t="s">
        <v>30</v>
      </c>
      <c r="J1433" t="s">
        <v>539</v>
      </c>
      <c r="K1433" t="s">
        <v>42</v>
      </c>
      <c r="L1433" t="s">
        <v>702</v>
      </c>
      <c r="M1433" s="4">
        <v>33</v>
      </c>
      <c r="N1433" s="4">
        <v>1</v>
      </c>
      <c r="O1433" s="2">
        <v>3.0303030303030304E-2</v>
      </c>
      <c r="P1433" s="3">
        <v>0.57999999999999996</v>
      </c>
      <c r="Q1433" s="3">
        <v>0.57999999999999996</v>
      </c>
      <c r="R1433" s="3">
        <v>0</v>
      </c>
      <c r="S1433" s="2"/>
      <c r="T1433" s="5">
        <v>0</v>
      </c>
      <c r="U1433" s="4">
        <v>0</v>
      </c>
      <c r="V1433" s="4">
        <v>0</v>
      </c>
      <c r="W1433" s="2">
        <v>0</v>
      </c>
      <c r="X1433" s="4">
        <v>0</v>
      </c>
      <c r="Y1433" s="4">
        <v>0</v>
      </c>
      <c r="Z1433" s="3">
        <v>0</v>
      </c>
      <c r="AA1433" s="3">
        <v>0</v>
      </c>
    </row>
    <row r="1434" spans="1:27" x14ac:dyDescent="0.2">
      <c r="A1434">
        <f t="shared" si="44"/>
        <v>3</v>
      </c>
      <c r="B1434">
        <f t="shared" si="45"/>
        <v>14</v>
      </c>
      <c r="C1434" s="1">
        <v>46110</v>
      </c>
      <c r="D1434" t="s">
        <v>25</v>
      </c>
      <c r="E1434" t="s">
        <v>26</v>
      </c>
      <c r="F1434" t="s">
        <v>39</v>
      </c>
      <c r="G1434" t="s">
        <v>40</v>
      </c>
      <c r="H1434" t="s">
        <v>29</v>
      </c>
      <c r="I1434" t="s">
        <v>30</v>
      </c>
      <c r="J1434" t="s">
        <v>539</v>
      </c>
      <c r="K1434" t="s">
        <v>42</v>
      </c>
      <c r="L1434" t="s">
        <v>702</v>
      </c>
      <c r="M1434" s="4">
        <v>8</v>
      </c>
      <c r="N1434" s="4">
        <v>1</v>
      </c>
      <c r="O1434" s="2">
        <v>0.125</v>
      </c>
      <c r="P1434" s="3">
        <v>0.5</v>
      </c>
      <c r="Q1434" s="3">
        <v>0.5</v>
      </c>
      <c r="R1434" s="3">
        <v>0</v>
      </c>
      <c r="S1434" s="2"/>
      <c r="T1434" s="5">
        <v>0</v>
      </c>
      <c r="U1434" s="4">
        <v>0</v>
      </c>
      <c r="V1434" s="4">
        <v>0</v>
      </c>
      <c r="W1434" s="2">
        <v>0</v>
      </c>
      <c r="X1434" s="4">
        <v>0</v>
      </c>
      <c r="Y1434" s="4">
        <v>0</v>
      </c>
      <c r="Z1434" s="3">
        <v>0</v>
      </c>
      <c r="AA1434" s="3">
        <v>0</v>
      </c>
    </row>
    <row r="1435" spans="1:27" x14ac:dyDescent="0.2">
      <c r="A1435">
        <f t="shared" si="44"/>
        <v>3</v>
      </c>
      <c r="B1435">
        <f t="shared" si="45"/>
        <v>13</v>
      </c>
      <c r="C1435" s="1">
        <v>46103</v>
      </c>
      <c r="D1435" t="s">
        <v>25</v>
      </c>
      <c r="E1435" t="s">
        <v>26</v>
      </c>
      <c r="F1435" t="s">
        <v>39</v>
      </c>
      <c r="G1435" t="s">
        <v>40</v>
      </c>
      <c r="H1435" t="s">
        <v>29</v>
      </c>
      <c r="I1435" t="s">
        <v>30</v>
      </c>
      <c r="J1435" t="s">
        <v>41</v>
      </c>
      <c r="K1435" t="s">
        <v>42</v>
      </c>
      <c r="L1435" t="s">
        <v>75</v>
      </c>
      <c r="M1435" s="4">
        <v>32</v>
      </c>
      <c r="N1435" s="4">
        <v>1</v>
      </c>
      <c r="O1435" s="2">
        <v>3.125E-2</v>
      </c>
      <c r="P1435" s="3">
        <v>1.1599999999999999</v>
      </c>
      <c r="Q1435" s="3">
        <v>1.1599999999999999</v>
      </c>
      <c r="R1435" s="3">
        <v>0</v>
      </c>
      <c r="S1435" s="2"/>
      <c r="T1435" s="5">
        <v>0</v>
      </c>
      <c r="U1435" s="4">
        <v>0</v>
      </c>
      <c r="V1435" s="4">
        <v>0</v>
      </c>
      <c r="W1435" s="2">
        <v>0</v>
      </c>
      <c r="X1435" s="4">
        <v>0</v>
      </c>
      <c r="Y1435" s="4">
        <v>0</v>
      </c>
      <c r="Z1435" s="3">
        <v>0</v>
      </c>
      <c r="AA1435" s="3">
        <v>0</v>
      </c>
    </row>
    <row r="1436" spans="1:27" x14ac:dyDescent="0.2">
      <c r="A1436">
        <f t="shared" si="44"/>
        <v>3</v>
      </c>
      <c r="B1436">
        <f t="shared" si="45"/>
        <v>13</v>
      </c>
      <c r="C1436" s="1">
        <v>46104</v>
      </c>
      <c r="D1436" t="s">
        <v>25</v>
      </c>
      <c r="E1436" t="s">
        <v>26</v>
      </c>
      <c r="F1436" t="s">
        <v>39</v>
      </c>
      <c r="G1436" t="s">
        <v>40</v>
      </c>
      <c r="H1436" t="s">
        <v>29</v>
      </c>
      <c r="I1436" t="s">
        <v>30</v>
      </c>
      <c r="J1436" t="s">
        <v>41</v>
      </c>
      <c r="K1436" t="s">
        <v>42</v>
      </c>
      <c r="L1436" t="s">
        <v>75</v>
      </c>
      <c r="M1436" s="4">
        <v>31</v>
      </c>
      <c r="N1436" s="4">
        <v>1</v>
      </c>
      <c r="O1436" s="2">
        <v>3.2258064516129031E-2</v>
      </c>
      <c r="P1436" s="3">
        <v>0.86</v>
      </c>
      <c r="Q1436" s="3">
        <v>0.86</v>
      </c>
      <c r="R1436" s="3">
        <v>0</v>
      </c>
      <c r="S1436" s="2"/>
      <c r="T1436" s="5">
        <v>0</v>
      </c>
      <c r="U1436" s="4">
        <v>0</v>
      </c>
      <c r="V1436" s="4">
        <v>0</v>
      </c>
      <c r="W1436" s="2">
        <v>0</v>
      </c>
      <c r="X1436" s="4">
        <v>0</v>
      </c>
      <c r="Y1436" s="4">
        <v>0</v>
      </c>
      <c r="Z1436" s="3">
        <v>0</v>
      </c>
      <c r="AA1436" s="3">
        <v>0</v>
      </c>
    </row>
    <row r="1437" spans="1:27" x14ac:dyDescent="0.2">
      <c r="A1437">
        <f t="shared" si="44"/>
        <v>3</v>
      </c>
      <c r="B1437">
        <f t="shared" si="45"/>
        <v>14</v>
      </c>
      <c r="C1437" s="1">
        <v>46112</v>
      </c>
      <c r="D1437" t="s">
        <v>25</v>
      </c>
      <c r="E1437" t="s">
        <v>26</v>
      </c>
      <c r="F1437" t="s">
        <v>39</v>
      </c>
      <c r="G1437" t="s">
        <v>40</v>
      </c>
      <c r="H1437" t="s">
        <v>29</v>
      </c>
      <c r="I1437" t="s">
        <v>30</v>
      </c>
      <c r="J1437" t="s">
        <v>41</v>
      </c>
      <c r="K1437" t="s">
        <v>42</v>
      </c>
      <c r="L1437" t="s">
        <v>75</v>
      </c>
      <c r="M1437" s="4">
        <v>14</v>
      </c>
      <c r="N1437" s="4">
        <v>1</v>
      </c>
      <c r="O1437" s="2">
        <v>7.1428571428571425E-2</v>
      </c>
      <c r="P1437" s="3">
        <v>0.87</v>
      </c>
      <c r="Q1437" s="3">
        <v>0.87</v>
      </c>
      <c r="R1437" s="3">
        <v>0</v>
      </c>
      <c r="S1437" s="2"/>
      <c r="T1437" s="5">
        <v>0</v>
      </c>
      <c r="U1437" s="4">
        <v>0</v>
      </c>
      <c r="V1437" s="4">
        <v>0</v>
      </c>
      <c r="W1437" s="2">
        <v>0</v>
      </c>
      <c r="X1437" s="4">
        <v>0</v>
      </c>
      <c r="Y1437" s="4">
        <v>0</v>
      </c>
      <c r="Z1437" s="3">
        <v>0</v>
      </c>
      <c r="AA1437" s="3">
        <v>0</v>
      </c>
    </row>
    <row r="1438" spans="1:27" x14ac:dyDescent="0.2">
      <c r="A1438">
        <f t="shared" si="44"/>
        <v>3</v>
      </c>
      <c r="B1438">
        <f t="shared" si="45"/>
        <v>13</v>
      </c>
      <c r="C1438" s="1">
        <v>46103</v>
      </c>
      <c r="D1438" t="s">
        <v>25</v>
      </c>
      <c r="E1438" t="s">
        <v>26</v>
      </c>
      <c r="F1438" t="s">
        <v>39</v>
      </c>
      <c r="G1438" t="s">
        <v>40</v>
      </c>
      <c r="H1438" t="s">
        <v>29</v>
      </c>
      <c r="I1438" t="s">
        <v>30</v>
      </c>
      <c r="J1438" t="s">
        <v>78</v>
      </c>
      <c r="K1438" t="s">
        <v>42</v>
      </c>
      <c r="L1438" t="s">
        <v>79</v>
      </c>
      <c r="M1438" s="4">
        <v>136</v>
      </c>
      <c r="N1438" s="4">
        <v>1</v>
      </c>
      <c r="O1438" s="2">
        <v>7.3529411764705881E-3</v>
      </c>
      <c r="P1438" s="3">
        <v>0.48</v>
      </c>
      <c r="Q1438" s="3">
        <v>0.48</v>
      </c>
      <c r="R1438" s="3">
        <v>0</v>
      </c>
      <c r="S1438" s="2"/>
      <c r="T1438" s="5">
        <v>0</v>
      </c>
      <c r="U1438" s="4">
        <v>0</v>
      </c>
      <c r="V1438" s="4">
        <v>0</v>
      </c>
      <c r="W1438" s="2">
        <v>0</v>
      </c>
      <c r="X1438" s="4">
        <v>0</v>
      </c>
      <c r="Y1438" s="4">
        <v>0</v>
      </c>
      <c r="Z1438" s="3">
        <v>0</v>
      </c>
      <c r="AA1438" s="3">
        <v>0</v>
      </c>
    </row>
    <row r="1439" spans="1:27" x14ac:dyDescent="0.2">
      <c r="A1439">
        <f t="shared" si="44"/>
        <v>3</v>
      </c>
      <c r="B1439">
        <f t="shared" si="45"/>
        <v>13</v>
      </c>
      <c r="C1439" s="1">
        <v>46104</v>
      </c>
      <c r="D1439" t="s">
        <v>25</v>
      </c>
      <c r="E1439" t="s">
        <v>26</v>
      </c>
      <c r="F1439" t="s">
        <v>39</v>
      </c>
      <c r="G1439" t="s">
        <v>40</v>
      </c>
      <c r="H1439" t="s">
        <v>29</v>
      </c>
      <c r="I1439" t="s">
        <v>30</v>
      </c>
      <c r="J1439" t="s">
        <v>78</v>
      </c>
      <c r="K1439" t="s">
        <v>42</v>
      </c>
      <c r="L1439" t="s">
        <v>79</v>
      </c>
      <c r="M1439" s="4">
        <v>98</v>
      </c>
      <c r="N1439" s="4">
        <v>1</v>
      </c>
      <c r="O1439" s="2">
        <v>1.020408163265306E-2</v>
      </c>
      <c r="P1439" s="3">
        <v>0.3</v>
      </c>
      <c r="Q1439" s="3">
        <v>0.3</v>
      </c>
      <c r="R1439" s="3">
        <v>0</v>
      </c>
      <c r="S1439" s="2"/>
      <c r="T1439" s="5">
        <v>0</v>
      </c>
      <c r="U1439" s="4">
        <v>0</v>
      </c>
      <c r="V1439" s="4">
        <v>0</v>
      </c>
      <c r="W1439" s="2">
        <v>0</v>
      </c>
      <c r="X1439" s="4">
        <v>0</v>
      </c>
      <c r="Y1439" s="4">
        <v>0</v>
      </c>
      <c r="Z1439" s="3">
        <v>0</v>
      </c>
      <c r="AA1439" s="3">
        <v>0</v>
      </c>
    </row>
    <row r="1440" spans="1:27" x14ac:dyDescent="0.2">
      <c r="A1440">
        <f t="shared" si="44"/>
        <v>3</v>
      </c>
      <c r="B1440">
        <f t="shared" si="45"/>
        <v>13</v>
      </c>
      <c r="C1440" s="1">
        <v>46105</v>
      </c>
      <c r="D1440" t="s">
        <v>25</v>
      </c>
      <c r="E1440" t="s">
        <v>26</v>
      </c>
      <c r="F1440" t="s">
        <v>39</v>
      </c>
      <c r="G1440" t="s">
        <v>40</v>
      </c>
      <c r="H1440" t="s">
        <v>29</v>
      </c>
      <c r="I1440" t="s">
        <v>30</v>
      </c>
      <c r="J1440" t="s">
        <v>78</v>
      </c>
      <c r="K1440" t="s">
        <v>42</v>
      </c>
      <c r="L1440" t="s">
        <v>79</v>
      </c>
      <c r="M1440" s="4">
        <v>268</v>
      </c>
      <c r="N1440" s="4">
        <v>3</v>
      </c>
      <c r="O1440" s="2">
        <v>1.1194029850746268E-2</v>
      </c>
      <c r="P1440" s="3">
        <v>0.52</v>
      </c>
      <c r="Q1440" s="3">
        <v>1.56</v>
      </c>
      <c r="R1440" s="3">
        <v>0</v>
      </c>
      <c r="S1440" s="2"/>
      <c r="T1440" s="5">
        <v>0</v>
      </c>
      <c r="U1440" s="4">
        <v>0</v>
      </c>
      <c r="V1440" s="4">
        <v>0</v>
      </c>
      <c r="W1440" s="2">
        <v>0</v>
      </c>
      <c r="X1440" s="4">
        <v>0</v>
      </c>
      <c r="Y1440" s="4">
        <v>0</v>
      </c>
      <c r="Z1440" s="3">
        <v>0</v>
      </c>
      <c r="AA1440" s="3">
        <v>0</v>
      </c>
    </row>
    <row r="1441" spans="1:27" x14ac:dyDescent="0.2">
      <c r="A1441">
        <f t="shared" si="44"/>
        <v>3</v>
      </c>
      <c r="B1441">
        <f t="shared" si="45"/>
        <v>13</v>
      </c>
      <c r="C1441" s="1">
        <v>46106</v>
      </c>
      <c r="D1441" t="s">
        <v>25</v>
      </c>
      <c r="E1441" t="s">
        <v>26</v>
      </c>
      <c r="F1441" t="s">
        <v>39</v>
      </c>
      <c r="G1441" t="s">
        <v>40</v>
      </c>
      <c r="H1441" t="s">
        <v>29</v>
      </c>
      <c r="I1441" t="s">
        <v>30</v>
      </c>
      <c r="J1441" t="s">
        <v>78</v>
      </c>
      <c r="K1441" t="s">
        <v>42</v>
      </c>
      <c r="L1441" t="s">
        <v>79</v>
      </c>
      <c r="M1441" s="4">
        <v>126</v>
      </c>
      <c r="N1441" s="4">
        <v>3</v>
      </c>
      <c r="O1441" s="2">
        <v>2.3809523809523812E-2</v>
      </c>
      <c r="P1441" s="3">
        <v>0.3</v>
      </c>
      <c r="Q1441" s="3">
        <v>0.9</v>
      </c>
      <c r="R1441" s="3">
        <v>0</v>
      </c>
      <c r="S1441" s="2"/>
      <c r="T1441" s="5">
        <v>0</v>
      </c>
      <c r="U1441" s="4">
        <v>0</v>
      </c>
      <c r="V1441" s="4">
        <v>0</v>
      </c>
      <c r="W1441" s="2">
        <v>0</v>
      </c>
      <c r="X1441" s="4">
        <v>0</v>
      </c>
      <c r="Y1441" s="4">
        <v>0</v>
      </c>
      <c r="Z1441" s="3">
        <v>0</v>
      </c>
      <c r="AA1441" s="3">
        <v>0</v>
      </c>
    </row>
    <row r="1442" spans="1:27" x14ac:dyDescent="0.2">
      <c r="A1442">
        <f t="shared" si="44"/>
        <v>3</v>
      </c>
      <c r="B1442">
        <f t="shared" si="45"/>
        <v>13</v>
      </c>
      <c r="C1442" s="1">
        <v>46107</v>
      </c>
      <c r="D1442" t="s">
        <v>25</v>
      </c>
      <c r="E1442" t="s">
        <v>26</v>
      </c>
      <c r="F1442" t="s">
        <v>39</v>
      </c>
      <c r="G1442" t="s">
        <v>40</v>
      </c>
      <c r="H1442" t="s">
        <v>29</v>
      </c>
      <c r="I1442" t="s">
        <v>30</v>
      </c>
      <c r="J1442" t="s">
        <v>78</v>
      </c>
      <c r="K1442" t="s">
        <v>42</v>
      </c>
      <c r="L1442" t="s">
        <v>79</v>
      </c>
      <c r="M1442" s="4">
        <v>211</v>
      </c>
      <c r="N1442" s="4">
        <v>1</v>
      </c>
      <c r="O1442" s="2">
        <v>4.7393364928909956E-3</v>
      </c>
      <c r="P1442" s="3">
        <v>0.28999999999999998</v>
      </c>
      <c r="Q1442" s="3">
        <v>0.28999999999999998</v>
      </c>
      <c r="R1442" s="3">
        <v>0</v>
      </c>
      <c r="S1442" s="2"/>
      <c r="T1442" s="5">
        <v>0</v>
      </c>
      <c r="U1442" s="4">
        <v>0</v>
      </c>
      <c r="V1442" s="4">
        <v>0</v>
      </c>
      <c r="W1442" s="2">
        <v>0</v>
      </c>
      <c r="X1442" s="4">
        <v>0</v>
      </c>
      <c r="Y1442" s="4">
        <v>0</v>
      </c>
      <c r="Z1442" s="3">
        <v>0</v>
      </c>
      <c r="AA1442" s="3">
        <v>0</v>
      </c>
    </row>
    <row r="1443" spans="1:27" x14ac:dyDescent="0.2">
      <c r="A1443">
        <f t="shared" si="44"/>
        <v>3</v>
      </c>
      <c r="B1443">
        <f t="shared" si="45"/>
        <v>14</v>
      </c>
      <c r="C1443" s="1">
        <v>46110</v>
      </c>
      <c r="D1443" t="s">
        <v>25</v>
      </c>
      <c r="E1443" t="s">
        <v>26</v>
      </c>
      <c r="F1443" t="s">
        <v>39</v>
      </c>
      <c r="G1443" t="s">
        <v>40</v>
      </c>
      <c r="H1443" t="s">
        <v>29</v>
      </c>
      <c r="I1443" t="s">
        <v>30</v>
      </c>
      <c r="J1443" t="s">
        <v>78</v>
      </c>
      <c r="K1443" t="s">
        <v>42</v>
      </c>
      <c r="L1443" t="s">
        <v>79</v>
      </c>
      <c r="M1443" s="4">
        <v>65</v>
      </c>
      <c r="N1443" s="4">
        <v>2</v>
      </c>
      <c r="O1443" s="2">
        <v>3.0769230769230771E-2</v>
      </c>
      <c r="P1443" s="3">
        <v>0.28999999999999998</v>
      </c>
      <c r="Q1443" s="3">
        <v>0.57999999999999996</v>
      </c>
      <c r="R1443" s="3">
        <v>0</v>
      </c>
      <c r="S1443" s="2"/>
      <c r="T1443" s="5">
        <v>0</v>
      </c>
      <c r="U1443" s="4">
        <v>0</v>
      </c>
      <c r="V1443" s="4">
        <v>0</v>
      </c>
      <c r="W1443" s="2">
        <v>0</v>
      </c>
      <c r="X1443" s="4">
        <v>0</v>
      </c>
      <c r="Y1443" s="4">
        <v>0</v>
      </c>
      <c r="Z1443" s="3">
        <v>0</v>
      </c>
      <c r="AA1443" s="3">
        <v>0</v>
      </c>
    </row>
    <row r="1444" spans="1:27" x14ac:dyDescent="0.2">
      <c r="A1444">
        <f t="shared" si="44"/>
        <v>3</v>
      </c>
      <c r="B1444">
        <f t="shared" si="45"/>
        <v>14</v>
      </c>
      <c r="C1444" s="1">
        <v>46111</v>
      </c>
      <c r="D1444" t="s">
        <v>25</v>
      </c>
      <c r="E1444" t="s">
        <v>26</v>
      </c>
      <c r="F1444" t="s">
        <v>39</v>
      </c>
      <c r="G1444" t="s">
        <v>40</v>
      </c>
      <c r="H1444" t="s">
        <v>29</v>
      </c>
      <c r="I1444" t="s">
        <v>30</v>
      </c>
      <c r="J1444" t="s">
        <v>78</v>
      </c>
      <c r="K1444" t="s">
        <v>42</v>
      </c>
      <c r="L1444" t="s">
        <v>79</v>
      </c>
      <c r="M1444" s="4">
        <v>42</v>
      </c>
      <c r="N1444" s="4">
        <v>1</v>
      </c>
      <c r="O1444" s="2">
        <v>2.3809523809523812E-2</v>
      </c>
      <c r="P1444" s="3">
        <v>0.38</v>
      </c>
      <c r="Q1444" s="3">
        <v>0.38</v>
      </c>
      <c r="R1444" s="3">
        <v>0</v>
      </c>
      <c r="S1444" s="2"/>
      <c r="T1444" s="5">
        <v>0</v>
      </c>
      <c r="U1444" s="4">
        <v>0</v>
      </c>
      <c r="V1444" s="4">
        <v>0</v>
      </c>
      <c r="W1444" s="2">
        <v>0</v>
      </c>
      <c r="X1444" s="4">
        <v>0</v>
      </c>
      <c r="Y1444" s="4">
        <v>0</v>
      </c>
      <c r="Z1444" s="3">
        <v>0</v>
      </c>
      <c r="AA1444" s="3">
        <v>0</v>
      </c>
    </row>
    <row r="1445" spans="1:27" x14ac:dyDescent="0.2">
      <c r="A1445">
        <f t="shared" si="44"/>
        <v>3</v>
      </c>
      <c r="B1445">
        <f t="shared" si="45"/>
        <v>14</v>
      </c>
      <c r="C1445" s="1">
        <v>46112</v>
      </c>
      <c r="D1445" t="s">
        <v>25</v>
      </c>
      <c r="E1445" t="s">
        <v>26</v>
      </c>
      <c r="F1445" t="s">
        <v>39</v>
      </c>
      <c r="G1445" t="s">
        <v>40</v>
      </c>
      <c r="H1445" t="s">
        <v>29</v>
      </c>
      <c r="I1445" t="s">
        <v>30</v>
      </c>
      <c r="J1445" t="s">
        <v>78</v>
      </c>
      <c r="K1445" t="s">
        <v>42</v>
      </c>
      <c r="L1445" t="s">
        <v>79</v>
      </c>
      <c r="M1445" s="4">
        <v>220</v>
      </c>
      <c r="N1445" s="4">
        <v>1</v>
      </c>
      <c r="O1445" s="2">
        <v>4.5454545454545452E-3</v>
      </c>
      <c r="P1445" s="3">
        <v>0.38</v>
      </c>
      <c r="Q1445" s="3">
        <v>0.38</v>
      </c>
      <c r="R1445" s="3">
        <v>0</v>
      </c>
      <c r="S1445" s="2"/>
      <c r="T1445" s="5">
        <v>0</v>
      </c>
      <c r="U1445" s="4">
        <v>0</v>
      </c>
      <c r="V1445" s="4">
        <v>0</v>
      </c>
      <c r="W1445" s="2">
        <v>0</v>
      </c>
      <c r="X1445" s="4">
        <v>0</v>
      </c>
      <c r="Y1445" s="4">
        <v>0</v>
      </c>
      <c r="Z1445" s="3">
        <v>0</v>
      </c>
      <c r="AA1445" s="3">
        <v>0</v>
      </c>
    </row>
    <row r="1446" spans="1:27" x14ac:dyDescent="0.2">
      <c r="A1446">
        <f t="shared" si="44"/>
        <v>3</v>
      </c>
      <c r="B1446">
        <f t="shared" si="45"/>
        <v>13</v>
      </c>
      <c r="C1446" s="1">
        <v>46105</v>
      </c>
      <c r="D1446" t="s">
        <v>25</v>
      </c>
      <c r="E1446" t="s">
        <v>26</v>
      </c>
      <c r="F1446" t="s">
        <v>49</v>
      </c>
      <c r="G1446" t="s">
        <v>50</v>
      </c>
      <c r="H1446" t="s">
        <v>29</v>
      </c>
      <c r="I1446" t="s">
        <v>30</v>
      </c>
      <c r="J1446" t="s">
        <v>51</v>
      </c>
      <c r="K1446" t="s">
        <v>42</v>
      </c>
      <c r="L1446" t="s">
        <v>414</v>
      </c>
      <c r="M1446" s="4">
        <v>6</v>
      </c>
      <c r="N1446" s="4">
        <v>1</v>
      </c>
      <c r="O1446" s="2">
        <v>0.16666666666666663</v>
      </c>
      <c r="P1446" s="3">
        <v>0.49</v>
      </c>
      <c r="Q1446" s="3">
        <v>0.49</v>
      </c>
      <c r="R1446" s="3">
        <v>0</v>
      </c>
      <c r="S1446" s="2"/>
      <c r="T1446" s="5">
        <v>0</v>
      </c>
      <c r="U1446" s="4">
        <v>0</v>
      </c>
      <c r="V1446" s="4">
        <v>0</v>
      </c>
      <c r="W1446" s="2">
        <v>0</v>
      </c>
      <c r="X1446" s="4">
        <v>0</v>
      </c>
      <c r="Y1446" s="4">
        <v>0</v>
      </c>
      <c r="Z1446" s="3">
        <v>0</v>
      </c>
      <c r="AA1446" s="3">
        <v>0</v>
      </c>
    </row>
    <row r="1447" spans="1:27" x14ac:dyDescent="0.2">
      <c r="A1447">
        <f t="shared" si="44"/>
        <v>3</v>
      </c>
      <c r="B1447">
        <f t="shared" si="45"/>
        <v>13</v>
      </c>
      <c r="C1447" s="1">
        <v>46103</v>
      </c>
      <c r="D1447" t="s">
        <v>25</v>
      </c>
      <c r="E1447" t="s">
        <v>26</v>
      </c>
      <c r="F1447" t="s">
        <v>49</v>
      </c>
      <c r="G1447" t="s">
        <v>50</v>
      </c>
      <c r="H1447" t="s">
        <v>29</v>
      </c>
      <c r="I1447" t="s">
        <v>30</v>
      </c>
      <c r="J1447" t="s">
        <v>51</v>
      </c>
      <c r="K1447" t="s">
        <v>42</v>
      </c>
      <c r="L1447" t="s">
        <v>328</v>
      </c>
      <c r="M1447" s="4">
        <v>7</v>
      </c>
      <c r="N1447" s="4">
        <v>1</v>
      </c>
      <c r="O1447" s="2">
        <v>0.14285714285714285</v>
      </c>
      <c r="P1447" s="3">
        <v>0.57999999999999996</v>
      </c>
      <c r="Q1447" s="3">
        <v>0.57999999999999996</v>
      </c>
      <c r="R1447" s="3">
        <v>0</v>
      </c>
      <c r="S1447" s="2"/>
      <c r="T1447" s="5">
        <v>0</v>
      </c>
      <c r="U1447" s="4">
        <v>0</v>
      </c>
      <c r="V1447" s="4">
        <v>0</v>
      </c>
      <c r="W1447" s="2">
        <v>0</v>
      </c>
      <c r="X1447" s="4">
        <v>0</v>
      </c>
      <c r="Y1447" s="4">
        <v>0</v>
      </c>
      <c r="Z1447" s="3">
        <v>0</v>
      </c>
      <c r="AA1447" s="3">
        <v>0</v>
      </c>
    </row>
    <row r="1448" spans="1:27" x14ac:dyDescent="0.2">
      <c r="A1448">
        <f t="shared" si="44"/>
        <v>3</v>
      </c>
      <c r="B1448">
        <f t="shared" si="45"/>
        <v>14</v>
      </c>
      <c r="C1448" s="1">
        <v>46110</v>
      </c>
      <c r="D1448" t="s">
        <v>25</v>
      </c>
      <c r="E1448" t="s">
        <v>26</v>
      </c>
      <c r="F1448" t="s">
        <v>49</v>
      </c>
      <c r="G1448" t="s">
        <v>50</v>
      </c>
      <c r="H1448" t="s">
        <v>29</v>
      </c>
      <c r="I1448" t="s">
        <v>30</v>
      </c>
      <c r="J1448" t="s">
        <v>51</v>
      </c>
      <c r="K1448" t="s">
        <v>42</v>
      </c>
      <c r="L1448" t="s">
        <v>328</v>
      </c>
      <c r="M1448" s="4">
        <v>8</v>
      </c>
      <c r="N1448" s="4">
        <v>1</v>
      </c>
      <c r="O1448" s="2">
        <v>0.125</v>
      </c>
      <c r="P1448" s="3">
        <v>0.4</v>
      </c>
      <c r="Q1448" s="3">
        <v>0.4</v>
      </c>
      <c r="R1448" s="3">
        <v>0</v>
      </c>
      <c r="S1448" s="2"/>
      <c r="T1448" s="5">
        <v>0</v>
      </c>
      <c r="U1448" s="4">
        <v>0</v>
      </c>
      <c r="V1448" s="4">
        <v>0</v>
      </c>
      <c r="W1448" s="2">
        <v>0</v>
      </c>
      <c r="X1448" s="4">
        <v>0</v>
      </c>
      <c r="Y1448" s="4">
        <v>0</v>
      </c>
      <c r="Z1448" s="3">
        <v>0</v>
      </c>
      <c r="AA1448" s="3">
        <v>0</v>
      </c>
    </row>
    <row r="1449" spans="1:27" x14ac:dyDescent="0.2">
      <c r="A1449">
        <f t="shared" si="44"/>
        <v>3</v>
      </c>
      <c r="B1449">
        <f t="shared" si="45"/>
        <v>14</v>
      </c>
      <c r="C1449" s="1">
        <v>46110</v>
      </c>
      <c r="D1449" t="s">
        <v>25</v>
      </c>
      <c r="E1449" t="s">
        <v>26</v>
      </c>
      <c r="F1449" t="s">
        <v>61</v>
      </c>
      <c r="G1449" t="s">
        <v>62</v>
      </c>
      <c r="H1449" t="s">
        <v>29</v>
      </c>
      <c r="I1449" t="s">
        <v>30</v>
      </c>
      <c r="J1449" t="s">
        <v>95</v>
      </c>
      <c r="K1449" t="s">
        <v>42</v>
      </c>
      <c r="L1449" t="s">
        <v>879</v>
      </c>
      <c r="M1449" s="4">
        <v>71</v>
      </c>
      <c r="N1449" s="4">
        <v>1</v>
      </c>
      <c r="O1449" s="2">
        <v>1.4084507042253521E-2</v>
      </c>
      <c r="P1449" s="3">
        <v>1.2</v>
      </c>
      <c r="Q1449" s="3">
        <v>1.2</v>
      </c>
      <c r="R1449" s="3">
        <v>0</v>
      </c>
      <c r="S1449" s="2"/>
      <c r="T1449" s="5">
        <v>0</v>
      </c>
      <c r="U1449" s="4">
        <v>0</v>
      </c>
      <c r="V1449" s="4">
        <v>0</v>
      </c>
      <c r="W1449" s="2">
        <v>0</v>
      </c>
      <c r="X1449" s="4">
        <v>0</v>
      </c>
      <c r="Y1449" s="4">
        <v>0</v>
      </c>
      <c r="Z1449" s="3">
        <v>0</v>
      </c>
      <c r="AA1449" s="3">
        <v>0</v>
      </c>
    </row>
    <row r="1450" spans="1:27" x14ac:dyDescent="0.2">
      <c r="A1450">
        <f t="shared" si="44"/>
        <v>3</v>
      </c>
      <c r="B1450">
        <f t="shared" si="45"/>
        <v>13</v>
      </c>
      <c r="C1450" s="1">
        <v>46106</v>
      </c>
      <c r="D1450" t="s">
        <v>25</v>
      </c>
      <c r="E1450" t="s">
        <v>26</v>
      </c>
      <c r="F1450" t="s">
        <v>61</v>
      </c>
      <c r="G1450" t="s">
        <v>62</v>
      </c>
      <c r="H1450" t="s">
        <v>29</v>
      </c>
      <c r="I1450" t="s">
        <v>30</v>
      </c>
      <c r="J1450" t="s">
        <v>95</v>
      </c>
      <c r="K1450" t="s">
        <v>42</v>
      </c>
      <c r="L1450" t="s">
        <v>880</v>
      </c>
      <c r="M1450" s="4">
        <v>7</v>
      </c>
      <c r="N1450" s="4">
        <v>2</v>
      </c>
      <c r="O1450" s="2">
        <v>0.2857142857142857</v>
      </c>
      <c r="P1450" s="3">
        <v>1.1499999999999999</v>
      </c>
      <c r="Q1450" s="3">
        <v>2.2999999999999998</v>
      </c>
      <c r="R1450" s="3">
        <v>0</v>
      </c>
      <c r="S1450" s="2"/>
      <c r="T1450" s="5">
        <v>0</v>
      </c>
      <c r="U1450" s="4">
        <v>0</v>
      </c>
      <c r="V1450" s="4">
        <v>0</v>
      </c>
      <c r="W1450" s="2">
        <v>0</v>
      </c>
      <c r="X1450" s="4">
        <v>0</v>
      </c>
      <c r="Y1450" s="4">
        <v>0</v>
      </c>
      <c r="Z1450" s="3">
        <v>0</v>
      </c>
      <c r="AA1450" s="3">
        <v>0</v>
      </c>
    </row>
    <row r="1451" spans="1:27" x14ac:dyDescent="0.2">
      <c r="A1451">
        <f t="shared" si="44"/>
        <v>3</v>
      </c>
      <c r="B1451">
        <f t="shared" si="45"/>
        <v>13</v>
      </c>
      <c r="C1451" s="1">
        <v>46109</v>
      </c>
      <c r="D1451" t="s">
        <v>25</v>
      </c>
      <c r="E1451" t="s">
        <v>26</v>
      </c>
      <c r="F1451" t="s">
        <v>61</v>
      </c>
      <c r="G1451" t="s">
        <v>62</v>
      </c>
      <c r="H1451" t="s">
        <v>29</v>
      </c>
      <c r="I1451" t="s">
        <v>30</v>
      </c>
      <c r="J1451" t="s">
        <v>95</v>
      </c>
      <c r="K1451" t="s">
        <v>42</v>
      </c>
      <c r="L1451" t="s">
        <v>881</v>
      </c>
      <c r="M1451" s="4">
        <v>2</v>
      </c>
      <c r="N1451" s="4">
        <v>1</v>
      </c>
      <c r="O1451" s="2">
        <v>0.5</v>
      </c>
      <c r="P1451" s="3">
        <v>1.2</v>
      </c>
      <c r="Q1451" s="3">
        <v>1.2</v>
      </c>
      <c r="R1451" s="3">
        <v>0</v>
      </c>
      <c r="S1451" s="2"/>
      <c r="T1451" s="5">
        <v>0</v>
      </c>
      <c r="U1451" s="4">
        <v>0</v>
      </c>
      <c r="V1451" s="4">
        <v>0</v>
      </c>
      <c r="W1451" s="2">
        <v>0</v>
      </c>
      <c r="X1451" s="4">
        <v>0</v>
      </c>
      <c r="Y1451" s="4">
        <v>0</v>
      </c>
      <c r="Z1451" s="3">
        <v>0</v>
      </c>
      <c r="AA1451" s="3">
        <v>0</v>
      </c>
    </row>
    <row r="1452" spans="1:27" x14ac:dyDescent="0.2">
      <c r="A1452">
        <f t="shared" si="44"/>
        <v>3</v>
      </c>
      <c r="B1452">
        <f t="shared" si="45"/>
        <v>13</v>
      </c>
      <c r="C1452" s="1">
        <v>46104</v>
      </c>
      <c r="D1452" t="s">
        <v>25</v>
      </c>
      <c r="E1452" t="s">
        <v>26</v>
      </c>
      <c r="F1452" t="s">
        <v>53</v>
      </c>
      <c r="G1452" t="s">
        <v>54</v>
      </c>
      <c r="H1452" t="s">
        <v>29</v>
      </c>
      <c r="I1452" t="s">
        <v>30</v>
      </c>
      <c r="J1452" t="s">
        <v>47</v>
      </c>
      <c r="K1452" t="s">
        <v>42</v>
      </c>
      <c r="L1452" t="s">
        <v>97</v>
      </c>
      <c r="M1452" s="4">
        <v>11</v>
      </c>
      <c r="N1452" s="4">
        <v>1</v>
      </c>
      <c r="O1452" s="2">
        <v>9.0909090909090925E-2</v>
      </c>
      <c r="P1452" s="3">
        <v>0.5</v>
      </c>
      <c r="Q1452" s="3">
        <v>0.5</v>
      </c>
      <c r="R1452" s="3">
        <v>0</v>
      </c>
      <c r="S1452" s="2"/>
      <c r="T1452" s="5">
        <v>0</v>
      </c>
      <c r="U1452" s="4">
        <v>0</v>
      </c>
      <c r="V1452" s="4">
        <v>0</v>
      </c>
      <c r="W1452" s="2">
        <v>0</v>
      </c>
      <c r="X1452" s="4">
        <v>0</v>
      </c>
      <c r="Y1452" s="4">
        <v>0</v>
      </c>
      <c r="Z1452" s="3">
        <v>0</v>
      </c>
      <c r="AA1452" s="3">
        <v>0</v>
      </c>
    </row>
    <row r="1453" spans="1:27" x14ac:dyDescent="0.2">
      <c r="A1453">
        <f t="shared" si="44"/>
        <v>3</v>
      </c>
      <c r="B1453">
        <f t="shared" si="45"/>
        <v>13</v>
      </c>
      <c r="C1453" s="1">
        <v>46109</v>
      </c>
      <c r="D1453" t="s">
        <v>25</v>
      </c>
      <c r="E1453" t="s">
        <v>26</v>
      </c>
      <c r="F1453" t="s">
        <v>27</v>
      </c>
      <c r="G1453" t="s">
        <v>28</v>
      </c>
      <c r="H1453" t="s">
        <v>29</v>
      </c>
      <c r="I1453" t="s">
        <v>30</v>
      </c>
      <c r="J1453" t="s">
        <v>101</v>
      </c>
      <c r="K1453" t="s">
        <v>32</v>
      </c>
      <c r="L1453" t="s">
        <v>102</v>
      </c>
      <c r="M1453" s="4">
        <v>3</v>
      </c>
      <c r="N1453" s="4">
        <v>1</v>
      </c>
      <c r="O1453" s="2">
        <v>0.33333333333333331</v>
      </c>
      <c r="P1453" s="3">
        <v>0.21</v>
      </c>
      <c r="Q1453" s="3">
        <v>0.21</v>
      </c>
      <c r="R1453" s="3">
        <v>0</v>
      </c>
      <c r="S1453" s="2"/>
      <c r="T1453" s="5">
        <v>0</v>
      </c>
      <c r="U1453" s="4">
        <v>0</v>
      </c>
      <c r="V1453" s="4">
        <v>0</v>
      </c>
      <c r="W1453" s="2">
        <v>0</v>
      </c>
      <c r="X1453" s="4">
        <v>0</v>
      </c>
      <c r="Y1453" s="4">
        <v>0</v>
      </c>
      <c r="Z1453" s="3">
        <v>0</v>
      </c>
      <c r="AA1453" s="3">
        <v>0</v>
      </c>
    </row>
    <row r="1454" spans="1:27" x14ac:dyDescent="0.2">
      <c r="A1454">
        <f t="shared" si="44"/>
        <v>3</v>
      </c>
      <c r="B1454">
        <f t="shared" si="45"/>
        <v>13</v>
      </c>
      <c r="C1454" s="1">
        <v>46107</v>
      </c>
      <c r="D1454" t="s">
        <v>25</v>
      </c>
      <c r="E1454" t="s">
        <v>26</v>
      </c>
      <c r="F1454" t="s">
        <v>49</v>
      </c>
      <c r="G1454" t="s">
        <v>50</v>
      </c>
      <c r="H1454" t="s">
        <v>29</v>
      </c>
      <c r="I1454" t="s">
        <v>30</v>
      </c>
      <c r="J1454" t="s">
        <v>95</v>
      </c>
      <c r="K1454" t="s">
        <v>42</v>
      </c>
      <c r="L1454" t="s">
        <v>882</v>
      </c>
      <c r="M1454" s="4">
        <v>1</v>
      </c>
      <c r="N1454" s="4">
        <v>1</v>
      </c>
      <c r="O1454" s="2">
        <v>1</v>
      </c>
      <c r="P1454" s="3">
        <v>0.43</v>
      </c>
      <c r="Q1454" s="3">
        <v>0.43</v>
      </c>
      <c r="R1454" s="3">
        <v>0</v>
      </c>
      <c r="S1454" s="2"/>
      <c r="T1454" s="5">
        <v>0</v>
      </c>
      <c r="U1454" s="4">
        <v>0</v>
      </c>
      <c r="V1454" s="4">
        <v>0</v>
      </c>
      <c r="W1454" s="2">
        <v>0</v>
      </c>
      <c r="X1454" s="4">
        <v>0</v>
      </c>
      <c r="Y1454" s="4">
        <v>0</v>
      </c>
      <c r="Z1454" s="3">
        <v>0</v>
      </c>
      <c r="AA1454" s="3">
        <v>0</v>
      </c>
    </row>
    <row r="1455" spans="1:27" x14ac:dyDescent="0.2">
      <c r="A1455">
        <f t="shared" si="44"/>
        <v>3</v>
      </c>
      <c r="B1455">
        <f t="shared" si="45"/>
        <v>14</v>
      </c>
      <c r="C1455" s="1">
        <v>46110</v>
      </c>
      <c r="D1455" t="s">
        <v>25</v>
      </c>
      <c r="E1455" t="s">
        <v>26</v>
      </c>
      <c r="F1455" t="s">
        <v>27</v>
      </c>
      <c r="G1455" t="s">
        <v>28</v>
      </c>
      <c r="H1455" t="s">
        <v>29</v>
      </c>
      <c r="I1455" t="s">
        <v>30</v>
      </c>
      <c r="J1455" t="s">
        <v>101</v>
      </c>
      <c r="K1455" t="s">
        <v>32</v>
      </c>
      <c r="L1455" t="s">
        <v>883</v>
      </c>
      <c r="M1455" s="4">
        <v>3</v>
      </c>
      <c r="N1455" s="4">
        <v>1</v>
      </c>
      <c r="O1455" s="2">
        <v>0.33333333333333331</v>
      </c>
      <c r="P1455" s="3">
        <v>0.21</v>
      </c>
      <c r="Q1455" s="3">
        <v>0.21</v>
      </c>
      <c r="R1455" s="3">
        <v>0</v>
      </c>
      <c r="S1455" s="2"/>
      <c r="T1455" s="5">
        <v>0</v>
      </c>
      <c r="U1455" s="4">
        <v>0</v>
      </c>
      <c r="V1455" s="4">
        <v>0</v>
      </c>
      <c r="W1455" s="2">
        <v>0</v>
      </c>
      <c r="X1455" s="4">
        <v>0</v>
      </c>
      <c r="Y1455" s="4">
        <v>0</v>
      </c>
      <c r="Z1455" s="3">
        <v>0</v>
      </c>
      <c r="AA1455" s="3">
        <v>0</v>
      </c>
    </row>
    <row r="1456" spans="1:27" x14ac:dyDescent="0.2">
      <c r="A1456">
        <f t="shared" si="44"/>
        <v>3</v>
      </c>
      <c r="B1456">
        <f t="shared" si="45"/>
        <v>14</v>
      </c>
      <c r="C1456" s="1">
        <v>46111</v>
      </c>
      <c r="D1456" t="s">
        <v>25</v>
      </c>
      <c r="E1456" t="s">
        <v>26</v>
      </c>
      <c r="F1456" t="s">
        <v>61</v>
      </c>
      <c r="G1456" t="s">
        <v>62</v>
      </c>
      <c r="H1456" t="s">
        <v>29</v>
      </c>
      <c r="I1456" t="s">
        <v>30</v>
      </c>
      <c r="J1456" t="s">
        <v>95</v>
      </c>
      <c r="K1456" t="s">
        <v>42</v>
      </c>
      <c r="L1456" t="s">
        <v>884</v>
      </c>
      <c r="M1456" s="4">
        <v>3</v>
      </c>
      <c r="N1456" s="4">
        <v>1</v>
      </c>
      <c r="O1456" s="2">
        <v>0.33333333333333331</v>
      </c>
      <c r="P1456" s="3">
        <v>1.1399999999999999</v>
      </c>
      <c r="Q1456" s="3">
        <v>1.1399999999999999</v>
      </c>
      <c r="R1456" s="3">
        <v>0</v>
      </c>
      <c r="S1456" s="2"/>
      <c r="T1456" s="5">
        <v>0</v>
      </c>
      <c r="U1456" s="4">
        <v>0</v>
      </c>
      <c r="V1456" s="4">
        <v>0</v>
      </c>
      <c r="W1456" s="2">
        <v>0</v>
      </c>
      <c r="X1456" s="4">
        <v>0</v>
      </c>
      <c r="Y1456" s="4">
        <v>0</v>
      </c>
      <c r="Z1456" s="3">
        <v>0</v>
      </c>
      <c r="AA1456" s="3">
        <v>0</v>
      </c>
    </row>
    <row r="1457" spans="1:27" x14ac:dyDescent="0.2">
      <c r="A1457">
        <f t="shared" si="44"/>
        <v>3</v>
      </c>
      <c r="B1457">
        <f t="shared" si="45"/>
        <v>13</v>
      </c>
      <c r="C1457" s="1">
        <v>46105</v>
      </c>
      <c r="D1457" t="s">
        <v>25</v>
      </c>
      <c r="E1457" t="s">
        <v>26</v>
      </c>
      <c r="F1457" t="s">
        <v>53</v>
      </c>
      <c r="G1457" t="s">
        <v>54</v>
      </c>
      <c r="H1457" t="s">
        <v>29</v>
      </c>
      <c r="I1457" t="s">
        <v>30</v>
      </c>
      <c r="J1457" t="s">
        <v>47</v>
      </c>
      <c r="K1457" t="s">
        <v>42</v>
      </c>
      <c r="L1457" t="s">
        <v>105</v>
      </c>
      <c r="M1457" s="4">
        <v>9</v>
      </c>
      <c r="N1457" s="4">
        <v>1</v>
      </c>
      <c r="O1457" s="2">
        <v>0.1111111111111111</v>
      </c>
      <c r="P1457" s="3">
        <v>0.65</v>
      </c>
      <c r="Q1457" s="3">
        <v>0.65</v>
      </c>
      <c r="R1457" s="3">
        <v>0</v>
      </c>
      <c r="S1457" s="2"/>
      <c r="T1457" s="5">
        <v>0</v>
      </c>
      <c r="U1457" s="4">
        <v>0</v>
      </c>
      <c r="V1457" s="4">
        <v>0</v>
      </c>
      <c r="W1457" s="2">
        <v>0</v>
      </c>
      <c r="X1457" s="4">
        <v>0</v>
      </c>
      <c r="Y1457" s="4">
        <v>0</v>
      </c>
      <c r="Z1457" s="3">
        <v>0</v>
      </c>
      <c r="AA1457" s="3">
        <v>0</v>
      </c>
    </row>
    <row r="1458" spans="1:27" x14ac:dyDescent="0.2">
      <c r="A1458">
        <f t="shared" si="44"/>
        <v>3</v>
      </c>
      <c r="B1458">
        <f t="shared" si="45"/>
        <v>13</v>
      </c>
      <c r="C1458" s="1">
        <v>46103</v>
      </c>
      <c r="D1458" t="s">
        <v>25</v>
      </c>
      <c r="E1458" t="s">
        <v>26</v>
      </c>
      <c r="F1458" t="s">
        <v>112</v>
      </c>
      <c r="G1458" t="s">
        <v>113</v>
      </c>
      <c r="H1458" t="s">
        <v>29</v>
      </c>
      <c r="I1458" t="s">
        <v>30</v>
      </c>
      <c r="J1458" t="s">
        <v>885</v>
      </c>
      <c r="K1458" t="s">
        <v>32</v>
      </c>
      <c r="L1458" t="s">
        <v>105</v>
      </c>
      <c r="M1458" s="4">
        <v>1</v>
      </c>
      <c r="N1458" s="4">
        <v>1</v>
      </c>
      <c r="O1458" s="2">
        <v>1</v>
      </c>
      <c r="P1458" s="3">
        <v>0.39</v>
      </c>
      <c r="Q1458" s="3">
        <v>0.39</v>
      </c>
      <c r="R1458" s="3">
        <v>0</v>
      </c>
      <c r="S1458" s="2"/>
      <c r="T1458" s="5">
        <v>0</v>
      </c>
      <c r="U1458" s="4">
        <v>0</v>
      </c>
      <c r="V1458" s="4">
        <v>0</v>
      </c>
      <c r="W1458" s="2">
        <v>0</v>
      </c>
      <c r="X1458" s="4">
        <v>0</v>
      </c>
      <c r="Y1458" s="4">
        <v>0</v>
      </c>
      <c r="Z1458" s="3">
        <v>0</v>
      </c>
      <c r="AA1458" s="3">
        <v>0</v>
      </c>
    </row>
    <row r="1459" spans="1:27" x14ac:dyDescent="0.2">
      <c r="A1459">
        <f t="shared" si="44"/>
        <v>3</v>
      </c>
      <c r="B1459">
        <f t="shared" si="45"/>
        <v>14</v>
      </c>
      <c r="C1459" s="1">
        <v>46112</v>
      </c>
      <c r="D1459" t="s">
        <v>25</v>
      </c>
      <c r="E1459" t="s">
        <v>26</v>
      </c>
      <c r="F1459" t="s">
        <v>53</v>
      </c>
      <c r="G1459" t="s">
        <v>54</v>
      </c>
      <c r="H1459" t="s">
        <v>29</v>
      </c>
      <c r="I1459" t="s">
        <v>30</v>
      </c>
      <c r="J1459" t="s">
        <v>47</v>
      </c>
      <c r="K1459" t="s">
        <v>42</v>
      </c>
      <c r="L1459" t="s">
        <v>108</v>
      </c>
      <c r="M1459" s="4">
        <v>7</v>
      </c>
      <c r="N1459" s="4">
        <v>1</v>
      </c>
      <c r="O1459" s="2">
        <v>0.14285714285714285</v>
      </c>
      <c r="P1459" s="3">
        <v>0.5</v>
      </c>
      <c r="Q1459" s="3">
        <v>0.5</v>
      </c>
      <c r="R1459" s="3">
        <v>0</v>
      </c>
      <c r="S1459" s="2"/>
      <c r="T1459" s="5">
        <v>0</v>
      </c>
      <c r="U1459" s="4">
        <v>0</v>
      </c>
      <c r="V1459" s="4">
        <v>0</v>
      </c>
      <c r="W1459" s="2">
        <v>0</v>
      </c>
      <c r="X1459" s="4">
        <v>0</v>
      </c>
      <c r="Y1459" s="4">
        <v>0</v>
      </c>
      <c r="Z1459" s="3">
        <v>0</v>
      </c>
      <c r="AA1459" s="3">
        <v>0</v>
      </c>
    </row>
    <row r="1460" spans="1:27" x14ac:dyDescent="0.2">
      <c r="A1460">
        <f t="shared" si="44"/>
        <v>3</v>
      </c>
      <c r="B1460">
        <f t="shared" si="45"/>
        <v>13</v>
      </c>
      <c r="C1460" s="1">
        <v>46103</v>
      </c>
      <c r="D1460" t="s">
        <v>25</v>
      </c>
      <c r="E1460" t="s">
        <v>26</v>
      </c>
      <c r="F1460" t="s">
        <v>112</v>
      </c>
      <c r="G1460" t="s">
        <v>113</v>
      </c>
      <c r="H1460" t="s">
        <v>29</v>
      </c>
      <c r="I1460" t="s">
        <v>30</v>
      </c>
      <c r="J1460" t="s">
        <v>429</v>
      </c>
      <c r="K1460" t="s">
        <v>42</v>
      </c>
      <c r="L1460" t="s">
        <v>108</v>
      </c>
      <c r="M1460" s="4">
        <v>2</v>
      </c>
      <c r="N1460" s="4">
        <v>1</v>
      </c>
      <c r="O1460" s="2">
        <v>0.5</v>
      </c>
      <c r="P1460" s="3">
        <v>0.51</v>
      </c>
      <c r="Q1460" s="3">
        <v>0.51</v>
      </c>
      <c r="R1460" s="3">
        <v>0</v>
      </c>
      <c r="S1460" s="2"/>
      <c r="T1460" s="5">
        <v>0</v>
      </c>
      <c r="U1460" s="4">
        <v>0</v>
      </c>
      <c r="V1460" s="4">
        <v>0</v>
      </c>
      <c r="W1460" s="2">
        <v>0</v>
      </c>
      <c r="X1460" s="4">
        <v>0</v>
      </c>
      <c r="Y1460" s="4">
        <v>0</v>
      </c>
      <c r="Z1460" s="3">
        <v>0</v>
      </c>
      <c r="AA1460" s="3">
        <v>0</v>
      </c>
    </row>
    <row r="1461" spans="1:27" x14ac:dyDescent="0.2">
      <c r="A1461">
        <f t="shared" si="44"/>
        <v>3</v>
      </c>
      <c r="B1461">
        <f t="shared" si="45"/>
        <v>13</v>
      </c>
      <c r="C1461" s="1">
        <v>46103</v>
      </c>
      <c r="D1461" t="s">
        <v>25</v>
      </c>
      <c r="E1461" t="s">
        <v>26</v>
      </c>
      <c r="F1461" t="s">
        <v>53</v>
      </c>
      <c r="G1461" t="s">
        <v>54</v>
      </c>
      <c r="H1461" t="s">
        <v>29</v>
      </c>
      <c r="I1461" t="s">
        <v>30</v>
      </c>
      <c r="J1461" t="s">
        <v>47</v>
      </c>
      <c r="K1461" t="s">
        <v>42</v>
      </c>
      <c r="L1461" t="s">
        <v>612</v>
      </c>
      <c r="M1461" s="4">
        <v>1</v>
      </c>
      <c r="N1461" s="4">
        <v>1</v>
      </c>
      <c r="O1461" s="2">
        <v>1</v>
      </c>
      <c r="P1461" s="3">
        <v>0.9</v>
      </c>
      <c r="Q1461" s="3">
        <v>0.9</v>
      </c>
      <c r="R1461" s="3">
        <v>0</v>
      </c>
      <c r="S1461" s="2"/>
      <c r="T1461" s="5">
        <v>0</v>
      </c>
      <c r="U1461" s="4">
        <v>0</v>
      </c>
      <c r="V1461" s="4">
        <v>0</v>
      </c>
      <c r="W1461" s="2">
        <v>0</v>
      </c>
      <c r="X1461" s="4">
        <v>0</v>
      </c>
      <c r="Y1461" s="4">
        <v>0</v>
      </c>
      <c r="Z1461" s="3">
        <v>0</v>
      </c>
      <c r="AA1461" s="3">
        <v>0</v>
      </c>
    </row>
    <row r="1462" spans="1:27" x14ac:dyDescent="0.2">
      <c r="A1462">
        <f t="shared" si="44"/>
        <v>3</v>
      </c>
      <c r="B1462">
        <f t="shared" si="45"/>
        <v>13</v>
      </c>
      <c r="C1462" s="1">
        <v>46103</v>
      </c>
      <c r="D1462" t="s">
        <v>25</v>
      </c>
      <c r="E1462" t="s">
        <v>26</v>
      </c>
      <c r="F1462" t="s">
        <v>53</v>
      </c>
      <c r="G1462" t="s">
        <v>54</v>
      </c>
      <c r="H1462" t="s">
        <v>29</v>
      </c>
      <c r="I1462" t="s">
        <v>30</v>
      </c>
      <c r="J1462" t="s">
        <v>47</v>
      </c>
      <c r="K1462" t="s">
        <v>42</v>
      </c>
      <c r="L1462" t="s">
        <v>111</v>
      </c>
      <c r="M1462" s="4">
        <v>3</v>
      </c>
      <c r="N1462" s="4">
        <v>1</v>
      </c>
      <c r="O1462" s="2">
        <v>0.33333333333333331</v>
      </c>
      <c r="P1462" s="3">
        <v>0.65</v>
      </c>
      <c r="Q1462" s="3">
        <v>0.65</v>
      </c>
      <c r="R1462" s="3">
        <v>0</v>
      </c>
      <c r="S1462" s="2"/>
      <c r="T1462" s="5">
        <v>0</v>
      </c>
      <c r="U1462" s="4">
        <v>0</v>
      </c>
      <c r="V1462" s="4">
        <v>0</v>
      </c>
      <c r="W1462" s="2">
        <v>0</v>
      </c>
      <c r="X1462" s="4">
        <v>0</v>
      </c>
      <c r="Y1462" s="4">
        <v>0</v>
      </c>
      <c r="Z1462" s="3">
        <v>0</v>
      </c>
      <c r="AA1462" s="3">
        <v>0</v>
      </c>
    </row>
    <row r="1463" spans="1:27" x14ac:dyDescent="0.2">
      <c r="A1463">
        <f t="shared" si="44"/>
        <v>3</v>
      </c>
      <c r="B1463">
        <f t="shared" si="45"/>
        <v>14</v>
      </c>
      <c r="C1463" s="1">
        <v>46110</v>
      </c>
      <c r="D1463" t="s">
        <v>25</v>
      </c>
      <c r="E1463" t="s">
        <v>26</v>
      </c>
      <c r="F1463" t="s">
        <v>53</v>
      </c>
      <c r="G1463" t="s">
        <v>54</v>
      </c>
      <c r="H1463" t="s">
        <v>29</v>
      </c>
      <c r="I1463" t="s">
        <v>30</v>
      </c>
      <c r="J1463" t="s">
        <v>47</v>
      </c>
      <c r="K1463" t="s">
        <v>42</v>
      </c>
      <c r="L1463" t="s">
        <v>886</v>
      </c>
      <c r="M1463" s="4">
        <v>1</v>
      </c>
      <c r="N1463" s="4">
        <v>1</v>
      </c>
      <c r="O1463" s="2">
        <v>1</v>
      </c>
      <c r="P1463" s="3">
        <v>0.65</v>
      </c>
      <c r="Q1463" s="3">
        <v>0.65</v>
      </c>
      <c r="R1463" s="3">
        <v>0</v>
      </c>
      <c r="S1463" s="2"/>
      <c r="T1463" s="5">
        <v>0</v>
      </c>
      <c r="U1463" s="4">
        <v>0</v>
      </c>
      <c r="V1463" s="4">
        <v>0</v>
      </c>
      <c r="W1463" s="2">
        <v>0</v>
      </c>
      <c r="X1463" s="4">
        <v>0</v>
      </c>
      <c r="Y1463" s="4">
        <v>0</v>
      </c>
      <c r="Z1463" s="3">
        <v>0</v>
      </c>
      <c r="AA1463" s="3">
        <v>0</v>
      </c>
    </row>
    <row r="1464" spans="1:27" x14ac:dyDescent="0.2">
      <c r="A1464">
        <f t="shared" si="44"/>
        <v>3</v>
      </c>
      <c r="B1464">
        <f t="shared" si="45"/>
        <v>13</v>
      </c>
      <c r="C1464" s="1">
        <v>46108</v>
      </c>
      <c r="D1464" t="s">
        <v>25</v>
      </c>
      <c r="E1464" t="s">
        <v>26</v>
      </c>
      <c r="F1464" t="s">
        <v>27</v>
      </c>
      <c r="G1464" t="s">
        <v>124</v>
      </c>
      <c r="H1464" t="s">
        <v>29</v>
      </c>
      <c r="I1464" t="s">
        <v>30</v>
      </c>
      <c r="J1464" t="s">
        <v>31</v>
      </c>
      <c r="K1464" t="s">
        <v>87</v>
      </c>
      <c r="L1464" t="s">
        <v>887</v>
      </c>
      <c r="M1464" s="4">
        <v>2</v>
      </c>
      <c r="N1464" s="4">
        <v>2</v>
      </c>
      <c r="O1464" s="2">
        <v>1</v>
      </c>
      <c r="P1464" s="3">
        <v>0.21</v>
      </c>
      <c r="Q1464" s="3">
        <v>0.42</v>
      </c>
      <c r="R1464" s="3">
        <v>18.989999999999998</v>
      </c>
      <c r="S1464" s="2">
        <v>2.2116903633491308E-2</v>
      </c>
      <c r="T1464" s="5">
        <v>45.214285714285715</v>
      </c>
      <c r="U1464" s="4">
        <v>1</v>
      </c>
      <c r="V1464" s="4">
        <v>1</v>
      </c>
      <c r="W1464" s="2">
        <v>0.5</v>
      </c>
      <c r="X1464" s="4">
        <v>0</v>
      </c>
      <c r="Y1464" s="4">
        <v>1</v>
      </c>
      <c r="Z1464" s="3">
        <v>0</v>
      </c>
      <c r="AA1464" s="3">
        <v>18.989999999999998</v>
      </c>
    </row>
    <row r="1465" spans="1:27" x14ac:dyDescent="0.2">
      <c r="A1465">
        <f t="shared" si="44"/>
        <v>3</v>
      </c>
      <c r="B1465">
        <f t="shared" si="45"/>
        <v>14</v>
      </c>
      <c r="C1465" s="1">
        <v>46110</v>
      </c>
      <c r="D1465" t="s">
        <v>25</v>
      </c>
      <c r="E1465" t="s">
        <v>26</v>
      </c>
      <c r="F1465" t="s">
        <v>53</v>
      </c>
      <c r="G1465" t="s">
        <v>54</v>
      </c>
      <c r="H1465" t="s">
        <v>29</v>
      </c>
      <c r="I1465" t="s">
        <v>30</v>
      </c>
      <c r="J1465" t="s">
        <v>95</v>
      </c>
      <c r="K1465" t="s">
        <v>42</v>
      </c>
      <c r="L1465" t="s">
        <v>888</v>
      </c>
      <c r="M1465" s="4">
        <v>1</v>
      </c>
      <c r="N1465" s="4">
        <v>1</v>
      </c>
      <c r="O1465" s="2">
        <v>1</v>
      </c>
      <c r="P1465" s="3">
        <v>0.35</v>
      </c>
      <c r="Q1465" s="3">
        <v>0.35</v>
      </c>
      <c r="R1465" s="3">
        <v>0</v>
      </c>
      <c r="S1465" s="2"/>
      <c r="T1465" s="5">
        <v>0</v>
      </c>
      <c r="U1465" s="4">
        <v>0</v>
      </c>
      <c r="V1465" s="4">
        <v>0</v>
      </c>
      <c r="W1465" s="2">
        <v>0</v>
      </c>
      <c r="X1465" s="4">
        <v>0</v>
      </c>
      <c r="Y1465" s="4">
        <v>0</v>
      </c>
      <c r="Z1465" s="3">
        <v>0</v>
      </c>
      <c r="AA1465" s="3">
        <v>0</v>
      </c>
    </row>
    <row r="1466" spans="1:27" x14ac:dyDescent="0.2">
      <c r="A1466">
        <f t="shared" si="44"/>
        <v>3</v>
      </c>
      <c r="B1466">
        <f t="shared" si="45"/>
        <v>13</v>
      </c>
      <c r="C1466" s="1">
        <v>46104</v>
      </c>
      <c r="D1466" t="s">
        <v>25</v>
      </c>
      <c r="E1466" t="s">
        <v>26</v>
      </c>
      <c r="F1466" t="s">
        <v>27</v>
      </c>
      <c r="G1466" t="s">
        <v>124</v>
      </c>
      <c r="H1466" t="s">
        <v>29</v>
      </c>
      <c r="I1466" t="s">
        <v>30</v>
      </c>
      <c r="J1466" t="s">
        <v>101</v>
      </c>
      <c r="K1466" t="s">
        <v>87</v>
      </c>
      <c r="L1466" t="s">
        <v>889</v>
      </c>
      <c r="M1466" s="4">
        <v>4</v>
      </c>
      <c r="N1466" s="4">
        <v>1</v>
      </c>
      <c r="O1466" s="2">
        <v>0.25</v>
      </c>
      <c r="P1466" s="3">
        <v>0.08</v>
      </c>
      <c r="Q1466" s="3">
        <v>0.08</v>
      </c>
      <c r="R1466" s="3">
        <v>0</v>
      </c>
      <c r="S1466" s="2"/>
      <c r="T1466" s="5">
        <v>0</v>
      </c>
      <c r="U1466" s="4">
        <v>0</v>
      </c>
      <c r="V1466" s="4">
        <v>0</v>
      </c>
      <c r="W1466" s="2">
        <v>0</v>
      </c>
      <c r="X1466" s="4">
        <v>0</v>
      </c>
      <c r="Y1466" s="4">
        <v>0</v>
      </c>
      <c r="Z1466" s="3">
        <v>0</v>
      </c>
      <c r="AA1466" s="3">
        <v>0</v>
      </c>
    </row>
    <row r="1467" spans="1:27" x14ac:dyDescent="0.2">
      <c r="A1467">
        <f t="shared" si="44"/>
        <v>3</v>
      </c>
      <c r="B1467">
        <f t="shared" si="45"/>
        <v>13</v>
      </c>
      <c r="C1467" s="1">
        <v>46104</v>
      </c>
      <c r="D1467" t="s">
        <v>25</v>
      </c>
      <c r="E1467" t="s">
        <v>26</v>
      </c>
      <c r="F1467" t="s">
        <v>49</v>
      </c>
      <c r="G1467" t="s">
        <v>50</v>
      </c>
      <c r="H1467" t="s">
        <v>29</v>
      </c>
      <c r="I1467" t="s">
        <v>30</v>
      </c>
      <c r="J1467" t="s">
        <v>95</v>
      </c>
      <c r="K1467" t="s">
        <v>42</v>
      </c>
      <c r="L1467" t="s">
        <v>890</v>
      </c>
      <c r="M1467" s="4">
        <v>1</v>
      </c>
      <c r="N1467" s="4">
        <v>1</v>
      </c>
      <c r="O1467" s="2">
        <v>1</v>
      </c>
      <c r="P1467" s="3">
        <v>0.65</v>
      </c>
      <c r="Q1467" s="3">
        <v>0.65</v>
      </c>
      <c r="R1467" s="3">
        <v>0</v>
      </c>
      <c r="S1467" s="2"/>
      <c r="T1467" s="5">
        <v>0</v>
      </c>
      <c r="U1467" s="4">
        <v>0</v>
      </c>
      <c r="V1467" s="4">
        <v>0</v>
      </c>
      <c r="W1467" s="2">
        <v>0</v>
      </c>
      <c r="X1467" s="4">
        <v>0</v>
      </c>
      <c r="Y1467" s="4">
        <v>0</v>
      </c>
      <c r="Z1467" s="3">
        <v>0</v>
      </c>
      <c r="AA1467" s="3">
        <v>0</v>
      </c>
    </row>
    <row r="1468" spans="1:27" x14ac:dyDescent="0.2">
      <c r="A1468">
        <f t="shared" si="44"/>
        <v>3</v>
      </c>
      <c r="B1468">
        <f t="shared" si="45"/>
        <v>14</v>
      </c>
      <c r="C1468" s="1">
        <v>46112</v>
      </c>
      <c r="D1468" t="s">
        <v>25</v>
      </c>
      <c r="E1468" t="s">
        <v>26</v>
      </c>
      <c r="F1468" t="s">
        <v>61</v>
      </c>
      <c r="G1468" t="s">
        <v>62</v>
      </c>
      <c r="H1468" t="s">
        <v>29</v>
      </c>
      <c r="I1468" t="s">
        <v>30</v>
      </c>
      <c r="J1468" t="s">
        <v>95</v>
      </c>
      <c r="K1468" t="s">
        <v>42</v>
      </c>
      <c r="L1468" t="s">
        <v>891</v>
      </c>
      <c r="M1468" s="4">
        <v>1</v>
      </c>
      <c r="N1468" s="4">
        <v>1</v>
      </c>
      <c r="O1468" s="2">
        <v>1</v>
      </c>
      <c r="P1468" s="3">
        <v>1.67</v>
      </c>
      <c r="Q1468" s="3">
        <v>1.67</v>
      </c>
      <c r="R1468" s="3">
        <v>0</v>
      </c>
      <c r="S1468" s="2"/>
      <c r="T1468" s="5">
        <v>0</v>
      </c>
      <c r="U1468" s="4">
        <v>0</v>
      </c>
      <c r="V1468" s="4">
        <v>0</v>
      </c>
      <c r="W1468" s="2">
        <v>0</v>
      </c>
      <c r="X1468" s="4">
        <v>0</v>
      </c>
      <c r="Y1468" s="4">
        <v>0</v>
      </c>
      <c r="Z1468" s="3">
        <v>0</v>
      </c>
      <c r="AA1468" s="3">
        <v>0</v>
      </c>
    </row>
    <row r="1469" spans="1:27" x14ac:dyDescent="0.2">
      <c r="A1469">
        <f t="shared" si="44"/>
        <v>3</v>
      </c>
      <c r="B1469">
        <f t="shared" si="45"/>
        <v>14</v>
      </c>
      <c r="C1469" s="1">
        <v>46112</v>
      </c>
      <c r="D1469" t="s">
        <v>25</v>
      </c>
      <c r="E1469" t="s">
        <v>26</v>
      </c>
      <c r="F1469" t="s">
        <v>27</v>
      </c>
      <c r="G1469" t="s">
        <v>124</v>
      </c>
      <c r="H1469" t="s">
        <v>29</v>
      </c>
      <c r="I1469" t="s">
        <v>30</v>
      </c>
      <c r="J1469" t="s">
        <v>31</v>
      </c>
      <c r="K1469" t="s">
        <v>87</v>
      </c>
      <c r="L1469" t="s">
        <v>892</v>
      </c>
      <c r="M1469" s="4">
        <v>1</v>
      </c>
      <c r="N1469" s="4">
        <v>1</v>
      </c>
      <c r="O1469" s="2">
        <v>1</v>
      </c>
      <c r="P1469" s="3">
        <v>0.4</v>
      </c>
      <c r="Q1469" s="3">
        <v>0.4</v>
      </c>
      <c r="R1469" s="3">
        <v>0</v>
      </c>
      <c r="S1469" s="2"/>
      <c r="T1469" s="5">
        <v>0</v>
      </c>
      <c r="U1469" s="4">
        <v>0</v>
      </c>
      <c r="V1469" s="4">
        <v>0</v>
      </c>
      <c r="W1469" s="2">
        <v>0</v>
      </c>
      <c r="X1469" s="4">
        <v>0</v>
      </c>
      <c r="Y1469" s="4">
        <v>0</v>
      </c>
      <c r="Z1469" s="3">
        <v>0</v>
      </c>
      <c r="AA1469" s="3">
        <v>0</v>
      </c>
    </row>
    <row r="1470" spans="1:27" x14ac:dyDescent="0.2">
      <c r="A1470">
        <f t="shared" si="44"/>
        <v>3</v>
      </c>
      <c r="B1470">
        <f t="shared" si="45"/>
        <v>13</v>
      </c>
      <c r="C1470" s="1">
        <v>46108</v>
      </c>
      <c r="D1470" t="s">
        <v>25</v>
      </c>
      <c r="E1470" t="s">
        <v>26</v>
      </c>
      <c r="F1470" t="s">
        <v>39</v>
      </c>
      <c r="G1470" t="s">
        <v>40</v>
      </c>
      <c r="H1470" t="s">
        <v>29</v>
      </c>
      <c r="I1470" t="s">
        <v>30</v>
      </c>
      <c r="J1470" t="s">
        <v>70</v>
      </c>
      <c r="K1470" t="s">
        <v>42</v>
      </c>
      <c r="L1470" t="s">
        <v>893</v>
      </c>
      <c r="M1470" s="4">
        <v>1</v>
      </c>
      <c r="N1470" s="4">
        <v>1</v>
      </c>
      <c r="O1470" s="2">
        <v>1</v>
      </c>
      <c r="P1470" s="3">
        <v>0.56000000000000005</v>
      </c>
      <c r="Q1470" s="3">
        <v>0.56000000000000005</v>
      </c>
      <c r="R1470" s="3">
        <v>0</v>
      </c>
      <c r="S1470" s="2"/>
      <c r="T1470" s="5">
        <v>0</v>
      </c>
      <c r="U1470" s="4">
        <v>0</v>
      </c>
      <c r="V1470" s="4">
        <v>0</v>
      </c>
      <c r="W1470" s="2">
        <v>0</v>
      </c>
      <c r="X1470" s="4">
        <v>0</v>
      </c>
      <c r="Y1470" s="4">
        <v>0</v>
      </c>
      <c r="Z1470" s="3">
        <v>0</v>
      </c>
      <c r="AA1470" s="3">
        <v>0</v>
      </c>
    </row>
    <row r="1471" spans="1:27" x14ac:dyDescent="0.2">
      <c r="A1471">
        <f t="shared" si="44"/>
        <v>3</v>
      </c>
      <c r="B1471">
        <f t="shared" si="45"/>
        <v>13</v>
      </c>
      <c r="C1471" s="1">
        <v>46108</v>
      </c>
      <c r="D1471" t="s">
        <v>25</v>
      </c>
      <c r="E1471" t="s">
        <v>26</v>
      </c>
      <c r="F1471" t="s">
        <v>27</v>
      </c>
      <c r="G1471" t="s">
        <v>28</v>
      </c>
      <c r="H1471" t="s">
        <v>29</v>
      </c>
      <c r="I1471" t="s">
        <v>30</v>
      </c>
      <c r="J1471" t="s">
        <v>50</v>
      </c>
      <c r="K1471" t="s">
        <v>32</v>
      </c>
      <c r="L1471" t="s">
        <v>894</v>
      </c>
      <c r="M1471" s="4">
        <v>4</v>
      </c>
      <c r="N1471" s="4">
        <v>1</v>
      </c>
      <c r="O1471" s="2">
        <v>0.25</v>
      </c>
      <c r="P1471" s="3">
        <v>0.21</v>
      </c>
      <c r="Q1471" s="3">
        <v>0.21</v>
      </c>
      <c r="R1471" s="3">
        <v>0</v>
      </c>
      <c r="S1471" s="2"/>
      <c r="T1471" s="5">
        <v>0</v>
      </c>
      <c r="U1471" s="4">
        <v>0</v>
      </c>
      <c r="V1471" s="4">
        <v>0</v>
      </c>
      <c r="W1471" s="2">
        <v>0</v>
      </c>
      <c r="X1471" s="4">
        <v>0</v>
      </c>
      <c r="Y1471" s="4">
        <v>0</v>
      </c>
      <c r="Z1471" s="3">
        <v>0</v>
      </c>
      <c r="AA1471" s="3">
        <v>0</v>
      </c>
    </row>
    <row r="1472" spans="1:27" x14ac:dyDescent="0.2">
      <c r="A1472">
        <f t="shared" si="44"/>
        <v>3</v>
      </c>
      <c r="B1472">
        <f t="shared" si="45"/>
        <v>14</v>
      </c>
      <c r="C1472" s="1">
        <v>46110</v>
      </c>
      <c r="D1472" t="s">
        <v>25</v>
      </c>
      <c r="E1472" t="s">
        <v>26</v>
      </c>
      <c r="F1472" t="s">
        <v>27</v>
      </c>
      <c r="G1472" t="s">
        <v>28</v>
      </c>
      <c r="H1472" t="s">
        <v>29</v>
      </c>
      <c r="I1472" t="s">
        <v>30</v>
      </c>
      <c r="J1472" t="s">
        <v>31</v>
      </c>
      <c r="K1472" t="s">
        <v>32</v>
      </c>
      <c r="L1472" t="s">
        <v>895</v>
      </c>
      <c r="M1472" s="4">
        <v>1</v>
      </c>
      <c r="N1472" s="4">
        <v>1</v>
      </c>
      <c r="O1472" s="2">
        <v>1</v>
      </c>
      <c r="P1472" s="3">
        <v>0.21</v>
      </c>
      <c r="Q1472" s="3">
        <v>0.21</v>
      </c>
      <c r="R1472" s="3">
        <v>0</v>
      </c>
      <c r="S1472" s="2"/>
      <c r="T1472" s="5">
        <v>0</v>
      </c>
      <c r="U1472" s="4">
        <v>0</v>
      </c>
      <c r="V1472" s="4">
        <v>0</v>
      </c>
      <c r="W1472" s="2">
        <v>0</v>
      </c>
      <c r="X1472" s="4">
        <v>0</v>
      </c>
      <c r="Y1472" s="4">
        <v>0</v>
      </c>
      <c r="Z1472" s="3">
        <v>0</v>
      </c>
      <c r="AA1472" s="3">
        <v>0</v>
      </c>
    </row>
    <row r="1473" spans="1:27" x14ac:dyDescent="0.2">
      <c r="A1473">
        <f t="shared" si="44"/>
        <v>3</v>
      </c>
      <c r="B1473">
        <f t="shared" si="45"/>
        <v>14</v>
      </c>
      <c r="C1473" s="1">
        <v>46111</v>
      </c>
      <c r="D1473" t="s">
        <v>25</v>
      </c>
      <c r="E1473" t="s">
        <v>26</v>
      </c>
      <c r="F1473" t="s">
        <v>27</v>
      </c>
      <c r="G1473" t="s">
        <v>28</v>
      </c>
      <c r="H1473" t="s">
        <v>29</v>
      </c>
      <c r="I1473" t="s">
        <v>30</v>
      </c>
      <c r="J1473" t="s">
        <v>50</v>
      </c>
      <c r="K1473" t="s">
        <v>32</v>
      </c>
      <c r="L1473" t="s">
        <v>896</v>
      </c>
      <c r="M1473" s="4">
        <v>4</v>
      </c>
      <c r="N1473" s="4">
        <v>1</v>
      </c>
      <c r="O1473" s="2">
        <v>0.25</v>
      </c>
      <c r="P1473" s="3">
        <v>0.21</v>
      </c>
      <c r="Q1473" s="3">
        <v>0.21</v>
      </c>
      <c r="R1473" s="3">
        <v>0</v>
      </c>
      <c r="S1473" s="2"/>
      <c r="T1473" s="5">
        <v>0</v>
      </c>
      <c r="U1473" s="4">
        <v>0</v>
      </c>
      <c r="V1473" s="4">
        <v>0</v>
      </c>
      <c r="W1473" s="2">
        <v>0</v>
      </c>
      <c r="X1473" s="4">
        <v>0</v>
      </c>
      <c r="Y1473" s="4">
        <v>0</v>
      </c>
      <c r="Z1473" s="3">
        <v>0</v>
      </c>
      <c r="AA1473" s="3">
        <v>0</v>
      </c>
    </row>
    <row r="1474" spans="1:27" x14ac:dyDescent="0.2">
      <c r="A1474">
        <f t="shared" si="44"/>
        <v>3</v>
      </c>
      <c r="B1474">
        <f t="shared" si="45"/>
        <v>13</v>
      </c>
      <c r="C1474" s="1">
        <v>46108</v>
      </c>
      <c r="D1474" t="s">
        <v>25</v>
      </c>
      <c r="E1474" t="s">
        <v>26</v>
      </c>
      <c r="F1474" t="s">
        <v>39</v>
      </c>
      <c r="G1474" t="s">
        <v>40</v>
      </c>
      <c r="H1474" t="s">
        <v>29</v>
      </c>
      <c r="I1474" t="s">
        <v>30</v>
      </c>
      <c r="J1474" t="s">
        <v>70</v>
      </c>
      <c r="K1474" t="s">
        <v>42</v>
      </c>
      <c r="L1474" t="s">
        <v>897</v>
      </c>
      <c r="M1474" s="4">
        <v>2</v>
      </c>
      <c r="N1474" s="4">
        <v>1</v>
      </c>
      <c r="O1474" s="2">
        <v>0.5</v>
      </c>
      <c r="P1474" s="3">
        <v>0.56000000000000005</v>
      </c>
      <c r="Q1474" s="3">
        <v>0.56000000000000005</v>
      </c>
      <c r="R1474" s="3">
        <v>0</v>
      </c>
      <c r="S1474" s="2"/>
      <c r="T1474" s="5">
        <v>0</v>
      </c>
      <c r="U1474" s="4">
        <v>0</v>
      </c>
      <c r="V1474" s="4">
        <v>0</v>
      </c>
      <c r="W1474" s="2">
        <v>0</v>
      </c>
      <c r="X1474" s="4">
        <v>0</v>
      </c>
      <c r="Y1474" s="4">
        <v>0</v>
      </c>
      <c r="Z1474" s="3">
        <v>0</v>
      </c>
      <c r="AA1474" s="3">
        <v>0</v>
      </c>
    </row>
    <row r="1475" spans="1:27" x14ac:dyDescent="0.2">
      <c r="A1475">
        <f t="shared" ref="A1475:A1538" si="46">MONTH(C1475)</f>
        <v>3</v>
      </c>
      <c r="B1475">
        <f t="shared" ref="B1475:B1538" si="47">WEEKNUM(C1475,1)</f>
        <v>14</v>
      </c>
      <c r="C1475" s="1">
        <v>46111</v>
      </c>
      <c r="D1475" t="s">
        <v>25</v>
      </c>
      <c r="E1475" t="s">
        <v>26</v>
      </c>
      <c r="F1475" t="s">
        <v>49</v>
      </c>
      <c r="G1475" t="s">
        <v>50</v>
      </c>
      <c r="H1475" t="s">
        <v>29</v>
      </c>
      <c r="I1475" t="s">
        <v>30</v>
      </c>
      <c r="J1475" t="s">
        <v>95</v>
      </c>
      <c r="K1475" t="s">
        <v>42</v>
      </c>
      <c r="L1475" t="s">
        <v>898</v>
      </c>
      <c r="M1475" s="4">
        <v>1</v>
      </c>
      <c r="N1475" s="4">
        <v>1</v>
      </c>
      <c r="O1475" s="2">
        <v>1</v>
      </c>
      <c r="P1475" s="3">
        <v>0.47</v>
      </c>
      <c r="Q1475" s="3">
        <v>0.47</v>
      </c>
      <c r="R1475" s="3">
        <v>0</v>
      </c>
      <c r="S1475" s="2"/>
      <c r="T1475" s="5">
        <v>0</v>
      </c>
      <c r="U1475" s="4">
        <v>0</v>
      </c>
      <c r="V1475" s="4">
        <v>0</v>
      </c>
      <c r="W1475" s="2">
        <v>0</v>
      </c>
      <c r="X1475" s="4">
        <v>0</v>
      </c>
      <c r="Y1475" s="4">
        <v>0</v>
      </c>
      <c r="Z1475" s="3">
        <v>0</v>
      </c>
      <c r="AA1475" s="3">
        <v>0</v>
      </c>
    </row>
    <row r="1476" spans="1:27" x14ac:dyDescent="0.2">
      <c r="A1476">
        <f t="shared" si="46"/>
        <v>3</v>
      </c>
      <c r="B1476">
        <f t="shared" si="47"/>
        <v>14</v>
      </c>
      <c r="C1476" s="1">
        <v>46110</v>
      </c>
      <c r="D1476" t="s">
        <v>25</v>
      </c>
      <c r="E1476" t="s">
        <v>26</v>
      </c>
      <c r="F1476" t="s">
        <v>27</v>
      </c>
      <c r="G1476" t="s">
        <v>28</v>
      </c>
      <c r="H1476" t="s">
        <v>29</v>
      </c>
      <c r="I1476" t="s">
        <v>30</v>
      </c>
      <c r="J1476" t="s">
        <v>243</v>
      </c>
      <c r="K1476" t="s">
        <v>32</v>
      </c>
      <c r="L1476" t="s">
        <v>899</v>
      </c>
      <c r="M1476" s="4">
        <v>1</v>
      </c>
      <c r="N1476" s="4">
        <v>1</v>
      </c>
      <c r="O1476" s="2">
        <v>1</v>
      </c>
      <c r="P1476" s="3">
        <v>0.21</v>
      </c>
      <c r="Q1476" s="3">
        <v>0.21</v>
      </c>
      <c r="R1476" s="3">
        <v>0</v>
      </c>
      <c r="S1476" s="2"/>
      <c r="T1476" s="5">
        <v>0</v>
      </c>
      <c r="U1476" s="4">
        <v>0</v>
      </c>
      <c r="V1476" s="4">
        <v>0</v>
      </c>
      <c r="W1476" s="2">
        <v>0</v>
      </c>
      <c r="X1476" s="4">
        <v>0</v>
      </c>
      <c r="Y1476" s="4">
        <v>0</v>
      </c>
      <c r="Z1476" s="3">
        <v>0</v>
      </c>
      <c r="AA1476" s="3">
        <v>0</v>
      </c>
    </row>
    <row r="1477" spans="1:27" x14ac:dyDescent="0.2">
      <c r="A1477">
        <f t="shared" si="46"/>
        <v>3</v>
      </c>
      <c r="B1477">
        <f t="shared" si="47"/>
        <v>14</v>
      </c>
      <c r="C1477" s="1">
        <v>46112</v>
      </c>
      <c r="D1477" t="s">
        <v>25</v>
      </c>
      <c r="E1477" t="s">
        <v>26</v>
      </c>
      <c r="F1477" t="s">
        <v>27</v>
      </c>
      <c r="G1477" t="s">
        <v>28</v>
      </c>
      <c r="H1477" t="s">
        <v>29</v>
      </c>
      <c r="I1477" t="s">
        <v>30</v>
      </c>
      <c r="J1477" t="s">
        <v>119</v>
      </c>
      <c r="K1477" t="s">
        <v>32</v>
      </c>
      <c r="L1477" t="s">
        <v>900</v>
      </c>
      <c r="M1477" s="4">
        <v>1</v>
      </c>
      <c r="N1477" s="4">
        <v>1</v>
      </c>
      <c r="O1477" s="2">
        <v>1</v>
      </c>
      <c r="P1477" s="3">
        <v>0.16</v>
      </c>
      <c r="Q1477" s="3">
        <v>0.16</v>
      </c>
      <c r="R1477" s="3">
        <v>0</v>
      </c>
      <c r="S1477" s="2"/>
      <c r="T1477" s="5">
        <v>0</v>
      </c>
      <c r="U1477" s="4">
        <v>0</v>
      </c>
      <c r="V1477" s="4">
        <v>0</v>
      </c>
      <c r="W1477" s="2">
        <v>0</v>
      </c>
      <c r="X1477" s="4">
        <v>0</v>
      </c>
      <c r="Y1477" s="4">
        <v>0</v>
      </c>
      <c r="Z1477" s="3">
        <v>0</v>
      </c>
      <c r="AA1477" s="3">
        <v>0</v>
      </c>
    </row>
    <row r="1478" spans="1:27" x14ac:dyDescent="0.2">
      <c r="A1478">
        <f t="shared" si="46"/>
        <v>3</v>
      </c>
      <c r="B1478">
        <f t="shared" si="47"/>
        <v>14</v>
      </c>
      <c r="C1478" s="1">
        <v>46111</v>
      </c>
      <c r="D1478" t="s">
        <v>25</v>
      </c>
      <c r="E1478" t="s">
        <v>26</v>
      </c>
      <c r="F1478" t="s">
        <v>49</v>
      </c>
      <c r="G1478" t="s">
        <v>50</v>
      </c>
      <c r="H1478" t="s">
        <v>29</v>
      </c>
      <c r="I1478" t="s">
        <v>30</v>
      </c>
      <c r="J1478" t="s">
        <v>95</v>
      </c>
      <c r="K1478" t="s">
        <v>42</v>
      </c>
      <c r="L1478" t="s">
        <v>901</v>
      </c>
      <c r="M1478" s="4">
        <v>1</v>
      </c>
      <c r="N1478" s="4">
        <v>1</v>
      </c>
      <c r="O1478" s="2">
        <v>1</v>
      </c>
      <c r="P1478" s="3">
        <v>0.47</v>
      </c>
      <c r="Q1478" s="3">
        <v>0.47</v>
      </c>
      <c r="R1478" s="3">
        <v>0</v>
      </c>
      <c r="S1478" s="2"/>
      <c r="T1478" s="5">
        <v>0</v>
      </c>
      <c r="U1478" s="4">
        <v>0</v>
      </c>
      <c r="V1478" s="4">
        <v>0</v>
      </c>
      <c r="W1478" s="2">
        <v>0</v>
      </c>
      <c r="X1478" s="4">
        <v>0</v>
      </c>
      <c r="Y1478" s="4">
        <v>0</v>
      </c>
      <c r="Z1478" s="3">
        <v>0</v>
      </c>
      <c r="AA1478" s="3">
        <v>0</v>
      </c>
    </row>
    <row r="1479" spans="1:27" x14ac:dyDescent="0.2">
      <c r="A1479">
        <f t="shared" si="46"/>
        <v>3</v>
      </c>
      <c r="B1479">
        <f t="shared" si="47"/>
        <v>13</v>
      </c>
      <c r="C1479" s="1">
        <v>46108</v>
      </c>
      <c r="D1479" t="s">
        <v>25</v>
      </c>
      <c r="E1479" t="s">
        <v>26</v>
      </c>
      <c r="F1479" t="s">
        <v>27</v>
      </c>
      <c r="G1479" t="s">
        <v>28</v>
      </c>
      <c r="H1479" t="s">
        <v>29</v>
      </c>
      <c r="I1479" t="s">
        <v>30</v>
      </c>
      <c r="J1479" t="s">
        <v>154</v>
      </c>
      <c r="K1479" t="s">
        <v>32</v>
      </c>
      <c r="L1479" t="s">
        <v>902</v>
      </c>
      <c r="M1479" s="4">
        <v>1</v>
      </c>
      <c r="N1479" s="4">
        <v>1</v>
      </c>
      <c r="O1479" s="2">
        <v>1</v>
      </c>
      <c r="P1479" s="3">
        <v>0.2</v>
      </c>
      <c r="Q1479" s="3">
        <v>0.2</v>
      </c>
      <c r="R1479" s="3">
        <v>0</v>
      </c>
      <c r="S1479" s="2"/>
      <c r="T1479" s="5">
        <v>0</v>
      </c>
      <c r="U1479" s="4">
        <v>0</v>
      </c>
      <c r="V1479" s="4">
        <v>0</v>
      </c>
      <c r="W1479" s="2">
        <v>0</v>
      </c>
      <c r="X1479" s="4">
        <v>0</v>
      </c>
      <c r="Y1479" s="4">
        <v>0</v>
      </c>
      <c r="Z1479" s="3">
        <v>0</v>
      </c>
      <c r="AA1479" s="3">
        <v>0</v>
      </c>
    </row>
    <row r="1480" spans="1:27" x14ac:dyDescent="0.2">
      <c r="A1480">
        <f t="shared" si="46"/>
        <v>3</v>
      </c>
      <c r="B1480">
        <f t="shared" si="47"/>
        <v>13</v>
      </c>
      <c r="C1480" s="1">
        <v>46108</v>
      </c>
      <c r="D1480" t="s">
        <v>25</v>
      </c>
      <c r="E1480" t="s">
        <v>26</v>
      </c>
      <c r="F1480" t="s">
        <v>27</v>
      </c>
      <c r="G1480" t="s">
        <v>124</v>
      </c>
      <c r="H1480" t="s">
        <v>29</v>
      </c>
      <c r="I1480" t="s">
        <v>30</v>
      </c>
      <c r="J1480" t="s">
        <v>133</v>
      </c>
      <c r="K1480" t="s">
        <v>267</v>
      </c>
      <c r="L1480" t="s">
        <v>133</v>
      </c>
      <c r="M1480" s="4">
        <v>1</v>
      </c>
      <c r="N1480" s="4">
        <v>1</v>
      </c>
      <c r="O1480" s="2">
        <v>1</v>
      </c>
      <c r="P1480" s="3">
        <v>0.21</v>
      </c>
      <c r="Q1480" s="3">
        <v>0.21</v>
      </c>
      <c r="R1480" s="3">
        <v>0</v>
      </c>
      <c r="S1480" s="2"/>
      <c r="T1480" s="5">
        <v>0</v>
      </c>
      <c r="U1480" s="4">
        <v>0</v>
      </c>
      <c r="V1480" s="4">
        <v>0</v>
      </c>
      <c r="W1480" s="2">
        <v>0</v>
      </c>
      <c r="X1480" s="4">
        <v>0</v>
      </c>
      <c r="Y1480" s="4">
        <v>0</v>
      </c>
      <c r="Z1480" s="3">
        <v>0</v>
      </c>
      <c r="AA1480" s="3">
        <v>0</v>
      </c>
    </row>
    <row r="1481" spans="1:27" x14ac:dyDescent="0.2">
      <c r="A1481">
        <f t="shared" si="46"/>
        <v>3</v>
      </c>
      <c r="B1481">
        <f t="shared" si="47"/>
        <v>14</v>
      </c>
      <c r="C1481" s="1">
        <v>46111</v>
      </c>
      <c r="D1481" t="s">
        <v>25</v>
      </c>
      <c r="E1481" t="s">
        <v>26</v>
      </c>
      <c r="F1481" t="s">
        <v>27</v>
      </c>
      <c r="G1481" t="s">
        <v>124</v>
      </c>
      <c r="H1481" t="s">
        <v>29</v>
      </c>
      <c r="I1481" t="s">
        <v>30</v>
      </c>
      <c r="J1481" t="s">
        <v>133</v>
      </c>
      <c r="K1481" t="s">
        <v>87</v>
      </c>
      <c r="L1481" t="s">
        <v>903</v>
      </c>
      <c r="M1481" s="4">
        <v>1</v>
      </c>
      <c r="N1481" s="4">
        <v>1</v>
      </c>
      <c r="O1481" s="2">
        <v>1</v>
      </c>
      <c r="P1481" s="3">
        <v>0.21</v>
      </c>
      <c r="Q1481" s="3">
        <v>0.21</v>
      </c>
      <c r="R1481" s="3">
        <v>0</v>
      </c>
      <c r="S1481" s="2"/>
      <c r="T1481" s="5">
        <v>0</v>
      </c>
      <c r="U1481" s="4">
        <v>0</v>
      </c>
      <c r="V1481" s="4">
        <v>0</v>
      </c>
      <c r="W1481" s="2">
        <v>0</v>
      </c>
      <c r="X1481" s="4">
        <v>0</v>
      </c>
      <c r="Y1481" s="4">
        <v>0</v>
      </c>
      <c r="Z1481" s="3">
        <v>0</v>
      </c>
      <c r="AA1481" s="3">
        <v>0</v>
      </c>
    </row>
    <row r="1482" spans="1:27" x14ac:dyDescent="0.2">
      <c r="A1482">
        <f t="shared" si="46"/>
        <v>3</v>
      </c>
      <c r="B1482">
        <f t="shared" si="47"/>
        <v>13</v>
      </c>
      <c r="C1482" s="1">
        <v>46106</v>
      </c>
      <c r="D1482" t="s">
        <v>25</v>
      </c>
      <c r="E1482" t="s">
        <v>26</v>
      </c>
      <c r="F1482" t="s">
        <v>27</v>
      </c>
      <c r="G1482" t="s">
        <v>124</v>
      </c>
      <c r="H1482" t="s">
        <v>29</v>
      </c>
      <c r="I1482" t="s">
        <v>30</v>
      </c>
      <c r="J1482" t="s">
        <v>101</v>
      </c>
      <c r="K1482" t="s">
        <v>87</v>
      </c>
      <c r="L1482" t="s">
        <v>904</v>
      </c>
      <c r="M1482" s="4">
        <v>1</v>
      </c>
      <c r="N1482" s="4">
        <v>1</v>
      </c>
      <c r="O1482" s="2">
        <v>1</v>
      </c>
      <c r="P1482" s="3">
        <v>0.21</v>
      </c>
      <c r="Q1482" s="3">
        <v>0.21</v>
      </c>
      <c r="R1482" s="3">
        <v>0</v>
      </c>
      <c r="S1482" s="2"/>
      <c r="T1482" s="5">
        <v>0</v>
      </c>
      <c r="U1482" s="4">
        <v>0</v>
      </c>
      <c r="V1482" s="4">
        <v>0</v>
      </c>
      <c r="W1482" s="2">
        <v>0</v>
      </c>
      <c r="X1482" s="4">
        <v>0</v>
      </c>
      <c r="Y1482" s="4">
        <v>0</v>
      </c>
      <c r="Z1482" s="3">
        <v>0</v>
      </c>
      <c r="AA1482" s="3">
        <v>0</v>
      </c>
    </row>
    <row r="1483" spans="1:27" x14ac:dyDescent="0.2">
      <c r="A1483">
        <f t="shared" si="46"/>
        <v>3</v>
      </c>
      <c r="B1483">
        <f t="shared" si="47"/>
        <v>13</v>
      </c>
      <c r="C1483" s="1">
        <v>46106</v>
      </c>
      <c r="D1483" t="s">
        <v>25</v>
      </c>
      <c r="E1483" t="s">
        <v>26</v>
      </c>
      <c r="F1483" t="s">
        <v>27</v>
      </c>
      <c r="G1483" t="s">
        <v>28</v>
      </c>
      <c r="H1483" t="s">
        <v>29</v>
      </c>
      <c r="I1483" t="s">
        <v>30</v>
      </c>
      <c r="J1483" t="s">
        <v>243</v>
      </c>
      <c r="K1483" t="s">
        <v>32</v>
      </c>
      <c r="L1483" t="s">
        <v>905</v>
      </c>
      <c r="M1483" s="4">
        <v>1</v>
      </c>
      <c r="N1483" s="4">
        <v>1</v>
      </c>
      <c r="O1483" s="2">
        <v>1</v>
      </c>
      <c r="P1483" s="3">
        <v>0.21</v>
      </c>
      <c r="Q1483" s="3">
        <v>0.21</v>
      </c>
      <c r="R1483" s="3">
        <v>0</v>
      </c>
      <c r="S1483" s="2"/>
      <c r="T1483" s="5">
        <v>0</v>
      </c>
      <c r="U1483" s="4">
        <v>0</v>
      </c>
      <c r="V1483" s="4">
        <v>0</v>
      </c>
      <c r="W1483" s="2">
        <v>0</v>
      </c>
      <c r="X1483" s="4">
        <v>0</v>
      </c>
      <c r="Y1483" s="4">
        <v>0</v>
      </c>
      <c r="Z1483" s="3">
        <v>0</v>
      </c>
      <c r="AA1483" s="3">
        <v>0</v>
      </c>
    </row>
    <row r="1484" spans="1:27" x14ac:dyDescent="0.2">
      <c r="A1484">
        <f t="shared" si="46"/>
        <v>3</v>
      </c>
      <c r="B1484">
        <f t="shared" si="47"/>
        <v>13</v>
      </c>
      <c r="C1484" s="1">
        <v>46109</v>
      </c>
      <c r="D1484" t="s">
        <v>25</v>
      </c>
      <c r="E1484" t="s">
        <v>26</v>
      </c>
      <c r="F1484" t="s">
        <v>49</v>
      </c>
      <c r="G1484" t="s">
        <v>50</v>
      </c>
      <c r="H1484" t="s">
        <v>29</v>
      </c>
      <c r="I1484" t="s">
        <v>30</v>
      </c>
      <c r="J1484" t="s">
        <v>95</v>
      </c>
      <c r="K1484" t="s">
        <v>42</v>
      </c>
      <c r="L1484" t="s">
        <v>906</v>
      </c>
      <c r="M1484" s="4">
        <v>2</v>
      </c>
      <c r="N1484" s="4">
        <v>1</v>
      </c>
      <c r="O1484" s="2">
        <v>0.5</v>
      </c>
      <c r="P1484" s="3">
        <v>0.47</v>
      </c>
      <c r="Q1484" s="3">
        <v>0.47</v>
      </c>
      <c r="R1484" s="3">
        <v>0</v>
      </c>
      <c r="S1484" s="2"/>
      <c r="T1484" s="5">
        <v>0</v>
      </c>
      <c r="U1484" s="4">
        <v>0</v>
      </c>
      <c r="V1484" s="4">
        <v>0</v>
      </c>
      <c r="W1484" s="2">
        <v>0</v>
      </c>
      <c r="X1484" s="4">
        <v>0</v>
      </c>
      <c r="Y1484" s="4">
        <v>0</v>
      </c>
      <c r="Z1484" s="3">
        <v>0</v>
      </c>
      <c r="AA1484" s="3">
        <v>0</v>
      </c>
    </row>
    <row r="1485" spans="1:27" x14ac:dyDescent="0.2">
      <c r="A1485">
        <f t="shared" si="46"/>
        <v>3</v>
      </c>
      <c r="B1485">
        <f t="shared" si="47"/>
        <v>14</v>
      </c>
      <c r="C1485" s="1">
        <v>46110</v>
      </c>
      <c r="D1485" t="s">
        <v>25</v>
      </c>
      <c r="E1485" t="s">
        <v>26</v>
      </c>
      <c r="F1485" t="s">
        <v>27</v>
      </c>
      <c r="G1485" t="s">
        <v>28</v>
      </c>
      <c r="H1485" t="s">
        <v>29</v>
      </c>
      <c r="I1485" t="s">
        <v>30</v>
      </c>
      <c r="J1485" t="s">
        <v>31</v>
      </c>
      <c r="K1485" t="s">
        <v>32</v>
      </c>
      <c r="L1485" t="s">
        <v>156</v>
      </c>
      <c r="M1485" s="4">
        <v>5</v>
      </c>
      <c r="N1485" s="4">
        <v>1</v>
      </c>
      <c r="O1485" s="2">
        <v>0.2</v>
      </c>
      <c r="P1485" s="3">
        <v>0.4</v>
      </c>
      <c r="Q1485" s="3">
        <v>0.4</v>
      </c>
      <c r="R1485" s="3">
        <v>0</v>
      </c>
      <c r="S1485" s="2"/>
      <c r="T1485" s="5">
        <v>0</v>
      </c>
      <c r="U1485" s="4">
        <v>0</v>
      </c>
      <c r="V1485" s="4">
        <v>0</v>
      </c>
      <c r="W1485" s="2">
        <v>0</v>
      </c>
      <c r="X1485" s="4">
        <v>0</v>
      </c>
      <c r="Y1485" s="4">
        <v>0</v>
      </c>
      <c r="Z1485" s="3">
        <v>0</v>
      </c>
      <c r="AA1485" s="3">
        <v>0</v>
      </c>
    </row>
    <row r="1486" spans="1:27" x14ac:dyDescent="0.2">
      <c r="A1486">
        <f t="shared" si="46"/>
        <v>3</v>
      </c>
      <c r="B1486">
        <f t="shared" si="47"/>
        <v>13</v>
      </c>
      <c r="C1486" s="1">
        <v>46108</v>
      </c>
      <c r="D1486" t="s">
        <v>25</v>
      </c>
      <c r="E1486" t="s">
        <v>26</v>
      </c>
      <c r="F1486" t="s">
        <v>49</v>
      </c>
      <c r="G1486" t="s">
        <v>50</v>
      </c>
      <c r="H1486" t="s">
        <v>29</v>
      </c>
      <c r="I1486" t="s">
        <v>30</v>
      </c>
      <c r="J1486" t="s">
        <v>47</v>
      </c>
      <c r="K1486" t="s">
        <v>42</v>
      </c>
      <c r="L1486" t="s">
        <v>907</v>
      </c>
      <c r="M1486" s="4">
        <v>4</v>
      </c>
      <c r="N1486" s="4">
        <v>1</v>
      </c>
      <c r="O1486" s="2">
        <v>0.25</v>
      </c>
      <c r="P1486" s="3">
        <v>0.65</v>
      </c>
      <c r="Q1486" s="3">
        <v>0.65</v>
      </c>
      <c r="R1486" s="3">
        <v>0</v>
      </c>
      <c r="S1486" s="2"/>
      <c r="T1486" s="5">
        <v>0</v>
      </c>
      <c r="U1486" s="4">
        <v>0</v>
      </c>
      <c r="V1486" s="4">
        <v>0</v>
      </c>
      <c r="W1486" s="2">
        <v>0</v>
      </c>
      <c r="X1486" s="4">
        <v>0</v>
      </c>
      <c r="Y1486" s="4">
        <v>0</v>
      </c>
      <c r="Z1486" s="3">
        <v>0</v>
      </c>
      <c r="AA1486" s="3">
        <v>0</v>
      </c>
    </row>
    <row r="1487" spans="1:27" x14ac:dyDescent="0.2">
      <c r="A1487">
        <f t="shared" si="46"/>
        <v>3</v>
      </c>
      <c r="B1487">
        <f t="shared" si="47"/>
        <v>14</v>
      </c>
      <c r="C1487" s="1">
        <v>46111</v>
      </c>
      <c r="D1487" t="s">
        <v>25</v>
      </c>
      <c r="E1487" t="s">
        <v>26</v>
      </c>
      <c r="F1487" t="s">
        <v>27</v>
      </c>
      <c r="G1487" t="s">
        <v>28</v>
      </c>
      <c r="H1487" t="s">
        <v>29</v>
      </c>
      <c r="I1487" t="s">
        <v>30</v>
      </c>
      <c r="J1487" t="s">
        <v>144</v>
      </c>
      <c r="K1487" t="s">
        <v>32</v>
      </c>
      <c r="L1487" t="s">
        <v>908</v>
      </c>
      <c r="M1487" s="4">
        <v>2</v>
      </c>
      <c r="N1487" s="4">
        <v>1</v>
      </c>
      <c r="O1487" s="2">
        <v>0.5</v>
      </c>
      <c r="P1487" s="3">
        <v>0.2</v>
      </c>
      <c r="Q1487" s="3">
        <v>0.2</v>
      </c>
      <c r="R1487" s="3">
        <v>0</v>
      </c>
      <c r="S1487" s="2"/>
      <c r="T1487" s="5">
        <v>0</v>
      </c>
      <c r="U1487" s="4">
        <v>0</v>
      </c>
      <c r="V1487" s="4">
        <v>0</v>
      </c>
      <c r="W1487" s="2">
        <v>0</v>
      </c>
      <c r="X1487" s="4">
        <v>0</v>
      </c>
      <c r="Y1487" s="4">
        <v>0</v>
      </c>
      <c r="Z1487" s="3">
        <v>0</v>
      </c>
      <c r="AA1487" s="3">
        <v>0</v>
      </c>
    </row>
    <row r="1488" spans="1:27" x14ac:dyDescent="0.2">
      <c r="A1488">
        <f t="shared" si="46"/>
        <v>3</v>
      </c>
      <c r="B1488">
        <f t="shared" si="47"/>
        <v>14</v>
      </c>
      <c r="C1488" s="1">
        <v>46110</v>
      </c>
      <c r="D1488" t="s">
        <v>25</v>
      </c>
      <c r="E1488" t="s">
        <v>26</v>
      </c>
      <c r="F1488" t="s">
        <v>49</v>
      </c>
      <c r="G1488" t="s">
        <v>50</v>
      </c>
      <c r="H1488" t="s">
        <v>29</v>
      </c>
      <c r="I1488" t="s">
        <v>30</v>
      </c>
      <c r="J1488" t="s">
        <v>95</v>
      </c>
      <c r="K1488" t="s">
        <v>42</v>
      </c>
      <c r="L1488" t="s">
        <v>909</v>
      </c>
      <c r="M1488" s="4">
        <v>1</v>
      </c>
      <c r="N1488" s="4">
        <v>1</v>
      </c>
      <c r="O1488" s="2">
        <v>1</v>
      </c>
      <c r="P1488" s="3">
        <v>0.47</v>
      </c>
      <c r="Q1488" s="3">
        <v>0.47</v>
      </c>
      <c r="R1488" s="3">
        <v>0</v>
      </c>
      <c r="S1488" s="2"/>
      <c r="T1488" s="5">
        <v>0</v>
      </c>
      <c r="U1488" s="4">
        <v>0</v>
      </c>
      <c r="V1488" s="4">
        <v>0</v>
      </c>
      <c r="W1488" s="2">
        <v>0</v>
      </c>
      <c r="X1488" s="4">
        <v>0</v>
      </c>
      <c r="Y1488" s="4">
        <v>0</v>
      </c>
      <c r="Z1488" s="3">
        <v>0</v>
      </c>
      <c r="AA1488" s="3">
        <v>0</v>
      </c>
    </row>
    <row r="1489" spans="1:27" x14ac:dyDescent="0.2">
      <c r="A1489">
        <f t="shared" si="46"/>
        <v>3</v>
      </c>
      <c r="B1489">
        <f t="shared" si="47"/>
        <v>14</v>
      </c>
      <c r="C1489" s="1">
        <v>46112</v>
      </c>
      <c r="D1489" t="s">
        <v>25</v>
      </c>
      <c r="E1489" t="s">
        <v>26</v>
      </c>
      <c r="F1489" t="s">
        <v>27</v>
      </c>
      <c r="G1489" t="s">
        <v>28</v>
      </c>
      <c r="H1489" t="s">
        <v>29</v>
      </c>
      <c r="I1489" t="s">
        <v>30</v>
      </c>
      <c r="J1489" t="s">
        <v>50</v>
      </c>
      <c r="K1489" t="s">
        <v>32</v>
      </c>
      <c r="L1489" t="s">
        <v>164</v>
      </c>
      <c r="M1489" s="4">
        <v>1</v>
      </c>
      <c r="N1489" s="4">
        <v>1</v>
      </c>
      <c r="O1489" s="2">
        <v>1</v>
      </c>
      <c r="P1489" s="3">
        <v>0.4</v>
      </c>
      <c r="Q1489" s="3">
        <v>0.4</v>
      </c>
      <c r="R1489" s="3">
        <v>0</v>
      </c>
      <c r="S1489" s="2"/>
      <c r="T1489" s="5">
        <v>0</v>
      </c>
      <c r="U1489" s="4">
        <v>0</v>
      </c>
      <c r="V1489" s="4">
        <v>0</v>
      </c>
      <c r="W1489" s="2">
        <v>0</v>
      </c>
      <c r="X1489" s="4">
        <v>0</v>
      </c>
      <c r="Y1489" s="4">
        <v>0</v>
      </c>
      <c r="Z1489" s="3">
        <v>0</v>
      </c>
      <c r="AA1489" s="3">
        <v>0</v>
      </c>
    </row>
    <row r="1490" spans="1:27" x14ac:dyDescent="0.2">
      <c r="A1490">
        <f t="shared" si="46"/>
        <v>3</v>
      </c>
      <c r="B1490">
        <f t="shared" si="47"/>
        <v>13</v>
      </c>
      <c r="C1490" s="1">
        <v>46103</v>
      </c>
      <c r="D1490" t="s">
        <v>25</v>
      </c>
      <c r="E1490" t="s">
        <v>26</v>
      </c>
      <c r="F1490" t="s">
        <v>27</v>
      </c>
      <c r="G1490" t="s">
        <v>28</v>
      </c>
      <c r="H1490" t="s">
        <v>29</v>
      </c>
      <c r="I1490" t="s">
        <v>30</v>
      </c>
      <c r="J1490" t="s">
        <v>119</v>
      </c>
      <c r="K1490" t="s">
        <v>32</v>
      </c>
      <c r="L1490" t="s">
        <v>910</v>
      </c>
      <c r="M1490" s="4">
        <v>3</v>
      </c>
      <c r="N1490" s="4">
        <v>2</v>
      </c>
      <c r="O1490" s="2">
        <v>0.66666666666666663</v>
      </c>
      <c r="P1490" s="3">
        <v>0.16</v>
      </c>
      <c r="Q1490" s="3">
        <v>0.32</v>
      </c>
      <c r="R1490" s="3">
        <v>0</v>
      </c>
      <c r="S1490" s="2"/>
      <c r="T1490" s="5">
        <v>0</v>
      </c>
      <c r="U1490" s="4">
        <v>0</v>
      </c>
      <c r="V1490" s="4">
        <v>0</v>
      </c>
      <c r="W1490" s="2">
        <v>0</v>
      </c>
      <c r="X1490" s="4">
        <v>0</v>
      </c>
      <c r="Y1490" s="4">
        <v>0</v>
      </c>
      <c r="Z1490" s="3">
        <v>0</v>
      </c>
      <c r="AA1490" s="3">
        <v>0</v>
      </c>
    </row>
    <row r="1491" spans="1:27" x14ac:dyDescent="0.2">
      <c r="A1491">
        <f t="shared" si="46"/>
        <v>3</v>
      </c>
      <c r="B1491">
        <f t="shared" si="47"/>
        <v>13</v>
      </c>
      <c r="C1491" s="1">
        <v>46104</v>
      </c>
      <c r="D1491" t="s">
        <v>25</v>
      </c>
      <c r="E1491" t="s">
        <v>26</v>
      </c>
      <c r="F1491" t="s">
        <v>27</v>
      </c>
      <c r="G1491" t="s">
        <v>28</v>
      </c>
      <c r="H1491" t="s">
        <v>29</v>
      </c>
      <c r="I1491" t="s">
        <v>30</v>
      </c>
      <c r="J1491" t="s">
        <v>119</v>
      </c>
      <c r="K1491" t="s">
        <v>32</v>
      </c>
      <c r="L1491" t="s">
        <v>911</v>
      </c>
      <c r="M1491" s="4">
        <v>4</v>
      </c>
      <c r="N1491" s="4">
        <v>1</v>
      </c>
      <c r="O1491" s="2">
        <v>0.25</v>
      </c>
      <c r="P1491" s="3">
        <v>0.17</v>
      </c>
      <c r="Q1491" s="3">
        <v>0.17</v>
      </c>
      <c r="R1491" s="3">
        <v>0</v>
      </c>
      <c r="S1491" s="2"/>
      <c r="T1491" s="5">
        <v>0</v>
      </c>
      <c r="U1491" s="4">
        <v>0</v>
      </c>
      <c r="V1491" s="4">
        <v>0</v>
      </c>
      <c r="W1491" s="2">
        <v>0</v>
      </c>
      <c r="X1491" s="4">
        <v>0</v>
      </c>
      <c r="Y1491" s="4">
        <v>0</v>
      </c>
      <c r="Z1491" s="3">
        <v>0</v>
      </c>
      <c r="AA1491" s="3">
        <v>0</v>
      </c>
    </row>
    <row r="1492" spans="1:27" x14ac:dyDescent="0.2">
      <c r="A1492">
        <f t="shared" si="46"/>
        <v>3</v>
      </c>
      <c r="B1492">
        <f t="shared" si="47"/>
        <v>13</v>
      </c>
      <c r="C1492" s="1">
        <v>46106</v>
      </c>
      <c r="D1492" t="s">
        <v>25</v>
      </c>
      <c r="E1492" t="s">
        <v>26</v>
      </c>
      <c r="F1492" t="s">
        <v>27</v>
      </c>
      <c r="G1492" t="s">
        <v>28</v>
      </c>
      <c r="H1492" t="s">
        <v>29</v>
      </c>
      <c r="I1492" t="s">
        <v>30</v>
      </c>
      <c r="J1492" t="s">
        <v>253</v>
      </c>
      <c r="K1492" t="s">
        <v>32</v>
      </c>
      <c r="L1492" t="s">
        <v>912</v>
      </c>
      <c r="M1492" s="4">
        <v>1</v>
      </c>
      <c r="N1492" s="4">
        <v>1</v>
      </c>
      <c r="O1492" s="2">
        <v>1</v>
      </c>
      <c r="P1492" s="3">
        <v>0.21</v>
      </c>
      <c r="Q1492" s="3">
        <v>0.21</v>
      </c>
      <c r="R1492" s="3">
        <v>0</v>
      </c>
      <c r="S1492" s="2"/>
      <c r="T1492" s="5">
        <v>0</v>
      </c>
      <c r="U1492" s="4">
        <v>0</v>
      </c>
      <c r="V1492" s="4">
        <v>0</v>
      </c>
      <c r="W1492" s="2">
        <v>0</v>
      </c>
      <c r="X1492" s="4">
        <v>0</v>
      </c>
      <c r="Y1492" s="4">
        <v>0</v>
      </c>
      <c r="Z1492" s="3">
        <v>0</v>
      </c>
      <c r="AA1492" s="3">
        <v>0</v>
      </c>
    </row>
    <row r="1493" spans="1:27" x14ac:dyDescent="0.2">
      <c r="A1493">
        <f t="shared" si="46"/>
        <v>3</v>
      </c>
      <c r="B1493">
        <f t="shared" si="47"/>
        <v>13</v>
      </c>
      <c r="C1493" s="1">
        <v>46108</v>
      </c>
      <c r="D1493" t="s">
        <v>25</v>
      </c>
      <c r="E1493" t="s">
        <v>26</v>
      </c>
      <c r="F1493" t="s">
        <v>27</v>
      </c>
      <c r="G1493" t="s">
        <v>28</v>
      </c>
      <c r="H1493" t="s">
        <v>29</v>
      </c>
      <c r="I1493" t="s">
        <v>30</v>
      </c>
      <c r="J1493" t="s">
        <v>31</v>
      </c>
      <c r="K1493" t="s">
        <v>32</v>
      </c>
      <c r="L1493" t="s">
        <v>913</v>
      </c>
      <c r="M1493" s="4">
        <v>1</v>
      </c>
      <c r="N1493" s="4">
        <v>1</v>
      </c>
      <c r="O1493" s="2">
        <v>1</v>
      </c>
      <c r="P1493" s="3">
        <v>0.4</v>
      </c>
      <c r="Q1493" s="3">
        <v>0.4</v>
      </c>
      <c r="R1493" s="3">
        <v>0</v>
      </c>
      <c r="S1493" s="2"/>
      <c r="T1493" s="5">
        <v>0</v>
      </c>
      <c r="U1493" s="4">
        <v>0</v>
      </c>
      <c r="V1493" s="4">
        <v>0</v>
      </c>
      <c r="W1493" s="2">
        <v>0</v>
      </c>
      <c r="X1493" s="4">
        <v>0</v>
      </c>
      <c r="Y1493" s="4">
        <v>0</v>
      </c>
      <c r="Z1493" s="3">
        <v>0</v>
      </c>
      <c r="AA1493" s="3">
        <v>0</v>
      </c>
    </row>
    <row r="1494" spans="1:27" x14ac:dyDescent="0.2">
      <c r="A1494">
        <f t="shared" si="46"/>
        <v>3</v>
      </c>
      <c r="B1494">
        <f t="shared" si="47"/>
        <v>14</v>
      </c>
      <c r="C1494" s="1">
        <v>46111</v>
      </c>
      <c r="D1494" t="s">
        <v>25</v>
      </c>
      <c r="E1494" t="s">
        <v>26</v>
      </c>
      <c r="F1494" t="s">
        <v>61</v>
      </c>
      <c r="G1494" t="s">
        <v>62</v>
      </c>
      <c r="H1494" t="s">
        <v>29</v>
      </c>
      <c r="I1494" t="s">
        <v>30</v>
      </c>
      <c r="J1494" t="s">
        <v>47</v>
      </c>
      <c r="K1494" t="s">
        <v>42</v>
      </c>
      <c r="L1494" t="s">
        <v>174</v>
      </c>
      <c r="M1494" s="4">
        <v>10</v>
      </c>
      <c r="N1494" s="4">
        <v>1</v>
      </c>
      <c r="O1494" s="2">
        <v>0.1</v>
      </c>
      <c r="P1494" s="3">
        <v>1.5</v>
      </c>
      <c r="Q1494" s="3">
        <v>1.5</v>
      </c>
      <c r="R1494" s="3">
        <v>0</v>
      </c>
      <c r="S1494" s="2"/>
      <c r="T1494" s="5">
        <v>0</v>
      </c>
      <c r="U1494" s="4">
        <v>0</v>
      </c>
      <c r="V1494" s="4">
        <v>0</v>
      </c>
      <c r="W1494" s="2">
        <v>0</v>
      </c>
      <c r="X1494" s="4">
        <v>0</v>
      </c>
      <c r="Y1494" s="4">
        <v>0</v>
      </c>
      <c r="Z1494" s="3">
        <v>0</v>
      </c>
      <c r="AA1494" s="3">
        <v>0</v>
      </c>
    </row>
    <row r="1495" spans="1:27" x14ac:dyDescent="0.2">
      <c r="A1495">
        <f t="shared" si="46"/>
        <v>3</v>
      </c>
      <c r="B1495">
        <f t="shared" si="47"/>
        <v>14</v>
      </c>
      <c r="C1495" s="1">
        <v>46110</v>
      </c>
      <c r="D1495" t="s">
        <v>25</v>
      </c>
      <c r="E1495" t="s">
        <v>26</v>
      </c>
      <c r="F1495" t="s">
        <v>27</v>
      </c>
      <c r="G1495" t="s">
        <v>28</v>
      </c>
      <c r="H1495" t="s">
        <v>29</v>
      </c>
      <c r="I1495" t="s">
        <v>30</v>
      </c>
      <c r="J1495" t="s">
        <v>243</v>
      </c>
      <c r="K1495" t="s">
        <v>32</v>
      </c>
      <c r="L1495" t="s">
        <v>914</v>
      </c>
      <c r="M1495" s="4">
        <v>1</v>
      </c>
      <c r="N1495" s="4">
        <v>1</v>
      </c>
      <c r="O1495" s="2">
        <v>1</v>
      </c>
      <c r="P1495" s="3">
        <v>0.21</v>
      </c>
      <c r="Q1495" s="3">
        <v>0.21</v>
      </c>
      <c r="R1495" s="3">
        <v>0</v>
      </c>
      <c r="S1495" s="2"/>
      <c r="T1495" s="5">
        <v>0</v>
      </c>
      <c r="U1495" s="4">
        <v>0</v>
      </c>
      <c r="V1495" s="4">
        <v>0</v>
      </c>
      <c r="W1495" s="2">
        <v>0</v>
      </c>
      <c r="X1495" s="4">
        <v>0</v>
      </c>
      <c r="Y1495" s="4">
        <v>0</v>
      </c>
      <c r="Z1495" s="3">
        <v>0</v>
      </c>
      <c r="AA1495" s="3">
        <v>0</v>
      </c>
    </row>
    <row r="1496" spans="1:27" x14ac:dyDescent="0.2">
      <c r="A1496">
        <f t="shared" si="46"/>
        <v>3</v>
      </c>
      <c r="B1496">
        <f t="shared" si="47"/>
        <v>13</v>
      </c>
      <c r="C1496" s="1">
        <v>46103</v>
      </c>
      <c r="D1496" t="s">
        <v>25</v>
      </c>
      <c r="E1496" t="s">
        <v>26</v>
      </c>
      <c r="F1496" t="s">
        <v>27</v>
      </c>
      <c r="G1496" t="s">
        <v>124</v>
      </c>
      <c r="H1496" t="s">
        <v>29</v>
      </c>
      <c r="I1496" t="s">
        <v>30</v>
      </c>
      <c r="J1496" t="s">
        <v>101</v>
      </c>
      <c r="K1496" t="s">
        <v>87</v>
      </c>
      <c r="L1496" t="s">
        <v>479</v>
      </c>
      <c r="M1496" s="4">
        <v>4</v>
      </c>
      <c r="N1496" s="4">
        <v>1</v>
      </c>
      <c r="O1496" s="2">
        <v>0.25</v>
      </c>
      <c r="P1496" s="3">
        <v>0.21</v>
      </c>
      <c r="Q1496" s="3">
        <v>0.21</v>
      </c>
      <c r="R1496" s="3">
        <v>0</v>
      </c>
      <c r="S1496" s="2"/>
      <c r="T1496" s="5">
        <v>0</v>
      </c>
      <c r="U1496" s="4">
        <v>0</v>
      </c>
      <c r="V1496" s="4">
        <v>0</v>
      </c>
      <c r="W1496" s="2">
        <v>0</v>
      </c>
      <c r="X1496" s="4">
        <v>0</v>
      </c>
      <c r="Y1496" s="4">
        <v>0</v>
      </c>
      <c r="Z1496" s="3">
        <v>0</v>
      </c>
      <c r="AA1496" s="3">
        <v>0</v>
      </c>
    </row>
    <row r="1497" spans="1:27" x14ac:dyDescent="0.2">
      <c r="A1497">
        <f t="shared" si="46"/>
        <v>3</v>
      </c>
      <c r="B1497">
        <f t="shared" si="47"/>
        <v>13</v>
      </c>
      <c r="C1497" s="1">
        <v>46106</v>
      </c>
      <c r="D1497" t="s">
        <v>25</v>
      </c>
      <c r="E1497" t="s">
        <v>26</v>
      </c>
      <c r="F1497" t="s">
        <v>27</v>
      </c>
      <c r="G1497" t="s">
        <v>28</v>
      </c>
      <c r="H1497" t="s">
        <v>29</v>
      </c>
      <c r="I1497" t="s">
        <v>30</v>
      </c>
      <c r="J1497" t="s">
        <v>101</v>
      </c>
      <c r="K1497" t="s">
        <v>32</v>
      </c>
      <c r="L1497" t="s">
        <v>915</v>
      </c>
      <c r="M1497" s="4">
        <v>1</v>
      </c>
      <c r="N1497" s="4">
        <v>1</v>
      </c>
      <c r="O1497" s="2">
        <v>1</v>
      </c>
      <c r="P1497" s="3">
        <v>0.21</v>
      </c>
      <c r="Q1497" s="3">
        <v>0.21</v>
      </c>
      <c r="R1497" s="3">
        <v>0</v>
      </c>
      <c r="S1497" s="2"/>
      <c r="T1497" s="5">
        <v>0</v>
      </c>
      <c r="U1497" s="4">
        <v>0</v>
      </c>
      <c r="V1497" s="4">
        <v>0</v>
      </c>
      <c r="W1497" s="2">
        <v>0</v>
      </c>
      <c r="X1497" s="4">
        <v>0</v>
      </c>
      <c r="Y1497" s="4">
        <v>0</v>
      </c>
      <c r="Z1497" s="3">
        <v>0</v>
      </c>
      <c r="AA1497" s="3">
        <v>0</v>
      </c>
    </row>
    <row r="1498" spans="1:27" x14ac:dyDescent="0.2">
      <c r="A1498">
        <f t="shared" si="46"/>
        <v>3</v>
      </c>
      <c r="B1498">
        <f t="shared" si="47"/>
        <v>14</v>
      </c>
      <c r="C1498" s="1">
        <v>46110</v>
      </c>
      <c r="D1498" t="s">
        <v>25</v>
      </c>
      <c r="E1498" t="s">
        <v>26</v>
      </c>
      <c r="F1498" t="s">
        <v>27</v>
      </c>
      <c r="G1498" t="s">
        <v>124</v>
      </c>
      <c r="H1498" t="s">
        <v>29</v>
      </c>
      <c r="I1498" t="s">
        <v>30</v>
      </c>
      <c r="J1498" t="s">
        <v>31</v>
      </c>
      <c r="K1498" t="s">
        <v>87</v>
      </c>
      <c r="L1498" t="s">
        <v>916</v>
      </c>
      <c r="M1498" s="4">
        <v>1</v>
      </c>
      <c r="N1498" s="4">
        <v>1</v>
      </c>
      <c r="O1498" s="2">
        <v>1</v>
      </c>
      <c r="P1498" s="3">
        <v>0.2</v>
      </c>
      <c r="Q1498" s="3">
        <v>0.2</v>
      </c>
      <c r="R1498" s="3">
        <v>0</v>
      </c>
      <c r="S1498" s="2"/>
      <c r="T1498" s="5">
        <v>0</v>
      </c>
      <c r="U1498" s="4">
        <v>0</v>
      </c>
      <c r="V1498" s="4">
        <v>0</v>
      </c>
      <c r="W1498" s="2">
        <v>0</v>
      </c>
      <c r="X1498" s="4">
        <v>0</v>
      </c>
      <c r="Y1498" s="4">
        <v>0</v>
      </c>
      <c r="Z1498" s="3">
        <v>0</v>
      </c>
      <c r="AA1498" s="3">
        <v>0</v>
      </c>
    </row>
    <row r="1499" spans="1:27" x14ac:dyDescent="0.2">
      <c r="A1499">
        <f t="shared" si="46"/>
        <v>3</v>
      </c>
      <c r="B1499">
        <f t="shared" si="47"/>
        <v>13</v>
      </c>
      <c r="C1499" s="1">
        <v>46107</v>
      </c>
      <c r="D1499" t="s">
        <v>25</v>
      </c>
      <c r="E1499" t="s">
        <v>26</v>
      </c>
      <c r="F1499" t="s">
        <v>61</v>
      </c>
      <c r="G1499" t="s">
        <v>62</v>
      </c>
      <c r="H1499" t="s">
        <v>29</v>
      </c>
      <c r="I1499" t="s">
        <v>30</v>
      </c>
      <c r="J1499" t="s">
        <v>95</v>
      </c>
      <c r="K1499" t="s">
        <v>42</v>
      </c>
      <c r="L1499" t="s">
        <v>917</v>
      </c>
      <c r="M1499" s="4">
        <v>1</v>
      </c>
      <c r="N1499" s="4">
        <v>1</v>
      </c>
      <c r="O1499" s="2">
        <v>1</v>
      </c>
      <c r="P1499" s="3">
        <v>1.17</v>
      </c>
      <c r="Q1499" s="3">
        <v>1.17</v>
      </c>
      <c r="R1499" s="3">
        <v>0</v>
      </c>
      <c r="S1499" s="2"/>
      <c r="T1499" s="5">
        <v>0</v>
      </c>
      <c r="U1499" s="4">
        <v>0</v>
      </c>
      <c r="V1499" s="4">
        <v>0</v>
      </c>
      <c r="W1499" s="2">
        <v>0</v>
      </c>
      <c r="X1499" s="4">
        <v>0</v>
      </c>
      <c r="Y1499" s="4">
        <v>0</v>
      </c>
      <c r="Z1499" s="3">
        <v>0</v>
      </c>
      <c r="AA1499" s="3">
        <v>0</v>
      </c>
    </row>
    <row r="1500" spans="1:27" x14ac:dyDescent="0.2">
      <c r="A1500">
        <f t="shared" si="46"/>
        <v>3</v>
      </c>
      <c r="B1500">
        <f t="shared" si="47"/>
        <v>14</v>
      </c>
      <c r="C1500" s="1">
        <v>46111</v>
      </c>
      <c r="D1500" t="s">
        <v>25</v>
      </c>
      <c r="E1500" t="s">
        <v>26</v>
      </c>
      <c r="F1500" t="s">
        <v>27</v>
      </c>
      <c r="G1500" t="s">
        <v>28</v>
      </c>
      <c r="H1500" t="s">
        <v>29</v>
      </c>
      <c r="I1500" t="s">
        <v>30</v>
      </c>
      <c r="J1500" t="s">
        <v>31</v>
      </c>
      <c r="K1500" t="s">
        <v>32</v>
      </c>
      <c r="L1500" t="s">
        <v>918</v>
      </c>
      <c r="M1500" s="4">
        <v>2</v>
      </c>
      <c r="N1500" s="4">
        <v>1</v>
      </c>
      <c r="O1500" s="2">
        <v>0.5</v>
      </c>
      <c r="P1500" s="3">
        <v>0.21</v>
      </c>
      <c r="Q1500" s="3">
        <v>0.21</v>
      </c>
      <c r="R1500" s="3">
        <v>0</v>
      </c>
      <c r="S1500" s="2"/>
      <c r="T1500" s="5">
        <v>0</v>
      </c>
      <c r="U1500" s="4">
        <v>0</v>
      </c>
      <c r="V1500" s="4">
        <v>0</v>
      </c>
      <c r="W1500" s="2">
        <v>0</v>
      </c>
      <c r="X1500" s="4">
        <v>0</v>
      </c>
      <c r="Y1500" s="4">
        <v>0</v>
      </c>
      <c r="Z1500" s="3">
        <v>0</v>
      </c>
      <c r="AA1500" s="3">
        <v>0</v>
      </c>
    </row>
    <row r="1501" spans="1:27" x14ac:dyDescent="0.2">
      <c r="A1501">
        <f t="shared" si="46"/>
        <v>3</v>
      </c>
      <c r="B1501">
        <f t="shared" si="47"/>
        <v>13</v>
      </c>
      <c r="C1501" s="1">
        <v>46105</v>
      </c>
      <c r="D1501" t="s">
        <v>25</v>
      </c>
      <c r="E1501" t="s">
        <v>26</v>
      </c>
      <c r="F1501" t="s">
        <v>27</v>
      </c>
      <c r="G1501" t="s">
        <v>28</v>
      </c>
      <c r="H1501" t="s">
        <v>29</v>
      </c>
      <c r="I1501" t="s">
        <v>30</v>
      </c>
      <c r="J1501" t="s">
        <v>31</v>
      </c>
      <c r="K1501" t="s">
        <v>32</v>
      </c>
      <c r="L1501" t="s">
        <v>919</v>
      </c>
      <c r="M1501" s="4">
        <v>2</v>
      </c>
      <c r="N1501" s="4">
        <v>1</v>
      </c>
      <c r="O1501" s="2">
        <v>0.5</v>
      </c>
      <c r="P1501" s="3">
        <v>0.21</v>
      </c>
      <c r="Q1501" s="3">
        <v>0.21</v>
      </c>
      <c r="R1501" s="3">
        <v>0</v>
      </c>
      <c r="S1501" s="2"/>
      <c r="T1501" s="5">
        <v>0</v>
      </c>
      <c r="U1501" s="4">
        <v>0</v>
      </c>
      <c r="V1501" s="4">
        <v>0</v>
      </c>
      <c r="W1501" s="2">
        <v>0</v>
      </c>
      <c r="X1501" s="4">
        <v>0</v>
      </c>
      <c r="Y1501" s="4">
        <v>0</v>
      </c>
      <c r="Z1501" s="3">
        <v>0</v>
      </c>
      <c r="AA1501" s="3">
        <v>0</v>
      </c>
    </row>
    <row r="1502" spans="1:27" x14ac:dyDescent="0.2">
      <c r="A1502">
        <f t="shared" si="46"/>
        <v>3</v>
      </c>
      <c r="B1502">
        <f t="shared" si="47"/>
        <v>13</v>
      </c>
      <c r="C1502" s="1">
        <v>46105</v>
      </c>
      <c r="D1502" t="s">
        <v>25</v>
      </c>
      <c r="E1502" t="s">
        <v>26</v>
      </c>
      <c r="F1502" t="s">
        <v>27</v>
      </c>
      <c r="G1502" t="s">
        <v>28</v>
      </c>
      <c r="H1502" t="s">
        <v>29</v>
      </c>
      <c r="I1502" t="s">
        <v>30</v>
      </c>
      <c r="J1502" t="s">
        <v>133</v>
      </c>
      <c r="K1502" t="s">
        <v>32</v>
      </c>
      <c r="L1502" t="s">
        <v>920</v>
      </c>
      <c r="M1502" s="4">
        <v>2</v>
      </c>
      <c r="N1502" s="4">
        <v>1</v>
      </c>
      <c r="O1502" s="2">
        <v>0.5</v>
      </c>
      <c r="P1502" s="3">
        <v>0.21</v>
      </c>
      <c r="Q1502" s="3">
        <v>0.21</v>
      </c>
      <c r="R1502" s="3">
        <v>0</v>
      </c>
      <c r="S1502" s="2"/>
      <c r="T1502" s="5">
        <v>0</v>
      </c>
      <c r="U1502" s="4">
        <v>0</v>
      </c>
      <c r="V1502" s="4">
        <v>0</v>
      </c>
      <c r="W1502" s="2">
        <v>0</v>
      </c>
      <c r="X1502" s="4">
        <v>0</v>
      </c>
      <c r="Y1502" s="4">
        <v>0</v>
      </c>
      <c r="Z1502" s="3">
        <v>0</v>
      </c>
      <c r="AA1502" s="3">
        <v>0</v>
      </c>
    </row>
    <row r="1503" spans="1:27" x14ac:dyDescent="0.2">
      <c r="A1503">
        <f t="shared" si="46"/>
        <v>3</v>
      </c>
      <c r="B1503">
        <f t="shared" si="47"/>
        <v>14</v>
      </c>
      <c r="C1503" s="1">
        <v>46112</v>
      </c>
      <c r="D1503" t="s">
        <v>25</v>
      </c>
      <c r="E1503" t="s">
        <v>26</v>
      </c>
      <c r="F1503" t="s">
        <v>27</v>
      </c>
      <c r="G1503" t="s">
        <v>28</v>
      </c>
      <c r="H1503" t="s">
        <v>29</v>
      </c>
      <c r="I1503" t="s">
        <v>30</v>
      </c>
      <c r="J1503" t="s">
        <v>31</v>
      </c>
      <c r="K1503" t="s">
        <v>32</v>
      </c>
      <c r="L1503" t="s">
        <v>921</v>
      </c>
      <c r="M1503" s="4">
        <v>2</v>
      </c>
      <c r="N1503" s="4">
        <v>1</v>
      </c>
      <c r="O1503" s="2">
        <v>0.5</v>
      </c>
      <c r="P1503" s="3">
        <v>0.21</v>
      </c>
      <c r="Q1503" s="3">
        <v>0.21</v>
      </c>
      <c r="R1503" s="3">
        <v>0</v>
      </c>
      <c r="S1503" s="2"/>
      <c r="T1503" s="5">
        <v>0</v>
      </c>
      <c r="U1503" s="4">
        <v>0</v>
      </c>
      <c r="V1503" s="4">
        <v>0</v>
      </c>
      <c r="W1503" s="2">
        <v>0</v>
      </c>
      <c r="X1503" s="4">
        <v>0</v>
      </c>
      <c r="Y1503" s="4">
        <v>0</v>
      </c>
      <c r="Z1503" s="3">
        <v>0</v>
      </c>
      <c r="AA1503" s="3">
        <v>0</v>
      </c>
    </row>
    <row r="1504" spans="1:27" x14ac:dyDescent="0.2">
      <c r="A1504">
        <f t="shared" si="46"/>
        <v>3</v>
      </c>
      <c r="B1504">
        <f t="shared" si="47"/>
        <v>14</v>
      </c>
      <c r="C1504" s="1">
        <v>46110</v>
      </c>
      <c r="D1504" t="s">
        <v>25</v>
      </c>
      <c r="E1504" t="s">
        <v>26</v>
      </c>
      <c r="F1504" t="s">
        <v>27</v>
      </c>
      <c r="G1504" t="s">
        <v>124</v>
      </c>
      <c r="H1504" t="s">
        <v>29</v>
      </c>
      <c r="I1504" t="s">
        <v>30</v>
      </c>
      <c r="J1504" t="s">
        <v>101</v>
      </c>
      <c r="K1504" t="s">
        <v>87</v>
      </c>
      <c r="L1504" t="s">
        <v>215</v>
      </c>
      <c r="M1504" s="4">
        <v>12</v>
      </c>
      <c r="N1504" s="4">
        <v>1</v>
      </c>
      <c r="O1504" s="2">
        <v>8.3333333333333315E-2</v>
      </c>
      <c r="P1504" s="3">
        <v>0.2</v>
      </c>
      <c r="Q1504" s="3">
        <v>0.2</v>
      </c>
      <c r="R1504" s="3">
        <v>0</v>
      </c>
      <c r="S1504" s="2"/>
      <c r="T1504" s="5">
        <v>0</v>
      </c>
      <c r="U1504" s="4">
        <v>0</v>
      </c>
      <c r="V1504" s="4">
        <v>0</v>
      </c>
      <c r="W1504" s="2">
        <v>0</v>
      </c>
      <c r="X1504" s="4">
        <v>0</v>
      </c>
      <c r="Y1504" s="4">
        <v>0</v>
      </c>
      <c r="Z1504" s="3">
        <v>0</v>
      </c>
      <c r="AA1504" s="3">
        <v>0</v>
      </c>
    </row>
    <row r="1505" spans="1:27" x14ac:dyDescent="0.2">
      <c r="A1505">
        <f t="shared" si="46"/>
        <v>3</v>
      </c>
      <c r="B1505">
        <f t="shared" si="47"/>
        <v>14</v>
      </c>
      <c r="C1505" s="1">
        <v>46111</v>
      </c>
      <c r="D1505" t="s">
        <v>25</v>
      </c>
      <c r="E1505" t="s">
        <v>26</v>
      </c>
      <c r="F1505" t="s">
        <v>27</v>
      </c>
      <c r="G1505" t="s">
        <v>124</v>
      </c>
      <c r="H1505" t="s">
        <v>29</v>
      </c>
      <c r="I1505" t="s">
        <v>30</v>
      </c>
      <c r="J1505" t="s">
        <v>101</v>
      </c>
      <c r="K1505" t="s">
        <v>87</v>
      </c>
      <c r="L1505" t="s">
        <v>215</v>
      </c>
      <c r="M1505" s="4">
        <v>8</v>
      </c>
      <c r="N1505" s="4">
        <v>1</v>
      </c>
      <c r="O1505" s="2">
        <v>0.125</v>
      </c>
      <c r="P1505" s="3">
        <v>0.2</v>
      </c>
      <c r="Q1505" s="3">
        <v>0.2</v>
      </c>
      <c r="R1505" s="3">
        <v>37.979999999999997</v>
      </c>
      <c r="S1505" s="2">
        <v>5.2659294365455514E-3</v>
      </c>
      <c r="T1505" s="5">
        <v>189.89999999999998</v>
      </c>
      <c r="U1505" s="4">
        <v>1</v>
      </c>
      <c r="V1505" s="4">
        <v>2</v>
      </c>
      <c r="W1505" s="2">
        <v>1</v>
      </c>
      <c r="X1505" s="4">
        <v>2</v>
      </c>
      <c r="Y1505" s="4">
        <v>0</v>
      </c>
      <c r="Z1505" s="3">
        <v>37.979999999999997</v>
      </c>
      <c r="AA1505" s="3">
        <v>0</v>
      </c>
    </row>
    <row r="1506" spans="1:27" x14ac:dyDescent="0.2">
      <c r="A1506">
        <f t="shared" si="46"/>
        <v>3</v>
      </c>
      <c r="B1506">
        <f t="shared" si="47"/>
        <v>13</v>
      </c>
      <c r="C1506" s="1">
        <v>46106</v>
      </c>
      <c r="D1506" t="s">
        <v>25</v>
      </c>
      <c r="E1506" t="s">
        <v>26</v>
      </c>
      <c r="F1506" t="s">
        <v>39</v>
      </c>
      <c r="G1506" t="s">
        <v>40</v>
      </c>
      <c r="H1506" t="s">
        <v>29</v>
      </c>
      <c r="I1506" t="s">
        <v>30</v>
      </c>
      <c r="J1506" t="s">
        <v>922</v>
      </c>
      <c r="K1506" t="s">
        <v>42</v>
      </c>
      <c r="L1506" t="s">
        <v>215</v>
      </c>
      <c r="M1506" s="4">
        <v>4</v>
      </c>
      <c r="N1506" s="4">
        <v>1</v>
      </c>
      <c r="O1506" s="2">
        <v>0.25</v>
      </c>
      <c r="P1506" s="3">
        <v>0.32</v>
      </c>
      <c r="Q1506" s="3">
        <v>0.32</v>
      </c>
      <c r="R1506" s="3">
        <v>0</v>
      </c>
      <c r="S1506" s="2"/>
      <c r="T1506" s="5">
        <v>0</v>
      </c>
      <c r="U1506" s="4">
        <v>0</v>
      </c>
      <c r="V1506" s="4">
        <v>0</v>
      </c>
      <c r="W1506" s="2">
        <v>0</v>
      </c>
      <c r="X1506" s="4">
        <v>0</v>
      </c>
      <c r="Y1506" s="4">
        <v>0</v>
      </c>
      <c r="Z1506" s="3">
        <v>0</v>
      </c>
      <c r="AA1506" s="3">
        <v>0</v>
      </c>
    </row>
    <row r="1507" spans="1:27" x14ac:dyDescent="0.2">
      <c r="A1507">
        <f t="shared" si="46"/>
        <v>3</v>
      </c>
      <c r="B1507">
        <f t="shared" si="47"/>
        <v>13</v>
      </c>
      <c r="C1507" s="1">
        <v>46103</v>
      </c>
      <c r="D1507" t="s">
        <v>25</v>
      </c>
      <c r="E1507" t="s">
        <v>26</v>
      </c>
      <c r="F1507" t="s">
        <v>27</v>
      </c>
      <c r="G1507" t="s">
        <v>28</v>
      </c>
      <c r="H1507" t="s">
        <v>29</v>
      </c>
      <c r="I1507" t="s">
        <v>30</v>
      </c>
      <c r="J1507" t="s">
        <v>243</v>
      </c>
      <c r="K1507" t="s">
        <v>32</v>
      </c>
      <c r="L1507" t="s">
        <v>923</v>
      </c>
      <c r="M1507" s="4">
        <v>1</v>
      </c>
      <c r="N1507" s="4">
        <v>1</v>
      </c>
      <c r="O1507" s="2">
        <v>1</v>
      </c>
      <c r="P1507" s="3">
        <v>0.21</v>
      </c>
      <c r="Q1507" s="3">
        <v>0.21</v>
      </c>
      <c r="R1507" s="3">
        <v>0</v>
      </c>
      <c r="S1507" s="2"/>
      <c r="T1507" s="5">
        <v>0</v>
      </c>
      <c r="U1507" s="4">
        <v>0</v>
      </c>
      <c r="V1507" s="4">
        <v>0</v>
      </c>
      <c r="W1507" s="2">
        <v>0</v>
      </c>
      <c r="X1507" s="4">
        <v>0</v>
      </c>
      <c r="Y1507" s="4">
        <v>0</v>
      </c>
      <c r="Z1507" s="3">
        <v>0</v>
      </c>
      <c r="AA1507" s="3">
        <v>0</v>
      </c>
    </row>
    <row r="1508" spans="1:27" x14ac:dyDescent="0.2">
      <c r="A1508">
        <f t="shared" si="46"/>
        <v>3</v>
      </c>
      <c r="B1508">
        <f t="shared" si="47"/>
        <v>14</v>
      </c>
      <c r="C1508" s="1">
        <v>46110</v>
      </c>
      <c r="D1508" t="s">
        <v>25</v>
      </c>
      <c r="E1508" t="s">
        <v>26</v>
      </c>
      <c r="F1508" t="s">
        <v>27</v>
      </c>
      <c r="G1508" t="s">
        <v>28</v>
      </c>
      <c r="H1508" t="s">
        <v>29</v>
      </c>
      <c r="I1508" t="s">
        <v>30</v>
      </c>
      <c r="J1508" t="s">
        <v>101</v>
      </c>
      <c r="K1508" t="s">
        <v>32</v>
      </c>
      <c r="L1508" t="s">
        <v>924</v>
      </c>
      <c r="M1508" s="4">
        <v>1</v>
      </c>
      <c r="N1508" s="4">
        <v>1</v>
      </c>
      <c r="O1508" s="2">
        <v>1</v>
      </c>
      <c r="P1508" s="3">
        <v>0.21</v>
      </c>
      <c r="Q1508" s="3">
        <v>0.21</v>
      </c>
      <c r="R1508" s="3">
        <v>0</v>
      </c>
      <c r="S1508" s="2"/>
      <c r="T1508" s="5">
        <v>0</v>
      </c>
      <c r="U1508" s="4">
        <v>0</v>
      </c>
      <c r="V1508" s="4">
        <v>0</v>
      </c>
      <c r="W1508" s="2">
        <v>0</v>
      </c>
      <c r="X1508" s="4">
        <v>0</v>
      </c>
      <c r="Y1508" s="4">
        <v>0</v>
      </c>
      <c r="Z1508" s="3">
        <v>0</v>
      </c>
      <c r="AA1508" s="3">
        <v>0</v>
      </c>
    </row>
    <row r="1509" spans="1:27" x14ac:dyDescent="0.2">
      <c r="A1509">
        <f t="shared" si="46"/>
        <v>3</v>
      </c>
      <c r="B1509">
        <f t="shared" si="47"/>
        <v>13</v>
      </c>
      <c r="C1509" s="1">
        <v>46103</v>
      </c>
      <c r="D1509" t="s">
        <v>25</v>
      </c>
      <c r="E1509" t="s">
        <v>26</v>
      </c>
      <c r="F1509" t="s">
        <v>27</v>
      </c>
      <c r="G1509" t="s">
        <v>28</v>
      </c>
      <c r="H1509" t="s">
        <v>29</v>
      </c>
      <c r="I1509" t="s">
        <v>30</v>
      </c>
      <c r="J1509" t="s">
        <v>44</v>
      </c>
      <c r="K1509" t="s">
        <v>32</v>
      </c>
      <c r="L1509" t="s">
        <v>925</v>
      </c>
      <c r="M1509" s="4">
        <v>5</v>
      </c>
      <c r="N1509" s="4">
        <v>1</v>
      </c>
      <c r="O1509" s="2">
        <v>0.2</v>
      </c>
      <c r="P1509" s="3">
        <v>0.21</v>
      </c>
      <c r="Q1509" s="3">
        <v>0.21</v>
      </c>
      <c r="R1509" s="3">
        <v>0</v>
      </c>
      <c r="S1509" s="2"/>
      <c r="T1509" s="5">
        <v>0</v>
      </c>
      <c r="U1509" s="4">
        <v>0</v>
      </c>
      <c r="V1509" s="4">
        <v>0</v>
      </c>
      <c r="W1509" s="2">
        <v>0</v>
      </c>
      <c r="X1509" s="4">
        <v>0</v>
      </c>
      <c r="Y1509" s="4">
        <v>0</v>
      </c>
      <c r="Z1509" s="3">
        <v>0</v>
      </c>
      <c r="AA1509" s="3">
        <v>0</v>
      </c>
    </row>
    <row r="1510" spans="1:27" x14ac:dyDescent="0.2">
      <c r="A1510">
        <f t="shared" si="46"/>
        <v>3</v>
      </c>
      <c r="B1510">
        <f t="shared" si="47"/>
        <v>13</v>
      </c>
      <c r="C1510" s="1">
        <v>46105</v>
      </c>
      <c r="D1510" t="s">
        <v>25</v>
      </c>
      <c r="E1510" t="s">
        <v>26</v>
      </c>
      <c r="F1510" t="s">
        <v>27</v>
      </c>
      <c r="G1510" t="s">
        <v>124</v>
      </c>
      <c r="H1510" t="s">
        <v>29</v>
      </c>
      <c r="I1510" t="s">
        <v>30</v>
      </c>
      <c r="J1510" t="s">
        <v>44</v>
      </c>
      <c r="K1510" t="s">
        <v>87</v>
      </c>
      <c r="L1510" t="s">
        <v>926</v>
      </c>
      <c r="M1510" s="4">
        <v>2</v>
      </c>
      <c r="N1510" s="4">
        <v>1</v>
      </c>
      <c r="O1510" s="2">
        <v>0.5</v>
      </c>
      <c r="P1510" s="3">
        <v>0.08</v>
      </c>
      <c r="Q1510" s="3">
        <v>0.08</v>
      </c>
      <c r="R1510" s="3">
        <v>0</v>
      </c>
      <c r="S1510" s="2"/>
      <c r="T1510" s="5">
        <v>0</v>
      </c>
      <c r="U1510" s="4">
        <v>0</v>
      </c>
      <c r="V1510" s="4">
        <v>0</v>
      </c>
      <c r="W1510" s="2">
        <v>0</v>
      </c>
      <c r="X1510" s="4">
        <v>0</v>
      </c>
      <c r="Y1510" s="4">
        <v>0</v>
      </c>
      <c r="Z1510" s="3">
        <v>0</v>
      </c>
      <c r="AA1510" s="3">
        <v>0</v>
      </c>
    </row>
    <row r="1511" spans="1:27" x14ac:dyDescent="0.2">
      <c r="A1511">
        <f t="shared" si="46"/>
        <v>3</v>
      </c>
      <c r="B1511">
        <f t="shared" si="47"/>
        <v>14</v>
      </c>
      <c r="C1511" s="1">
        <v>46112</v>
      </c>
      <c r="D1511" t="s">
        <v>25</v>
      </c>
      <c r="E1511" t="s">
        <v>26</v>
      </c>
      <c r="F1511" t="s">
        <v>27</v>
      </c>
      <c r="G1511" t="s">
        <v>124</v>
      </c>
      <c r="H1511" t="s">
        <v>29</v>
      </c>
      <c r="I1511" t="s">
        <v>30</v>
      </c>
      <c r="J1511" t="s">
        <v>44</v>
      </c>
      <c r="K1511" t="s">
        <v>87</v>
      </c>
      <c r="L1511" t="s">
        <v>927</v>
      </c>
      <c r="M1511" s="4">
        <v>1</v>
      </c>
      <c r="N1511" s="4">
        <v>1</v>
      </c>
      <c r="O1511" s="2">
        <v>1</v>
      </c>
      <c r="P1511" s="3">
        <v>0.4</v>
      </c>
      <c r="Q1511" s="3">
        <v>0.4</v>
      </c>
      <c r="R1511" s="3">
        <v>0</v>
      </c>
      <c r="S1511" s="2"/>
      <c r="T1511" s="5">
        <v>0</v>
      </c>
      <c r="U1511" s="4">
        <v>0</v>
      </c>
      <c r="V1511" s="4">
        <v>0</v>
      </c>
      <c r="W1511" s="2">
        <v>0</v>
      </c>
      <c r="X1511" s="4">
        <v>0</v>
      </c>
      <c r="Y1511" s="4">
        <v>0</v>
      </c>
      <c r="Z1511" s="3">
        <v>0</v>
      </c>
      <c r="AA1511" s="3">
        <v>0</v>
      </c>
    </row>
    <row r="1512" spans="1:27" x14ac:dyDescent="0.2">
      <c r="A1512">
        <f t="shared" si="46"/>
        <v>3</v>
      </c>
      <c r="B1512">
        <f t="shared" si="47"/>
        <v>13</v>
      </c>
      <c r="C1512" s="1">
        <v>46107</v>
      </c>
      <c r="D1512" t="s">
        <v>25</v>
      </c>
      <c r="E1512" t="s">
        <v>26</v>
      </c>
      <c r="F1512" t="s">
        <v>27</v>
      </c>
      <c r="G1512" t="s">
        <v>28</v>
      </c>
      <c r="H1512" t="s">
        <v>29</v>
      </c>
      <c r="I1512" t="s">
        <v>30</v>
      </c>
      <c r="J1512" t="s">
        <v>101</v>
      </c>
      <c r="K1512" t="s">
        <v>32</v>
      </c>
      <c r="L1512" t="s">
        <v>928</v>
      </c>
      <c r="M1512" s="4">
        <v>2</v>
      </c>
      <c r="N1512" s="4">
        <v>1</v>
      </c>
      <c r="O1512" s="2">
        <v>0.5</v>
      </c>
      <c r="P1512" s="3">
        <v>0.21</v>
      </c>
      <c r="Q1512" s="3">
        <v>0.21</v>
      </c>
      <c r="R1512" s="3">
        <v>0</v>
      </c>
      <c r="S1512" s="2"/>
      <c r="T1512" s="5">
        <v>0</v>
      </c>
      <c r="U1512" s="4">
        <v>0</v>
      </c>
      <c r="V1512" s="4">
        <v>0</v>
      </c>
      <c r="W1512" s="2">
        <v>0</v>
      </c>
      <c r="X1512" s="4">
        <v>0</v>
      </c>
      <c r="Y1512" s="4">
        <v>0</v>
      </c>
      <c r="Z1512" s="3">
        <v>0</v>
      </c>
      <c r="AA1512" s="3">
        <v>0</v>
      </c>
    </row>
    <row r="1513" spans="1:27" x14ac:dyDescent="0.2">
      <c r="A1513">
        <f t="shared" si="46"/>
        <v>3</v>
      </c>
      <c r="B1513">
        <f t="shared" si="47"/>
        <v>13</v>
      </c>
      <c r="C1513" s="1">
        <v>46105</v>
      </c>
      <c r="D1513" t="s">
        <v>25</v>
      </c>
      <c r="E1513" t="s">
        <v>26</v>
      </c>
      <c r="F1513" t="s">
        <v>53</v>
      </c>
      <c r="G1513" t="s">
        <v>54</v>
      </c>
      <c r="H1513" t="s">
        <v>29</v>
      </c>
      <c r="I1513" t="s">
        <v>30</v>
      </c>
      <c r="J1513" t="s">
        <v>95</v>
      </c>
      <c r="K1513" t="s">
        <v>42</v>
      </c>
      <c r="L1513" t="s">
        <v>929</v>
      </c>
      <c r="M1513" s="4">
        <v>1</v>
      </c>
      <c r="N1513" s="4">
        <v>1</v>
      </c>
      <c r="O1513" s="2">
        <v>1</v>
      </c>
      <c r="P1513" s="3">
        <v>0.45</v>
      </c>
      <c r="Q1513" s="3">
        <v>0.45</v>
      </c>
      <c r="R1513" s="3">
        <v>0</v>
      </c>
      <c r="S1513" s="2"/>
      <c r="T1513" s="5">
        <v>0</v>
      </c>
      <c r="U1513" s="4">
        <v>0</v>
      </c>
      <c r="V1513" s="4">
        <v>0</v>
      </c>
      <c r="W1513" s="2">
        <v>0</v>
      </c>
      <c r="X1513" s="4">
        <v>0</v>
      </c>
      <c r="Y1513" s="4">
        <v>0</v>
      </c>
      <c r="Z1513" s="3">
        <v>0</v>
      </c>
      <c r="AA1513" s="3">
        <v>0</v>
      </c>
    </row>
    <row r="1514" spans="1:27" x14ac:dyDescent="0.2">
      <c r="A1514">
        <f t="shared" si="46"/>
        <v>3</v>
      </c>
      <c r="B1514">
        <f t="shared" si="47"/>
        <v>14</v>
      </c>
      <c r="C1514" s="1">
        <v>46110</v>
      </c>
      <c r="D1514" t="s">
        <v>25</v>
      </c>
      <c r="E1514" t="s">
        <v>26</v>
      </c>
      <c r="F1514" t="s">
        <v>53</v>
      </c>
      <c r="G1514" t="s">
        <v>54</v>
      </c>
      <c r="H1514" t="s">
        <v>29</v>
      </c>
      <c r="I1514" t="s">
        <v>30</v>
      </c>
      <c r="J1514" t="s">
        <v>47</v>
      </c>
      <c r="K1514" t="s">
        <v>42</v>
      </c>
      <c r="L1514" t="s">
        <v>228</v>
      </c>
      <c r="M1514" s="4">
        <v>1</v>
      </c>
      <c r="N1514" s="4">
        <v>1</v>
      </c>
      <c r="O1514" s="2">
        <v>1</v>
      </c>
      <c r="P1514" s="3">
        <v>0.65</v>
      </c>
      <c r="Q1514" s="3">
        <v>0.65</v>
      </c>
      <c r="R1514" s="3">
        <v>0</v>
      </c>
      <c r="S1514" s="2"/>
      <c r="T1514" s="5">
        <v>0</v>
      </c>
      <c r="U1514" s="4">
        <v>0</v>
      </c>
      <c r="V1514" s="4">
        <v>0</v>
      </c>
      <c r="W1514" s="2">
        <v>0</v>
      </c>
      <c r="X1514" s="4">
        <v>0</v>
      </c>
      <c r="Y1514" s="4">
        <v>0</v>
      </c>
      <c r="Z1514" s="3">
        <v>0</v>
      </c>
      <c r="AA1514" s="3">
        <v>0</v>
      </c>
    </row>
    <row r="1515" spans="1:27" x14ac:dyDescent="0.2">
      <c r="A1515">
        <f t="shared" si="46"/>
        <v>3</v>
      </c>
      <c r="B1515">
        <f t="shared" si="47"/>
        <v>14</v>
      </c>
      <c r="C1515" s="1">
        <v>46111</v>
      </c>
      <c r="D1515" t="s">
        <v>25</v>
      </c>
      <c r="E1515" t="s">
        <v>26</v>
      </c>
      <c r="F1515" t="s">
        <v>53</v>
      </c>
      <c r="G1515" t="s">
        <v>54</v>
      </c>
      <c r="H1515" t="s">
        <v>29</v>
      </c>
      <c r="I1515" t="s">
        <v>30</v>
      </c>
      <c r="J1515" t="s">
        <v>47</v>
      </c>
      <c r="K1515" t="s">
        <v>42</v>
      </c>
      <c r="L1515" t="s">
        <v>233</v>
      </c>
      <c r="M1515" s="4">
        <v>4</v>
      </c>
      <c r="N1515" s="4">
        <v>2</v>
      </c>
      <c r="O1515" s="2">
        <v>0.5</v>
      </c>
      <c r="P1515" s="3">
        <v>0.65</v>
      </c>
      <c r="Q1515" s="3">
        <v>1.3</v>
      </c>
      <c r="R1515" s="3">
        <v>0</v>
      </c>
      <c r="S1515" s="2"/>
      <c r="T1515" s="5">
        <v>0</v>
      </c>
      <c r="U1515" s="4">
        <v>0</v>
      </c>
      <c r="V1515" s="4">
        <v>0</v>
      </c>
      <c r="W1515" s="2">
        <v>0</v>
      </c>
      <c r="X1515" s="4">
        <v>0</v>
      </c>
      <c r="Y1515" s="4">
        <v>0</v>
      </c>
      <c r="Z1515" s="3">
        <v>0</v>
      </c>
      <c r="AA1515" s="3">
        <v>0</v>
      </c>
    </row>
    <row r="1516" spans="1:27" x14ac:dyDescent="0.2">
      <c r="A1516">
        <f t="shared" si="46"/>
        <v>3</v>
      </c>
      <c r="B1516">
        <f t="shared" si="47"/>
        <v>13</v>
      </c>
      <c r="C1516" s="1">
        <v>46109</v>
      </c>
      <c r="D1516" t="s">
        <v>25</v>
      </c>
      <c r="E1516" t="s">
        <v>26</v>
      </c>
      <c r="F1516" t="s">
        <v>53</v>
      </c>
      <c r="G1516" t="s">
        <v>54</v>
      </c>
      <c r="H1516" t="s">
        <v>29</v>
      </c>
      <c r="I1516" t="s">
        <v>30</v>
      </c>
      <c r="J1516" t="s">
        <v>47</v>
      </c>
      <c r="K1516" t="s">
        <v>42</v>
      </c>
      <c r="L1516" t="s">
        <v>930</v>
      </c>
      <c r="M1516" s="4">
        <v>2</v>
      </c>
      <c r="N1516" s="4">
        <v>1</v>
      </c>
      <c r="O1516" s="2">
        <v>0.5</v>
      </c>
      <c r="P1516" s="3">
        <v>0.5</v>
      </c>
      <c r="Q1516" s="3">
        <v>0.5</v>
      </c>
      <c r="R1516" s="3">
        <v>0</v>
      </c>
      <c r="S1516" s="2"/>
      <c r="T1516" s="5">
        <v>0</v>
      </c>
      <c r="U1516" s="4">
        <v>0</v>
      </c>
      <c r="V1516" s="4">
        <v>0</v>
      </c>
      <c r="W1516" s="2">
        <v>0</v>
      </c>
      <c r="X1516" s="4">
        <v>0</v>
      </c>
      <c r="Y1516" s="4">
        <v>0</v>
      </c>
      <c r="Z1516" s="3">
        <v>0</v>
      </c>
      <c r="AA1516" s="3">
        <v>0</v>
      </c>
    </row>
    <row r="1517" spans="1:27" x14ac:dyDescent="0.2">
      <c r="A1517">
        <f t="shared" si="46"/>
        <v>3</v>
      </c>
      <c r="B1517">
        <f t="shared" si="47"/>
        <v>14</v>
      </c>
      <c r="C1517" s="1">
        <v>46110</v>
      </c>
      <c r="D1517" t="s">
        <v>25</v>
      </c>
      <c r="E1517" t="s">
        <v>26</v>
      </c>
      <c r="F1517" t="s">
        <v>61</v>
      </c>
      <c r="G1517" t="s">
        <v>62</v>
      </c>
      <c r="H1517" t="s">
        <v>29</v>
      </c>
      <c r="I1517" t="s">
        <v>30</v>
      </c>
      <c r="J1517" t="s">
        <v>95</v>
      </c>
      <c r="K1517" t="s">
        <v>42</v>
      </c>
      <c r="L1517" t="s">
        <v>931</v>
      </c>
      <c r="M1517" s="4">
        <v>2</v>
      </c>
      <c r="N1517" s="4">
        <v>1</v>
      </c>
      <c r="O1517" s="2">
        <v>0.5</v>
      </c>
      <c r="P1517" s="3">
        <v>1.2</v>
      </c>
      <c r="Q1517" s="3">
        <v>1.2</v>
      </c>
      <c r="R1517" s="3">
        <v>0</v>
      </c>
      <c r="S1517" s="2"/>
      <c r="T1517" s="5">
        <v>0</v>
      </c>
      <c r="U1517" s="4">
        <v>0</v>
      </c>
      <c r="V1517" s="4">
        <v>0</v>
      </c>
      <c r="W1517" s="2">
        <v>0</v>
      </c>
      <c r="X1517" s="4">
        <v>0</v>
      </c>
      <c r="Y1517" s="4">
        <v>0</v>
      </c>
      <c r="Z1517" s="3">
        <v>0</v>
      </c>
      <c r="AA1517" s="3">
        <v>0</v>
      </c>
    </row>
    <row r="1518" spans="1:27" x14ac:dyDescent="0.2">
      <c r="A1518">
        <f t="shared" si="46"/>
        <v>3</v>
      </c>
      <c r="B1518">
        <f t="shared" si="47"/>
        <v>13</v>
      </c>
      <c r="C1518" s="1">
        <v>46104</v>
      </c>
      <c r="D1518" t="s">
        <v>25</v>
      </c>
      <c r="E1518" t="s">
        <v>26</v>
      </c>
      <c r="F1518" t="s">
        <v>61</v>
      </c>
      <c r="G1518" t="s">
        <v>62</v>
      </c>
      <c r="H1518" t="s">
        <v>29</v>
      </c>
      <c r="I1518" t="s">
        <v>30</v>
      </c>
      <c r="J1518" t="s">
        <v>95</v>
      </c>
      <c r="K1518" t="s">
        <v>42</v>
      </c>
      <c r="L1518" t="s">
        <v>932</v>
      </c>
      <c r="M1518" s="4">
        <v>15</v>
      </c>
      <c r="N1518" s="4">
        <v>1</v>
      </c>
      <c r="O1518" s="2">
        <v>6.6666666666666666E-2</v>
      </c>
      <c r="P1518" s="3">
        <v>1.25</v>
      </c>
      <c r="Q1518" s="3">
        <v>1.25</v>
      </c>
      <c r="R1518" s="3">
        <v>0</v>
      </c>
      <c r="S1518" s="2"/>
      <c r="T1518" s="5">
        <v>0</v>
      </c>
      <c r="U1518" s="4">
        <v>0</v>
      </c>
      <c r="V1518" s="4">
        <v>0</v>
      </c>
      <c r="W1518" s="2">
        <v>0</v>
      </c>
      <c r="X1518" s="4">
        <v>0</v>
      </c>
      <c r="Y1518" s="4">
        <v>0</v>
      </c>
      <c r="Z1518" s="3">
        <v>0</v>
      </c>
      <c r="AA1518" s="3">
        <v>0</v>
      </c>
    </row>
    <row r="1519" spans="1:27" x14ac:dyDescent="0.2">
      <c r="A1519">
        <f t="shared" si="46"/>
        <v>3</v>
      </c>
      <c r="B1519">
        <f t="shared" si="47"/>
        <v>13</v>
      </c>
      <c r="C1519" s="1">
        <v>46107</v>
      </c>
      <c r="D1519" t="s">
        <v>25</v>
      </c>
      <c r="E1519" t="s">
        <v>26</v>
      </c>
      <c r="F1519" t="s">
        <v>61</v>
      </c>
      <c r="G1519" t="s">
        <v>62</v>
      </c>
      <c r="H1519" t="s">
        <v>29</v>
      </c>
      <c r="I1519" t="s">
        <v>30</v>
      </c>
      <c r="J1519" t="s">
        <v>95</v>
      </c>
      <c r="K1519" t="s">
        <v>42</v>
      </c>
      <c r="L1519" t="s">
        <v>932</v>
      </c>
      <c r="M1519" s="4">
        <v>56</v>
      </c>
      <c r="N1519" s="4">
        <v>1</v>
      </c>
      <c r="O1519" s="2">
        <v>1.7857142857142856E-2</v>
      </c>
      <c r="P1519" s="3">
        <v>1.17</v>
      </c>
      <c r="Q1519" s="3">
        <v>1.17</v>
      </c>
      <c r="R1519" s="3">
        <v>0</v>
      </c>
      <c r="S1519" s="2"/>
      <c r="T1519" s="5">
        <v>0</v>
      </c>
      <c r="U1519" s="4">
        <v>0</v>
      </c>
      <c r="V1519" s="4">
        <v>0</v>
      </c>
      <c r="W1519" s="2">
        <v>0</v>
      </c>
      <c r="X1519" s="4">
        <v>0</v>
      </c>
      <c r="Y1519" s="4">
        <v>0</v>
      </c>
      <c r="Z1519" s="3">
        <v>0</v>
      </c>
      <c r="AA1519" s="3">
        <v>0</v>
      </c>
    </row>
    <row r="1520" spans="1:27" x14ac:dyDescent="0.2">
      <c r="A1520">
        <f t="shared" si="46"/>
        <v>3</v>
      </c>
      <c r="B1520">
        <f t="shared" si="47"/>
        <v>13</v>
      </c>
      <c r="C1520" s="1">
        <v>46104</v>
      </c>
      <c r="D1520" t="s">
        <v>25</v>
      </c>
      <c r="E1520" t="s">
        <v>26</v>
      </c>
      <c r="F1520" t="s">
        <v>27</v>
      </c>
      <c r="G1520" t="s">
        <v>124</v>
      </c>
      <c r="H1520" t="s">
        <v>29</v>
      </c>
      <c r="I1520" t="s">
        <v>30</v>
      </c>
      <c r="J1520" t="s">
        <v>242</v>
      </c>
      <c r="K1520" t="s">
        <v>267</v>
      </c>
      <c r="L1520" t="s">
        <v>242</v>
      </c>
      <c r="M1520" s="4">
        <v>1</v>
      </c>
      <c r="N1520" s="4">
        <v>1</v>
      </c>
      <c r="O1520" s="2">
        <v>1</v>
      </c>
      <c r="P1520" s="3">
        <v>0.21</v>
      </c>
      <c r="Q1520" s="3">
        <v>0.21</v>
      </c>
      <c r="R1520" s="3">
        <v>0</v>
      </c>
      <c r="S1520" s="2"/>
      <c r="T1520" s="5">
        <v>0</v>
      </c>
      <c r="U1520" s="4">
        <v>0</v>
      </c>
      <c r="V1520" s="4">
        <v>0</v>
      </c>
      <c r="W1520" s="2">
        <v>0</v>
      </c>
      <c r="X1520" s="4">
        <v>0</v>
      </c>
      <c r="Y1520" s="4">
        <v>0</v>
      </c>
      <c r="Z1520" s="3">
        <v>0</v>
      </c>
      <c r="AA1520" s="3">
        <v>0</v>
      </c>
    </row>
    <row r="1521" spans="1:27" x14ac:dyDescent="0.2">
      <c r="A1521">
        <f t="shared" si="46"/>
        <v>3</v>
      </c>
      <c r="B1521">
        <f t="shared" si="47"/>
        <v>13</v>
      </c>
      <c r="C1521" s="1">
        <v>46108</v>
      </c>
      <c r="D1521" t="s">
        <v>25</v>
      </c>
      <c r="E1521" t="s">
        <v>26</v>
      </c>
      <c r="F1521" t="s">
        <v>112</v>
      </c>
      <c r="G1521" t="s">
        <v>62</v>
      </c>
      <c r="H1521" t="s">
        <v>29</v>
      </c>
      <c r="I1521" t="s">
        <v>30</v>
      </c>
      <c r="J1521" t="s">
        <v>173</v>
      </c>
      <c r="K1521" t="s">
        <v>32</v>
      </c>
      <c r="L1521" t="s">
        <v>933</v>
      </c>
      <c r="M1521" s="4">
        <v>1</v>
      </c>
      <c r="N1521" s="4">
        <v>1</v>
      </c>
      <c r="O1521" s="2">
        <v>1</v>
      </c>
      <c r="P1521" s="3">
        <v>0.4</v>
      </c>
      <c r="Q1521" s="3">
        <v>0.4</v>
      </c>
      <c r="R1521" s="3">
        <v>0</v>
      </c>
      <c r="S1521" s="2"/>
      <c r="T1521" s="5">
        <v>0</v>
      </c>
      <c r="U1521" s="4">
        <v>0</v>
      </c>
      <c r="V1521" s="4">
        <v>0</v>
      </c>
      <c r="W1521" s="2">
        <v>0</v>
      </c>
      <c r="X1521" s="4">
        <v>0</v>
      </c>
      <c r="Y1521" s="4">
        <v>0</v>
      </c>
      <c r="Z1521" s="3">
        <v>0</v>
      </c>
      <c r="AA1521" s="3">
        <v>0</v>
      </c>
    </row>
    <row r="1522" spans="1:27" x14ac:dyDescent="0.2">
      <c r="A1522">
        <f t="shared" si="46"/>
        <v>3</v>
      </c>
      <c r="B1522">
        <f t="shared" si="47"/>
        <v>13</v>
      </c>
      <c r="C1522" s="1">
        <v>46108</v>
      </c>
      <c r="D1522" t="s">
        <v>25</v>
      </c>
      <c r="E1522" t="s">
        <v>26</v>
      </c>
      <c r="F1522" t="s">
        <v>53</v>
      </c>
      <c r="G1522" t="s">
        <v>54</v>
      </c>
      <c r="H1522" t="s">
        <v>29</v>
      </c>
      <c r="I1522" t="s">
        <v>30</v>
      </c>
      <c r="J1522" t="s">
        <v>95</v>
      </c>
      <c r="K1522" t="s">
        <v>42</v>
      </c>
      <c r="L1522" t="s">
        <v>934</v>
      </c>
      <c r="M1522" s="4">
        <v>1</v>
      </c>
      <c r="N1522" s="4">
        <v>1</v>
      </c>
      <c r="O1522" s="2">
        <v>1</v>
      </c>
      <c r="P1522" s="3">
        <v>0.35</v>
      </c>
      <c r="Q1522" s="3">
        <v>0.35</v>
      </c>
      <c r="R1522" s="3">
        <v>0</v>
      </c>
      <c r="S1522" s="2"/>
      <c r="T1522" s="5">
        <v>0</v>
      </c>
      <c r="U1522" s="4">
        <v>0</v>
      </c>
      <c r="V1522" s="4">
        <v>0</v>
      </c>
      <c r="W1522" s="2">
        <v>0</v>
      </c>
      <c r="X1522" s="4">
        <v>0</v>
      </c>
      <c r="Y1522" s="4">
        <v>0</v>
      </c>
      <c r="Z1522" s="3">
        <v>0</v>
      </c>
      <c r="AA1522" s="3">
        <v>0</v>
      </c>
    </row>
    <row r="1523" spans="1:27" x14ac:dyDescent="0.2">
      <c r="A1523">
        <f t="shared" si="46"/>
        <v>3</v>
      </c>
      <c r="B1523">
        <f t="shared" si="47"/>
        <v>14</v>
      </c>
      <c r="C1523" s="1">
        <v>46112</v>
      </c>
      <c r="D1523" t="s">
        <v>25</v>
      </c>
      <c r="E1523" t="s">
        <v>26</v>
      </c>
      <c r="F1523" t="s">
        <v>61</v>
      </c>
      <c r="G1523" t="s">
        <v>62</v>
      </c>
      <c r="H1523" t="s">
        <v>29</v>
      </c>
      <c r="I1523" t="s">
        <v>30</v>
      </c>
      <c r="J1523" t="s">
        <v>95</v>
      </c>
      <c r="K1523" t="s">
        <v>42</v>
      </c>
      <c r="L1523" t="s">
        <v>935</v>
      </c>
      <c r="M1523" s="4">
        <v>1</v>
      </c>
      <c r="N1523" s="4">
        <v>1</v>
      </c>
      <c r="O1523" s="2">
        <v>1</v>
      </c>
      <c r="P1523" s="3">
        <v>1.67</v>
      </c>
      <c r="Q1523" s="3">
        <v>1.67</v>
      </c>
      <c r="R1523" s="3">
        <v>0</v>
      </c>
      <c r="S1523" s="2"/>
      <c r="T1523" s="5">
        <v>0</v>
      </c>
      <c r="U1523" s="4">
        <v>0</v>
      </c>
      <c r="V1523" s="4">
        <v>0</v>
      </c>
      <c r="W1523" s="2">
        <v>0</v>
      </c>
      <c r="X1523" s="4">
        <v>0</v>
      </c>
      <c r="Y1523" s="4">
        <v>0</v>
      </c>
      <c r="Z1523" s="3">
        <v>0</v>
      </c>
      <c r="AA1523" s="3">
        <v>0</v>
      </c>
    </row>
    <row r="1524" spans="1:27" x14ac:dyDescent="0.2">
      <c r="A1524">
        <f t="shared" si="46"/>
        <v>3</v>
      </c>
      <c r="B1524">
        <f t="shared" si="47"/>
        <v>13</v>
      </c>
      <c r="C1524" s="1">
        <v>46106</v>
      </c>
      <c r="D1524" t="s">
        <v>25</v>
      </c>
      <c r="E1524" t="s">
        <v>26</v>
      </c>
      <c r="F1524" t="s">
        <v>49</v>
      </c>
      <c r="G1524" t="s">
        <v>50</v>
      </c>
      <c r="H1524" t="s">
        <v>29</v>
      </c>
      <c r="I1524" t="s">
        <v>30</v>
      </c>
      <c r="J1524" t="s">
        <v>95</v>
      </c>
      <c r="K1524" t="s">
        <v>42</v>
      </c>
      <c r="L1524" t="s">
        <v>936</v>
      </c>
      <c r="M1524" s="4">
        <v>4</v>
      </c>
      <c r="N1524" s="4">
        <v>1</v>
      </c>
      <c r="O1524" s="2">
        <v>0.25</v>
      </c>
      <c r="P1524" s="3">
        <v>0.76</v>
      </c>
      <c r="Q1524" s="3">
        <v>0.76</v>
      </c>
      <c r="R1524" s="3">
        <v>0</v>
      </c>
      <c r="S1524" s="2"/>
      <c r="T1524" s="5">
        <v>0</v>
      </c>
      <c r="U1524" s="4">
        <v>0</v>
      </c>
      <c r="V1524" s="4">
        <v>0</v>
      </c>
      <c r="W1524" s="2">
        <v>0</v>
      </c>
      <c r="X1524" s="4">
        <v>0</v>
      </c>
      <c r="Y1524" s="4">
        <v>0</v>
      </c>
      <c r="Z1524" s="3">
        <v>0</v>
      </c>
      <c r="AA1524" s="3">
        <v>0</v>
      </c>
    </row>
    <row r="1525" spans="1:27" x14ac:dyDescent="0.2">
      <c r="A1525">
        <f t="shared" si="46"/>
        <v>3</v>
      </c>
      <c r="B1525">
        <f t="shared" si="47"/>
        <v>14</v>
      </c>
      <c r="C1525" s="1">
        <v>46111</v>
      </c>
      <c r="D1525" t="s">
        <v>25</v>
      </c>
      <c r="E1525" t="s">
        <v>26</v>
      </c>
      <c r="F1525" t="s">
        <v>27</v>
      </c>
      <c r="G1525" t="s">
        <v>28</v>
      </c>
      <c r="H1525" t="s">
        <v>29</v>
      </c>
      <c r="I1525" t="s">
        <v>30</v>
      </c>
      <c r="J1525" t="s">
        <v>253</v>
      </c>
      <c r="K1525" t="s">
        <v>32</v>
      </c>
      <c r="L1525" t="s">
        <v>937</v>
      </c>
      <c r="M1525" s="4">
        <v>1</v>
      </c>
      <c r="N1525" s="4">
        <v>1</v>
      </c>
      <c r="O1525" s="2">
        <v>1</v>
      </c>
      <c r="P1525" s="3">
        <v>0.4</v>
      </c>
      <c r="Q1525" s="3">
        <v>0.4</v>
      </c>
      <c r="R1525" s="3">
        <v>0</v>
      </c>
      <c r="S1525" s="2"/>
      <c r="T1525" s="5">
        <v>0</v>
      </c>
      <c r="U1525" s="4">
        <v>0</v>
      </c>
      <c r="V1525" s="4">
        <v>0</v>
      </c>
      <c r="W1525" s="2">
        <v>0</v>
      </c>
      <c r="X1525" s="4">
        <v>0</v>
      </c>
      <c r="Y1525" s="4">
        <v>0</v>
      </c>
      <c r="Z1525" s="3">
        <v>0</v>
      </c>
      <c r="AA1525" s="3">
        <v>0</v>
      </c>
    </row>
    <row r="1526" spans="1:27" x14ac:dyDescent="0.2">
      <c r="A1526">
        <f t="shared" si="46"/>
        <v>3</v>
      </c>
      <c r="B1526">
        <f t="shared" si="47"/>
        <v>13</v>
      </c>
      <c r="C1526" s="1">
        <v>46106</v>
      </c>
      <c r="D1526" t="s">
        <v>25</v>
      </c>
      <c r="E1526" t="s">
        <v>26</v>
      </c>
      <c r="F1526" t="s">
        <v>27</v>
      </c>
      <c r="G1526" t="s">
        <v>28</v>
      </c>
      <c r="H1526" t="s">
        <v>29</v>
      </c>
      <c r="I1526" t="s">
        <v>30</v>
      </c>
      <c r="J1526" t="s">
        <v>305</v>
      </c>
      <c r="K1526" t="s">
        <v>32</v>
      </c>
      <c r="L1526" t="s">
        <v>938</v>
      </c>
      <c r="M1526" s="4">
        <v>1</v>
      </c>
      <c r="N1526" s="4">
        <v>1</v>
      </c>
      <c r="O1526" s="2">
        <v>1</v>
      </c>
      <c r="P1526" s="3">
        <v>0.08</v>
      </c>
      <c r="Q1526" s="3">
        <v>0.08</v>
      </c>
      <c r="R1526" s="3">
        <v>0</v>
      </c>
      <c r="S1526" s="2"/>
      <c r="T1526" s="5">
        <v>0</v>
      </c>
      <c r="U1526" s="4">
        <v>0</v>
      </c>
      <c r="V1526" s="4">
        <v>0</v>
      </c>
      <c r="W1526" s="2">
        <v>0</v>
      </c>
      <c r="X1526" s="4">
        <v>0</v>
      </c>
      <c r="Y1526" s="4">
        <v>0</v>
      </c>
      <c r="Z1526" s="3">
        <v>0</v>
      </c>
      <c r="AA1526" s="3">
        <v>0</v>
      </c>
    </row>
    <row r="1527" spans="1:27" x14ac:dyDescent="0.2">
      <c r="A1527">
        <f t="shared" si="46"/>
        <v>3</v>
      </c>
      <c r="B1527">
        <f t="shared" si="47"/>
        <v>13</v>
      </c>
      <c r="C1527" s="1">
        <v>46105</v>
      </c>
      <c r="D1527" t="s">
        <v>25</v>
      </c>
      <c r="E1527" t="s">
        <v>26</v>
      </c>
      <c r="F1527" t="s">
        <v>27</v>
      </c>
      <c r="G1527" t="s">
        <v>28</v>
      </c>
      <c r="H1527" t="s">
        <v>29</v>
      </c>
      <c r="I1527" t="s">
        <v>30</v>
      </c>
      <c r="J1527" t="s">
        <v>50</v>
      </c>
      <c r="K1527" t="s">
        <v>32</v>
      </c>
      <c r="L1527" t="s">
        <v>939</v>
      </c>
      <c r="M1527" s="4">
        <v>3</v>
      </c>
      <c r="N1527" s="4">
        <v>1</v>
      </c>
      <c r="O1527" s="2">
        <v>0.33333333333333331</v>
      </c>
      <c r="P1527" s="3">
        <v>0.21</v>
      </c>
      <c r="Q1527" s="3">
        <v>0.21</v>
      </c>
      <c r="R1527" s="3">
        <v>0</v>
      </c>
      <c r="S1527" s="2"/>
      <c r="T1527" s="5">
        <v>0</v>
      </c>
      <c r="U1527" s="4">
        <v>0</v>
      </c>
      <c r="V1527" s="4">
        <v>0</v>
      </c>
      <c r="W1527" s="2">
        <v>0</v>
      </c>
      <c r="X1527" s="4">
        <v>0</v>
      </c>
      <c r="Y1527" s="4">
        <v>0</v>
      </c>
      <c r="Z1527" s="3">
        <v>0</v>
      </c>
      <c r="AA1527" s="3">
        <v>0</v>
      </c>
    </row>
    <row r="1528" spans="1:27" x14ac:dyDescent="0.2">
      <c r="A1528">
        <f t="shared" si="46"/>
        <v>3</v>
      </c>
      <c r="B1528">
        <f t="shared" si="47"/>
        <v>14</v>
      </c>
      <c r="C1528" s="1">
        <v>46111</v>
      </c>
      <c r="D1528" t="s">
        <v>25</v>
      </c>
      <c r="E1528" t="s">
        <v>26</v>
      </c>
      <c r="F1528" t="s">
        <v>27</v>
      </c>
      <c r="G1528" t="s">
        <v>124</v>
      </c>
      <c r="H1528" t="s">
        <v>29</v>
      </c>
      <c r="I1528" t="s">
        <v>30</v>
      </c>
      <c r="J1528" t="s">
        <v>44</v>
      </c>
      <c r="K1528" t="s">
        <v>87</v>
      </c>
      <c r="L1528" t="s">
        <v>44</v>
      </c>
      <c r="M1528" s="4">
        <v>62</v>
      </c>
      <c r="N1528" s="4">
        <v>1</v>
      </c>
      <c r="O1528" s="2">
        <v>1.6129032258064516E-2</v>
      </c>
      <c r="P1528" s="3">
        <v>0.21</v>
      </c>
      <c r="Q1528" s="3">
        <v>0.21</v>
      </c>
      <c r="R1528" s="3">
        <v>0</v>
      </c>
      <c r="S1528" s="2"/>
      <c r="T1528" s="5">
        <v>0</v>
      </c>
      <c r="U1528" s="4">
        <v>0</v>
      </c>
      <c r="V1528" s="4">
        <v>0</v>
      </c>
      <c r="W1528" s="2">
        <v>0</v>
      </c>
      <c r="X1528" s="4">
        <v>0</v>
      </c>
      <c r="Y1528" s="4">
        <v>0</v>
      </c>
      <c r="Z1528" s="3">
        <v>0</v>
      </c>
      <c r="AA1528" s="3">
        <v>0</v>
      </c>
    </row>
    <row r="1529" spans="1:27" x14ac:dyDescent="0.2">
      <c r="A1529">
        <f t="shared" si="46"/>
        <v>3</v>
      </c>
      <c r="B1529">
        <f t="shared" si="47"/>
        <v>13</v>
      </c>
      <c r="C1529" s="1">
        <v>46105</v>
      </c>
      <c r="D1529" t="s">
        <v>25</v>
      </c>
      <c r="E1529" t="s">
        <v>26</v>
      </c>
      <c r="F1529" t="s">
        <v>27</v>
      </c>
      <c r="G1529" t="s">
        <v>124</v>
      </c>
      <c r="H1529" t="s">
        <v>29</v>
      </c>
      <c r="I1529" t="s">
        <v>30</v>
      </c>
      <c r="J1529" t="s">
        <v>44</v>
      </c>
      <c r="K1529" t="s">
        <v>267</v>
      </c>
      <c r="L1529" t="s">
        <v>44</v>
      </c>
      <c r="M1529" s="4">
        <v>25</v>
      </c>
      <c r="N1529" s="4">
        <v>1</v>
      </c>
      <c r="O1529" s="2">
        <v>0.04</v>
      </c>
      <c r="P1529" s="3">
        <v>0.2</v>
      </c>
      <c r="Q1529" s="3">
        <v>0.2</v>
      </c>
      <c r="R1529" s="3">
        <v>0</v>
      </c>
      <c r="S1529" s="2"/>
      <c r="T1529" s="5">
        <v>0</v>
      </c>
      <c r="U1529" s="4">
        <v>0</v>
      </c>
      <c r="V1529" s="4">
        <v>0</v>
      </c>
      <c r="W1529" s="2">
        <v>0</v>
      </c>
      <c r="X1529" s="4">
        <v>0</v>
      </c>
      <c r="Y1529" s="4">
        <v>0</v>
      </c>
      <c r="Z1529" s="3">
        <v>0</v>
      </c>
      <c r="AA1529" s="3">
        <v>0</v>
      </c>
    </row>
    <row r="1530" spans="1:27" x14ac:dyDescent="0.2">
      <c r="A1530">
        <f t="shared" si="46"/>
        <v>3</v>
      </c>
      <c r="B1530">
        <f t="shared" si="47"/>
        <v>13</v>
      </c>
      <c r="C1530" s="1">
        <v>46106</v>
      </c>
      <c r="D1530" t="s">
        <v>25</v>
      </c>
      <c r="E1530" t="s">
        <v>26</v>
      </c>
      <c r="F1530" t="s">
        <v>27</v>
      </c>
      <c r="G1530" t="s">
        <v>124</v>
      </c>
      <c r="H1530" t="s">
        <v>29</v>
      </c>
      <c r="I1530" t="s">
        <v>30</v>
      </c>
      <c r="J1530" t="s">
        <v>44</v>
      </c>
      <c r="K1530" t="s">
        <v>267</v>
      </c>
      <c r="L1530" t="s">
        <v>44</v>
      </c>
      <c r="M1530" s="4">
        <v>34</v>
      </c>
      <c r="N1530" s="4">
        <v>1</v>
      </c>
      <c r="O1530" s="2">
        <v>2.9411764705882349E-2</v>
      </c>
      <c r="P1530" s="3">
        <v>0.2</v>
      </c>
      <c r="Q1530" s="3">
        <v>0.2</v>
      </c>
      <c r="R1530" s="3">
        <v>0</v>
      </c>
      <c r="S1530" s="2"/>
      <c r="T1530" s="5">
        <v>0</v>
      </c>
      <c r="U1530" s="4">
        <v>0</v>
      </c>
      <c r="V1530" s="4">
        <v>0</v>
      </c>
      <c r="W1530" s="2">
        <v>0</v>
      </c>
      <c r="X1530" s="4">
        <v>0</v>
      </c>
      <c r="Y1530" s="4">
        <v>0</v>
      </c>
      <c r="Z1530" s="3">
        <v>0</v>
      </c>
      <c r="AA1530" s="3">
        <v>0</v>
      </c>
    </row>
    <row r="1531" spans="1:27" x14ac:dyDescent="0.2">
      <c r="A1531">
        <f t="shared" si="46"/>
        <v>3</v>
      </c>
      <c r="B1531">
        <f t="shared" si="47"/>
        <v>13</v>
      </c>
      <c r="C1531" s="1">
        <v>46105</v>
      </c>
      <c r="D1531" t="s">
        <v>25</v>
      </c>
      <c r="E1531" t="s">
        <v>26</v>
      </c>
      <c r="F1531" t="s">
        <v>39</v>
      </c>
      <c r="G1531" t="s">
        <v>40</v>
      </c>
      <c r="H1531" t="s">
        <v>29</v>
      </c>
      <c r="I1531" t="s">
        <v>30</v>
      </c>
      <c r="J1531" t="s">
        <v>78</v>
      </c>
      <c r="K1531" t="s">
        <v>42</v>
      </c>
      <c r="L1531" t="s">
        <v>44</v>
      </c>
      <c r="M1531" s="4">
        <v>12</v>
      </c>
      <c r="N1531" s="4">
        <v>1</v>
      </c>
      <c r="O1531" s="2">
        <v>8.3333333333333315E-2</v>
      </c>
      <c r="P1531" s="3">
        <v>0.52</v>
      </c>
      <c r="Q1531" s="3">
        <v>0.52</v>
      </c>
      <c r="R1531" s="3">
        <v>0</v>
      </c>
      <c r="S1531" s="2"/>
      <c r="T1531" s="5">
        <v>0</v>
      </c>
      <c r="U1531" s="4">
        <v>0</v>
      </c>
      <c r="V1531" s="4">
        <v>0</v>
      </c>
      <c r="W1531" s="2">
        <v>0</v>
      </c>
      <c r="X1531" s="4">
        <v>0</v>
      </c>
      <c r="Y1531" s="4">
        <v>0</v>
      </c>
      <c r="Z1531" s="3">
        <v>0</v>
      </c>
      <c r="AA1531" s="3">
        <v>0</v>
      </c>
    </row>
    <row r="1532" spans="1:27" x14ac:dyDescent="0.2">
      <c r="A1532">
        <f t="shared" si="46"/>
        <v>3</v>
      </c>
      <c r="B1532">
        <f t="shared" si="47"/>
        <v>14</v>
      </c>
      <c r="C1532" s="1">
        <v>46111</v>
      </c>
      <c r="D1532" t="s">
        <v>25</v>
      </c>
      <c r="E1532" t="s">
        <v>26</v>
      </c>
      <c r="F1532" t="s">
        <v>27</v>
      </c>
      <c r="G1532" t="s">
        <v>124</v>
      </c>
      <c r="H1532" t="s">
        <v>29</v>
      </c>
      <c r="I1532" t="s">
        <v>30</v>
      </c>
      <c r="J1532" t="s">
        <v>44</v>
      </c>
      <c r="K1532" t="s">
        <v>87</v>
      </c>
      <c r="L1532" t="s">
        <v>263</v>
      </c>
      <c r="M1532" s="4">
        <v>4</v>
      </c>
      <c r="N1532" s="4">
        <v>1</v>
      </c>
      <c r="O1532" s="2">
        <v>0.25</v>
      </c>
      <c r="P1532" s="3">
        <v>0.12</v>
      </c>
      <c r="Q1532" s="3">
        <v>0.12</v>
      </c>
      <c r="R1532" s="3">
        <v>0</v>
      </c>
      <c r="S1532" s="2"/>
      <c r="T1532" s="5">
        <v>0</v>
      </c>
      <c r="U1532" s="4">
        <v>0</v>
      </c>
      <c r="V1532" s="4">
        <v>0</v>
      </c>
      <c r="W1532" s="2">
        <v>0</v>
      </c>
      <c r="X1532" s="4">
        <v>0</v>
      </c>
      <c r="Y1532" s="4">
        <v>0</v>
      </c>
      <c r="Z1532" s="3">
        <v>0</v>
      </c>
      <c r="AA1532" s="3">
        <v>0</v>
      </c>
    </row>
    <row r="1533" spans="1:27" x14ac:dyDescent="0.2">
      <c r="A1533">
        <f t="shared" si="46"/>
        <v>3</v>
      </c>
      <c r="B1533">
        <f t="shared" si="47"/>
        <v>14</v>
      </c>
      <c r="C1533" s="1">
        <v>46112</v>
      </c>
      <c r="D1533" t="s">
        <v>25</v>
      </c>
      <c r="E1533" t="s">
        <v>26</v>
      </c>
      <c r="F1533" t="s">
        <v>27</v>
      </c>
      <c r="G1533" t="s">
        <v>28</v>
      </c>
      <c r="H1533" t="s">
        <v>29</v>
      </c>
      <c r="I1533" t="s">
        <v>30</v>
      </c>
      <c r="J1533" t="s">
        <v>101</v>
      </c>
      <c r="K1533" t="s">
        <v>32</v>
      </c>
      <c r="L1533" t="s">
        <v>940</v>
      </c>
      <c r="M1533" s="4">
        <v>4</v>
      </c>
      <c r="N1533" s="4">
        <v>1</v>
      </c>
      <c r="O1533" s="2">
        <v>0.25</v>
      </c>
      <c r="P1533" s="3">
        <v>0.21</v>
      </c>
      <c r="Q1533" s="3">
        <v>0.21</v>
      </c>
      <c r="R1533" s="3">
        <v>17.09</v>
      </c>
      <c r="S1533" s="2">
        <v>1.2287887653598594E-2</v>
      </c>
      <c r="T1533" s="5">
        <v>81.38095238095238</v>
      </c>
      <c r="U1533" s="4">
        <v>1</v>
      </c>
      <c r="V1533" s="4">
        <v>1</v>
      </c>
      <c r="W1533" s="2">
        <v>1</v>
      </c>
      <c r="X1533" s="4">
        <v>1</v>
      </c>
      <c r="Y1533" s="4">
        <v>0</v>
      </c>
      <c r="Z1533" s="3">
        <v>17.09</v>
      </c>
      <c r="AA1533" s="3">
        <v>0</v>
      </c>
    </row>
    <row r="1534" spans="1:27" x14ac:dyDescent="0.2">
      <c r="A1534">
        <f t="shared" si="46"/>
        <v>3</v>
      </c>
      <c r="B1534">
        <f t="shared" si="47"/>
        <v>14</v>
      </c>
      <c r="C1534" s="1">
        <v>46112</v>
      </c>
      <c r="D1534" t="s">
        <v>25</v>
      </c>
      <c r="E1534" t="s">
        <v>26</v>
      </c>
      <c r="F1534" t="s">
        <v>27</v>
      </c>
      <c r="G1534" t="s">
        <v>28</v>
      </c>
      <c r="H1534" t="s">
        <v>29</v>
      </c>
      <c r="I1534" t="s">
        <v>30</v>
      </c>
      <c r="J1534" t="s">
        <v>44</v>
      </c>
      <c r="K1534" t="s">
        <v>32</v>
      </c>
      <c r="L1534" t="s">
        <v>815</v>
      </c>
      <c r="M1534" s="4">
        <v>1</v>
      </c>
      <c r="N1534" s="4">
        <v>1</v>
      </c>
      <c r="O1534" s="2">
        <v>1</v>
      </c>
      <c r="P1534" s="3">
        <v>0.21</v>
      </c>
      <c r="Q1534" s="3">
        <v>0.21</v>
      </c>
      <c r="R1534" s="3">
        <v>18.989999999999998</v>
      </c>
      <c r="S1534" s="2">
        <v>1.1058451816745656E-2</v>
      </c>
      <c r="T1534" s="5">
        <v>90.428571428571431</v>
      </c>
      <c r="U1534" s="4">
        <v>1</v>
      </c>
      <c r="V1534" s="4">
        <v>1</v>
      </c>
      <c r="W1534" s="2">
        <v>1</v>
      </c>
      <c r="X1534" s="4">
        <v>1</v>
      </c>
      <c r="Y1534" s="4">
        <v>0</v>
      </c>
      <c r="Z1534" s="3">
        <v>18.989999999999998</v>
      </c>
      <c r="AA1534" s="3">
        <v>0</v>
      </c>
    </row>
    <row r="1535" spans="1:27" x14ac:dyDescent="0.2">
      <c r="A1535">
        <f t="shared" si="46"/>
        <v>3</v>
      </c>
      <c r="B1535">
        <f t="shared" si="47"/>
        <v>13</v>
      </c>
      <c r="C1535" s="1">
        <v>46106</v>
      </c>
      <c r="D1535" t="s">
        <v>25</v>
      </c>
      <c r="E1535" t="s">
        <v>26</v>
      </c>
      <c r="F1535" t="s">
        <v>49</v>
      </c>
      <c r="G1535" t="s">
        <v>50</v>
      </c>
      <c r="H1535" t="s">
        <v>29</v>
      </c>
      <c r="I1535" t="s">
        <v>30</v>
      </c>
      <c r="J1535" t="s">
        <v>95</v>
      </c>
      <c r="K1535" t="s">
        <v>42</v>
      </c>
      <c r="L1535" t="s">
        <v>941</v>
      </c>
      <c r="M1535" s="4">
        <v>5</v>
      </c>
      <c r="N1535" s="4">
        <v>1</v>
      </c>
      <c r="O1535" s="2">
        <v>0.2</v>
      </c>
      <c r="P1535" s="3">
        <v>0.5</v>
      </c>
      <c r="Q1535" s="3">
        <v>0.5</v>
      </c>
      <c r="R1535" s="3">
        <v>0</v>
      </c>
      <c r="S1535" s="2"/>
      <c r="T1535" s="5">
        <v>0</v>
      </c>
      <c r="U1535" s="4">
        <v>0</v>
      </c>
      <c r="V1535" s="4">
        <v>0</v>
      </c>
      <c r="W1535" s="2">
        <v>0</v>
      </c>
      <c r="X1535" s="4">
        <v>0</v>
      </c>
      <c r="Y1535" s="4">
        <v>0</v>
      </c>
      <c r="Z1535" s="3">
        <v>0</v>
      </c>
      <c r="AA1535" s="3">
        <v>0</v>
      </c>
    </row>
    <row r="1536" spans="1:27" x14ac:dyDescent="0.2">
      <c r="A1536">
        <f t="shared" si="46"/>
        <v>3</v>
      </c>
      <c r="B1536">
        <f t="shared" si="47"/>
        <v>13</v>
      </c>
      <c r="C1536" s="1">
        <v>46109</v>
      </c>
      <c r="D1536" t="s">
        <v>25</v>
      </c>
      <c r="E1536" t="s">
        <v>26</v>
      </c>
      <c r="F1536" t="s">
        <v>27</v>
      </c>
      <c r="G1536" t="s">
        <v>28</v>
      </c>
      <c r="H1536" t="s">
        <v>29</v>
      </c>
      <c r="I1536" t="s">
        <v>30</v>
      </c>
      <c r="J1536" t="s">
        <v>101</v>
      </c>
      <c r="K1536" t="s">
        <v>32</v>
      </c>
      <c r="L1536" t="s">
        <v>941</v>
      </c>
      <c r="M1536" s="4">
        <v>2</v>
      </c>
      <c r="N1536" s="4">
        <v>1</v>
      </c>
      <c r="O1536" s="2">
        <v>0.5</v>
      </c>
      <c r="P1536" s="3">
        <v>0.08</v>
      </c>
      <c r="Q1536" s="3">
        <v>0.08</v>
      </c>
      <c r="R1536" s="3">
        <v>0</v>
      </c>
      <c r="S1536" s="2"/>
      <c r="T1536" s="5">
        <v>0</v>
      </c>
      <c r="U1536" s="4">
        <v>0</v>
      </c>
      <c r="V1536" s="4">
        <v>0</v>
      </c>
      <c r="W1536" s="2">
        <v>0</v>
      </c>
      <c r="X1536" s="4">
        <v>0</v>
      </c>
      <c r="Y1536" s="4">
        <v>0</v>
      </c>
      <c r="Z1536" s="3">
        <v>0</v>
      </c>
      <c r="AA1536" s="3">
        <v>0</v>
      </c>
    </row>
    <row r="1537" spans="1:27" x14ac:dyDescent="0.2">
      <c r="A1537">
        <f t="shared" si="46"/>
        <v>3</v>
      </c>
      <c r="B1537">
        <f t="shared" si="47"/>
        <v>13</v>
      </c>
      <c r="C1537" s="1">
        <v>46105</v>
      </c>
      <c r="D1537" t="s">
        <v>25</v>
      </c>
      <c r="E1537" t="s">
        <v>26</v>
      </c>
      <c r="F1537" t="s">
        <v>27</v>
      </c>
      <c r="G1537" t="s">
        <v>124</v>
      </c>
      <c r="H1537" t="s">
        <v>29</v>
      </c>
      <c r="I1537" t="s">
        <v>30</v>
      </c>
      <c r="J1537" t="s">
        <v>44</v>
      </c>
      <c r="K1537" t="s">
        <v>87</v>
      </c>
      <c r="L1537" t="s">
        <v>942</v>
      </c>
      <c r="M1537" s="4">
        <v>2</v>
      </c>
      <c r="N1537" s="4">
        <v>1</v>
      </c>
      <c r="O1537" s="2">
        <v>0.5</v>
      </c>
      <c r="P1537" s="3">
        <v>0.12</v>
      </c>
      <c r="Q1537" s="3">
        <v>0.12</v>
      </c>
      <c r="R1537" s="3">
        <v>17.09</v>
      </c>
      <c r="S1537" s="2">
        <v>7.0216500877706258E-3</v>
      </c>
      <c r="T1537" s="5">
        <v>142.41666666666666</v>
      </c>
      <c r="U1537" s="4">
        <v>1</v>
      </c>
      <c r="V1537" s="4">
        <v>1</v>
      </c>
      <c r="W1537" s="2">
        <v>1</v>
      </c>
      <c r="X1537" s="4">
        <v>0</v>
      </c>
      <c r="Y1537" s="4">
        <v>1</v>
      </c>
      <c r="Z1537" s="3">
        <v>0</v>
      </c>
      <c r="AA1537" s="3">
        <v>17.09</v>
      </c>
    </row>
    <row r="1538" spans="1:27" x14ac:dyDescent="0.2">
      <c r="A1538">
        <f t="shared" si="46"/>
        <v>3</v>
      </c>
      <c r="B1538">
        <f t="shared" si="47"/>
        <v>13</v>
      </c>
      <c r="C1538" s="1">
        <v>46106</v>
      </c>
      <c r="D1538" t="s">
        <v>25</v>
      </c>
      <c r="E1538" t="s">
        <v>26</v>
      </c>
      <c r="F1538" t="s">
        <v>49</v>
      </c>
      <c r="G1538" t="s">
        <v>50</v>
      </c>
      <c r="H1538" t="s">
        <v>29</v>
      </c>
      <c r="I1538" t="s">
        <v>30</v>
      </c>
      <c r="J1538" t="s">
        <v>95</v>
      </c>
      <c r="K1538" t="s">
        <v>42</v>
      </c>
      <c r="L1538" t="s">
        <v>943</v>
      </c>
      <c r="M1538" s="4">
        <v>1</v>
      </c>
      <c r="N1538" s="4">
        <v>1</v>
      </c>
      <c r="O1538" s="2">
        <v>1</v>
      </c>
      <c r="P1538" s="3">
        <v>0.61</v>
      </c>
      <c r="Q1538" s="3">
        <v>0.61</v>
      </c>
      <c r="R1538" s="3">
        <v>0</v>
      </c>
      <c r="S1538" s="2"/>
      <c r="T1538" s="5">
        <v>0</v>
      </c>
      <c r="U1538" s="4">
        <v>0</v>
      </c>
      <c r="V1538" s="4">
        <v>0</v>
      </c>
      <c r="W1538" s="2">
        <v>0</v>
      </c>
      <c r="X1538" s="4">
        <v>0</v>
      </c>
      <c r="Y1538" s="4">
        <v>0</v>
      </c>
      <c r="Z1538" s="3">
        <v>0</v>
      </c>
      <c r="AA1538" s="3">
        <v>0</v>
      </c>
    </row>
    <row r="1539" spans="1:27" x14ac:dyDescent="0.2">
      <c r="A1539">
        <f t="shared" ref="A1539:A1602" si="48">MONTH(C1539)</f>
        <v>3</v>
      </c>
      <c r="B1539">
        <f t="shared" ref="B1539:B1602" si="49">WEEKNUM(C1539,1)</f>
        <v>13</v>
      </c>
      <c r="C1539" s="1">
        <v>46104</v>
      </c>
      <c r="D1539" t="s">
        <v>25</v>
      </c>
      <c r="E1539" t="s">
        <v>26</v>
      </c>
      <c r="F1539" t="s">
        <v>49</v>
      </c>
      <c r="G1539" t="s">
        <v>50</v>
      </c>
      <c r="H1539" t="s">
        <v>29</v>
      </c>
      <c r="I1539" t="s">
        <v>30</v>
      </c>
      <c r="J1539" t="s">
        <v>95</v>
      </c>
      <c r="K1539" t="s">
        <v>42</v>
      </c>
      <c r="L1539" t="s">
        <v>944</v>
      </c>
      <c r="M1539" s="4">
        <v>2</v>
      </c>
      <c r="N1539" s="4">
        <v>1</v>
      </c>
      <c r="O1539" s="2">
        <v>0.5</v>
      </c>
      <c r="P1539" s="3">
        <v>0.65</v>
      </c>
      <c r="Q1539" s="3">
        <v>0.65</v>
      </c>
      <c r="R1539" s="3">
        <v>0</v>
      </c>
      <c r="S1539" s="2"/>
      <c r="T1539" s="5">
        <v>0</v>
      </c>
      <c r="U1539" s="4">
        <v>0</v>
      </c>
      <c r="V1539" s="4">
        <v>0</v>
      </c>
      <c r="W1539" s="2">
        <v>0</v>
      </c>
      <c r="X1539" s="4">
        <v>0</v>
      </c>
      <c r="Y1539" s="4">
        <v>0</v>
      </c>
      <c r="Z1539" s="3">
        <v>0</v>
      </c>
      <c r="AA1539" s="3">
        <v>0</v>
      </c>
    </row>
    <row r="1540" spans="1:27" x14ac:dyDescent="0.2">
      <c r="A1540">
        <f t="shared" si="48"/>
        <v>3</v>
      </c>
      <c r="B1540">
        <f t="shared" si="49"/>
        <v>13</v>
      </c>
      <c r="C1540" s="1">
        <v>46105</v>
      </c>
      <c r="D1540" t="s">
        <v>25</v>
      </c>
      <c r="E1540" t="s">
        <v>26</v>
      </c>
      <c r="F1540" t="s">
        <v>27</v>
      </c>
      <c r="G1540" t="s">
        <v>124</v>
      </c>
      <c r="H1540" t="s">
        <v>29</v>
      </c>
      <c r="I1540" t="s">
        <v>30</v>
      </c>
      <c r="J1540" t="s">
        <v>119</v>
      </c>
      <c r="K1540" t="s">
        <v>267</v>
      </c>
      <c r="L1540" t="s">
        <v>119</v>
      </c>
      <c r="M1540" s="4">
        <v>18</v>
      </c>
      <c r="N1540" s="4">
        <v>1</v>
      </c>
      <c r="O1540" s="2">
        <v>5.5555555555555552E-2</v>
      </c>
      <c r="P1540" s="3">
        <v>0.21</v>
      </c>
      <c r="Q1540" s="3">
        <v>0.21</v>
      </c>
      <c r="R1540" s="3">
        <v>0</v>
      </c>
      <c r="S1540" s="2"/>
      <c r="T1540" s="5">
        <v>0</v>
      </c>
      <c r="U1540" s="4">
        <v>0</v>
      </c>
      <c r="V1540" s="4">
        <v>0</v>
      </c>
      <c r="W1540" s="2">
        <v>0</v>
      </c>
      <c r="X1540" s="4">
        <v>0</v>
      </c>
      <c r="Y1540" s="4">
        <v>0</v>
      </c>
      <c r="Z1540" s="3">
        <v>0</v>
      </c>
      <c r="AA1540" s="3">
        <v>0</v>
      </c>
    </row>
    <row r="1541" spans="1:27" x14ac:dyDescent="0.2">
      <c r="A1541">
        <f t="shared" si="48"/>
        <v>3</v>
      </c>
      <c r="B1541">
        <f t="shared" si="49"/>
        <v>13</v>
      </c>
      <c r="C1541" s="1">
        <v>46106</v>
      </c>
      <c r="D1541" t="s">
        <v>25</v>
      </c>
      <c r="E1541" t="s">
        <v>26</v>
      </c>
      <c r="F1541" t="s">
        <v>27</v>
      </c>
      <c r="G1541" t="s">
        <v>124</v>
      </c>
      <c r="H1541" t="s">
        <v>29</v>
      </c>
      <c r="I1541" t="s">
        <v>30</v>
      </c>
      <c r="J1541" t="s">
        <v>119</v>
      </c>
      <c r="K1541" t="s">
        <v>267</v>
      </c>
      <c r="L1541" t="s">
        <v>119</v>
      </c>
      <c r="M1541" s="4">
        <v>16</v>
      </c>
      <c r="N1541" s="4">
        <v>1</v>
      </c>
      <c r="O1541" s="2">
        <v>6.25E-2</v>
      </c>
      <c r="P1541" s="3">
        <v>0.21</v>
      </c>
      <c r="Q1541" s="3">
        <v>0.21</v>
      </c>
      <c r="R1541" s="3">
        <v>0</v>
      </c>
      <c r="S1541" s="2"/>
      <c r="T1541" s="5">
        <v>0</v>
      </c>
      <c r="U1541" s="4">
        <v>0</v>
      </c>
      <c r="V1541" s="4">
        <v>0</v>
      </c>
      <c r="W1541" s="2">
        <v>0</v>
      </c>
      <c r="X1541" s="4">
        <v>0</v>
      </c>
      <c r="Y1541" s="4">
        <v>0</v>
      </c>
      <c r="Z1541" s="3">
        <v>0</v>
      </c>
      <c r="AA1541" s="3">
        <v>0</v>
      </c>
    </row>
    <row r="1542" spans="1:27" x14ac:dyDescent="0.2">
      <c r="A1542">
        <f t="shared" si="48"/>
        <v>3</v>
      </c>
      <c r="B1542">
        <f t="shared" si="49"/>
        <v>14</v>
      </c>
      <c r="C1542" s="1">
        <v>46110</v>
      </c>
      <c r="D1542" t="s">
        <v>25</v>
      </c>
      <c r="E1542" t="s">
        <v>26</v>
      </c>
      <c r="F1542" t="s">
        <v>27</v>
      </c>
      <c r="G1542" t="s">
        <v>124</v>
      </c>
      <c r="H1542" t="s">
        <v>29</v>
      </c>
      <c r="I1542" t="s">
        <v>30</v>
      </c>
      <c r="J1542" t="s">
        <v>119</v>
      </c>
      <c r="K1542" t="s">
        <v>267</v>
      </c>
      <c r="L1542" t="s">
        <v>119</v>
      </c>
      <c r="M1542" s="4">
        <v>11</v>
      </c>
      <c r="N1542" s="4">
        <v>1</v>
      </c>
      <c r="O1542" s="2">
        <v>9.0909090909090925E-2</v>
      </c>
      <c r="P1542" s="3">
        <v>0.21</v>
      </c>
      <c r="Q1542" s="3">
        <v>0.21</v>
      </c>
      <c r="R1542" s="3">
        <v>0</v>
      </c>
      <c r="S1542" s="2"/>
      <c r="T1542" s="5">
        <v>0</v>
      </c>
      <c r="U1542" s="4">
        <v>0</v>
      </c>
      <c r="V1542" s="4">
        <v>0</v>
      </c>
      <c r="W1542" s="2">
        <v>0</v>
      </c>
      <c r="X1542" s="4">
        <v>0</v>
      </c>
      <c r="Y1542" s="4">
        <v>0</v>
      </c>
      <c r="Z1542" s="3">
        <v>0</v>
      </c>
      <c r="AA1542" s="3">
        <v>0</v>
      </c>
    </row>
    <row r="1543" spans="1:27" x14ac:dyDescent="0.2">
      <c r="A1543">
        <f t="shared" si="48"/>
        <v>3</v>
      </c>
      <c r="B1543">
        <f t="shared" si="49"/>
        <v>14</v>
      </c>
      <c r="C1543" s="1">
        <v>46112</v>
      </c>
      <c r="D1543" t="s">
        <v>25</v>
      </c>
      <c r="E1543" t="s">
        <v>26</v>
      </c>
      <c r="F1543" t="s">
        <v>27</v>
      </c>
      <c r="G1543" t="s">
        <v>124</v>
      </c>
      <c r="H1543" t="s">
        <v>29</v>
      </c>
      <c r="I1543" t="s">
        <v>30</v>
      </c>
      <c r="J1543" t="s">
        <v>119</v>
      </c>
      <c r="K1543" t="s">
        <v>267</v>
      </c>
      <c r="L1543" t="s">
        <v>119</v>
      </c>
      <c r="M1543" s="4">
        <v>3</v>
      </c>
      <c r="N1543" s="4">
        <v>1</v>
      </c>
      <c r="O1543" s="2">
        <v>0.33333333333333331</v>
      </c>
      <c r="P1543" s="3">
        <v>0.21</v>
      </c>
      <c r="Q1543" s="3">
        <v>0.21</v>
      </c>
      <c r="R1543" s="3">
        <v>0</v>
      </c>
      <c r="S1543" s="2"/>
      <c r="T1543" s="5">
        <v>0</v>
      </c>
      <c r="U1543" s="4">
        <v>0</v>
      </c>
      <c r="V1543" s="4">
        <v>0</v>
      </c>
      <c r="W1543" s="2">
        <v>0</v>
      </c>
      <c r="X1543" s="4">
        <v>0</v>
      </c>
      <c r="Y1543" s="4">
        <v>0</v>
      </c>
      <c r="Z1543" s="3">
        <v>0</v>
      </c>
      <c r="AA1543" s="3">
        <v>0</v>
      </c>
    </row>
    <row r="1544" spans="1:27" x14ac:dyDescent="0.2">
      <c r="A1544">
        <f t="shared" si="48"/>
        <v>3</v>
      </c>
      <c r="B1544">
        <f t="shared" si="49"/>
        <v>13</v>
      </c>
      <c r="C1544" s="1">
        <v>46109</v>
      </c>
      <c r="D1544" t="s">
        <v>25</v>
      </c>
      <c r="E1544" t="s">
        <v>26</v>
      </c>
      <c r="F1544" t="s">
        <v>27</v>
      </c>
      <c r="G1544" t="s">
        <v>28</v>
      </c>
      <c r="H1544" t="s">
        <v>29</v>
      </c>
      <c r="I1544" t="s">
        <v>30</v>
      </c>
      <c r="J1544" t="s">
        <v>119</v>
      </c>
      <c r="K1544" t="s">
        <v>32</v>
      </c>
      <c r="L1544" t="s">
        <v>945</v>
      </c>
      <c r="M1544" s="4">
        <v>1</v>
      </c>
      <c r="N1544" s="4">
        <v>1</v>
      </c>
      <c r="O1544" s="2">
        <v>1</v>
      </c>
      <c r="P1544" s="3">
        <v>0.16</v>
      </c>
      <c r="Q1544" s="3">
        <v>0.16</v>
      </c>
      <c r="R1544" s="3">
        <v>0</v>
      </c>
      <c r="S1544" s="2"/>
      <c r="T1544" s="5">
        <v>0</v>
      </c>
      <c r="U1544" s="4">
        <v>0</v>
      </c>
      <c r="V1544" s="4">
        <v>0</v>
      </c>
      <c r="W1544" s="2">
        <v>0</v>
      </c>
      <c r="X1544" s="4">
        <v>0</v>
      </c>
      <c r="Y1544" s="4">
        <v>0</v>
      </c>
      <c r="Z1544" s="3">
        <v>0</v>
      </c>
      <c r="AA1544" s="3">
        <v>0</v>
      </c>
    </row>
    <row r="1545" spans="1:27" x14ac:dyDescent="0.2">
      <c r="A1545">
        <f t="shared" si="48"/>
        <v>3</v>
      </c>
      <c r="B1545">
        <f t="shared" si="49"/>
        <v>14</v>
      </c>
      <c r="C1545" s="1">
        <v>46111</v>
      </c>
      <c r="D1545" t="s">
        <v>25</v>
      </c>
      <c r="E1545" t="s">
        <v>26</v>
      </c>
      <c r="F1545" t="s">
        <v>49</v>
      </c>
      <c r="G1545" t="s">
        <v>50</v>
      </c>
      <c r="H1545" t="s">
        <v>29</v>
      </c>
      <c r="I1545" t="s">
        <v>30</v>
      </c>
      <c r="J1545" t="s">
        <v>95</v>
      </c>
      <c r="K1545" t="s">
        <v>42</v>
      </c>
      <c r="L1545" t="s">
        <v>946</v>
      </c>
      <c r="M1545" s="4">
        <v>2</v>
      </c>
      <c r="N1545" s="4">
        <v>1</v>
      </c>
      <c r="O1545" s="2">
        <v>0.5</v>
      </c>
      <c r="P1545" s="3">
        <v>0.47</v>
      </c>
      <c r="Q1545" s="3">
        <v>0.47</v>
      </c>
      <c r="R1545" s="3">
        <v>0</v>
      </c>
      <c r="S1545" s="2"/>
      <c r="T1545" s="5">
        <v>0</v>
      </c>
      <c r="U1545" s="4">
        <v>0</v>
      </c>
      <c r="V1545" s="4">
        <v>0</v>
      </c>
      <c r="W1545" s="2">
        <v>0</v>
      </c>
      <c r="X1545" s="4">
        <v>0</v>
      </c>
      <c r="Y1545" s="4">
        <v>0</v>
      </c>
      <c r="Z1545" s="3">
        <v>0</v>
      </c>
      <c r="AA1545" s="3">
        <v>0</v>
      </c>
    </row>
    <row r="1546" spans="1:27" x14ac:dyDescent="0.2">
      <c r="A1546">
        <f t="shared" si="48"/>
        <v>3</v>
      </c>
      <c r="B1546">
        <f t="shared" si="49"/>
        <v>13</v>
      </c>
      <c r="C1546" s="1">
        <v>46104</v>
      </c>
      <c r="D1546" t="s">
        <v>25</v>
      </c>
      <c r="E1546" t="s">
        <v>26</v>
      </c>
      <c r="F1546" t="s">
        <v>27</v>
      </c>
      <c r="G1546" t="s">
        <v>28</v>
      </c>
      <c r="H1546" t="s">
        <v>29</v>
      </c>
      <c r="I1546" t="s">
        <v>30</v>
      </c>
      <c r="J1546" t="s">
        <v>243</v>
      </c>
      <c r="K1546" t="s">
        <v>32</v>
      </c>
      <c r="L1546" t="s">
        <v>947</v>
      </c>
      <c r="M1546" s="4">
        <v>1</v>
      </c>
      <c r="N1546" s="4">
        <v>1</v>
      </c>
      <c r="O1546" s="2">
        <v>1</v>
      </c>
      <c r="P1546" s="3">
        <v>0.2</v>
      </c>
      <c r="Q1546" s="3">
        <v>0.2</v>
      </c>
      <c r="R1546" s="3">
        <v>0</v>
      </c>
      <c r="S1546" s="2"/>
      <c r="T1546" s="5">
        <v>0</v>
      </c>
      <c r="U1546" s="4">
        <v>0</v>
      </c>
      <c r="V1546" s="4">
        <v>0</v>
      </c>
      <c r="W1546" s="2">
        <v>0</v>
      </c>
      <c r="X1546" s="4">
        <v>0</v>
      </c>
      <c r="Y1546" s="4">
        <v>0</v>
      </c>
      <c r="Z1546" s="3">
        <v>0</v>
      </c>
      <c r="AA1546" s="3">
        <v>0</v>
      </c>
    </row>
    <row r="1547" spans="1:27" x14ac:dyDescent="0.2">
      <c r="A1547">
        <f t="shared" si="48"/>
        <v>3</v>
      </c>
      <c r="B1547">
        <f t="shared" si="49"/>
        <v>13</v>
      </c>
      <c r="C1547" s="1">
        <v>46104</v>
      </c>
      <c r="D1547" t="s">
        <v>25</v>
      </c>
      <c r="E1547" t="s">
        <v>26</v>
      </c>
      <c r="F1547" t="s">
        <v>49</v>
      </c>
      <c r="G1547" t="s">
        <v>50</v>
      </c>
      <c r="H1547" t="s">
        <v>29</v>
      </c>
      <c r="I1547" t="s">
        <v>30</v>
      </c>
      <c r="J1547" t="s">
        <v>95</v>
      </c>
      <c r="K1547" t="s">
        <v>42</v>
      </c>
      <c r="L1547" t="s">
        <v>948</v>
      </c>
      <c r="M1547" s="4">
        <v>1</v>
      </c>
      <c r="N1547" s="4">
        <v>1</v>
      </c>
      <c r="O1547" s="2">
        <v>1</v>
      </c>
      <c r="P1547" s="3">
        <v>0.65</v>
      </c>
      <c r="Q1547" s="3">
        <v>0.65</v>
      </c>
      <c r="R1547" s="3">
        <v>0</v>
      </c>
      <c r="S1547" s="2"/>
      <c r="T1547" s="5">
        <v>0</v>
      </c>
      <c r="U1547" s="4">
        <v>0</v>
      </c>
      <c r="V1547" s="4">
        <v>0</v>
      </c>
      <c r="W1547" s="2">
        <v>0</v>
      </c>
      <c r="X1547" s="4">
        <v>0</v>
      </c>
      <c r="Y1547" s="4">
        <v>0</v>
      </c>
      <c r="Z1547" s="3">
        <v>0</v>
      </c>
      <c r="AA1547" s="3">
        <v>0</v>
      </c>
    </row>
    <row r="1548" spans="1:27" x14ac:dyDescent="0.2">
      <c r="A1548">
        <f t="shared" si="48"/>
        <v>3</v>
      </c>
      <c r="B1548">
        <f t="shared" si="49"/>
        <v>13</v>
      </c>
      <c r="C1548" s="1">
        <v>46103</v>
      </c>
      <c r="D1548" t="s">
        <v>25</v>
      </c>
      <c r="E1548" t="s">
        <v>26</v>
      </c>
      <c r="F1548" t="s">
        <v>27</v>
      </c>
      <c r="G1548" t="s">
        <v>28</v>
      </c>
      <c r="H1548" t="s">
        <v>29</v>
      </c>
      <c r="I1548" t="s">
        <v>30</v>
      </c>
      <c r="J1548" t="s">
        <v>542</v>
      </c>
      <c r="K1548" t="s">
        <v>32</v>
      </c>
      <c r="L1548" t="s">
        <v>542</v>
      </c>
      <c r="M1548" s="4">
        <v>3</v>
      </c>
      <c r="N1548" s="4">
        <v>1</v>
      </c>
      <c r="O1548" s="2">
        <v>0.33333333333333331</v>
      </c>
      <c r="P1548" s="3">
        <v>0.21</v>
      </c>
      <c r="Q1548" s="3">
        <v>0.21</v>
      </c>
      <c r="R1548" s="3">
        <v>0</v>
      </c>
      <c r="S1548" s="2"/>
      <c r="T1548" s="5">
        <v>0</v>
      </c>
      <c r="U1548" s="4">
        <v>0</v>
      </c>
      <c r="V1548" s="4">
        <v>0</v>
      </c>
      <c r="W1548" s="2">
        <v>0</v>
      </c>
      <c r="X1548" s="4">
        <v>0</v>
      </c>
      <c r="Y1548" s="4">
        <v>0</v>
      </c>
      <c r="Z1548" s="3">
        <v>0</v>
      </c>
      <c r="AA1548" s="3">
        <v>0</v>
      </c>
    </row>
    <row r="1549" spans="1:27" x14ac:dyDescent="0.2">
      <c r="A1549">
        <f t="shared" si="48"/>
        <v>3</v>
      </c>
      <c r="B1549">
        <f t="shared" si="49"/>
        <v>14</v>
      </c>
      <c r="C1549" s="1">
        <v>46110</v>
      </c>
      <c r="D1549" t="s">
        <v>25</v>
      </c>
      <c r="E1549" t="s">
        <v>26</v>
      </c>
      <c r="F1549" t="s">
        <v>49</v>
      </c>
      <c r="G1549" t="s">
        <v>50</v>
      </c>
      <c r="H1549" t="s">
        <v>29</v>
      </c>
      <c r="I1549" t="s">
        <v>30</v>
      </c>
      <c r="J1549" t="s">
        <v>47</v>
      </c>
      <c r="K1549" t="s">
        <v>42</v>
      </c>
      <c r="L1549" t="s">
        <v>31</v>
      </c>
      <c r="M1549" s="4">
        <v>14</v>
      </c>
      <c r="N1549" s="4">
        <v>1</v>
      </c>
      <c r="O1549" s="2">
        <v>7.1428571428571425E-2</v>
      </c>
      <c r="P1549" s="3">
        <v>0.65</v>
      </c>
      <c r="Q1549" s="3">
        <v>0.65</v>
      </c>
      <c r="R1549" s="3">
        <v>0</v>
      </c>
      <c r="S1549" s="2"/>
      <c r="T1549" s="5">
        <v>0</v>
      </c>
      <c r="U1549" s="4">
        <v>0</v>
      </c>
      <c r="V1549" s="4">
        <v>0</v>
      </c>
      <c r="W1549" s="2">
        <v>0</v>
      </c>
      <c r="X1549" s="4">
        <v>0</v>
      </c>
      <c r="Y1549" s="4">
        <v>0</v>
      </c>
      <c r="Z1549" s="3">
        <v>0</v>
      </c>
      <c r="AA1549" s="3">
        <v>0</v>
      </c>
    </row>
    <row r="1550" spans="1:27" x14ac:dyDescent="0.2">
      <c r="A1550">
        <f t="shared" si="48"/>
        <v>3</v>
      </c>
      <c r="B1550">
        <f t="shared" si="49"/>
        <v>13</v>
      </c>
      <c r="C1550" s="1">
        <v>46105</v>
      </c>
      <c r="D1550" t="s">
        <v>25</v>
      </c>
      <c r="E1550" t="s">
        <v>26</v>
      </c>
      <c r="F1550" t="s">
        <v>27</v>
      </c>
      <c r="G1550" t="s">
        <v>28</v>
      </c>
      <c r="H1550" t="s">
        <v>29</v>
      </c>
      <c r="I1550" t="s">
        <v>30</v>
      </c>
      <c r="J1550" t="s">
        <v>31</v>
      </c>
      <c r="K1550" t="s">
        <v>32</v>
      </c>
      <c r="L1550" t="s">
        <v>31</v>
      </c>
      <c r="M1550" s="4">
        <v>5</v>
      </c>
      <c r="N1550" s="4">
        <v>1</v>
      </c>
      <c r="O1550" s="2">
        <v>0.2</v>
      </c>
      <c r="P1550" s="3">
        <v>0.2</v>
      </c>
      <c r="Q1550" s="3">
        <v>0.2</v>
      </c>
      <c r="R1550" s="3">
        <v>0</v>
      </c>
      <c r="S1550" s="2"/>
      <c r="T1550" s="5">
        <v>0</v>
      </c>
      <c r="U1550" s="4">
        <v>0</v>
      </c>
      <c r="V1550" s="4">
        <v>0</v>
      </c>
      <c r="W1550" s="2">
        <v>0</v>
      </c>
      <c r="X1550" s="4">
        <v>0</v>
      </c>
      <c r="Y1550" s="4">
        <v>0</v>
      </c>
      <c r="Z1550" s="3">
        <v>0</v>
      </c>
      <c r="AA1550" s="3">
        <v>0</v>
      </c>
    </row>
    <row r="1551" spans="1:27" x14ac:dyDescent="0.2">
      <c r="A1551">
        <f t="shared" si="48"/>
        <v>3</v>
      </c>
      <c r="B1551">
        <f t="shared" si="49"/>
        <v>13</v>
      </c>
      <c r="C1551" s="1">
        <v>46103</v>
      </c>
      <c r="D1551" t="s">
        <v>25</v>
      </c>
      <c r="E1551" t="s">
        <v>26</v>
      </c>
      <c r="F1551" t="s">
        <v>27</v>
      </c>
      <c r="G1551" t="s">
        <v>124</v>
      </c>
      <c r="H1551" t="s">
        <v>29</v>
      </c>
      <c r="I1551" t="s">
        <v>30</v>
      </c>
      <c r="J1551" t="s">
        <v>31</v>
      </c>
      <c r="K1551" t="s">
        <v>87</v>
      </c>
      <c r="L1551" t="s">
        <v>31</v>
      </c>
      <c r="M1551" s="4">
        <v>16</v>
      </c>
      <c r="N1551" s="4">
        <v>1</v>
      </c>
      <c r="O1551" s="2">
        <v>6.25E-2</v>
      </c>
      <c r="P1551" s="3">
        <v>0.21</v>
      </c>
      <c r="Q1551" s="3">
        <v>0.21</v>
      </c>
      <c r="R1551" s="3">
        <v>0</v>
      </c>
      <c r="S1551" s="2"/>
      <c r="T1551" s="5">
        <v>0</v>
      </c>
      <c r="U1551" s="4">
        <v>0</v>
      </c>
      <c r="V1551" s="4">
        <v>0</v>
      </c>
      <c r="W1551" s="2">
        <v>0</v>
      </c>
      <c r="X1551" s="4">
        <v>0</v>
      </c>
      <c r="Y1551" s="4">
        <v>0</v>
      </c>
      <c r="Z1551" s="3">
        <v>0</v>
      </c>
      <c r="AA1551" s="3">
        <v>0</v>
      </c>
    </row>
    <row r="1552" spans="1:27" x14ac:dyDescent="0.2">
      <c r="A1552">
        <f t="shared" si="48"/>
        <v>3</v>
      </c>
      <c r="B1552">
        <f t="shared" si="49"/>
        <v>13</v>
      </c>
      <c r="C1552" s="1">
        <v>46104</v>
      </c>
      <c r="D1552" t="s">
        <v>25</v>
      </c>
      <c r="E1552" t="s">
        <v>26</v>
      </c>
      <c r="F1552" t="s">
        <v>27</v>
      </c>
      <c r="G1552" t="s">
        <v>124</v>
      </c>
      <c r="H1552" t="s">
        <v>29</v>
      </c>
      <c r="I1552" t="s">
        <v>30</v>
      </c>
      <c r="J1552" t="s">
        <v>31</v>
      </c>
      <c r="K1552" t="s">
        <v>87</v>
      </c>
      <c r="L1552" t="s">
        <v>31</v>
      </c>
      <c r="M1552" s="4">
        <v>15</v>
      </c>
      <c r="N1552" s="4">
        <v>1</v>
      </c>
      <c r="O1552" s="2">
        <v>6.6666666666666666E-2</v>
      </c>
      <c r="P1552" s="3">
        <v>0.2</v>
      </c>
      <c r="Q1552" s="3">
        <v>0.2</v>
      </c>
      <c r="R1552" s="3">
        <v>0</v>
      </c>
      <c r="S1552" s="2"/>
      <c r="T1552" s="5">
        <v>0</v>
      </c>
      <c r="U1552" s="4">
        <v>0</v>
      </c>
      <c r="V1552" s="4">
        <v>0</v>
      </c>
      <c r="W1552" s="2">
        <v>0</v>
      </c>
      <c r="X1552" s="4">
        <v>0</v>
      </c>
      <c r="Y1552" s="4">
        <v>0</v>
      </c>
      <c r="Z1552" s="3">
        <v>0</v>
      </c>
      <c r="AA1552" s="3">
        <v>0</v>
      </c>
    </row>
    <row r="1553" spans="1:27" x14ac:dyDescent="0.2">
      <c r="A1553">
        <f t="shared" si="48"/>
        <v>3</v>
      </c>
      <c r="B1553">
        <f t="shared" si="49"/>
        <v>13</v>
      </c>
      <c r="C1553" s="1">
        <v>46105</v>
      </c>
      <c r="D1553" t="s">
        <v>25</v>
      </c>
      <c r="E1553" t="s">
        <v>26</v>
      </c>
      <c r="F1553" t="s">
        <v>27</v>
      </c>
      <c r="G1553" t="s">
        <v>124</v>
      </c>
      <c r="H1553" t="s">
        <v>29</v>
      </c>
      <c r="I1553" t="s">
        <v>30</v>
      </c>
      <c r="J1553" t="s">
        <v>31</v>
      </c>
      <c r="K1553" t="s">
        <v>87</v>
      </c>
      <c r="L1553" t="s">
        <v>31</v>
      </c>
      <c r="M1553" s="4">
        <v>29</v>
      </c>
      <c r="N1553" s="4">
        <v>1</v>
      </c>
      <c r="O1553" s="2">
        <v>3.4482758620689655E-2</v>
      </c>
      <c r="P1553" s="3">
        <v>0.2</v>
      </c>
      <c r="Q1553" s="3">
        <v>0.2</v>
      </c>
      <c r="R1553" s="3">
        <v>0</v>
      </c>
      <c r="S1553" s="2"/>
      <c r="T1553" s="5">
        <v>0</v>
      </c>
      <c r="U1553" s="4">
        <v>0</v>
      </c>
      <c r="V1553" s="4">
        <v>0</v>
      </c>
      <c r="W1553" s="2">
        <v>0</v>
      </c>
      <c r="X1553" s="4">
        <v>0</v>
      </c>
      <c r="Y1553" s="4">
        <v>0</v>
      </c>
      <c r="Z1553" s="3">
        <v>0</v>
      </c>
      <c r="AA1553" s="3">
        <v>0</v>
      </c>
    </row>
    <row r="1554" spans="1:27" x14ac:dyDescent="0.2">
      <c r="A1554">
        <f t="shared" si="48"/>
        <v>3</v>
      </c>
      <c r="B1554">
        <f t="shared" si="49"/>
        <v>13</v>
      </c>
      <c r="C1554" s="1">
        <v>46109</v>
      </c>
      <c r="D1554" t="s">
        <v>25</v>
      </c>
      <c r="E1554" t="s">
        <v>26</v>
      </c>
      <c r="F1554" t="s">
        <v>27</v>
      </c>
      <c r="G1554" t="s">
        <v>124</v>
      </c>
      <c r="H1554" t="s">
        <v>29</v>
      </c>
      <c r="I1554" t="s">
        <v>30</v>
      </c>
      <c r="J1554" t="s">
        <v>31</v>
      </c>
      <c r="K1554" t="s">
        <v>87</v>
      </c>
      <c r="L1554" t="s">
        <v>31</v>
      </c>
      <c r="M1554" s="4">
        <v>16</v>
      </c>
      <c r="N1554" s="4">
        <v>1</v>
      </c>
      <c r="O1554" s="2">
        <v>6.25E-2</v>
      </c>
      <c r="P1554" s="3">
        <v>0.2</v>
      </c>
      <c r="Q1554" s="3">
        <v>0.2</v>
      </c>
      <c r="R1554" s="3">
        <v>0</v>
      </c>
      <c r="S1554" s="2"/>
      <c r="T1554" s="5">
        <v>0</v>
      </c>
      <c r="U1554" s="4">
        <v>0</v>
      </c>
      <c r="V1554" s="4">
        <v>0</v>
      </c>
      <c r="W1554" s="2">
        <v>0</v>
      </c>
      <c r="X1554" s="4">
        <v>0</v>
      </c>
      <c r="Y1554" s="4">
        <v>0</v>
      </c>
      <c r="Z1554" s="3">
        <v>0</v>
      </c>
      <c r="AA1554" s="3">
        <v>0</v>
      </c>
    </row>
    <row r="1555" spans="1:27" x14ac:dyDescent="0.2">
      <c r="A1555">
        <f t="shared" si="48"/>
        <v>3</v>
      </c>
      <c r="B1555">
        <f t="shared" si="49"/>
        <v>14</v>
      </c>
      <c r="C1555" s="1">
        <v>46110</v>
      </c>
      <c r="D1555" t="s">
        <v>25</v>
      </c>
      <c r="E1555" t="s">
        <v>26</v>
      </c>
      <c r="F1555" t="s">
        <v>27</v>
      </c>
      <c r="G1555" t="s">
        <v>124</v>
      </c>
      <c r="H1555" t="s">
        <v>29</v>
      </c>
      <c r="I1555" t="s">
        <v>30</v>
      </c>
      <c r="J1555" t="s">
        <v>31</v>
      </c>
      <c r="K1555" t="s">
        <v>87</v>
      </c>
      <c r="L1555" t="s">
        <v>31</v>
      </c>
      <c r="M1555" s="4">
        <v>27</v>
      </c>
      <c r="N1555" s="4">
        <v>1</v>
      </c>
      <c r="O1555" s="2">
        <v>3.7037037037037035E-2</v>
      </c>
      <c r="P1555" s="3">
        <v>0.2</v>
      </c>
      <c r="Q1555" s="3">
        <v>0.2</v>
      </c>
      <c r="R1555" s="3">
        <v>0</v>
      </c>
      <c r="S1555" s="2"/>
      <c r="T1555" s="5">
        <v>0</v>
      </c>
      <c r="U1555" s="4">
        <v>0</v>
      </c>
      <c r="V1555" s="4">
        <v>0</v>
      </c>
      <c r="W1555" s="2">
        <v>0</v>
      </c>
      <c r="X1555" s="4">
        <v>0</v>
      </c>
      <c r="Y1555" s="4">
        <v>0</v>
      </c>
      <c r="Z1555" s="3">
        <v>0</v>
      </c>
      <c r="AA1555" s="3">
        <v>0</v>
      </c>
    </row>
    <row r="1556" spans="1:27" x14ac:dyDescent="0.2">
      <c r="A1556">
        <f t="shared" si="48"/>
        <v>3</v>
      </c>
      <c r="B1556">
        <f t="shared" si="49"/>
        <v>13</v>
      </c>
      <c r="C1556" s="1">
        <v>46109</v>
      </c>
      <c r="D1556" t="s">
        <v>25</v>
      </c>
      <c r="E1556" t="s">
        <v>26</v>
      </c>
      <c r="F1556" t="s">
        <v>27</v>
      </c>
      <c r="G1556" t="s">
        <v>124</v>
      </c>
      <c r="H1556" t="s">
        <v>29</v>
      </c>
      <c r="I1556" t="s">
        <v>30</v>
      </c>
      <c r="J1556" t="s">
        <v>31</v>
      </c>
      <c r="K1556" t="s">
        <v>267</v>
      </c>
      <c r="L1556" t="s">
        <v>31</v>
      </c>
      <c r="M1556" s="4">
        <v>2</v>
      </c>
      <c r="N1556" s="4">
        <v>1</v>
      </c>
      <c r="O1556" s="2">
        <v>0.5</v>
      </c>
      <c r="P1556" s="3">
        <v>0.21</v>
      </c>
      <c r="Q1556" s="3">
        <v>0.21</v>
      </c>
      <c r="R1556" s="3">
        <v>0</v>
      </c>
      <c r="S1556" s="2"/>
      <c r="T1556" s="5">
        <v>0</v>
      </c>
      <c r="U1556" s="4">
        <v>0</v>
      </c>
      <c r="V1556" s="4">
        <v>0</v>
      </c>
      <c r="W1556" s="2">
        <v>0</v>
      </c>
      <c r="X1556" s="4">
        <v>0</v>
      </c>
      <c r="Y1556" s="4">
        <v>0</v>
      </c>
      <c r="Z1556" s="3">
        <v>0</v>
      </c>
      <c r="AA1556" s="3">
        <v>0</v>
      </c>
    </row>
    <row r="1557" spans="1:27" x14ac:dyDescent="0.2">
      <c r="A1557">
        <f t="shared" si="48"/>
        <v>3</v>
      </c>
      <c r="B1557">
        <f t="shared" si="49"/>
        <v>14</v>
      </c>
      <c r="C1557" s="1">
        <v>46112</v>
      </c>
      <c r="D1557" t="s">
        <v>25</v>
      </c>
      <c r="E1557" t="s">
        <v>26</v>
      </c>
      <c r="F1557" t="s">
        <v>49</v>
      </c>
      <c r="G1557" t="s">
        <v>50</v>
      </c>
      <c r="H1557" t="s">
        <v>29</v>
      </c>
      <c r="I1557" t="s">
        <v>30</v>
      </c>
      <c r="J1557" t="s">
        <v>47</v>
      </c>
      <c r="K1557" t="s">
        <v>42</v>
      </c>
      <c r="L1557" t="s">
        <v>272</v>
      </c>
      <c r="M1557" s="4">
        <v>6</v>
      </c>
      <c r="N1557" s="4">
        <v>1</v>
      </c>
      <c r="O1557" s="2">
        <v>0.16666666666666663</v>
      </c>
      <c r="P1557" s="3">
        <v>0.65</v>
      </c>
      <c r="Q1557" s="3">
        <v>0.65</v>
      </c>
      <c r="R1557" s="3">
        <v>0</v>
      </c>
      <c r="S1557" s="2"/>
      <c r="T1557" s="5">
        <v>0</v>
      </c>
      <c r="U1557" s="4">
        <v>0</v>
      </c>
      <c r="V1557" s="4">
        <v>0</v>
      </c>
      <c r="W1557" s="2">
        <v>0</v>
      </c>
      <c r="X1557" s="4">
        <v>0</v>
      </c>
      <c r="Y1557" s="4">
        <v>0</v>
      </c>
      <c r="Z1557" s="3">
        <v>0</v>
      </c>
      <c r="AA1557" s="3">
        <v>0</v>
      </c>
    </row>
    <row r="1558" spans="1:27" x14ac:dyDescent="0.2">
      <c r="A1558">
        <f t="shared" si="48"/>
        <v>3</v>
      </c>
      <c r="B1558">
        <f t="shared" si="49"/>
        <v>13</v>
      </c>
      <c r="C1558" s="1">
        <v>46109</v>
      </c>
      <c r="D1558" t="s">
        <v>25</v>
      </c>
      <c r="E1558" t="s">
        <v>26</v>
      </c>
      <c r="F1558" t="s">
        <v>27</v>
      </c>
      <c r="G1558" t="s">
        <v>28</v>
      </c>
      <c r="H1558" t="s">
        <v>29</v>
      </c>
      <c r="I1558" t="s">
        <v>30</v>
      </c>
      <c r="J1558" t="s">
        <v>156</v>
      </c>
      <c r="K1558" t="s">
        <v>32</v>
      </c>
      <c r="L1558" t="s">
        <v>272</v>
      </c>
      <c r="M1558" s="4">
        <v>1</v>
      </c>
      <c r="N1558" s="4">
        <v>1</v>
      </c>
      <c r="O1558" s="2">
        <v>1</v>
      </c>
      <c r="P1558" s="3">
        <v>0.2</v>
      </c>
      <c r="Q1558" s="3">
        <v>0.2</v>
      </c>
      <c r="R1558" s="3">
        <v>0</v>
      </c>
      <c r="S1558" s="2"/>
      <c r="T1558" s="5">
        <v>0</v>
      </c>
      <c r="U1558" s="4">
        <v>0</v>
      </c>
      <c r="V1558" s="4">
        <v>0</v>
      </c>
      <c r="W1558" s="2">
        <v>0</v>
      </c>
      <c r="X1558" s="4">
        <v>0</v>
      </c>
      <c r="Y1558" s="4">
        <v>0</v>
      </c>
      <c r="Z1558" s="3">
        <v>0</v>
      </c>
      <c r="AA1558" s="3">
        <v>0</v>
      </c>
    </row>
    <row r="1559" spans="1:27" x14ac:dyDescent="0.2">
      <c r="A1559">
        <f t="shared" si="48"/>
        <v>3</v>
      </c>
      <c r="B1559">
        <f t="shared" si="49"/>
        <v>13</v>
      </c>
      <c r="C1559" s="1">
        <v>46109</v>
      </c>
      <c r="D1559" t="s">
        <v>25</v>
      </c>
      <c r="E1559" t="s">
        <v>26</v>
      </c>
      <c r="F1559" t="s">
        <v>27</v>
      </c>
      <c r="G1559" t="s">
        <v>124</v>
      </c>
      <c r="H1559" t="s">
        <v>29</v>
      </c>
      <c r="I1559" t="s">
        <v>30</v>
      </c>
      <c r="J1559" t="s">
        <v>31</v>
      </c>
      <c r="K1559" t="s">
        <v>87</v>
      </c>
      <c r="L1559" t="s">
        <v>949</v>
      </c>
      <c r="M1559" s="4">
        <v>2</v>
      </c>
      <c r="N1559" s="4">
        <v>1</v>
      </c>
      <c r="O1559" s="2">
        <v>0.5</v>
      </c>
      <c r="P1559" s="3">
        <v>0.4</v>
      </c>
      <c r="Q1559" s="3">
        <v>0.4</v>
      </c>
      <c r="R1559" s="3">
        <v>0</v>
      </c>
      <c r="S1559" s="2"/>
      <c r="T1559" s="5">
        <v>0</v>
      </c>
      <c r="U1559" s="4">
        <v>0</v>
      </c>
      <c r="V1559" s="4">
        <v>0</v>
      </c>
      <c r="W1559" s="2">
        <v>0</v>
      </c>
      <c r="X1559" s="4">
        <v>0</v>
      </c>
      <c r="Y1559" s="4">
        <v>0</v>
      </c>
      <c r="Z1559" s="3">
        <v>0</v>
      </c>
      <c r="AA1559" s="3">
        <v>0</v>
      </c>
    </row>
    <row r="1560" spans="1:27" x14ac:dyDescent="0.2">
      <c r="A1560">
        <f t="shared" si="48"/>
        <v>3</v>
      </c>
      <c r="B1560">
        <f t="shared" si="49"/>
        <v>14</v>
      </c>
      <c r="C1560" s="1">
        <v>46112</v>
      </c>
      <c r="D1560" t="s">
        <v>25</v>
      </c>
      <c r="E1560" t="s">
        <v>26</v>
      </c>
      <c r="F1560" t="s">
        <v>27</v>
      </c>
      <c r="G1560" t="s">
        <v>28</v>
      </c>
      <c r="H1560" t="s">
        <v>29</v>
      </c>
      <c r="I1560" t="s">
        <v>30</v>
      </c>
      <c r="J1560" t="s">
        <v>31</v>
      </c>
      <c r="K1560" t="s">
        <v>32</v>
      </c>
      <c r="L1560" t="s">
        <v>950</v>
      </c>
      <c r="M1560" s="4">
        <v>1</v>
      </c>
      <c r="N1560" s="4">
        <v>1</v>
      </c>
      <c r="O1560" s="2">
        <v>1</v>
      </c>
      <c r="P1560" s="3">
        <v>0.21</v>
      </c>
      <c r="Q1560" s="3">
        <v>0.21</v>
      </c>
      <c r="R1560" s="3">
        <v>0</v>
      </c>
      <c r="S1560" s="2"/>
      <c r="T1560" s="5">
        <v>0</v>
      </c>
      <c r="U1560" s="4">
        <v>0</v>
      </c>
      <c r="V1560" s="4">
        <v>0</v>
      </c>
      <c r="W1560" s="2">
        <v>0</v>
      </c>
      <c r="X1560" s="4">
        <v>0</v>
      </c>
      <c r="Y1560" s="4">
        <v>0</v>
      </c>
      <c r="Z1560" s="3">
        <v>0</v>
      </c>
      <c r="AA1560" s="3">
        <v>0</v>
      </c>
    </row>
    <row r="1561" spans="1:27" x14ac:dyDescent="0.2">
      <c r="A1561">
        <f t="shared" si="48"/>
        <v>3</v>
      </c>
      <c r="B1561">
        <f t="shared" si="49"/>
        <v>13</v>
      </c>
      <c r="C1561" s="1">
        <v>46108</v>
      </c>
      <c r="D1561" t="s">
        <v>25</v>
      </c>
      <c r="E1561" t="s">
        <v>26</v>
      </c>
      <c r="F1561" t="s">
        <v>49</v>
      </c>
      <c r="G1561" t="s">
        <v>50</v>
      </c>
      <c r="H1561" t="s">
        <v>29</v>
      </c>
      <c r="I1561" t="s">
        <v>30</v>
      </c>
      <c r="J1561" t="s">
        <v>95</v>
      </c>
      <c r="K1561" t="s">
        <v>42</v>
      </c>
      <c r="L1561" t="s">
        <v>951</v>
      </c>
      <c r="M1561" s="4">
        <v>3</v>
      </c>
      <c r="N1561" s="4">
        <v>1</v>
      </c>
      <c r="O1561" s="2">
        <v>0.33333333333333331</v>
      </c>
      <c r="P1561" s="3">
        <v>0.47</v>
      </c>
      <c r="Q1561" s="3">
        <v>0.47</v>
      </c>
      <c r="R1561" s="3">
        <v>0</v>
      </c>
      <c r="S1561" s="2"/>
      <c r="T1561" s="5">
        <v>0</v>
      </c>
      <c r="U1561" s="4">
        <v>0</v>
      </c>
      <c r="V1561" s="4">
        <v>0</v>
      </c>
      <c r="W1561" s="2">
        <v>0</v>
      </c>
      <c r="X1561" s="4">
        <v>0</v>
      </c>
      <c r="Y1561" s="4">
        <v>0</v>
      </c>
      <c r="Z1561" s="3">
        <v>0</v>
      </c>
      <c r="AA1561" s="3">
        <v>0</v>
      </c>
    </row>
    <row r="1562" spans="1:27" x14ac:dyDescent="0.2">
      <c r="A1562">
        <f t="shared" si="48"/>
        <v>3</v>
      </c>
      <c r="B1562">
        <f t="shared" si="49"/>
        <v>13</v>
      </c>
      <c r="C1562" s="1">
        <v>46106</v>
      </c>
      <c r="D1562" t="s">
        <v>25</v>
      </c>
      <c r="E1562" t="s">
        <v>26</v>
      </c>
      <c r="F1562" t="s">
        <v>49</v>
      </c>
      <c r="G1562" t="s">
        <v>50</v>
      </c>
      <c r="H1562" t="s">
        <v>29</v>
      </c>
      <c r="I1562" t="s">
        <v>30</v>
      </c>
      <c r="J1562" t="s">
        <v>95</v>
      </c>
      <c r="K1562" t="s">
        <v>42</v>
      </c>
      <c r="L1562" t="s">
        <v>952</v>
      </c>
      <c r="M1562" s="4">
        <v>1</v>
      </c>
      <c r="N1562" s="4">
        <v>1</v>
      </c>
      <c r="O1562" s="2">
        <v>1</v>
      </c>
      <c r="P1562" s="3">
        <v>0.62</v>
      </c>
      <c r="Q1562" s="3">
        <v>0.62</v>
      </c>
      <c r="R1562" s="3">
        <v>0</v>
      </c>
      <c r="S1562" s="2"/>
      <c r="T1562" s="5">
        <v>0</v>
      </c>
      <c r="U1562" s="4">
        <v>0</v>
      </c>
      <c r="V1562" s="4">
        <v>0</v>
      </c>
      <c r="W1562" s="2">
        <v>0</v>
      </c>
      <c r="X1562" s="4">
        <v>0</v>
      </c>
      <c r="Y1562" s="4">
        <v>0</v>
      </c>
      <c r="Z1562" s="3">
        <v>0</v>
      </c>
      <c r="AA1562" s="3">
        <v>0</v>
      </c>
    </row>
    <row r="1563" spans="1:27" x14ac:dyDescent="0.2">
      <c r="A1563">
        <f t="shared" si="48"/>
        <v>3</v>
      </c>
      <c r="B1563">
        <f t="shared" si="49"/>
        <v>13</v>
      </c>
      <c r="C1563" s="1">
        <v>46103</v>
      </c>
      <c r="D1563" t="s">
        <v>25</v>
      </c>
      <c r="E1563" t="s">
        <v>26</v>
      </c>
      <c r="F1563" t="s">
        <v>27</v>
      </c>
      <c r="G1563" t="s">
        <v>28</v>
      </c>
      <c r="H1563" t="s">
        <v>29</v>
      </c>
      <c r="I1563" t="s">
        <v>30</v>
      </c>
      <c r="J1563" t="s">
        <v>156</v>
      </c>
      <c r="K1563" t="s">
        <v>32</v>
      </c>
      <c r="L1563" t="s">
        <v>953</v>
      </c>
      <c r="M1563" s="4">
        <v>1</v>
      </c>
      <c r="N1563" s="4">
        <v>1</v>
      </c>
      <c r="O1563" s="2">
        <v>1</v>
      </c>
      <c r="P1563" s="3">
        <v>0.21</v>
      </c>
      <c r="Q1563" s="3">
        <v>0.21</v>
      </c>
      <c r="R1563" s="3">
        <v>0</v>
      </c>
      <c r="S1563" s="2"/>
      <c r="T1563" s="5">
        <v>0</v>
      </c>
      <c r="U1563" s="4">
        <v>0</v>
      </c>
      <c r="V1563" s="4">
        <v>0</v>
      </c>
      <c r="W1563" s="2">
        <v>0</v>
      </c>
      <c r="X1563" s="4">
        <v>0</v>
      </c>
      <c r="Y1563" s="4">
        <v>0</v>
      </c>
      <c r="Z1563" s="3">
        <v>0</v>
      </c>
      <c r="AA1563" s="3">
        <v>0</v>
      </c>
    </row>
    <row r="1564" spans="1:27" x14ac:dyDescent="0.2">
      <c r="A1564">
        <f t="shared" si="48"/>
        <v>3</v>
      </c>
      <c r="B1564">
        <f t="shared" si="49"/>
        <v>13</v>
      </c>
      <c r="C1564" s="1">
        <v>46107</v>
      </c>
      <c r="D1564" t="s">
        <v>25</v>
      </c>
      <c r="E1564" t="s">
        <v>26</v>
      </c>
      <c r="F1564" t="s">
        <v>49</v>
      </c>
      <c r="G1564" t="s">
        <v>50</v>
      </c>
      <c r="H1564" t="s">
        <v>29</v>
      </c>
      <c r="I1564" t="s">
        <v>30</v>
      </c>
      <c r="J1564" t="s">
        <v>95</v>
      </c>
      <c r="K1564" t="s">
        <v>42</v>
      </c>
      <c r="L1564" t="s">
        <v>954</v>
      </c>
      <c r="M1564" s="4">
        <v>1</v>
      </c>
      <c r="N1564" s="4">
        <v>1</v>
      </c>
      <c r="O1564" s="2">
        <v>1</v>
      </c>
      <c r="P1564" s="3">
        <v>0.43</v>
      </c>
      <c r="Q1564" s="3">
        <v>0.43</v>
      </c>
      <c r="R1564" s="3">
        <v>0</v>
      </c>
      <c r="S1564" s="2"/>
      <c r="T1564" s="5">
        <v>0</v>
      </c>
      <c r="U1564" s="4">
        <v>0</v>
      </c>
      <c r="V1564" s="4">
        <v>0</v>
      </c>
      <c r="W1564" s="2">
        <v>0</v>
      </c>
      <c r="X1564" s="4">
        <v>0</v>
      </c>
      <c r="Y1564" s="4">
        <v>0</v>
      </c>
      <c r="Z1564" s="3">
        <v>0</v>
      </c>
      <c r="AA1564" s="3">
        <v>0</v>
      </c>
    </row>
    <row r="1565" spans="1:27" x14ac:dyDescent="0.2">
      <c r="A1565">
        <f t="shared" si="48"/>
        <v>3</v>
      </c>
      <c r="B1565">
        <f t="shared" si="49"/>
        <v>13</v>
      </c>
      <c r="C1565" s="1">
        <v>46106</v>
      </c>
      <c r="D1565" t="s">
        <v>25</v>
      </c>
      <c r="E1565" t="s">
        <v>26</v>
      </c>
      <c r="F1565" t="s">
        <v>27</v>
      </c>
      <c r="G1565" t="s">
        <v>28</v>
      </c>
      <c r="H1565" t="s">
        <v>29</v>
      </c>
      <c r="I1565" t="s">
        <v>30</v>
      </c>
      <c r="J1565" t="s">
        <v>305</v>
      </c>
      <c r="K1565" t="s">
        <v>32</v>
      </c>
      <c r="L1565" t="s">
        <v>955</v>
      </c>
      <c r="M1565" s="4">
        <v>2</v>
      </c>
      <c r="N1565" s="4">
        <v>1</v>
      </c>
      <c r="O1565" s="2">
        <v>0.5</v>
      </c>
      <c r="P1565" s="3">
        <v>0.21</v>
      </c>
      <c r="Q1565" s="3">
        <v>0.21</v>
      </c>
      <c r="R1565" s="3">
        <v>0</v>
      </c>
      <c r="S1565" s="2"/>
      <c r="T1565" s="5">
        <v>0</v>
      </c>
      <c r="U1565" s="4">
        <v>0</v>
      </c>
      <c r="V1565" s="4">
        <v>0</v>
      </c>
      <c r="W1565" s="2">
        <v>0</v>
      </c>
      <c r="X1565" s="4">
        <v>0</v>
      </c>
      <c r="Y1565" s="4">
        <v>0</v>
      </c>
      <c r="Z1565" s="3">
        <v>0</v>
      </c>
      <c r="AA1565" s="3">
        <v>0</v>
      </c>
    </row>
    <row r="1566" spans="1:27" x14ac:dyDescent="0.2">
      <c r="A1566">
        <f t="shared" si="48"/>
        <v>3</v>
      </c>
      <c r="B1566">
        <f t="shared" si="49"/>
        <v>13</v>
      </c>
      <c r="C1566" s="1">
        <v>46103</v>
      </c>
      <c r="D1566" t="s">
        <v>25</v>
      </c>
      <c r="E1566" t="s">
        <v>26</v>
      </c>
      <c r="F1566" t="s">
        <v>49</v>
      </c>
      <c r="G1566" t="s">
        <v>50</v>
      </c>
      <c r="H1566" t="s">
        <v>29</v>
      </c>
      <c r="I1566" t="s">
        <v>30</v>
      </c>
      <c r="J1566" t="s">
        <v>47</v>
      </c>
      <c r="K1566" t="s">
        <v>42</v>
      </c>
      <c r="L1566" t="s">
        <v>101</v>
      </c>
      <c r="M1566" s="4">
        <v>24</v>
      </c>
      <c r="N1566" s="4">
        <v>1</v>
      </c>
      <c r="O1566" s="2">
        <v>4.1666666666666657E-2</v>
      </c>
      <c r="P1566" s="3">
        <v>0.95</v>
      </c>
      <c r="Q1566" s="3">
        <v>0.95</v>
      </c>
      <c r="R1566" s="3">
        <v>18.989999999999998</v>
      </c>
      <c r="S1566" s="2">
        <v>5.0026329647182732E-2</v>
      </c>
      <c r="T1566" s="5">
        <v>19.989473684210527</v>
      </c>
      <c r="U1566" s="4">
        <v>1</v>
      </c>
      <c r="V1566" s="4">
        <v>1</v>
      </c>
      <c r="W1566" s="2">
        <v>1</v>
      </c>
      <c r="X1566" s="4">
        <v>1</v>
      </c>
      <c r="Y1566" s="4">
        <v>0</v>
      </c>
      <c r="Z1566" s="3">
        <v>18.989999999999998</v>
      </c>
      <c r="AA1566" s="3">
        <v>0</v>
      </c>
    </row>
    <row r="1567" spans="1:27" x14ac:dyDescent="0.2">
      <c r="A1567">
        <f t="shared" si="48"/>
        <v>3</v>
      </c>
      <c r="B1567">
        <f t="shared" si="49"/>
        <v>13</v>
      </c>
      <c r="C1567" s="1">
        <v>46107</v>
      </c>
      <c r="D1567" t="s">
        <v>25</v>
      </c>
      <c r="E1567" t="s">
        <v>26</v>
      </c>
      <c r="F1567" t="s">
        <v>49</v>
      </c>
      <c r="G1567" t="s">
        <v>50</v>
      </c>
      <c r="H1567" t="s">
        <v>29</v>
      </c>
      <c r="I1567" t="s">
        <v>30</v>
      </c>
      <c r="J1567" t="s">
        <v>47</v>
      </c>
      <c r="K1567" t="s">
        <v>42</v>
      </c>
      <c r="L1567" t="s">
        <v>101</v>
      </c>
      <c r="M1567" s="4">
        <v>35</v>
      </c>
      <c r="N1567" s="4">
        <v>1</v>
      </c>
      <c r="O1567" s="2">
        <v>2.8571428571428571E-2</v>
      </c>
      <c r="P1567" s="3">
        <v>0.75</v>
      </c>
      <c r="Q1567" s="3">
        <v>0.75</v>
      </c>
      <c r="R1567" s="3">
        <v>0</v>
      </c>
      <c r="S1567" s="2"/>
      <c r="T1567" s="5">
        <v>0</v>
      </c>
      <c r="U1567" s="4">
        <v>0</v>
      </c>
      <c r="V1567" s="4">
        <v>0</v>
      </c>
      <c r="W1567" s="2">
        <v>0</v>
      </c>
      <c r="X1567" s="4">
        <v>0</v>
      </c>
      <c r="Y1567" s="4">
        <v>0</v>
      </c>
      <c r="Z1567" s="3">
        <v>0</v>
      </c>
      <c r="AA1567" s="3">
        <v>0</v>
      </c>
    </row>
    <row r="1568" spans="1:27" x14ac:dyDescent="0.2">
      <c r="A1568">
        <f t="shared" si="48"/>
        <v>3</v>
      </c>
      <c r="B1568">
        <f t="shared" si="49"/>
        <v>13</v>
      </c>
      <c r="C1568" s="1">
        <v>46103</v>
      </c>
      <c r="D1568" t="s">
        <v>25</v>
      </c>
      <c r="E1568" t="s">
        <v>26</v>
      </c>
      <c r="F1568" t="s">
        <v>27</v>
      </c>
      <c r="G1568" t="s">
        <v>124</v>
      </c>
      <c r="H1568" t="s">
        <v>29</v>
      </c>
      <c r="I1568" t="s">
        <v>30</v>
      </c>
      <c r="J1568" t="s">
        <v>101</v>
      </c>
      <c r="K1568" t="s">
        <v>87</v>
      </c>
      <c r="L1568" t="s">
        <v>101</v>
      </c>
      <c r="M1568" s="4">
        <v>33</v>
      </c>
      <c r="N1568" s="4">
        <v>1</v>
      </c>
      <c r="O1568" s="2">
        <v>3.0303030303030304E-2</v>
      </c>
      <c r="P1568" s="3">
        <v>0.2</v>
      </c>
      <c r="Q1568" s="3">
        <v>0.2</v>
      </c>
      <c r="R1568" s="3">
        <v>18.989999999999998</v>
      </c>
      <c r="S1568" s="2">
        <v>1.0531858873091103E-2</v>
      </c>
      <c r="T1568" s="5">
        <v>94.949999999999989</v>
      </c>
      <c r="U1568" s="4">
        <v>1</v>
      </c>
      <c r="V1568" s="4">
        <v>1</v>
      </c>
      <c r="W1568" s="2">
        <v>1</v>
      </c>
      <c r="X1568" s="4">
        <v>1</v>
      </c>
      <c r="Y1568" s="4">
        <v>0</v>
      </c>
      <c r="Z1568" s="3">
        <v>18.989999999999998</v>
      </c>
      <c r="AA1568" s="3">
        <v>0</v>
      </c>
    </row>
    <row r="1569" spans="1:27" x14ac:dyDescent="0.2">
      <c r="A1569">
        <f t="shared" si="48"/>
        <v>3</v>
      </c>
      <c r="B1569">
        <f t="shared" si="49"/>
        <v>13</v>
      </c>
      <c r="C1569" s="1">
        <v>46106</v>
      </c>
      <c r="D1569" t="s">
        <v>25</v>
      </c>
      <c r="E1569" t="s">
        <v>26</v>
      </c>
      <c r="F1569" t="s">
        <v>27</v>
      </c>
      <c r="G1569" t="s">
        <v>124</v>
      </c>
      <c r="H1569" t="s">
        <v>29</v>
      </c>
      <c r="I1569" t="s">
        <v>30</v>
      </c>
      <c r="J1569" t="s">
        <v>101</v>
      </c>
      <c r="K1569" t="s">
        <v>87</v>
      </c>
      <c r="L1569" t="s">
        <v>101</v>
      </c>
      <c r="M1569" s="4">
        <v>15</v>
      </c>
      <c r="N1569" s="4">
        <v>1</v>
      </c>
      <c r="O1569" s="2">
        <v>6.6666666666666666E-2</v>
      </c>
      <c r="P1569" s="3">
        <v>0.2</v>
      </c>
      <c r="Q1569" s="3">
        <v>0.2</v>
      </c>
      <c r="R1569" s="3">
        <v>0</v>
      </c>
      <c r="S1569" s="2"/>
      <c r="T1569" s="5">
        <v>0</v>
      </c>
      <c r="U1569" s="4">
        <v>0</v>
      </c>
      <c r="V1569" s="4">
        <v>0</v>
      </c>
      <c r="W1569" s="2">
        <v>0</v>
      </c>
      <c r="X1569" s="4">
        <v>0</v>
      </c>
      <c r="Y1569" s="4">
        <v>0</v>
      </c>
      <c r="Z1569" s="3">
        <v>0</v>
      </c>
      <c r="AA1569" s="3">
        <v>0</v>
      </c>
    </row>
    <row r="1570" spans="1:27" x14ac:dyDescent="0.2">
      <c r="A1570">
        <f t="shared" si="48"/>
        <v>3</v>
      </c>
      <c r="B1570">
        <f t="shared" si="49"/>
        <v>14</v>
      </c>
      <c r="C1570" s="1">
        <v>46110</v>
      </c>
      <c r="D1570" t="s">
        <v>25</v>
      </c>
      <c r="E1570" t="s">
        <v>26</v>
      </c>
      <c r="F1570" t="s">
        <v>27</v>
      </c>
      <c r="G1570" t="s">
        <v>124</v>
      </c>
      <c r="H1570" t="s">
        <v>29</v>
      </c>
      <c r="I1570" t="s">
        <v>30</v>
      </c>
      <c r="J1570" t="s">
        <v>101</v>
      </c>
      <c r="K1570" t="s">
        <v>87</v>
      </c>
      <c r="L1570" t="s">
        <v>101</v>
      </c>
      <c r="M1570" s="4">
        <v>27</v>
      </c>
      <c r="N1570" s="4">
        <v>1</v>
      </c>
      <c r="O1570" s="2">
        <v>3.7037037037037035E-2</v>
      </c>
      <c r="P1570" s="3">
        <v>0.2</v>
      </c>
      <c r="Q1570" s="3">
        <v>0.2</v>
      </c>
      <c r="R1570" s="3">
        <v>0</v>
      </c>
      <c r="S1570" s="2"/>
      <c r="T1570" s="5">
        <v>0</v>
      </c>
      <c r="U1570" s="4">
        <v>0</v>
      </c>
      <c r="V1570" s="4">
        <v>0</v>
      </c>
      <c r="W1570" s="2">
        <v>0</v>
      </c>
      <c r="X1570" s="4">
        <v>0</v>
      </c>
      <c r="Y1570" s="4">
        <v>0</v>
      </c>
      <c r="Z1570" s="3">
        <v>0</v>
      </c>
      <c r="AA1570" s="3">
        <v>0</v>
      </c>
    </row>
    <row r="1571" spans="1:27" x14ac:dyDescent="0.2">
      <c r="A1571">
        <f t="shared" si="48"/>
        <v>3</v>
      </c>
      <c r="B1571">
        <f t="shared" si="49"/>
        <v>13</v>
      </c>
      <c r="C1571" s="1">
        <v>46105</v>
      </c>
      <c r="D1571" t="s">
        <v>25</v>
      </c>
      <c r="E1571" t="s">
        <v>26</v>
      </c>
      <c r="F1571" t="s">
        <v>27</v>
      </c>
      <c r="G1571" t="s">
        <v>124</v>
      </c>
      <c r="H1571" t="s">
        <v>29</v>
      </c>
      <c r="I1571" t="s">
        <v>30</v>
      </c>
      <c r="J1571" t="s">
        <v>101</v>
      </c>
      <c r="K1571" t="s">
        <v>267</v>
      </c>
      <c r="L1571" t="s">
        <v>101</v>
      </c>
      <c r="M1571" s="4">
        <v>20</v>
      </c>
      <c r="N1571" s="4">
        <v>1</v>
      </c>
      <c r="O1571" s="2">
        <v>0.05</v>
      </c>
      <c r="P1571" s="3">
        <v>0.2</v>
      </c>
      <c r="Q1571" s="3">
        <v>0.2</v>
      </c>
      <c r="R1571" s="3">
        <v>0</v>
      </c>
      <c r="S1571" s="2"/>
      <c r="T1571" s="5">
        <v>0</v>
      </c>
      <c r="U1571" s="4">
        <v>0</v>
      </c>
      <c r="V1571" s="4">
        <v>0</v>
      </c>
      <c r="W1571" s="2">
        <v>0</v>
      </c>
      <c r="X1571" s="4">
        <v>0</v>
      </c>
      <c r="Y1571" s="4">
        <v>0</v>
      </c>
      <c r="Z1571" s="3">
        <v>0</v>
      </c>
      <c r="AA1571" s="3">
        <v>0</v>
      </c>
    </row>
    <row r="1572" spans="1:27" x14ac:dyDescent="0.2">
      <c r="A1572">
        <f t="shared" si="48"/>
        <v>3</v>
      </c>
      <c r="B1572">
        <f t="shared" si="49"/>
        <v>13</v>
      </c>
      <c r="C1572" s="1">
        <v>46109</v>
      </c>
      <c r="D1572" t="s">
        <v>25</v>
      </c>
      <c r="E1572" t="s">
        <v>26</v>
      </c>
      <c r="F1572" t="s">
        <v>27</v>
      </c>
      <c r="G1572" t="s">
        <v>124</v>
      </c>
      <c r="H1572" t="s">
        <v>29</v>
      </c>
      <c r="I1572" t="s">
        <v>30</v>
      </c>
      <c r="J1572" t="s">
        <v>101</v>
      </c>
      <c r="K1572" t="s">
        <v>267</v>
      </c>
      <c r="L1572" t="s">
        <v>101</v>
      </c>
      <c r="M1572" s="4">
        <v>9</v>
      </c>
      <c r="N1572" s="4">
        <v>2</v>
      </c>
      <c r="O1572" s="2">
        <v>0.22222222222222221</v>
      </c>
      <c r="P1572" s="3">
        <v>0.2</v>
      </c>
      <c r="Q1572" s="3">
        <v>0.4</v>
      </c>
      <c r="R1572" s="3">
        <v>0</v>
      </c>
      <c r="S1572" s="2"/>
      <c r="T1572" s="5">
        <v>0</v>
      </c>
      <c r="U1572" s="4">
        <v>0</v>
      </c>
      <c r="V1572" s="4">
        <v>0</v>
      </c>
      <c r="W1572" s="2">
        <v>0</v>
      </c>
      <c r="X1572" s="4">
        <v>0</v>
      </c>
      <c r="Y1572" s="4">
        <v>0</v>
      </c>
      <c r="Z1572" s="3">
        <v>0</v>
      </c>
      <c r="AA1572" s="3">
        <v>0</v>
      </c>
    </row>
    <row r="1573" spans="1:27" x14ac:dyDescent="0.2">
      <c r="A1573">
        <f t="shared" si="48"/>
        <v>3</v>
      </c>
      <c r="B1573">
        <f t="shared" si="49"/>
        <v>14</v>
      </c>
      <c r="C1573" s="1">
        <v>46110</v>
      </c>
      <c r="D1573" t="s">
        <v>25</v>
      </c>
      <c r="E1573" t="s">
        <v>26</v>
      </c>
      <c r="F1573" t="s">
        <v>27</v>
      </c>
      <c r="G1573" t="s">
        <v>124</v>
      </c>
      <c r="H1573" t="s">
        <v>29</v>
      </c>
      <c r="I1573" t="s">
        <v>30</v>
      </c>
      <c r="J1573" t="s">
        <v>101</v>
      </c>
      <c r="K1573" t="s">
        <v>267</v>
      </c>
      <c r="L1573" t="s">
        <v>101</v>
      </c>
      <c r="M1573" s="4">
        <v>3</v>
      </c>
      <c r="N1573" s="4">
        <v>1</v>
      </c>
      <c r="O1573" s="2">
        <v>0.33333333333333331</v>
      </c>
      <c r="P1573" s="3">
        <v>0.21</v>
      </c>
      <c r="Q1573" s="3">
        <v>0.21</v>
      </c>
      <c r="R1573" s="3">
        <v>0</v>
      </c>
      <c r="S1573" s="2"/>
      <c r="T1573" s="5">
        <v>0</v>
      </c>
      <c r="U1573" s="4">
        <v>0</v>
      </c>
      <c r="V1573" s="4">
        <v>0</v>
      </c>
      <c r="W1573" s="2">
        <v>0</v>
      </c>
      <c r="X1573" s="4">
        <v>0</v>
      </c>
      <c r="Y1573" s="4">
        <v>0</v>
      </c>
      <c r="Z1573" s="3">
        <v>0</v>
      </c>
      <c r="AA1573" s="3">
        <v>0</v>
      </c>
    </row>
    <row r="1574" spans="1:27" x14ac:dyDescent="0.2">
      <c r="A1574">
        <f t="shared" si="48"/>
        <v>3</v>
      </c>
      <c r="B1574">
        <f t="shared" si="49"/>
        <v>14</v>
      </c>
      <c r="C1574" s="1">
        <v>46110</v>
      </c>
      <c r="D1574" t="s">
        <v>25</v>
      </c>
      <c r="E1574" t="s">
        <v>26</v>
      </c>
      <c r="F1574" t="s">
        <v>49</v>
      </c>
      <c r="G1574" t="s">
        <v>50</v>
      </c>
      <c r="H1574" t="s">
        <v>29</v>
      </c>
      <c r="I1574" t="s">
        <v>30</v>
      </c>
      <c r="J1574" t="s">
        <v>47</v>
      </c>
      <c r="K1574" t="s">
        <v>42</v>
      </c>
      <c r="L1574" t="s">
        <v>99</v>
      </c>
      <c r="M1574" s="4">
        <v>11</v>
      </c>
      <c r="N1574" s="4">
        <v>1</v>
      </c>
      <c r="O1574" s="2">
        <v>9.0909090909090925E-2</v>
      </c>
      <c r="P1574" s="3">
        <v>0.79</v>
      </c>
      <c r="Q1574" s="3">
        <v>0.79</v>
      </c>
      <c r="R1574" s="3">
        <v>0</v>
      </c>
      <c r="S1574" s="2"/>
      <c r="T1574" s="5">
        <v>0</v>
      </c>
      <c r="U1574" s="4">
        <v>0</v>
      </c>
      <c r="V1574" s="4">
        <v>0</v>
      </c>
      <c r="W1574" s="2">
        <v>0</v>
      </c>
      <c r="X1574" s="4">
        <v>0</v>
      </c>
      <c r="Y1574" s="4">
        <v>0</v>
      </c>
      <c r="Z1574" s="3">
        <v>0</v>
      </c>
      <c r="AA1574" s="3">
        <v>0</v>
      </c>
    </row>
    <row r="1575" spans="1:27" x14ac:dyDescent="0.2">
      <c r="A1575">
        <f t="shared" si="48"/>
        <v>3</v>
      </c>
      <c r="B1575">
        <f t="shared" si="49"/>
        <v>13</v>
      </c>
      <c r="C1575" s="1">
        <v>46104</v>
      </c>
      <c r="D1575" t="s">
        <v>25</v>
      </c>
      <c r="E1575" t="s">
        <v>26</v>
      </c>
      <c r="F1575" t="s">
        <v>27</v>
      </c>
      <c r="G1575" t="s">
        <v>124</v>
      </c>
      <c r="H1575" t="s">
        <v>29</v>
      </c>
      <c r="I1575" t="s">
        <v>30</v>
      </c>
      <c r="J1575" t="s">
        <v>101</v>
      </c>
      <c r="K1575" t="s">
        <v>87</v>
      </c>
      <c r="L1575" t="s">
        <v>99</v>
      </c>
      <c r="M1575" s="4">
        <v>8</v>
      </c>
      <c r="N1575" s="4">
        <v>1</v>
      </c>
      <c r="O1575" s="2">
        <v>0.125</v>
      </c>
      <c r="P1575" s="3">
        <v>0.2</v>
      </c>
      <c r="Q1575" s="3">
        <v>0.2</v>
      </c>
      <c r="R1575" s="3">
        <v>0</v>
      </c>
      <c r="S1575" s="2"/>
      <c r="T1575" s="5">
        <v>0</v>
      </c>
      <c r="U1575" s="4">
        <v>0</v>
      </c>
      <c r="V1575" s="4">
        <v>0</v>
      </c>
      <c r="W1575" s="2">
        <v>0</v>
      </c>
      <c r="X1575" s="4">
        <v>0</v>
      </c>
      <c r="Y1575" s="4">
        <v>0</v>
      </c>
      <c r="Z1575" s="3">
        <v>0</v>
      </c>
      <c r="AA1575" s="3">
        <v>0</v>
      </c>
    </row>
    <row r="1576" spans="1:27" x14ac:dyDescent="0.2">
      <c r="A1576">
        <f t="shared" si="48"/>
        <v>3</v>
      </c>
      <c r="B1576">
        <f t="shared" si="49"/>
        <v>13</v>
      </c>
      <c r="C1576" s="1">
        <v>46106</v>
      </c>
      <c r="D1576" t="s">
        <v>25</v>
      </c>
      <c r="E1576" t="s">
        <v>26</v>
      </c>
      <c r="F1576" t="s">
        <v>27</v>
      </c>
      <c r="G1576" t="s">
        <v>28</v>
      </c>
      <c r="H1576" t="s">
        <v>29</v>
      </c>
      <c r="I1576" t="s">
        <v>30</v>
      </c>
      <c r="J1576" t="s">
        <v>99</v>
      </c>
      <c r="K1576" t="s">
        <v>32</v>
      </c>
      <c r="L1576" t="s">
        <v>836</v>
      </c>
      <c r="M1576" s="4">
        <v>2</v>
      </c>
      <c r="N1576" s="4">
        <v>1</v>
      </c>
      <c r="O1576" s="2">
        <v>0.5</v>
      </c>
      <c r="P1576" s="3">
        <v>0.2</v>
      </c>
      <c r="Q1576" s="3">
        <v>0.2</v>
      </c>
      <c r="R1576" s="3">
        <v>0</v>
      </c>
      <c r="S1576" s="2"/>
      <c r="T1576" s="5">
        <v>0</v>
      </c>
      <c r="U1576" s="4">
        <v>0</v>
      </c>
      <c r="V1576" s="4">
        <v>0</v>
      </c>
      <c r="W1576" s="2">
        <v>0</v>
      </c>
      <c r="X1576" s="4">
        <v>0</v>
      </c>
      <c r="Y1576" s="4">
        <v>0</v>
      </c>
      <c r="Z1576" s="3">
        <v>0</v>
      </c>
      <c r="AA1576" s="3">
        <v>0</v>
      </c>
    </row>
    <row r="1577" spans="1:27" x14ac:dyDescent="0.2">
      <c r="A1577">
        <f t="shared" si="48"/>
        <v>3</v>
      </c>
      <c r="B1577">
        <f t="shared" si="49"/>
        <v>13</v>
      </c>
      <c r="C1577" s="1">
        <v>46103</v>
      </c>
      <c r="D1577" t="s">
        <v>25</v>
      </c>
      <c r="E1577" t="s">
        <v>26</v>
      </c>
      <c r="F1577" t="s">
        <v>27</v>
      </c>
      <c r="G1577" t="s">
        <v>124</v>
      </c>
      <c r="H1577" t="s">
        <v>29</v>
      </c>
      <c r="I1577" t="s">
        <v>30</v>
      </c>
      <c r="J1577" t="s">
        <v>101</v>
      </c>
      <c r="K1577" t="s">
        <v>87</v>
      </c>
      <c r="L1577" t="s">
        <v>956</v>
      </c>
      <c r="M1577" s="4">
        <v>2</v>
      </c>
      <c r="N1577" s="4">
        <v>1</v>
      </c>
      <c r="O1577" s="2">
        <v>0.5</v>
      </c>
      <c r="P1577" s="3">
        <v>0.21</v>
      </c>
      <c r="Q1577" s="3">
        <v>0.21</v>
      </c>
      <c r="R1577" s="3">
        <v>0</v>
      </c>
      <c r="S1577" s="2"/>
      <c r="T1577" s="5">
        <v>0</v>
      </c>
      <c r="U1577" s="4">
        <v>0</v>
      </c>
      <c r="V1577" s="4">
        <v>0</v>
      </c>
      <c r="W1577" s="2">
        <v>0</v>
      </c>
      <c r="X1577" s="4">
        <v>0</v>
      </c>
      <c r="Y1577" s="4">
        <v>0</v>
      </c>
      <c r="Z1577" s="3">
        <v>0</v>
      </c>
      <c r="AA1577" s="3">
        <v>0</v>
      </c>
    </row>
    <row r="1578" spans="1:27" x14ac:dyDescent="0.2">
      <c r="A1578">
        <f t="shared" si="48"/>
        <v>3</v>
      </c>
      <c r="B1578">
        <f t="shared" si="49"/>
        <v>14</v>
      </c>
      <c r="C1578" s="1">
        <v>46112</v>
      </c>
      <c r="D1578" t="s">
        <v>25</v>
      </c>
      <c r="E1578" t="s">
        <v>26</v>
      </c>
      <c r="F1578" t="s">
        <v>49</v>
      </c>
      <c r="G1578" t="s">
        <v>50</v>
      </c>
      <c r="H1578" t="s">
        <v>29</v>
      </c>
      <c r="I1578" t="s">
        <v>30</v>
      </c>
      <c r="J1578" t="s">
        <v>47</v>
      </c>
      <c r="K1578" t="s">
        <v>42</v>
      </c>
      <c r="L1578" t="s">
        <v>50</v>
      </c>
      <c r="M1578" s="4">
        <v>6</v>
      </c>
      <c r="N1578" s="4">
        <v>1</v>
      </c>
      <c r="O1578" s="2">
        <v>0.16666666666666663</v>
      </c>
      <c r="P1578" s="3">
        <v>0.65</v>
      </c>
      <c r="Q1578" s="3">
        <v>0.65</v>
      </c>
      <c r="R1578" s="3">
        <v>0</v>
      </c>
      <c r="S1578" s="2"/>
      <c r="T1578" s="5">
        <v>0</v>
      </c>
      <c r="U1578" s="4">
        <v>0</v>
      </c>
      <c r="V1578" s="4">
        <v>0</v>
      </c>
      <c r="W1578" s="2">
        <v>0</v>
      </c>
      <c r="X1578" s="4">
        <v>0</v>
      </c>
      <c r="Y1578" s="4">
        <v>0</v>
      </c>
      <c r="Z1578" s="3">
        <v>0</v>
      </c>
      <c r="AA1578" s="3">
        <v>0</v>
      </c>
    </row>
    <row r="1579" spans="1:27" x14ac:dyDescent="0.2">
      <c r="A1579">
        <f t="shared" si="48"/>
        <v>3</v>
      </c>
      <c r="B1579">
        <f t="shared" si="49"/>
        <v>13</v>
      </c>
      <c r="C1579" s="1">
        <v>46108</v>
      </c>
      <c r="D1579" t="s">
        <v>25</v>
      </c>
      <c r="E1579" t="s">
        <v>26</v>
      </c>
      <c r="F1579" t="s">
        <v>27</v>
      </c>
      <c r="G1579" t="s">
        <v>124</v>
      </c>
      <c r="H1579" t="s">
        <v>29</v>
      </c>
      <c r="I1579" t="s">
        <v>30</v>
      </c>
      <c r="J1579" t="s">
        <v>280</v>
      </c>
      <c r="K1579" t="s">
        <v>87</v>
      </c>
      <c r="L1579" t="s">
        <v>280</v>
      </c>
      <c r="M1579" s="4">
        <v>8</v>
      </c>
      <c r="N1579" s="4">
        <v>1</v>
      </c>
      <c r="O1579" s="2">
        <v>0.125</v>
      </c>
      <c r="P1579" s="3">
        <v>0.2</v>
      </c>
      <c r="Q1579" s="3">
        <v>0.2</v>
      </c>
      <c r="R1579" s="3">
        <v>0</v>
      </c>
      <c r="S1579" s="2"/>
      <c r="T1579" s="5">
        <v>0</v>
      </c>
      <c r="U1579" s="4">
        <v>0</v>
      </c>
      <c r="V1579" s="4">
        <v>0</v>
      </c>
      <c r="W1579" s="2">
        <v>0</v>
      </c>
      <c r="X1579" s="4">
        <v>0</v>
      </c>
      <c r="Y1579" s="4">
        <v>0</v>
      </c>
      <c r="Z1579" s="3">
        <v>0</v>
      </c>
      <c r="AA1579" s="3">
        <v>0</v>
      </c>
    </row>
    <row r="1580" spans="1:27" x14ac:dyDescent="0.2">
      <c r="A1580">
        <f t="shared" si="48"/>
        <v>3</v>
      </c>
      <c r="B1580">
        <f t="shared" si="49"/>
        <v>13</v>
      </c>
      <c r="C1580" s="1">
        <v>46109</v>
      </c>
      <c r="D1580" t="s">
        <v>25</v>
      </c>
      <c r="E1580" t="s">
        <v>26</v>
      </c>
      <c r="F1580" t="s">
        <v>27</v>
      </c>
      <c r="G1580" t="s">
        <v>28</v>
      </c>
      <c r="H1580" t="s">
        <v>29</v>
      </c>
      <c r="I1580" t="s">
        <v>30</v>
      </c>
      <c r="J1580" t="s">
        <v>50</v>
      </c>
      <c r="K1580" t="s">
        <v>32</v>
      </c>
      <c r="L1580" t="s">
        <v>957</v>
      </c>
      <c r="M1580" s="4">
        <v>5</v>
      </c>
      <c r="N1580" s="4">
        <v>1</v>
      </c>
      <c r="O1580" s="2">
        <v>0.2</v>
      </c>
      <c r="P1580" s="3">
        <v>0.21</v>
      </c>
      <c r="Q1580" s="3">
        <v>0.21</v>
      </c>
      <c r="R1580" s="3">
        <v>0</v>
      </c>
      <c r="S1580" s="2"/>
      <c r="T1580" s="5">
        <v>0</v>
      </c>
      <c r="U1580" s="4">
        <v>0</v>
      </c>
      <c r="V1580" s="4">
        <v>0</v>
      </c>
      <c r="W1580" s="2">
        <v>0</v>
      </c>
      <c r="X1580" s="4">
        <v>0</v>
      </c>
      <c r="Y1580" s="4">
        <v>0</v>
      </c>
      <c r="Z1580" s="3">
        <v>0</v>
      </c>
      <c r="AA1580" s="3">
        <v>0</v>
      </c>
    </row>
    <row r="1581" spans="1:27" x14ac:dyDescent="0.2">
      <c r="A1581">
        <f t="shared" si="48"/>
        <v>3</v>
      </c>
      <c r="B1581">
        <f t="shared" si="49"/>
        <v>13</v>
      </c>
      <c r="C1581" s="1">
        <v>46104</v>
      </c>
      <c r="D1581" t="s">
        <v>25</v>
      </c>
      <c r="E1581" t="s">
        <v>26</v>
      </c>
      <c r="F1581" t="s">
        <v>27</v>
      </c>
      <c r="G1581" t="s">
        <v>28</v>
      </c>
      <c r="H1581" t="s">
        <v>29</v>
      </c>
      <c r="I1581" t="s">
        <v>30</v>
      </c>
      <c r="J1581" t="s">
        <v>50</v>
      </c>
      <c r="K1581" t="s">
        <v>32</v>
      </c>
      <c r="L1581" t="s">
        <v>958</v>
      </c>
      <c r="M1581" s="4">
        <v>6</v>
      </c>
      <c r="N1581" s="4">
        <v>1</v>
      </c>
      <c r="O1581" s="2">
        <v>0.16666666666666663</v>
      </c>
      <c r="P1581" s="3">
        <v>0.21</v>
      </c>
      <c r="Q1581" s="3">
        <v>0.21</v>
      </c>
      <c r="R1581" s="3">
        <v>0</v>
      </c>
      <c r="S1581" s="2"/>
      <c r="T1581" s="5">
        <v>0</v>
      </c>
      <c r="U1581" s="4">
        <v>0</v>
      </c>
      <c r="V1581" s="4">
        <v>0</v>
      </c>
      <c r="W1581" s="2">
        <v>0</v>
      </c>
      <c r="X1581" s="4">
        <v>0</v>
      </c>
      <c r="Y1581" s="4">
        <v>0</v>
      </c>
      <c r="Z1581" s="3">
        <v>0</v>
      </c>
      <c r="AA1581" s="3">
        <v>0</v>
      </c>
    </row>
    <row r="1582" spans="1:27" x14ac:dyDescent="0.2">
      <c r="A1582">
        <f t="shared" si="48"/>
        <v>3</v>
      </c>
      <c r="B1582">
        <f t="shared" si="49"/>
        <v>13</v>
      </c>
      <c r="C1582" s="1">
        <v>46103</v>
      </c>
      <c r="D1582" t="s">
        <v>25</v>
      </c>
      <c r="E1582" t="s">
        <v>26</v>
      </c>
      <c r="F1582" t="s">
        <v>27</v>
      </c>
      <c r="G1582" t="s">
        <v>28</v>
      </c>
      <c r="H1582" t="s">
        <v>29</v>
      </c>
      <c r="I1582" t="s">
        <v>30</v>
      </c>
      <c r="J1582" t="s">
        <v>50</v>
      </c>
      <c r="K1582" t="s">
        <v>32</v>
      </c>
      <c r="L1582" t="s">
        <v>285</v>
      </c>
      <c r="M1582" s="4">
        <v>1</v>
      </c>
      <c r="N1582" s="4">
        <v>1</v>
      </c>
      <c r="O1582" s="2">
        <v>1</v>
      </c>
      <c r="P1582" s="3">
        <v>0.2</v>
      </c>
      <c r="Q1582" s="3">
        <v>0.2</v>
      </c>
      <c r="R1582" s="3">
        <v>0</v>
      </c>
      <c r="S1582" s="2"/>
      <c r="T1582" s="5">
        <v>0</v>
      </c>
      <c r="U1582" s="4">
        <v>0</v>
      </c>
      <c r="V1582" s="4">
        <v>0</v>
      </c>
      <c r="W1582" s="2">
        <v>0</v>
      </c>
      <c r="X1582" s="4">
        <v>0</v>
      </c>
      <c r="Y1582" s="4">
        <v>0</v>
      </c>
      <c r="Z1582" s="3">
        <v>0</v>
      </c>
      <c r="AA1582" s="3">
        <v>0</v>
      </c>
    </row>
    <row r="1583" spans="1:27" x14ac:dyDescent="0.2">
      <c r="A1583">
        <f t="shared" si="48"/>
        <v>3</v>
      </c>
      <c r="B1583">
        <f t="shared" si="49"/>
        <v>13</v>
      </c>
      <c r="C1583" s="1">
        <v>46105</v>
      </c>
      <c r="D1583" t="s">
        <v>25</v>
      </c>
      <c r="E1583" t="s">
        <v>26</v>
      </c>
      <c r="F1583" t="s">
        <v>49</v>
      </c>
      <c r="G1583" t="s">
        <v>50</v>
      </c>
      <c r="H1583" t="s">
        <v>29</v>
      </c>
      <c r="I1583" t="s">
        <v>30</v>
      </c>
      <c r="J1583" t="s">
        <v>47</v>
      </c>
      <c r="K1583" t="s">
        <v>42</v>
      </c>
      <c r="L1583" t="s">
        <v>959</v>
      </c>
      <c r="M1583" s="4">
        <v>5</v>
      </c>
      <c r="N1583" s="4">
        <v>1</v>
      </c>
      <c r="O1583" s="2">
        <v>0.2</v>
      </c>
      <c r="P1583" s="3">
        <v>0.74</v>
      </c>
      <c r="Q1583" s="3">
        <v>0.74</v>
      </c>
      <c r="R1583" s="3">
        <v>0</v>
      </c>
      <c r="S1583" s="2"/>
      <c r="T1583" s="5">
        <v>0</v>
      </c>
      <c r="U1583" s="4">
        <v>0</v>
      </c>
      <c r="V1583" s="4">
        <v>0</v>
      </c>
      <c r="W1583" s="2">
        <v>0</v>
      </c>
      <c r="X1583" s="4">
        <v>0</v>
      </c>
      <c r="Y1583" s="4">
        <v>0</v>
      </c>
      <c r="Z1583" s="3">
        <v>0</v>
      </c>
      <c r="AA1583" s="3">
        <v>0</v>
      </c>
    </row>
    <row r="1584" spans="1:27" x14ac:dyDescent="0.2">
      <c r="A1584">
        <f t="shared" si="48"/>
        <v>3</v>
      </c>
      <c r="B1584">
        <f t="shared" si="49"/>
        <v>13</v>
      </c>
      <c r="C1584" s="1">
        <v>46105</v>
      </c>
      <c r="D1584" t="s">
        <v>25</v>
      </c>
      <c r="E1584" t="s">
        <v>26</v>
      </c>
      <c r="F1584" t="s">
        <v>49</v>
      </c>
      <c r="G1584" t="s">
        <v>50</v>
      </c>
      <c r="H1584" t="s">
        <v>29</v>
      </c>
      <c r="I1584" t="s">
        <v>30</v>
      </c>
      <c r="J1584" t="s">
        <v>95</v>
      </c>
      <c r="K1584" t="s">
        <v>42</v>
      </c>
      <c r="L1584" t="s">
        <v>960</v>
      </c>
      <c r="M1584" s="4">
        <v>2</v>
      </c>
      <c r="N1584" s="4">
        <v>1</v>
      </c>
      <c r="O1584" s="2">
        <v>0.5</v>
      </c>
      <c r="P1584" s="3">
        <v>0.42</v>
      </c>
      <c r="Q1584" s="3">
        <v>0.42</v>
      </c>
      <c r="R1584" s="3">
        <v>0</v>
      </c>
      <c r="S1584" s="2"/>
      <c r="T1584" s="5">
        <v>0</v>
      </c>
      <c r="U1584" s="4">
        <v>0</v>
      </c>
      <c r="V1584" s="4">
        <v>0</v>
      </c>
      <c r="W1584" s="2">
        <v>0</v>
      </c>
      <c r="X1584" s="4">
        <v>0</v>
      </c>
      <c r="Y1584" s="4">
        <v>0</v>
      </c>
      <c r="Z1584" s="3">
        <v>0</v>
      </c>
      <c r="AA1584" s="3">
        <v>0</v>
      </c>
    </row>
    <row r="1585" spans="1:27" x14ac:dyDescent="0.2">
      <c r="A1585">
        <f t="shared" si="48"/>
        <v>3</v>
      </c>
      <c r="B1585">
        <f t="shared" si="49"/>
        <v>13</v>
      </c>
      <c r="C1585" s="1">
        <v>46108</v>
      </c>
      <c r="D1585" t="s">
        <v>25</v>
      </c>
      <c r="E1585" t="s">
        <v>26</v>
      </c>
      <c r="F1585" t="s">
        <v>61</v>
      </c>
      <c r="G1585" t="s">
        <v>62</v>
      </c>
      <c r="H1585" t="s">
        <v>29</v>
      </c>
      <c r="I1585" t="s">
        <v>30</v>
      </c>
      <c r="J1585" t="s">
        <v>95</v>
      </c>
      <c r="K1585" t="s">
        <v>42</v>
      </c>
      <c r="L1585" t="s">
        <v>961</v>
      </c>
      <c r="M1585" s="4">
        <v>17</v>
      </c>
      <c r="N1585" s="4">
        <v>1</v>
      </c>
      <c r="O1585" s="2">
        <v>5.8823529411764698E-2</v>
      </c>
      <c r="P1585" s="3">
        <v>1.1499999999999999</v>
      </c>
      <c r="Q1585" s="3">
        <v>1.1499999999999999</v>
      </c>
      <c r="R1585" s="3">
        <v>0</v>
      </c>
      <c r="S1585" s="2"/>
      <c r="T1585" s="5">
        <v>0</v>
      </c>
      <c r="U1585" s="4">
        <v>0</v>
      </c>
      <c r="V1585" s="4">
        <v>0</v>
      </c>
      <c r="W1585" s="2">
        <v>0</v>
      </c>
      <c r="X1585" s="4">
        <v>0</v>
      </c>
      <c r="Y1585" s="4">
        <v>0</v>
      </c>
      <c r="Z1585" s="3">
        <v>0</v>
      </c>
      <c r="AA1585" s="3">
        <v>0</v>
      </c>
    </row>
    <row r="1586" spans="1:27" x14ac:dyDescent="0.2">
      <c r="A1586">
        <f t="shared" si="48"/>
        <v>3</v>
      </c>
      <c r="B1586">
        <f t="shared" si="49"/>
        <v>13</v>
      </c>
      <c r="C1586" s="1">
        <v>46109</v>
      </c>
      <c r="D1586" t="s">
        <v>25</v>
      </c>
      <c r="E1586" t="s">
        <v>26</v>
      </c>
      <c r="F1586" t="s">
        <v>27</v>
      </c>
      <c r="G1586" t="s">
        <v>28</v>
      </c>
      <c r="H1586" t="s">
        <v>29</v>
      </c>
      <c r="I1586" t="s">
        <v>30</v>
      </c>
      <c r="J1586" t="s">
        <v>119</v>
      </c>
      <c r="K1586" t="s">
        <v>32</v>
      </c>
      <c r="L1586" t="s">
        <v>962</v>
      </c>
      <c r="M1586" s="4">
        <v>6</v>
      </c>
      <c r="N1586" s="4">
        <v>1</v>
      </c>
      <c r="O1586" s="2">
        <v>0.16666666666666663</v>
      </c>
      <c r="P1586" s="3">
        <v>0.16</v>
      </c>
      <c r="Q1586" s="3">
        <v>0.16</v>
      </c>
      <c r="R1586" s="3">
        <v>18.989999999999998</v>
      </c>
      <c r="S1586" s="2">
        <v>8.4254870984728815E-3</v>
      </c>
      <c r="T1586" s="5">
        <v>118.68749999999999</v>
      </c>
      <c r="U1586" s="4">
        <v>1</v>
      </c>
      <c r="V1586" s="4">
        <v>1</v>
      </c>
      <c r="W1586" s="2">
        <v>1</v>
      </c>
      <c r="X1586" s="4">
        <v>1</v>
      </c>
      <c r="Y1586" s="4">
        <v>0</v>
      </c>
      <c r="Z1586" s="3">
        <v>18.989999999999998</v>
      </c>
      <c r="AA1586" s="3">
        <v>0</v>
      </c>
    </row>
    <row r="1587" spans="1:27" x14ac:dyDescent="0.2">
      <c r="A1587">
        <f t="shared" si="48"/>
        <v>3</v>
      </c>
      <c r="B1587">
        <f t="shared" si="49"/>
        <v>13</v>
      </c>
      <c r="C1587" s="1">
        <v>46109</v>
      </c>
      <c r="D1587" t="s">
        <v>25</v>
      </c>
      <c r="E1587" t="s">
        <v>26</v>
      </c>
      <c r="F1587" t="s">
        <v>61</v>
      </c>
      <c r="G1587" t="s">
        <v>62</v>
      </c>
      <c r="H1587" t="s">
        <v>29</v>
      </c>
      <c r="I1587" t="s">
        <v>30</v>
      </c>
      <c r="J1587" t="s">
        <v>95</v>
      </c>
      <c r="K1587" t="s">
        <v>42</v>
      </c>
      <c r="L1587" t="s">
        <v>963</v>
      </c>
      <c r="M1587" s="4">
        <v>3</v>
      </c>
      <c r="N1587" s="4">
        <v>1</v>
      </c>
      <c r="O1587" s="2">
        <v>0.33333333333333331</v>
      </c>
      <c r="P1587" s="3">
        <v>1.2</v>
      </c>
      <c r="Q1587" s="3">
        <v>1.2</v>
      </c>
      <c r="R1587" s="3">
        <v>0</v>
      </c>
      <c r="S1587" s="2"/>
      <c r="T1587" s="5">
        <v>0</v>
      </c>
      <c r="U1587" s="4">
        <v>0</v>
      </c>
      <c r="V1587" s="4">
        <v>0</v>
      </c>
      <c r="W1587" s="2">
        <v>0</v>
      </c>
      <c r="X1587" s="4">
        <v>0</v>
      </c>
      <c r="Y1587" s="4">
        <v>0</v>
      </c>
      <c r="Z1587" s="3">
        <v>0</v>
      </c>
      <c r="AA1587" s="3">
        <v>0</v>
      </c>
    </row>
    <row r="1588" spans="1:27" x14ac:dyDescent="0.2">
      <c r="A1588">
        <f t="shared" si="48"/>
        <v>3</v>
      </c>
      <c r="B1588">
        <f t="shared" si="49"/>
        <v>13</v>
      </c>
      <c r="C1588" s="1">
        <v>46103</v>
      </c>
      <c r="D1588" t="s">
        <v>25</v>
      </c>
      <c r="E1588" t="s">
        <v>26</v>
      </c>
      <c r="F1588" t="s">
        <v>61</v>
      </c>
      <c r="G1588" t="s">
        <v>62</v>
      </c>
      <c r="H1588" t="s">
        <v>29</v>
      </c>
      <c r="I1588" t="s">
        <v>30</v>
      </c>
      <c r="J1588" t="s">
        <v>95</v>
      </c>
      <c r="K1588" t="s">
        <v>42</v>
      </c>
      <c r="L1588" t="s">
        <v>660</v>
      </c>
      <c r="M1588" s="4">
        <v>1</v>
      </c>
      <c r="N1588" s="4">
        <v>1</v>
      </c>
      <c r="O1588" s="2">
        <v>1</v>
      </c>
      <c r="P1588" s="3">
        <v>1.63</v>
      </c>
      <c r="Q1588" s="3">
        <v>1.63</v>
      </c>
      <c r="R1588" s="3">
        <v>0</v>
      </c>
      <c r="S1588" s="2"/>
      <c r="T1588" s="5">
        <v>0</v>
      </c>
      <c r="U1588" s="4">
        <v>0</v>
      </c>
      <c r="V1588" s="4">
        <v>0</v>
      </c>
      <c r="W1588" s="2">
        <v>0</v>
      </c>
      <c r="X1588" s="4">
        <v>0</v>
      </c>
      <c r="Y1588" s="4">
        <v>0</v>
      </c>
      <c r="Z1588" s="3">
        <v>0</v>
      </c>
      <c r="AA1588" s="3">
        <v>0</v>
      </c>
    </row>
    <row r="1589" spans="1:27" x14ac:dyDescent="0.2">
      <c r="A1589">
        <f t="shared" si="48"/>
        <v>3</v>
      </c>
      <c r="B1589">
        <f t="shared" si="49"/>
        <v>14</v>
      </c>
      <c r="C1589" s="1">
        <v>46110</v>
      </c>
      <c r="D1589" t="s">
        <v>25</v>
      </c>
      <c r="E1589" t="s">
        <v>26</v>
      </c>
      <c r="F1589" t="s">
        <v>27</v>
      </c>
      <c r="G1589" t="s">
        <v>28</v>
      </c>
      <c r="H1589" t="s">
        <v>29</v>
      </c>
      <c r="I1589" t="s">
        <v>30</v>
      </c>
      <c r="J1589" t="s">
        <v>119</v>
      </c>
      <c r="K1589" t="s">
        <v>32</v>
      </c>
      <c r="L1589" t="s">
        <v>964</v>
      </c>
      <c r="M1589" s="4">
        <v>1</v>
      </c>
      <c r="N1589" s="4">
        <v>1</v>
      </c>
      <c r="O1589" s="2">
        <v>1</v>
      </c>
      <c r="P1589" s="3">
        <v>0.16</v>
      </c>
      <c r="Q1589" s="3">
        <v>0.16</v>
      </c>
      <c r="R1589" s="3">
        <v>0</v>
      </c>
      <c r="S1589" s="2"/>
      <c r="T1589" s="5">
        <v>0</v>
      </c>
      <c r="U1589" s="4">
        <v>0</v>
      </c>
      <c r="V1589" s="4">
        <v>0</v>
      </c>
      <c r="W1589" s="2">
        <v>0</v>
      </c>
      <c r="X1589" s="4">
        <v>0</v>
      </c>
      <c r="Y1589" s="4">
        <v>0</v>
      </c>
      <c r="Z1589" s="3">
        <v>0</v>
      </c>
      <c r="AA1589" s="3">
        <v>0</v>
      </c>
    </row>
    <row r="1590" spans="1:27" x14ac:dyDescent="0.2">
      <c r="A1590">
        <f t="shared" si="48"/>
        <v>3</v>
      </c>
      <c r="B1590">
        <f t="shared" si="49"/>
        <v>14</v>
      </c>
      <c r="C1590" s="1">
        <v>46110</v>
      </c>
      <c r="D1590" t="s">
        <v>25</v>
      </c>
      <c r="E1590" t="s">
        <v>26</v>
      </c>
      <c r="F1590" t="s">
        <v>27</v>
      </c>
      <c r="G1590" t="s">
        <v>28</v>
      </c>
      <c r="H1590" t="s">
        <v>29</v>
      </c>
      <c r="I1590" t="s">
        <v>30</v>
      </c>
      <c r="J1590" t="s">
        <v>280</v>
      </c>
      <c r="K1590" t="s">
        <v>32</v>
      </c>
      <c r="L1590" t="s">
        <v>965</v>
      </c>
      <c r="M1590" s="4">
        <v>1</v>
      </c>
      <c r="N1590" s="4">
        <v>1</v>
      </c>
      <c r="O1590" s="2">
        <v>1</v>
      </c>
      <c r="P1590" s="3">
        <v>0.08</v>
      </c>
      <c r="Q1590" s="3">
        <v>0.08</v>
      </c>
      <c r="R1590" s="3">
        <v>0</v>
      </c>
      <c r="S1590" s="2"/>
      <c r="T1590" s="5">
        <v>0</v>
      </c>
      <c r="U1590" s="4">
        <v>0</v>
      </c>
      <c r="V1590" s="4">
        <v>0</v>
      </c>
      <c r="W1590" s="2">
        <v>0</v>
      </c>
      <c r="X1590" s="4">
        <v>0</v>
      </c>
      <c r="Y1590" s="4">
        <v>0</v>
      </c>
      <c r="Z1590" s="3">
        <v>0</v>
      </c>
      <c r="AA1590" s="3">
        <v>0</v>
      </c>
    </row>
    <row r="1591" spans="1:27" x14ac:dyDescent="0.2">
      <c r="A1591">
        <f t="shared" si="48"/>
        <v>3</v>
      </c>
      <c r="B1591">
        <f t="shared" si="49"/>
        <v>13</v>
      </c>
      <c r="C1591" s="1">
        <v>46108</v>
      </c>
      <c r="D1591" t="s">
        <v>25</v>
      </c>
      <c r="E1591" t="s">
        <v>26</v>
      </c>
      <c r="F1591" t="s">
        <v>27</v>
      </c>
      <c r="G1591" t="s">
        <v>28</v>
      </c>
      <c r="H1591" t="s">
        <v>29</v>
      </c>
      <c r="I1591" t="s">
        <v>30</v>
      </c>
      <c r="J1591" t="s">
        <v>133</v>
      </c>
      <c r="K1591" t="s">
        <v>32</v>
      </c>
      <c r="L1591" t="s">
        <v>966</v>
      </c>
      <c r="M1591" s="4">
        <v>1</v>
      </c>
      <c r="N1591" s="4">
        <v>1</v>
      </c>
      <c r="O1591" s="2">
        <v>1</v>
      </c>
      <c r="P1591" s="3">
        <v>0.21</v>
      </c>
      <c r="Q1591" s="3">
        <v>0.21</v>
      </c>
      <c r="R1591" s="3">
        <v>0</v>
      </c>
      <c r="S1591" s="2"/>
      <c r="T1591" s="5">
        <v>0</v>
      </c>
      <c r="U1591" s="4">
        <v>0</v>
      </c>
      <c r="V1591" s="4">
        <v>0</v>
      </c>
      <c r="W1591" s="2">
        <v>0</v>
      </c>
      <c r="X1591" s="4">
        <v>0</v>
      </c>
      <c r="Y1591" s="4">
        <v>0</v>
      </c>
      <c r="Z1591" s="3">
        <v>0</v>
      </c>
      <c r="AA1591" s="3">
        <v>0</v>
      </c>
    </row>
    <row r="1592" spans="1:27" x14ac:dyDescent="0.2">
      <c r="A1592">
        <f t="shared" si="48"/>
        <v>3</v>
      </c>
      <c r="B1592">
        <f t="shared" si="49"/>
        <v>14</v>
      </c>
      <c r="C1592" s="1">
        <v>46112</v>
      </c>
      <c r="D1592" t="s">
        <v>25</v>
      </c>
      <c r="E1592" t="s">
        <v>26</v>
      </c>
      <c r="F1592" t="s">
        <v>49</v>
      </c>
      <c r="G1592" t="s">
        <v>50</v>
      </c>
      <c r="H1592" t="s">
        <v>29</v>
      </c>
      <c r="I1592" t="s">
        <v>30</v>
      </c>
      <c r="J1592" t="s">
        <v>47</v>
      </c>
      <c r="K1592" t="s">
        <v>42</v>
      </c>
      <c r="L1592" t="s">
        <v>293</v>
      </c>
      <c r="M1592" s="4">
        <v>2</v>
      </c>
      <c r="N1592" s="4">
        <v>1</v>
      </c>
      <c r="O1592" s="2">
        <v>0.5</v>
      </c>
      <c r="P1592" s="3">
        <v>0.65</v>
      </c>
      <c r="Q1592" s="3">
        <v>0.65</v>
      </c>
      <c r="R1592" s="3">
        <v>0</v>
      </c>
      <c r="S1592" s="2"/>
      <c r="T1592" s="5">
        <v>0</v>
      </c>
      <c r="U1592" s="4">
        <v>0</v>
      </c>
      <c r="V1592" s="4">
        <v>0</v>
      </c>
      <c r="W1592" s="2">
        <v>0</v>
      </c>
      <c r="X1592" s="4">
        <v>0</v>
      </c>
      <c r="Y1592" s="4">
        <v>0</v>
      </c>
      <c r="Z1592" s="3">
        <v>0</v>
      </c>
      <c r="AA1592" s="3">
        <v>0</v>
      </c>
    </row>
    <row r="1593" spans="1:27" x14ac:dyDescent="0.2">
      <c r="A1593">
        <f t="shared" si="48"/>
        <v>3</v>
      </c>
      <c r="B1593">
        <f t="shared" si="49"/>
        <v>13</v>
      </c>
      <c r="C1593" s="1">
        <v>46103</v>
      </c>
      <c r="D1593" t="s">
        <v>25</v>
      </c>
      <c r="E1593" t="s">
        <v>26</v>
      </c>
      <c r="F1593" t="s">
        <v>27</v>
      </c>
      <c r="G1593" t="s">
        <v>28</v>
      </c>
      <c r="H1593" t="s">
        <v>29</v>
      </c>
      <c r="I1593" t="s">
        <v>30</v>
      </c>
      <c r="J1593" t="s">
        <v>50</v>
      </c>
      <c r="K1593" t="s">
        <v>32</v>
      </c>
      <c r="L1593" t="s">
        <v>967</v>
      </c>
      <c r="M1593" s="4">
        <v>3</v>
      </c>
      <c r="N1593" s="4">
        <v>1</v>
      </c>
      <c r="O1593" s="2">
        <v>0.33333333333333331</v>
      </c>
      <c r="P1593" s="3">
        <v>0.08</v>
      </c>
      <c r="Q1593" s="3">
        <v>0.08</v>
      </c>
      <c r="R1593" s="3">
        <v>0</v>
      </c>
      <c r="S1593" s="2"/>
      <c r="T1593" s="5">
        <v>0</v>
      </c>
      <c r="U1593" s="4">
        <v>0</v>
      </c>
      <c r="V1593" s="4">
        <v>0</v>
      </c>
      <c r="W1593" s="2">
        <v>0</v>
      </c>
      <c r="X1593" s="4">
        <v>0</v>
      </c>
      <c r="Y1593" s="4">
        <v>0</v>
      </c>
      <c r="Z1593" s="3">
        <v>0</v>
      </c>
      <c r="AA1593" s="3">
        <v>0</v>
      </c>
    </row>
    <row r="1594" spans="1:27" x14ac:dyDescent="0.2">
      <c r="A1594">
        <f t="shared" si="48"/>
        <v>3</v>
      </c>
      <c r="B1594">
        <f t="shared" si="49"/>
        <v>13</v>
      </c>
      <c r="C1594" s="1">
        <v>46105</v>
      </c>
      <c r="D1594" t="s">
        <v>25</v>
      </c>
      <c r="E1594" t="s">
        <v>26</v>
      </c>
      <c r="F1594" t="s">
        <v>49</v>
      </c>
      <c r="G1594" t="s">
        <v>50</v>
      </c>
      <c r="H1594" t="s">
        <v>29</v>
      </c>
      <c r="I1594" t="s">
        <v>30</v>
      </c>
      <c r="J1594" t="s">
        <v>95</v>
      </c>
      <c r="K1594" t="s">
        <v>42</v>
      </c>
      <c r="L1594" t="s">
        <v>968</v>
      </c>
      <c r="M1594" s="4">
        <v>1</v>
      </c>
      <c r="N1594" s="4">
        <v>1</v>
      </c>
      <c r="O1594" s="2">
        <v>1</v>
      </c>
      <c r="P1594" s="3">
        <v>0.63</v>
      </c>
      <c r="Q1594" s="3">
        <v>0.63</v>
      </c>
      <c r="R1594" s="3">
        <v>0</v>
      </c>
      <c r="S1594" s="2"/>
      <c r="T1594" s="5">
        <v>0</v>
      </c>
      <c r="U1594" s="4">
        <v>0</v>
      </c>
      <c r="V1594" s="4">
        <v>0</v>
      </c>
      <c r="W1594" s="2">
        <v>0</v>
      </c>
      <c r="X1594" s="4">
        <v>0</v>
      </c>
      <c r="Y1594" s="4">
        <v>0</v>
      </c>
      <c r="Z1594" s="3">
        <v>0</v>
      </c>
      <c r="AA1594" s="3">
        <v>0</v>
      </c>
    </row>
    <row r="1595" spans="1:27" x14ac:dyDescent="0.2">
      <c r="A1595">
        <f t="shared" si="48"/>
        <v>3</v>
      </c>
      <c r="B1595">
        <f t="shared" si="49"/>
        <v>13</v>
      </c>
      <c r="C1595" s="1">
        <v>46108</v>
      </c>
      <c r="D1595" t="s">
        <v>25</v>
      </c>
      <c r="E1595" t="s">
        <v>26</v>
      </c>
      <c r="F1595" t="s">
        <v>39</v>
      </c>
      <c r="G1595" t="s">
        <v>40</v>
      </c>
      <c r="H1595" t="s">
        <v>29</v>
      </c>
      <c r="I1595" t="s">
        <v>30</v>
      </c>
      <c r="J1595" t="s">
        <v>70</v>
      </c>
      <c r="K1595" t="s">
        <v>42</v>
      </c>
      <c r="L1595" t="s">
        <v>386</v>
      </c>
      <c r="M1595" s="4">
        <v>1</v>
      </c>
      <c r="N1595" s="4">
        <v>1</v>
      </c>
      <c r="O1595" s="2">
        <v>1</v>
      </c>
      <c r="P1595" s="3">
        <v>0.61</v>
      </c>
      <c r="Q1595" s="3">
        <v>0.61</v>
      </c>
      <c r="R1595" s="3">
        <v>0</v>
      </c>
      <c r="S1595" s="2"/>
      <c r="T1595" s="5">
        <v>0</v>
      </c>
      <c r="U1595" s="4">
        <v>0</v>
      </c>
      <c r="V1595" s="4">
        <v>0</v>
      </c>
      <c r="W1595" s="2">
        <v>0</v>
      </c>
      <c r="X1595" s="4">
        <v>0</v>
      </c>
      <c r="Y1595" s="4">
        <v>0</v>
      </c>
      <c r="Z1595" s="3">
        <v>0</v>
      </c>
      <c r="AA1595" s="3">
        <v>0</v>
      </c>
    </row>
    <row r="1596" spans="1:27" x14ac:dyDescent="0.2">
      <c r="A1596">
        <f t="shared" si="48"/>
        <v>3</v>
      </c>
      <c r="B1596">
        <f t="shared" si="49"/>
        <v>14</v>
      </c>
      <c r="C1596" s="1">
        <v>46110</v>
      </c>
      <c r="D1596" t="s">
        <v>25</v>
      </c>
      <c r="E1596" t="s">
        <v>26</v>
      </c>
      <c r="F1596" t="s">
        <v>27</v>
      </c>
      <c r="G1596" t="s">
        <v>28</v>
      </c>
      <c r="H1596" t="s">
        <v>29</v>
      </c>
      <c r="I1596" t="s">
        <v>30</v>
      </c>
      <c r="J1596" t="s">
        <v>99</v>
      </c>
      <c r="K1596" t="s">
        <v>32</v>
      </c>
      <c r="L1596" t="s">
        <v>301</v>
      </c>
      <c r="M1596" s="4">
        <v>1</v>
      </c>
      <c r="N1596" s="4">
        <v>1</v>
      </c>
      <c r="O1596" s="2">
        <v>1</v>
      </c>
      <c r="P1596" s="3">
        <v>0.4</v>
      </c>
      <c r="Q1596" s="3">
        <v>0.4</v>
      </c>
      <c r="R1596" s="3">
        <v>0</v>
      </c>
      <c r="S1596" s="2"/>
      <c r="T1596" s="5">
        <v>0</v>
      </c>
      <c r="U1596" s="4">
        <v>0</v>
      </c>
      <c r="V1596" s="4">
        <v>0</v>
      </c>
      <c r="W1596" s="2">
        <v>0</v>
      </c>
      <c r="X1596" s="4">
        <v>0</v>
      </c>
      <c r="Y1596" s="4">
        <v>0</v>
      </c>
      <c r="Z1596" s="3">
        <v>0</v>
      </c>
      <c r="AA1596" s="3">
        <v>0</v>
      </c>
    </row>
    <row r="1597" spans="1:27" x14ac:dyDescent="0.2">
      <c r="A1597">
        <f t="shared" si="48"/>
        <v>3</v>
      </c>
      <c r="B1597">
        <f t="shared" si="49"/>
        <v>13</v>
      </c>
      <c r="C1597" s="1">
        <v>46105</v>
      </c>
      <c r="D1597" t="s">
        <v>25</v>
      </c>
      <c r="E1597" t="s">
        <v>26</v>
      </c>
      <c r="F1597" t="s">
        <v>27</v>
      </c>
      <c r="G1597" t="s">
        <v>124</v>
      </c>
      <c r="H1597" t="s">
        <v>29</v>
      </c>
      <c r="I1597" t="s">
        <v>30</v>
      </c>
      <c r="J1597" t="s">
        <v>101</v>
      </c>
      <c r="K1597" t="s">
        <v>87</v>
      </c>
      <c r="L1597" t="s">
        <v>969</v>
      </c>
      <c r="M1597" s="4">
        <v>1</v>
      </c>
      <c r="N1597" s="4">
        <v>1</v>
      </c>
      <c r="O1597" s="2">
        <v>1</v>
      </c>
      <c r="P1597" s="3">
        <v>0.4</v>
      </c>
      <c r="Q1597" s="3">
        <v>0.4</v>
      </c>
      <c r="R1597" s="3">
        <v>0</v>
      </c>
      <c r="S1597" s="2"/>
      <c r="T1597" s="5">
        <v>0</v>
      </c>
      <c r="U1597" s="4">
        <v>0</v>
      </c>
      <c r="V1597" s="4">
        <v>0</v>
      </c>
      <c r="W1597" s="2">
        <v>0</v>
      </c>
      <c r="X1597" s="4">
        <v>0</v>
      </c>
      <c r="Y1597" s="4">
        <v>0</v>
      </c>
      <c r="Z1597" s="3">
        <v>0</v>
      </c>
      <c r="AA1597" s="3">
        <v>0</v>
      </c>
    </row>
    <row r="1598" spans="1:27" x14ac:dyDescent="0.2">
      <c r="A1598">
        <f t="shared" si="48"/>
        <v>3</v>
      </c>
      <c r="B1598">
        <f t="shared" si="49"/>
        <v>13</v>
      </c>
      <c r="C1598" s="1">
        <v>46103</v>
      </c>
      <c r="D1598" t="s">
        <v>25</v>
      </c>
      <c r="E1598" t="s">
        <v>26</v>
      </c>
      <c r="F1598" t="s">
        <v>49</v>
      </c>
      <c r="G1598" t="s">
        <v>50</v>
      </c>
      <c r="H1598" t="s">
        <v>29</v>
      </c>
      <c r="I1598" t="s">
        <v>30</v>
      </c>
      <c r="J1598" t="s">
        <v>47</v>
      </c>
      <c r="K1598" t="s">
        <v>42</v>
      </c>
      <c r="L1598" t="s">
        <v>857</v>
      </c>
      <c r="M1598" s="4">
        <v>1</v>
      </c>
      <c r="N1598" s="4">
        <v>1</v>
      </c>
      <c r="O1598" s="2">
        <v>1</v>
      </c>
      <c r="P1598" s="3">
        <v>0.95</v>
      </c>
      <c r="Q1598" s="3">
        <v>0.95</v>
      </c>
      <c r="R1598" s="3">
        <v>0</v>
      </c>
      <c r="S1598" s="2"/>
      <c r="T1598" s="5">
        <v>0</v>
      </c>
      <c r="U1598" s="4">
        <v>0</v>
      </c>
      <c r="V1598" s="4">
        <v>0</v>
      </c>
      <c r="W1598" s="2">
        <v>0</v>
      </c>
      <c r="X1598" s="4">
        <v>0</v>
      </c>
      <c r="Y1598" s="4">
        <v>0</v>
      </c>
      <c r="Z1598" s="3">
        <v>0</v>
      </c>
      <c r="AA1598" s="3">
        <v>0</v>
      </c>
    </row>
    <row r="1599" spans="1:27" x14ac:dyDescent="0.2">
      <c r="A1599">
        <f t="shared" si="48"/>
        <v>3</v>
      </c>
      <c r="B1599">
        <f t="shared" si="49"/>
        <v>13</v>
      </c>
      <c r="C1599" s="1">
        <v>46104</v>
      </c>
      <c r="D1599" t="s">
        <v>25</v>
      </c>
      <c r="E1599" t="s">
        <v>26</v>
      </c>
      <c r="F1599" t="s">
        <v>27</v>
      </c>
      <c r="G1599" t="s">
        <v>28</v>
      </c>
      <c r="H1599" t="s">
        <v>29</v>
      </c>
      <c r="I1599" t="s">
        <v>30</v>
      </c>
      <c r="J1599" t="s">
        <v>156</v>
      </c>
      <c r="K1599" t="s">
        <v>32</v>
      </c>
      <c r="L1599" t="s">
        <v>970</v>
      </c>
      <c r="M1599" s="4">
        <v>1</v>
      </c>
      <c r="N1599" s="4">
        <v>1</v>
      </c>
      <c r="O1599" s="2">
        <v>1</v>
      </c>
      <c r="P1599" s="3">
        <v>0.2</v>
      </c>
      <c r="Q1599" s="3">
        <v>0.2</v>
      </c>
      <c r="R1599" s="3">
        <v>18.989999999999998</v>
      </c>
      <c r="S1599" s="2">
        <v>1.0531858873091103E-2</v>
      </c>
      <c r="T1599" s="5">
        <v>94.949999999999989</v>
      </c>
      <c r="U1599" s="4">
        <v>1</v>
      </c>
      <c r="V1599" s="4">
        <v>1</v>
      </c>
      <c r="W1599" s="2">
        <v>1</v>
      </c>
      <c r="X1599" s="4">
        <v>1</v>
      </c>
      <c r="Y1599" s="4">
        <v>0</v>
      </c>
      <c r="Z1599" s="3">
        <v>18.989999999999998</v>
      </c>
      <c r="AA1599" s="3">
        <v>0</v>
      </c>
    </row>
    <row r="1600" spans="1:27" x14ac:dyDescent="0.2">
      <c r="A1600">
        <f t="shared" si="48"/>
        <v>3</v>
      </c>
      <c r="B1600">
        <f t="shared" si="49"/>
        <v>13</v>
      </c>
      <c r="C1600" s="1">
        <v>46103</v>
      </c>
      <c r="D1600" t="s">
        <v>25</v>
      </c>
      <c r="E1600" t="s">
        <v>26</v>
      </c>
      <c r="F1600" t="s">
        <v>27</v>
      </c>
      <c r="G1600" t="s">
        <v>124</v>
      </c>
      <c r="H1600" t="s">
        <v>29</v>
      </c>
      <c r="I1600" t="s">
        <v>30</v>
      </c>
      <c r="J1600" t="s">
        <v>37</v>
      </c>
      <c r="K1600" t="s">
        <v>267</v>
      </c>
      <c r="L1600" t="s">
        <v>37</v>
      </c>
      <c r="M1600" s="4">
        <v>1</v>
      </c>
      <c r="N1600" s="4">
        <v>1</v>
      </c>
      <c r="O1600" s="2">
        <v>1</v>
      </c>
      <c r="P1600" s="3">
        <v>0.21</v>
      </c>
      <c r="Q1600" s="3">
        <v>0.21</v>
      </c>
      <c r="R1600" s="3">
        <v>0</v>
      </c>
      <c r="S1600" s="2"/>
      <c r="T1600" s="5">
        <v>0</v>
      </c>
      <c r="U1600" s="4">
        <v>0</v>
      </c>
      <c r="V1600" s="4">
        <v>0</v>
      </c>
      <c r="W1600" s="2">
        <v>0</v>
      </c>
      <c r="X1600" s="4">
        <v>0</v>
      </c>
      <c r="Y1600" s="4">
        <v>0</v>
      </c>
      <c r="Z1600" s="3">
        <v>0</v>
      </c>
      <c r="AA1600" s="3">
        <v>0</v>
      </c>
    </row>
    <row r="1601" spans="1:27" x14ac:dyDescent="0.2">
      <c r="A1601">
        <f t="shared" si="48"/>
        <v>3</v>
      </c>
      <c r="B1601">
        <f t="shared" si="49"/>
        <v>14</v>
      </c>
      <c r="C1601" s="1">
        <v>46111</v>
      </c>
      <c r="D1601" t="s">
        <v>25</v>
      </c>
      <c r="E1601" t="s">
        <v>26</v>
      </c>
      <c r="F1601" t="s">
        <v>49</v>
      </c>
      <c r="G1601" t="s">
        <v>50</v>
      </c>
      <c r="H1601" t="s">
        <v>29</v>
      </c>
      <c r="I1601" t="s">
        <v>30</v>
      </c>
      <c r="J1601" t="s">
        <v>47</v>
      </c>
      <c r="K1601" t="s">
        <v>42</v>
      </c>
      <c r="L1601" t="s">
        <v>305</v>
      </c>
      <c r="M1601" s="4">
        <v>17</v>
      </c>
      <c r="N1601" s="4">
        <v>1</v>
      </c>
      <c r="O1601" s="2">
        <v>5.8823529411764698E-2</v>
      </c>
      <c r="P1601" s="3">
        <v>0.65</v>
      </c>
      <c r="Q1601" s="3">
        <v>0.65</v>
      </c>
      <c r="R1601" s="3">
        <v>37.979999999999997</v>
      </c>
      <c r="S1601" s="2">
        <v>1.7114270668773041E-2</v>
      </c>
      <c r="T1601" s="5">
        <v>58.430769230769222</v>
      </c>
      <c r="U1601" s="4">
        <v>1</v>
      </c>
      <c r="V1601" s="4">
        <v>2</v>
      </c>
      <c r="W1601" s="2">
        <v>1</v>
      </c>
      <c r="X1601" s="4">
        <v>2</v>
      </c>
      <c r="Y1601" s="4">
        <v>0</v>
      </c>
      <c r="Z1601" s="3">
        <v>37.979999999999997</v>
      </c>
      <c r="AA1601" s="3">
        <v>0</v>
      </c>
    </row>
    <row r="1602" spans="1:27" x14ac:dyDescent="0.2">
      <c r="A1602">
        <f t="shared" si="48"/>
        <v>3</v>
      </c>
      <c r="B1602">
        <f t="shared" si="49"/>
        <v>13</v>
      </c>
      <c r="C1602" s="1">
        <v>46109</v>
      </c>
      <c r="D1602" t="s">
        <v>25</v>
      </c>
      <c r="E1602" t="s">
        <v>26</v>
      </c>
      <c r="F1602" t="s">
        <v>27</v>
      </c>
      <c r="G1602" t="s">
        <v>124</v>
      </c>
      <c r="H1602" t="s">
        <v>29</v>
      </c>
      <c r="I1602" t="s">
        <v>30</v>
      </c>
      <c r="J1602" t="s">
        <v>44</v>
      </c>
      <c r="K1602" t="s">
        <v>87</v>
      </c>
      <c r="L1602" t="s">
        <v>305</v>
      </c>
      <c r="M1602" s="4">
        <v>15</v>
      </c>
      <c r="N1602" s="4">
        <v>1</v>
      </c>
      <c r="O1602" s="2">
        <v>6.6666666666666666E-2</v>
      </c>
      <c r="P1602" s="3">
        <v>0.2</v>
      </c>
      <c r="Q1602" s="3">
        <v>0.2</v>
      </c>
      <c r="R1602" s="3">
        <v>0</v>
      </c>
      <c r="S1602" s="2"/>
      <c r="T1602" s="5">
        <v>0</v>
      </c>
      <c r="U1602" s="4">
        <v>0</v>
      </c>
      <c r="V1602" s="4">
        <v>0</v>
      </c>
      <c r="W1602" s="2">
        <v>0</v>
      </c>
      <c r="X1602" s="4">
        <v>0</v>
      </c>
      <c r="Y1602" s="4">
        <v>0</v>
      </c>
      <c r="Z1602" s="3">
        <v>0</v>
      </c>
      <c r="AA1602" s="3">
        <v>0</v>
      </c>
    </row>
    <row r="1603" spans="1:27" x14ac:dyDescent="0.2">
      <c r="A1603">
        <f t="shared" ref="A1603:A1622" si="50">MONTH(C1603)</f>
        <v>3</v>
      </c>
      <c r="B1603">
        <f t="shared" ref="B1603:B1622" si="51">WEEKNUM(C1603,1)</f>
        <v>13</v>
      </c>
      <c r="C1603" s="1">
        <v>46105</v>
      </c>
      <c r="D1603" t="s">
        <v>25</v>
      </c>
      <c r="E1603" t="s">
        <v>26</v>
      </c>
      <c r="F1603" t="s">
        <v>27</v>
      </c>
      <c r="G1603" t="s">
        <v>124</v>
      </c>
      <c r="H1603" t="s">
        <v>29</v>
      </c>
      <c r="I1603" t="s">
        <v>30</v>
      </c>
      <c r="J1603" t="s">
        <v>305</v>
      </c>
      <c r="K1603" t="s">
        <v>87</v>
      </c>
      <c r="L1603" t="s">
        <v>305</v>
      </c>
      <c r="M1603" s="4">
        <v>1</v>
      </c>
      <c r="N1603" s="4">
        <v>1</v>
      </c>
      <c r="O1603" s="2">
        <v>1</v>
      </c>
      <c r="P1603" s="3">
        <v>0.21</v>
      </c>
      <c r="Q1603" s="3">
        <v>0.21</v>
      </c>
      <c r="R1603" s="3">
        <v>0</v>
      </c>
      <c r="S1603" s="2"/>
      <c r="T1603" s="5">
        <v>0</v>
      </c>
      <c r="U1603" s="4">
        <v>0</v>
      </c>
      <c r="V1603" s="4">
        <v>0</v>
      </c>
      <c r="W1603" s="2">
        <v>0</v>
      </c>
      <c r="X1603" s="4">
        <v>0</v>
      </c>
      <c r="Y1603" s="4">
        <v>0</v>
      </c>
      <c r="Z1603" s="3">
        <v>0</v>
      </c>
      <c r="AA1603" s="3">
        <v>0</v>
      </c>
    </row>
    <row r="1604" spans="1:27" x14ac:dyDescent="0.2">
      <c r="A1604">
        <f t="shared" si="50"/>
        <v>3</v>
      </c>
      <c r="B1604">
        <f t="shared" si="51"/>
        <v>13</v>
      </c>
      <c r="C1604" s="1">
        <v>46106</v>
      </c>
      <c r="D1604" t="s">
        <v>25</v>
      </c>
      <c r="E1604" t="s">
        <v>26</v>
      </c>
      <c r="F1604" t="s">
        <v>27</v>
      </c>
      <c r="G1604" t="s">
        <v>124</v>
      </c>
      <c r="H1604" t="s">
        <v>29</v>
      </c>
      <c r="I1604" t="s">
        <v>30</v>
      </c>
      <c r="J1604" t="s">
        <v>305</v>
      </c>
      <c r="K1604" t="s">
        <v>87</v>
      </c>
      <c r="L1604" t="s">
        <v>305</v>
      </c>
      <c r="M1604" s="4">
        <v>4</v>
      </c>
      <c r="N1604" s="4">
        <v>1</v>
      </c>
      <c r="O1604" s="2">
        <v>0.25</v>
      </c>
      <c r="P1604" s="3">
        <v>0.21</v>
      </c>
      <c r="Q1604" s="3">
        <v>0.21</v>
      </c>
      <c r="R1604" s="3">
        <v>0</v>
      </c>
      <c r="S1604" s="2"/>
      <c r="T1604" s="5">
        <v>0</v>
      </c>
      <c r="U1604" s="4">
        <v>0</v>
      </c>
      <c r="V1604" s="4">
        <v>0</v>
      </c>
      <c r="W1604" s="2">
        <v>0</v>
      </c>
      <c r="X1604" s="4">
        <v>0</v>
      </c>
      <c r="Y1604" s="4">
        <v>0</v>
      </c>
      <c r="Z1604" s="3">
        <v>0</v>
      </c>
      <c r="AA1604" s="3">
        <v>0</v>
      </c>
    </row>
    <row r="1605" spans="1:27" x14ac:dyDescent="0.2">
      <c r="A1605">
        <f t="shared" si="50"/>
        <v>3</v>
      </c>
      <c r="B1605">
        <f t="shared" si="51"/>
        <v>13</v>
      </c>
      <c r="C1605" s="1">
        <v>46107</v>
      </c>
      <c r="D1605" t="s">
        <v>25</v>
      </c>
      <c r="E1605" t="s">
        <v>26</v>
      </c>
      <c r="F1605" t="s">
        <v>49</v>
      </c>
      <c r="G1605" t="s">
        <v>50</v>
      </c>
      <c r="H1605" t="s">
        <v>29</v>
      </c>
      <c r="I1605" t="s">
        <v>30</v>
      </c>
      <c r="J1605" t="s">
        <v>47</v>
      </c>
      <c r="K1605" t="s">
        <v>42</v>
      </c>
      <c r="L1605" t="s">
        <v>308</v>
      </c>
      <c r="M1605" s="4">
        <v>7</v>
      </c>
      <c r="N1605" s="4">
        <v>1</v>
      </c>
      <c r="O1605" s="2">
        <v>0.14285714285714285</v>
      </c>
      <c r="P1605" s="3">
        <v>0.75</v>
      </c>
      <c r="Q1605" s="3">
        <v>0.75</v>
      </c>
      <c r="R1605" s="3">
        <v>0</v>
      </c>
      <c r="S1605" s="2"/>
      <c r="T1605" s="5">
        <v>0</v>
      </c>
      <c r="U1605" s="4">
        <v>0</v>
      </c>
      <c r="V1605" s="4">
        <v>0</v>
      </c>
      <c r="W1605" s="2">
        <v>0</v>
      </c>
      <c r="X1605" s="4">
        <v>0</v>
      </c>
      <c r="Y1605" s="4">
        <v>0</v>
      </c>
      <c r="Z1605" s="3">
        <v>0</v>
      </c>
      <c r="AA1605" s="3">
        <v>0</v>
      </c>
    </row>
    <row r="1606" spans="1:27" x14ac:dyDescent="0.2">
      <c r="A1606">
        <f t="shared" si="50"/>
        <v>3</v>
      </c>
      <c r="B1606">
        <f t="shared" si="51"/>
        <v>14</v>
      </c>
      <c r="C1606" s="1">
        <v>46110</v>
      </c>
      <c r="D1606" t="s">
        <v>25</v>
      </c>
      <c r="E1606" t="s">
        <v>26</v>
      </c>
      <c r="F1606" t="s">
        <v>27</v>
      </c>
      <c r="G1606" t="s">
        <v>28</v>
      </c>
      <c r="H1606" t="s">
        <v>29</v>
      </c>
      <c r="I1606" t="s">
        <v>30</v>
      </c>
      <c r="J1606" t="s">
        <v>239</v>
      </c>
      <c r="K1606" t="s">
        <v>32</v>
      </c>
      <c r="L1606" t="s">
        <v>971</v>
      </c>
      <c r="M1606" s="4">
        <v>1</v>
      </c>
      <c r="N1606" s="4">
        <v>1</v>
      </c>
      <c r="O1606" s="2">
        <v>1</v>
      </c>
      <c r="P1606" s="3">
        <v>0.4</v>
      </c>
      <c r="Q1606" s="3">
        <v>0.4</v>
      </c>
      <c r="R1606" s="3">
        <v>0</v>
      </c>
      <c r="S1606" s="2"/>
      <c r="T1606" s="5">
        <v>0</v>
      </c>
      <c r="U1606" s="4">
        <v>0</v>
      </c>
      <c r="V1606" s="4">
        <v>0</v>
      </c>
      <c r="W1606" s="2">
        <v>0</v>
      </c>
      <c r="X1606" s="4">
        <v>0</v>
      </c>
      <c r="Y1606" s="4">
        <v>0</v>
      </c>
      <c r="Z1606" s="3">
        <v>0</v>
      </c>
      <c r="AA1606" s="3">
        <v>0</v>
      </c>
    </row>
    <row r="1607" spans="1:27" x14ac:dyDescent="0.2">
      <c r="A1607">
        <f t="shared" si="50"/>
        <v>3</v>
      </c>
      <c r="B1607">
        <f t="shared" si="51"/>
        <v>13</v>
      </c>
      <c r="C1607" s="1">
        <v>46103</v>
      </c>
      <c r="D1607" t="s">
        <v>25</v>
      </c>
      <c r="E1607" t="s">
        <v>26</v>
      </c>
      <c r="F1607" t="s">
        <v>27</v>
      </c>
      <c r="G1607" t="s">
        <v>28</v>
      </c>
      <c r="H1607" t="s">
        <v>29</v>
      </c>
      <c r="I1607" t="s">
        <v>30</v>
      </c>
      <c r="J1607" t="s">
        <v>50</v>
      </c>
      <c r="K1607" t="s">
        <v>32</v>
      </c>
      <c r="L1607" t="s">
        <v>972</v>
      </c>
      <c r="M1607" s="4">
        <v>2</v>
      </c>
      <c r="N1607" s="4">
        <v>1</v>
      </c>
      <c r="O1607" s="2">
        <v>0.5</v>
      </c>
      <c r="P1607" s="3">
        <v>0.21</v>
      </c>
      <c r="Q1607" s="3">
        <v>0.21</v>
      </c>
      <c r="R1607" s="3">
        <v>0</v>
      </c>
      <c r="S1607" s="2"/>
      <c r="T1607" s="5">
        <v>0</v>
      </c>
      <c r="U1607" s="4">
        <v>0</v>
      </c>
      <c r="V1607" s="4">
        <v>0</v>
      </c>
      <c r="W1607" s="2">
        <v>0</v>
      </c>
      <c r="X1607" s="4">
        <v>0</v>
      </c>
      <c r="Y1607" s="4">
        <v>0</v>
      </c>
      <c r="Z1607" s="3">
        <v>0</v>
      </c>
      <c r="AA1607" s="3">
        <v>0</v>
      </c>
    </row>
    <row r="1608" spans="1:27" x14ac:dyDescent="0.2">
      <c r="A1608">
        <f t="shared" si="50"/>
        <v>3</v>
      </c>
      <c r="B1608">
        <f t="shared" si="51"/>
        <v>13</v>
      </c>
      <c r="C1608" s="1">
        <v>46108</v>
      </c>
      <c r="D1608" t="s">
        <v>25</v>
      </c>
      <c r="E1608" t="s">
        <v>26</v>
      </c>
      <c r="F1608" t="s">
        <v>49</v>
      </c>
      <c r="G1608" t="s">
        <v>50</v>
      </c>
      <c r="H1608" t="s">
        <v>29</v>
      </c>
      <c r="I1608" t="s">
        <v>30</v>
      </c>
      <c r="J1608" t="s">
        <v>47</v>
      </c>
      <c r="K1608" t="s">
        <v>42</v>
      </c>
      <c r="L1608" t="s">
        <v>306</v>
      </c>
      <c r="M1608" s="4">
        <v>12</v>
      </c>
      <c r="N1608" s="4">
        <v>1</v>
      </c>
      <c r="O1608" s="2">
        <v>8.3333333333333315E-2</v>
      </c>
      <c r="P1608" s="3">
        <v>0.75</v>
      </c>
      <c r="Q1608" s="3">
        <v>0.75</v>
      </c>
      <c r="R1608" s="3">
        <v>0</v>
      </c>
      <c r="S1608" s="2"/>
      <c r="T1608" s="5">
        <v>0</v>
      </c>
      <c r="U1608" s="4">
        <v>0</v>
      </c>
      <c r="V1608" s="4">
        <v>0</v>
      </c>
      <c r="W1608" s="2">
        <v>0</v>
      </c>
      <c r="X1608" s="4">
        <v>0</v>
      </c>
      <c r="Y1608" s="4">
        <v>0</v>
      </c>
      <c r="Z1608" s="3">
        <v>0</v>
      </c>
      <c r="AA1608" s="3">
        <v>0</v>
      </c>
    </row>
    <row r="1609" spans="1:27" x14ac:dyDescent="0.2">
      <c r="A1609">
        <f t="shared" si="50"/>
        <v>3</v>
      </c>
      <c r="B1609">
        <f t="shared" si="51"/>
        <v>13</v>
      </c>
      <c r="C1609" s="1">
        <v>46109</v>
      </c>
      <c r="D1609" t="s">
        <v>25</v>
      </c>
      <c r="E1609" t="s">
        <v>26</v>
      </c>
      <c r="F1609" t="s">
        <v>49</v>
      </c>
      <c r="G1609" t="s">
        <v>50</v>
      </c>
      <c r="H1609" t="s">
        <v>29</v>
      </c>
      <c r="I1609" t="s">
        <v>30</v>
      </c>
      <c r="J1609" t="s">
        <v>47</v>
      </c>
      <c r="K1609" t="s">
        <v>42</v>
      </c>
      <c r="L1609" t="s">
        <v>306</v>
      </c>
      <c r="M1609" s="4">
        <v>15</v>
      </c>
      <c r="N1609" s="4">
        <v>1</v>
      </c>
      <c r="O1609" s="2">
        <v>6.6666666666666666E-2</v>
      </c>
      <c r="P1609" s="3">
        <v>0.65</v>
      </c>
      <c r="Q1609" s="3">
        <v>0.65</v>
      </c>
      <c r="R1609" s="3">
        <v>0</v>
      </c>
      <c r="S1609" s="2"/>
      <c r="T1609" s="5">
        <v>0</v>
      </c>
      <c r="U1609" s="4">
        <v>0</v>
      </c>
      <c r="V1609" s="4">
        <v>0</v>
      </c>
      <c r="W1609" s="2">
        <v>0</v>
      </c>
      <c r="X1609" s="4">
        <v>0</v>
      </c>
      <c r="Y1609" s="4">
        <v>0</v>
      </c>
      <c r="Z1609" s="3">
        <v>0</v>
      </c>
      <c r="AA1609" s="3">
        <v>0</v>
      </c>
    </row>
    <row r="1610" spans="1:27" x14ac:dyDescent="0.2">
      <c r="A1610">
        <f t="shared" si="50"/>
        <v>3</v>
      </c>
      <c r="B1610">
        <f t="shared" si="51"/>
        <v>13</v>
      </c>
      <c r="C1610" s="1">
        <v>46104</v>
      </c>
      <c r="D1610" t="s">
        <v>25</v>
      </c>
      <c r="E1610" t="s">
        <v>26</v>
      </c>
      <c r="F1610" t="s">
        <v>27</v>
      </c>
      <c r="G1610" t="s">
        <v>124</v>
      </c>
      <c r="H1610" t="s">
        <v>29</v>
      </c>
      <c r="I1610" t="s">
        <v>30</v>
      </c>
      <c r="J1610" t="s">
        <v>306</v>
      </c>
      <c r="K1610" t="s">
        <v>267</v>
      </c>
      <c r="L1610" t="s">
        <v>306</v>
      </c>
      <c r="M1610" s="4">
        <v>10</v>
      </c>
      <c r="N1610" s="4">
        <v>1</v>
      </c>
      <c r="O1610" s="2">
        <v>0.1</v>
      </c>
      <c r="P1610" s="3">
        <v>0.2</v>
      </c>
      <c r="Q1610" s="3">
        <v>0.2</v>
      </c>
      <c r="R1610" s="3">
        <v>0</v>
      </c>
      <c r="S1610" s="2"/>
      <c r="T1610" s="5">
        <v>0</v>
      </c>
      <c r="U1610" s="4">
        <v>0</v>
      </c>
      <c r="V1610" s="4">
        <v>0</v>
      </c>
      <c r="W1610" s="2">
        <v>0</v>
      </c>
      <c r="X1610" s="4">
        <v>0</v>
      </c>
      <c r="Y1610" s="4">
        <v>0</v>
      </c>
      <c r="Z1610" s="3">
        <v>0</v>
      </c>
      <c r="AA1610" s="3">
        <v>0</v>
      </c>
    </row>
    <row r="1611" spans="1:27" x14ac:dyDescent="0.2">
      <c r="A1611">
        <f t="shared" si="50"/>
        <v>3</v>
      </c>
      <c r="B1611">
        <f t="shared" si="51"/>
        <v>13</v>
      </c>
      <c r="C1611" s="1">
        <v>46104</v>
      </c>
      <c r="D1611" t="s">
        <v>25</v>
      </c>
      <c r="E1611" t="s">
        <v>26</v>
      </c>
      <c r="F1611" t="s">
        <v>27</v>
      </c>
      <c r="G1611" t="s">
        <v>28</v>
      </c>
      <c r="H1611" t="s">
        <v>29</v>
      </c>
      <c r="I1611" t="s">
        <v>30</v>
      </c>
      <c r="J1611" t="s">
        <v>211</v>
      </c>
      <c r="K1611" t="s">
        <v>32</v>
      </c>
      <c r="L1611" t="s">
        <v>306</v>
      </c>
      <c r="M1611" s="4">
        <v>2</v>
      </c>
      <c r="N1611" s="4">
        <v>1</v>
      </c>
      <c r="O1611" s="2">
        <v>0.5</v>
      </c>
      <c r="P1611" s="3">
        <v>0.2</v>
      </c>
      <c r="Q1611" s="3">
        <v>0.2</v>
      </c>
      <c r="R1611" s="3">
        <v>0</v>
      </c>
      <c r="S1611" s="2"/>
      <c r="T1611" s="5">
        <v>0</v>
      </c>
      <c r="U1611" s="4">
        <v>0</v>
      </c>
      <c r="V1611" s="4">
        <v>0</v>
      </c>
      <c r="W1611" s="2">
        <v>0</v>
      </c>
      <c r="X1611" s="4">
        <v>0</v>
      </c>
      <c r="Y1611" s="4">
        <v>0</v>
      </c>
      <c r="Z1611" s="3">
        <v>0</v>
      </c>
      <c r="AA1611" s="3">
        <v>0</v>
      </c>
    </row>
    <row r="1612" spans="1:27" x14ac:dyDescent="0.2">
      <c r="A1612">
        <f t="shared" si="50"/>
        <v>3</v>
      </c>
      <c r="B1612">
        <f t="shared" si="51"/>
        <v>13</v>
      </c>
      <c r="C1612" s="1">
        <v>46109</v>
      </c>
      <c r="D1612" t="s">
        <v>25</v>
      </c>
      <c r="E1612" t="s">
        <v>26</v>
      </c>
      <c r="F1612" t="s">
        <v>27</v>
      </c>
      <c r="G1612" t="s">
        <v>124</v>
      </c>
      <c r="H1612" t="s">
        <v>29</v>
      </c>
      <c r="I1612" t="s">
        <v>30</v>
      </c>
      <c r="J1612" t="s">
        <v>311</v>
      </c>
      <c r="K1612" t="s">
        <v>87</v>
      </c>
      <c r="L1612" t="s">
        <v>311</v>
      </c>
      <c r="M1612" s="4">
        <v>15</v>
      </c>
      <c r="N1612" s="4">
        <v>1</v>
      </c>
      <c r="O1612" s="2">
        <v>6.6666666666666666E-2</v>
      </c>
      <c r="P1612" s="3">
        <v>0.2</v>
      </c>
      <c r="Q1612" s="3">
        <v>0.2</v>
      </c>
      <c r="R1612" s="3">
        <v>0</v>
      </c>
      <c r="S1612" s="2"/>
      <c r="T1612" s="5">
        <v>0</v>
      </c>
      <c r="U1612" s="4">
        <v>0</v>
      </c>
      <c r="V1612" s="4">
        <v>0</v>
      </c>
      <c r="W1612" s="2">
        <v>0</v>
      </c>
      <c r="X1612" s="4">
        <v>0</v>
      </c>
      <c r="Y1612" s="4">
        <v>0</v>
      </c>
      <c r="Z1612" s="3">
        <v>0</v>
      </c>
      <c r="AA1612" s="3">
        <v>0</v>
      </c>
    </row>
    <row r="1613" spans="1:27" x14ac:dyDescent="0.2">
      <c r="A1613">
        <f t="shared" si="50"/>
        <v>3</v>
      </c>
      <c r="B1613">
        <f t="shared" si="51"/>
        <v>13</v>
      </c>
      <c r="C1613" s="1">
        <v>46109</v>
      </c>
      <c r="D1613" t="s">
        <v>25</v>
      </c>
      <c r="E1613" t="s">
        <v>26</v>
      </c>
      <c r="F1613" t="s">
        <v>27</v>
      </c>
      <c r="G1613" t="s">
        <v>28</v>
      </c>
      <c r="H1613" t="s">
        <v>29</v>
      </c>
      <c r="I1613" t="s">
        <v>30</v>
      </c>
      <c r="J1613" t="s">
        <v>311</v>
      </c>
      <c r="K1613" t="s">
        <v>32</v>
      </c>
      <c r="L1613" t="s">
        <v>973</v>
      </c>
      <c r="M1613" s="4">
        <v>2</v>
      </c>
      <c r="N1613" s="4">
        <v>1</v>
      </c>
      <c r="O1613" s="2">
        <v>0.5</v>
      </c>
      <c r="P1613" s="3">
        <v>0.4</v>
      </c>
      <c r="Q1613" s="3">
        <v>0.4</v>
      </c>
      <c r="R1613" s="3">
        <v>0</v>
      </c>
      <c r="S1613" s="2"/>
      <c r="T1613" s="5">
        <v>0</v>
      </c>
      <c r="U1613" s="4">
        <v>0</v>
      </c>
      <c r="V1613" s="4">
        <v>0</v>
      </c>
      <c r="W1613" s="2">
        <v>0</v>
      </c>
      <c r="X1613" s="4">
        <v>0</v>
      </c>
      <c r="Y1613" s="4">
        <v>0</v>
      </c>
      <c r="Z1613" s="3">
        <v>0</v>
      </c>
      <c r="AA1613" s="3">
        <v>0</v>
      </c>
    </row>
    <row r="1614" spans="1:27" x14ac:dyDescent="0.2">
      <c r="A1614">
        <f t="shared" si="50"/>
        <v>3</v>
      </c>
      <c r="B1614">
        <f t="shared" si="51"/>
        <v>14</v>
      </c>
      <c r="C1614" s="1">
        <v>46112</v>
      </c>
      <c r="D1614" t="s">
        <v>25</v>
      </c>
      <c r="E1614" t="s">
        <v>26</v>
      </c>
      <c r="F1614" t="s">
        <v>27</v>
      </c>
      <c r="G1614" t="s">
        <v>124</v>
      </c>
      <c r="H1614" t="s">
        <v>29</v>
      </c>
      <c r="I1614" t="s">
        <v>30</v>
      </c>
      <c r="J1614" t="s">
        <v>101</v>
      </c>
      <c r="K1614" t="s">
        <v>87</v>
      </c>
      <c r="L1614" t="s">
        <v>590</v>
      </c>
      <c r="M1614" s="4">
        <v>2</v>
      </c>
      <c r="N1614" s="4">
        <v>1</v>
      </c>
      <c r="O1614" s="2">
        <v>0.5</v>
      </c>
      <c r="P1614" s="3">
        <v>0.4</v>
      </c>
      <c r="Q1614" s="3">
        <v>0.4</v>
      </c>
      <c r="R1614" s="3">
        <v>18.989999999999998</v>
      </c>
      <c r="S1614" s="2">
        <v>2.1063717746182205E-2</v>
      </c>
      <c r="T1614" s="5">
        <v>47.474999999999994</v>
      </c>
      <c r="U1614" s="4">
        <v>1</v>
      </c>
      <c r="V1614" s="4">
        <v>1</v>
      </c>
      <c r="W1614" s="2">
        <v>1</v>
      </c>
      <c r="X1614" s="4">
        <v>1</v>
      </c>
      <c r="Y1614" s="4">
        <v>0</v>
      </c>
      <c r="Z1614" s="3">
        <v>18.989999999999998</v>
      </c>
      <c r="AA1614" s="3">
        <v>0</v>
      </c>
    </row>
    <row r="1615" spans="1:27" x14ac:dyDescent="0.2">
      <c r="A1615">
        <f t="shared" si="50"/>
        <v>3</v>
      </c>
      <c r="B1615">
        <f t="shared" si="51"/>
        <v>13</v>
      </c>
      <c r="C1615" s="1">
        <v>46103</v>
      </c>
      <c r="D1615" t="s">
        <v>25</v>
      </c>
      <c r="E1615" t="s">
        <v>26</v>
      </c>
      <c r="F1615" t="s">
        <v>61</v>
      </c>
      <c r="G1615" t="s">
        <v>62</v>
      </c>
      <c r="H1615" t="s">
        <v>29</v>
      </c>
      <c r="I1615" t="s">
        <v>30</v>
      </c>
      <c r="J1615" t="s">
        <v>95</v>
      </c>
      <c r="K1615" t="s">
        <v>42</v>
      </c>
      <c r="L1615" t="s">
        <v>974</v>
      </c>
      <c r="M1615" s="4">
        <v>1</v>
      </c>
      <c r="N1615" s="4">
        <v>1</v>
      </c>
      <c r="O1615" s="2">
        <v>1</v>
      </c>
      <c r="P1615" s="3">
        <v>1.62</v>
      </c>
      <c r="Q1615" s="3">
        <v>1.62</v>
      </c>
      <c r="R1615" s="3">
        <v>0</v>
      </c>
      <c r="S1615" s="2"/>
      <c r="T1615" s="5">
        <v>0</v>
      </c>
      <c r="U1615" s="4">
        <v>0</v>
      </c>
      <c r="V1615" s="4">
        <v>0</v>
      </c>
      <c r="W1615" s="2">
        <v>0</v>
      </c>
      <c r="X1615" s="4">
        <v>0</v>
      </c>
      <c r="Y1615" s="4">
        <v>0</v>
      </c>
      <c r="Z1615" s="3">
        <v>0</v>
      </c>
      <c r="AA1615" s="3">
        <v>0</v>
      </c>
    </row>
    <row r="1616" spans="1:27" x14ac:dyDescent="0.2">
      <c r="A1616">
        <f t="shared" si="50"/>
        <v>3</v>
      </c>
      <c r="B1616">
        <f t="shared" si="51"/>
        <v>13</v>
      </c>
      <c r="C1616" s="1">
        <v>46108</v>
      </c>
      <c r="D1616" t="s">
        <v>25</v>
      </c>
      <c r="E1616" t="s">
        <v>26</v>
      </c>
      <c r="F1616" t="s">
        <v>27</v>
      </c>
      <c r="G1616" t="s">
        <v>28</v>
      </c>
      <c r="H1616" t="s">
        <v>29</v>
      </c>
      <c r="I1616" t="s">
        <v>30</v>
      </c>
      <c r="J1616" t="s">
        <v>306</v>
      </c>
      <c r="K1616" t="s">
        <v>32</v>
      </c>
      <c r="L1616" t="s">
        <v>975</v>
      </c>
      <c r="M1616" s="4">
        <v>4</v>
      </c>
      <c r="N1616" s="4">
        <v>1</v>
      </c>
      <c r="O1616" s="2">
        <v>0.25</v>
      </c>
      <c r="P1616" s="3">
        <v>0.2</v>
      </c>
      <c r="Q1616" s="3">
        <v>0.2</v>
      </c>
      <c r="R1616" s="3">
        <v>0</v>
      </c>
      <c r="S1616" s="2"/>
      <c r="T1616" s="5">
        <v>0</v>
      </c>
      <c r="U1616" s="4">
        <v>0</v>
      </c>
      <c r="V1616" s="4">
        <v>0</v>
      </c>
      <c r="W1616" s="2">
        <v>0</v>
      </c>
      <c r="X1616" s="4">
        <v>0</v>
      </c>
      <c r="Y1616" s="4">
        <v>0</v>
      </c>
      <c r="Z1616" s="3">
        <v>0</v>
      </c>
      <c r="AA1616" s="3">
        <v>0</v>
      </c>
    </row>
    <row r="1617" spans="1:27" x14ac:dyDescent="0.2">
      <c r="A1617">
        <f t="shared" si="50"/>
        <v>3</v>
      </c>
      <c r="B1617">
        <f t="shared" si="51"/>
        <v>13</v>
      </c>
      <c r="C1617" s="1">
        <v>46109</v>
      </c>
      <c r="D1617" t="s">
        <v>25</v>
      </c>
      <c r="E1617" t="s">
        <v>26</v>
      </c>
      <c r="F1617" t="s">
        <v>27</v>
      </c>
      <c r="G1617" t="s">
        <v>28</v>
      </c>
      <c r="H1617" t="s">
        <v>29</v>
      </c>
      <c r="I1617" t="s">
        <v>30</v>
      </c>
      <c r="J1617" t="s">
        <v>257</v>
      </c>
      <c r="K1617" t="s">
        <v>32</v>
      </c>
      <c r="L1617" t="s">
        <v>976</v>
      </c>
      <c r="M1617" s="4">
        <v>1</v>
      </c>
      <c r="N1617" s="4">
        <v>1</v>
      </c>
      <c r="O1617" s="2">
        <v>1</v>
      </c>
      <c r="P1617" s="3">
        <v>0.21</v>
      </c>
      <c r="Q1617" s="3">
        <v>0.21</v>
      </c>
      <c r="R1617" s="3">
        <v>0</v>
      </c>
      <c r="S1617" s="2"/>
      <c r="T1617" s="5">
        <v>0</v>
      </c>
      <c r="U1617" s="4">
        <v>0</v>
      </c>
      <c r="V1617" s="4">
        <v>0</v>
      </c>
      <c r="W1617" s="2">
        <v>0</v>
      </c>
      <c r="X1617" s="4">
        <v>0</v>
      </c>
      <c r="Y1617" s="4">
        <v>0</v>
      </c>
      <c r="Z1617" s="3">
        <v>0</v>
      </c>
      <c r="AA1617" s="3">
        <v>0</v>
      </c>
    </row>
    <row r="1618" spans="1:27" x14ac:dyDescent="0.2">
      <c r="A1618">
        <f t="shared" si="50"/>
        <v>3</v>
      </c>
      <c r="B1618">
        <f t="shared" si="51"/>
        <v>13</v>
      </c>
      <c r="C1618" s="1">
        <v>46105</v>
      </c>
      <c r="D1618" t="s">
        <v>25</v>
      </c>
      <c r="E1618" t="s">
        <v>26</v>
      </c>
      <c r="F1618" t="s">
        <v>61</v>
      </c>
      <c r="G1618" t="s">
        <v>62</v>
      </c>
      <c r="H1618" t="s">
        <v>29</v>
      </c>
      <c r="I1618" t="s">
        <v>30</v>
      </c>
      <c r="J1618" t="s">
        <v>95</v>
      </c>
      <c r="K1618" t="s">
        <v>42</v>
      </c>
      <c r="L1618" t="s">
        <v>977</v>
      </c>
      <c r="M1618" s="4">
        <v>1</v>
      </c>
      <c r="N1618" s="4">
        <v>1</v>
      </c>
      <c r="O1618" s="2">
        <v>1</v>
      </c>
      <c r="P1618" s="3">
        <v>1.25</v>
      </c>
      <c r="Q1618" s="3">
        <v>1.25</v>
      </c>
      <c r="R1618" s="3">
        <v>0</v>
      </c>
      <c r="S1618" s="2"/>
      <c r="T1618" s="5">
        <v>0</v>
      </c>
      <c r="U1618" s="4">
        <v>0</v>
      </c>
      <c r="V1618" s="4">
        <v>0</v>
      </c>
      <c r="W1618" s="2">
        <v>0</v>
      </c>
      <c r="X1618" s="4">
        <v>0</v>
      </c>
      <c r="Y1618" s="4">
        <v>0</v>
      </c>
      <c r="Z1618" s="3">
        <v>0</v>
      </c>
      <c r="AA1618" s="3">
        <v>0</v>
      </c>
    </row>
    <row r="1619" spans="1:27" x14ac:dyDescent="0.2">
      <c r="A1619">
        <f t="shared" si="50"/>
        <v>3</v>
      </c>
      <c r="B1619">
        <f t="shared" si="51"/>
        <v>13</v>
      </c>
      <c r="C1619" s="1">
        <v>46103</v>
      </c>
      <c r="D1619" t="s">
        <v>25</v>
      </c>
      <c r="E1619" t="s">
        <v>26</v>
      </c>
      <c r="F1619" t="s">
        <v>112</v>
      </c>
      <c r="G1619" t="s">
        <v>113</v>
      </c>
      <c r="H1619" t="s">
        <v>29</v>
      </c>
      <c r="I1619" t="s">
        <v>30</v>
      </c>
      <c r="J1619" t="s">
        <v>105</v>
      </c>
      <c r="K1619" t="s">
        <v>32</v>
      </c>
      <c r="L1619" t="s">
        <v>978</v>
      </c>
      <c r="M1619" s="4">
        <v>1</v>
      </c>
      <c r="N1619" s="4">
        <v>1</v>
      </c>
      <c r="O1619" s="2">
        <v>1</v>
      </c>
      <c r="P1619" s="3">
        <v>0.48</v>
      </c>
      <c r="Q1619" s="3">
        <v>0.48</v>
      </c>
      <c r="R1619" s="3">
        <v>0</v>
      </c>
      <c r="S1619" s="2"/>
      <c r="T1619" s="5">
        <v>0</v>
      </c>
      <c r="U1619" s="4">
        <v>0</v>
      </c>
      <c r="V1619" s="4">
        <v>0</v>
      </c>
      <c r="W1619" s="2">
        <v>0</v>
      </c>
      <c r="X1619" s="4">
        <v>0</v>
      </c>
      <c r="Y1619" s="4">
        <v>0</v>
      </c>
      <c r="Z1619" s="3">
        <v>0</v>
      </c>
      <c r="AA1619" s="3">
        <v>0</v>
      </c>
    </row>
    <row r="1620" spans="1:27" x14ac:dyDescent="0.2">
      <c r="A1620">
        <f t="shared" si="50"/>
        <v>3</v>
      </c>
      <c r="B1620">
        <f t="shared" si="51"/>
        <v>13</v>
      </c>
      <c r="C1620" s="1">
        <v>46108</v>
      </c>
      <c r="D1620" t="s">
        <v>25</v>
      </c>
      <c r="E1620" t="s">
        <v>26</v>
      </c>
      <c r="F1620" t="s">
        <v>61</v>
      </c>
      <c r="G1620" t="s">
        <v>62</v>
      </c>
      <c r="H1620" t="s">
        <v>29</v>
      </c>
      <c r="I1620" t="s">
        <v>30</v>
      </c>
      <c r="J1620" t="s">
        <v>47</v>
      </c>
      <c r="K1620" t="s">
        <v>42</v>
      </c>
      <c r="L1620" t="s">
        <v>979</v>
      </c>
      <c r="M1620" s="4">
        <v>1</v>
      </c>
      <c r="N1620" s="4">
        <v>1</v>
      </c>
      <c r="O1620" s="2">
        <v>1</v>
      </c>
      <c r="P1620" s="3">
        <v>1.18</v>
      </c>
      <c r="Q1620" s="3">
        <v>1.18</v>
      </c>
      <c r="R1620" s="3">
        <v>29.69</v>
      </c>
      <c r="S1620" s="2">
        <v>3.9744021556079485E-2</v>
      </c>
      <c r="T1620" s="5">
        <v>25.161016949152543</v>
      </c>
      <c r="U1620" s="4">
        <v>1</v>
      </c>
      <c r="V1620" s="4">
        <v>1</v>
      </c>
      <c r="W1620" s="2">
        <v>1</v>
      </c>
      <c r="X1620" s="4">
        <v>1</v>
      </c>
      <c r="Y1620" s="4">
        <v>0</v>
      </c>
      <c r="Z1620" s="3">
        <v>29.69</v>
      </c>
      <c r="AA1620" s="3">
        <v>0</v>
      </c>
    </row>
    <row r="1621" spans="1:27" x14ac:dyDescent="0.2">
      <c r="A1621">
        <f t="shared" si="50"/>
        <v>3</v>
      </c>
      <c r="B1621">
        <f t="shared" si="51"/>
        <v>13</v>
      </c>
      <c r="C1621" s="1">
        <v>46103</v>
      </c>
      <c r="D1621" t="s">
        <v>25</v>
      </c>
      <c r="E1621" t="s">
        <v>26</v>
      </c>
      <c r="F1621" t="s">
        <v>27</v>
      </c>
      <c r="G1621" t="s">
        <v>124</v>
      </c>
      <c r="H1621" t="s">
        <v>29</v>
      </c>
      <c r="I1621" t="s">
        <v>30</v>
      </c>
      <c r="J1621" t="s">
        <v>306</v>
      </c>
      <c r="K1621" t="s">
        <v>267</v>
      </c>
      <c r="L1621" t="s">
        <v>980</v>
      </c>
      <c r="M1621" s="4">
        <v>3</v>
      </c>
      <c r="N1621" s="4">
        <v>1</v>
      </c>
      <c r="O1621" s="2">
        <v>0.33333333333333331</v>
      </c>
      <c r="P1621" s="3">
        <v>0.21</v>
      </c>
      <c r="Q1621" s="3">
        <v>0.21</v>
      </c>
      <c r="R1621" s="3">
        <v>18.989999999999998</v>
      </c>
      <c r="S1621" s="2">
        <v>1.1058451816745656E-2</v>
      </c>
      <c r="T1621" s="5">
        <v>90.428571428571431</v>
      </c>
      <c r="U1621" s="4">
        <v>1</v>
      </c>
      <c r="V1621" s="4">
        <v>1</v>
      </c>
      <c r="W1621" s="2">
        <v>1</v>
      </c>
      <c r="X1621" s="4">
        <v>1</v>
      </c>
      <c r="Y1621" s="4">
        <v>0</v>
      </c>
      <c r="Z1621" s="3">
        <v>18.989999999999998</v>
      </c>
      <c r="AA1621" s="3">
        <v>0</v>
      </c>
    </row>
    <row r="1622" spans="1:27" x14ac:dyDescent="0.2">
      <c r="A1622">
        <f t="shared" si="50"/>
        <v>3</v>
      </c>
      <c r="B1622">
        <f t="shared" si="51"/>
        <v>13</v>
      </c>
      <c r="C1622" s="1">
        <v>46103</v>
      </c>
      <c r="D1622" t="s">
        <v>25</v>
      </c>
      <c r="E1622" t="s">
        <v>26</v>
      </c>
      <c r="F1622" t="s">
        <v>27</v>
      </c>
      <c r="G1622" t="s">
        <v>124</v>
      </c>
      <c r="H1622" t="s">
        <v>29</v>
      </c>
      <c r="I1622" t="s">
        <v>30</v>
      </c>
      <c r="J1622" t="s">
        <v>101</v>
      </c>
      <c r="K1622" t="s">
        <v>87</v>
      </c>
      <c r="L1622" t="s">
        <v>980</v>
      </c>
      <c r="M1622" s="4">
        <v>2</v>
      </c>
      <c r="N1622" s="4">
        <v>1</v>
      </c>
      <c r="O1622" s="2">
        <v>0.5</v>
      </c>
      <c r="P1622" s="3">
        <v>0.21</v>
      </c>
      <c r="Q1622" s="3">
        <v>0.21</v>
      </c>
      <c r="R1622" s="3">
        <v>0</v>
      </c>
      <c r="S1622" s="2"/>
      <c r="T1622" s="5">
        <v>0</v>
      </c>
      <c r="U1622" s="4">
        <v>0</v>
      </c>
      <c r="V1622" s="4">
        <v>0</v>
      </c>
      <c r="W1622" s="2">
        <v>0</v>
      </c>
      <c r="X1622" s="4">
        <v>0</v>
      </c>
      <c r="Y1622" s="4">
        <v>0</v>
      </c>
      <c r="Z1622" s="3">
        <v>0</v>
      </c>
      <c r="AA1622" s="3">
        <v>0</v>
      </c>
    </row>
    <row r="1623" spans="1:27" x14ac:dyDescent="0.2">
      <c r="A1623">
        <f t="shared" ref="A1623:A1686" si="52">MONTH(C1623)</f>
        <v>4</v>
      </c>
      <c r="B1623">
        <f t="shared" ref="B1623:B1686" si="53">WEEKNUM(C1623,1)</f>
        <v>17</v>
      </c>
      <c r="C1623" s="27">
        <v>46137</v>
      </c>
      <c r="D1623" s="27">
        <v>46137</v>
      </c>
      <c r="E1623" s="26" t="s">
        <v>26</v>
      </c>
      <c r="F1623" s="26" t="s">
        <v>45</v>
      </c>
      <c r="G1623" s="26" t="s">
        <v>46</v>
      </c>
      <c r="H1623" s="26" t="s">
        <v>29</v>
      </c>
      <c r="I1623" s="26" t="s">
        <v>30</v>
      </c>
      <c r="J1623" s="26" t="s">
        <v>95</v>
      </c>
      <c r="K1623" s="26" t="s">
        <v>42</v>
      </c>
      <c r="L1623" s="26" t="s">
        <v>1118</v>
      </c>
      <c r="M1623" s="26">
        <v>1</v>
      </c>
      <c r="N1623" s="26">
        <v>1</v>
      </c>
      <c r="O1623" s="28">
        <v>1</v>
      </c>
      <c r="P1623" s="26">
        <v>0.46</v>
      </c>
      <c r="Q1623" s="26">
        <v>0.46</v>
      </c>
      <c r="R1623" s="26">
        <v>0</v>
      </c>
      <c r="S1623" s="26"/>
      <c r="T1623" s="26">
        <v>0</v>
      </c>
      <c r="U1623" s="26">
        <v>0</v>
      </c>
      <c r="V1623" s="26">
        <v>0</v>
      </c>
      <c r="W1623" s="28">
        <v>0</v>
      </c>
      <c r="X1623" s="26">
        <v>0</v>
      </c>
      <c r="Y1623" s="26">
        <v>0</v>
      </c>
      <c r="Z1623" s="26">
        <v>0</v>
      </c>
      <c r="AA1623" s="26">
        <v>0</v>
      </c>
    </row>
    <row r="1624" spans="1:27" x14ac:dyDescent="0.2">
      <c r="A1624">
        <f t="shared" si="52"/>
        <v>4</v>
      </c>
      <c r="B1624">
        <f t="shared" si="53"/>
        <v>15</v>
      </c>
      <c r="C1624" s="27">
        <v>46121</v>
      </c>
      <c r="D1624" s="27">
        <v>46121</v>
      </c>
      <c r="E1624" s="26" t="s">
        <v>26</v>
      </c>
      <c r="F1624" s="26" t="s">
        <v>27</v>
      </c>
      <c r="G1624" s="26" t="s">
        <v>28</v>
      </c>
      <c r="H1624" s="26" t="s">
        <v>29</v>
      </c>
      <c r="I1624" s="26" t="s">
        <v>30</v>
      </c>
      <c r="J1624" s="26" t="s">
        <v>31</v>
      </c>
      <c r="K1624" s="26" t="s">
        <v>32</v>
      </c>
      <c r="L1624" s="26" t="s">
        <v>1119</v>
      </c>
      <c r="M1624" s="26">
        <v>1</v>
      </c>
      <c r="N1624" s="26">
        <v>1</v>
      </c>
      <c r="O1624" s="28">
        <v>1</v>
      </c>
      <c r="P1624" s="26">
        <v>0.21</v>
      </c>
      <c r="Q1624" s="26">
        <v>0.21</v>
      </c>
      <c r="R1624" s="26">
        <v>0</v>
      </c>
      <c r="S1624" s="26"/>
      <c r="T1624" s="26">
        <v>0</v>
      </c>
      <c r="U1624" s="26">
        <v>0</v>
      </c>
      <c r="V1624" s="26">
        <v>0</v>
      </c>
      <c r="W1624" s="28">
        <v>0</v>
      </c>
      <c r="X1624" s="26">
        <v>0</v>
      </c>
      <c r="Y1624" s="26">
        <v>0</v>
      </c>
      <c r="Z1624" s="26">
        <v>0</v>
      </c>
      <c r="AA1624" s="26">
        <v>0</v>
      </c>
    </row>
    <row r="1625" spans="1:27" x14ac:dyDescent="0.2">
      <c r="A1625">
        <f t="shared" si="52"/>
        <v>4</v>
      </c>
      <c r="B1625">
        <f t="shared" si="53"/>
        <v>17</v>
      </c>
      <c r="C1625" s="27">
        <v>46136</v>
      </c>
      <c r="D1625" s="27">
        <v>46136</v>
      </c>
      <c r="E1625" s="26" t="s">
        <v>26</v>
      </c>
      <c r="F1625" s="26" t="s">
        <v>27</v>
      </c>
      <c r="G1625" s="26" t="s">
        <v>28</v>
      </c>
      <c r="H1625" s="26" t="s">
        <v>29</v>
      </c>
      <c r="I1625" s="26" t="s">
        <v>30</v>
      </c>
      <c r="J1625" s="26" t="s">
        <v>31</v>
      </c>
      <c r="K1625" s="26" t="s">
        <v>32</v>
      </c>
      <c r="L1625" s="26" t="s">
        <v>1120</v>
      </c>
      <c r="M1625" s="26">
        <v>1</v>
      </c>
      <c r="N1625" s="26">
        <v>1</v>
      </c>
      <c r="O1625" s="28">
        <v>1</v>
      </c>
      <c r="P1625" s="26">
        <v>0.21</v>
      </c>
      <c r="Q1625" s="26">
        <v>0.21</v>
      </c>
      <c r="R1625" s="26">
        <v>0</v>
      </c>
      <c r="S1625" s="26"/>
      <c r="T1625" s="26">
        <v>0</v>
      </c>
      <c r="U1625" s="26">
        <v>0</v>
      </c>
      <c r="V1625" s="26">
        <v>0</v>
      </c>
      <c r="W1625" s="28">
        <v>0</v>
      </c>
      <c r="X1625" s="26">
        <v>0</v>
      </c>
      <c r="Y1625" s="26">
        <v>0</v>
      </c>
      <c r="Z1625" s="26">
        <v>0</v>
      </c>
      <c r="AA1625" s="26">
        <v>0</v>
      </c>
    </row>
    <row r="1626" spans="1:27" x14ac:dyDescent="0.2">
      <c r="A1626">
        <f t="shared" si="52"/>
        <v>4</v>
      </c>
      <c r="B1626">
        <f t="shared" si="53"/>
        <v>14</v>
      </c>
      <c r="C1626" s="27">
        <v>46116</v>
      </c>
      <c r="D1626" s="27">
        <v>46116</v>
      </c>
      <c r="E1626" s="26" t="s">
        <v>26</v>
      </c>
      <c r="F1626" s="26" t="s">
        <v>27</v>
      </c>
      <c r="G1626" s="26" t="s">
        <v>124</v>
      </c>
      <c r="H1626" s="26" t="s">
        <v>29</v>
      </c>
      <c r="I1626" s="26" t="s">
        <v>30</v>
      </c>
      <c r="J1626" s="26" t="s">
        <v>101</v>
      </c>
      <c r="K1626" s="26" t="s">
        <v>87</v>
      </c>
      <c r="L1626" s="26" t="s">
        <v>1121</v>
      </c>
      <c r="M1626" s="26">
        <v>0</v>
      </c>
      <c r="N1626" s="26">
        <v>1</v>
      </c>
      <c r="O1626" s="26"/>
      <c r="P1626" s="26">
        <v>0.2</v>
      </c>
      <c r="Q1626" s="26">
        <v>0.2</v>
      </c>
      <c r="R1626" s="26">
        <v>0</v>
      </c>
      <c r="S1626" s="26"/>
      <c r="T1626" s="26">
        <v>0</v>
      </c>
      <c r="U1626" s="26">
        <v>0</v>
      </c>
      <c r="V1626" s="26">
        <v>0</v>
      </c>
      <c r="W1626" s="28">
        <v>0</v>
      </c>
      <c r="X1626" s="26">
        <v>0</v>
      </c>
      <c r="Y1626" s="26">
        <v>0</v>
      </c>
      <c r="Z1626" s="26">
        <v>0</v>
      </c>
      <c r="AA1626" s="26">
        <v>0</v>
      </c>
    </row>
    <row r="1627" spans="1:27" x14ac:dyDescent="0.2">
      <c r="A1627">
        <f t="shared" si="52"/>
        <v>4</v>
      </c>
      <c r="B1627">
        <f t="shared" si="53"/>
        <v>15</v>
      </c>
      <c r="C1627" s="27">
        <v>46119</v>
      </c>
      <c r="D1627" s="27">
        <v>46119</v>
      </c>
      <c r="E1627" s="26" t="s">
        <v>26</v>
      </c>
      <c r="F1627" s="26" t="s">
        <v>27</v>
      </c>
      <c r="G1627" s="26" t="s">
        <v>28</v>
      </c>
      <c r="H1627" s="26" t="s">
        <v>29</v>
      </c>
      <c r="I1627" s="26" t="s">
        <v>30</v>
      </c>
      <c r="J1627" s="26" t="s">
        <v>99</v>
      </c>
      <c r="K1627" s="26" t="s">
        <v>32</v>
      </c>
      <c r="L1627" s="26" t="s">
        <v>1122</v>
      </c>
      <c r="M1627" s="26">
        <v>1</v>
      </c>
      <c r="N1627" s="26">
        <v>1</v>
      </c>
      <c r="O1627" s="28">
        <v>1</v>
      </c>
      <c r="P1627" s="26">
        <v>0.2</v>
      </c>
      <c r="Q1627" s="26">
        <v>0.2</v>
      </c>
      <c r="R1627" s="26">
        <v>0</v>
      </c>
      <c r="S1627" s="26"/>
      <c r="T1627" s="26">
        <v>0</v>
      </c>
      <c r="U1627" s="26">
        <v>0</v>
      </c>
      <c r="V1627" s="26">
        <v>0</v>
      </c>
      <c r="W1627" s="28">
        <v>0</v>
      </c>
      <c r="X1627" s="26">
        <v>0</v>
      </c>
      <c r="Y1627" s="26">
        <v>0</v>
      </c>
      <c r="Z1627" s="26">
        <v>0</v>
      </c>
      <c r="AA1627" s="26">
        <v>0</v>
      </c>
    </row>
    <row r="1628" spans="1:27" x14ac:dyDescent="0.2">
      <c r="A1628">
        <f t="shared" si="52"/>
        <v>4</v>
      </c>
      <c r="B1628">
        <f t="shared" si="53"/>
        <v>18</v>
      </c>
      <c r="C1628" s="27">
        <v>46142</v>
      </c>
      <c r="D1628" s="27">
        <v>46142</v>
      </c>
      <c r="E1628" s="26" t="s">
        <v>26</v>
      </c>
      <c r="F1628" s="26" t="s">
        <v>27</v>
      </c>
      <c r="G1628" s="26" t="s">
        <v>28</v>
      </c>
      <c r="H1628" s="26" t="s">
        <v>29</v>
      </c>
      <c r="I1628" s="26" t="s">
        <v>30</v>
      </c>
      <c r="J1628" s="26" t="s">
        <v>50</v>
      </c>
      <c r="K1628" s="26" t="s">
        <v>32</v>
      </c>
      <c r="L1628" s="26" t="s">
        <v>1123</v>
      </c>
      <c r="M1628" s="26">
        <v>1</v>
      </c>
      <c r="N1628" s="26">
        <v>1</v>
      </c>
      <c r="O1628" s="28">
        <v>1</v>
      </c>
      <c r="P1628" s="26">
        <v>0.4</v>
      </c>
      <c r="Q1628" s="26">
        <v>0.4</v>
      </c>
      <c r="R1628" s="26">
        <v>0</v>
      </c>
      <c r="S1628" s="26"/>
      <c r="T1628" s="26">
        <v>0</v>
      </c>
      <c r="U1628" s="26">
        <v>0</v>
      </c>
      <c r="V1628" s="26">
        <v>0</v>
      </c>
      <c r="W1628" s="28">
        <v>0</v>
      </c>
      <c r="X1628" s="26">
        <v>0</v>
      </c>
      <c r="Y1628" s="26">
        <v>0</v>
      </c>
      <c r="Z1628" s="26">
        <v>0</v>
      </c>
      <c r="AA1628" s="26">
        <v>0</v>
      </c>
    </row>
    <row r="1629" spans="1:27" x14ac:dyDescent="0.2">
      <c r="A1629">
        <f t="shared" si="52"/>
        <v>4</v>
      </c>
      <c r="B1629">
        <f t="shared" si="53"/>
        <v>14</v>
      </c>
      <c r="C1629" s="27">
        <v>46115</v>
      </c>
      <c r="D1629" s="27">
        <v>46115</v>
      </c>
      <c r="E1629" s="26" t="s">
        <v>26</v>
      </c>
      <c r="F1629" s="26" t="s">
        <v>49</v>
      </c>
      <c r="G1629" s="26" t="s">
        <v>50</v>
      </c>
      <c r="H1629" s="26" t="s">
        <v>29</v>
      </c>
      <c r="I1629" s="26" t="s">
        <v>30</v>
      </c>
      <c r="J1629" s="26" t="s">
        <v>95</v>
      </c>
      <c r="K1629" s="26" t="s">
        <v>42</v>
      </c>
      <c r="L1629" s="26" t="s">
        <v>1124</v>
      </c>
      <c r="M1629" s="26">
        <v>1</v>
      </c>
      <c r="N1629" s="26">
        <v>1</v>
      </c>
      <c r="O1629" s="28">
        <v>1</v>
      </c>
      <c r="P1629" s="26">
        <v>0.5</v>
      </c>
      <c r="Q1629" s="26">
        <v>0.5</v>
      </c>
      <c r="R1629" s="26">
        <v>18.989999999999998</v>
      </c>
      <c r="S1629" s="28">
        <v>2.6329999999999999E-2</v>
      </c>
      <c r="T1629" s="26">
        <v>37.979999999999997</v>
      </c>
      <c r="U1629" s="26">
        <v>1</v>
      </c>
      <c r="V1629" s="26">
        <v>1</v>
      </c>
      <c r="W1629" s="28">
        <v>1</v>
      </c>
      <c r="X1629" s="26">
        <v>1</v>
      </c>
      <c r="Y1629" s="26">
        <v>0</v>
      </c>
      <c r="Z1629" s="26">
        <v>18.989999999999998</v>
      </c>
      <c r="AA1629" s="26">
        <v>0</v>
      </c>
    </row>
    <row r="1630" spans="1:27" x14ac:dyDescent="0.2">
      <c r="A1630">
        <f t="shared" si="52"/>
        <v>4</v>
      </c>
      <c r="B1630">
        <f t="shared" si="53"/>
        <v>16</v>
      </c>
      <c r="C1630" s="27">
        <v>46129</v>
      </c>
      <c r="D1630" s="27">
        <v>46129</v>
      </c>
      <c r="E1630" s="26" t="s">
        <v>26</v>
      </c>
      <c r="F1630" s="26" t="s">
        <v>27</v>
      </c>
      <c r="G1630" s="26" t="s">
        <v>124</v>
      </c>
      <c r="H1630" s="26" t="s">
        <v>29</v>
      </c>
      <c r="I1630" s="26" t="s">
        <v>30</v>
      </c>
      <c r="J1630" s="26" t="s">
        <v>257</v>
      </c>
      <c r="K1630" s="26" t="s">
        <v>87</v>
      </c>
      <c r="L1630" s="26" t="s">
        <v>1125</v>
      </c>
      <c r="M1630" s="26">
        <v>1</v>
      </c>
      <c r="N1630" s="26">
        <v>1</v>
      </c>
      <c r="O1630" s="28">
        <v>1</v>
      </c>
      <c r="P1630" s="26">
        <v>0.4</v>
      </c>
      <c r="Q1630" s="26">
        <v>0.4</v>
      </c>
      <c r="R1630" s="26">
        <v>0</v>
      </c>
      <c r="S1630" s="26"/>
      <c r="T1630" s="26">
        <v>0</v>
      </c>
      <c r="U1630" s="26">
        <v>0</v>
      </c>
      <c r="V1630" s="26">
        <v>0</v>
      </c>
      <c r="W1630" s="28">
        <v>0</v>
      </c>
      <c r="X1630" s="26">
        <v>0</v>
      </c>
      <c r="Y1630" s="26">
        <v>0</v>
      </c>
      <c r="Z1630" s="26">
        <v>0</v>
      </c>
      <c r="AA1630" s="26">
        <v>0</v>
      </c>
    </row>
    <row r="1631" spans="1:27" x14ac:dyDescent="0.2">
      <c r="A1631">
        <f t="shared" si="52"/>
        <v>4</v>
      </c>
      <c r="B1631">
        <f t="shared" si="53"/>
        <v>14</v>
      </c>
      <c r="C1631" s="27">
        <v>46113</v>
      </c>
      <c r="D1631" s="27">
        <v>46113</v>
      </c>
      <c r="E1631" s="26" t="s">
        <v>26</v>
      </c>
      <c r="F1631" s="26" t="s">
        <v>49</v>
      </c>
      <c r="G1631" s="26" t="s">
        <v>50</v>
      </c>
      <c r="H1631" s="26" t="s">
        <v>29</v>
      </c>
      <c r="I1631" s="26" t="s">
        <v>30</v>
      </c>
      <c r="J1631" s="26" t="s">
        <v>51</v>
      </c>
      <c r="K1631" s="26" t="s">
        <v>42</v>
      </c>
      <c r="L1631" s="26" t="s">
        <v>402</v>
      </c>
      <c r="M1631" s="26">
        <v>2</v>
      </c>
      <c r="N1631" s="26">
        <v>1</v>
      </c>
      <c r="O1631" s="28">
        <v>0.5</v>
      </c>
      <c r="P1631" s="26">
        <v>0.08</v>
      </c>
      <c r="Q1631" s="26">
        <v>0.08</v>
      </c>
      <c r="R1631" s="26">
        <v>0</v>
      </c>
      <c r="S1631" s="26"/>
      <c r="T1631" s="26">
        <v>0</v>
      </c>
      <c r="U1631" s="26">
        <v>0</v>
      </c>
      <c r="V1631" s="26">
        <v>0</v>
      </c>
      <c r="W1631" s="28">
        <v>0</v>
      </c>
      <c r="X1631" s="26">
        <v>0</v>
      </c>
      <c r="Y1631" s="26">
        <v>0</v>
      </c>
      <c r="Z1631" s="26">
        <v>0</v>
      </c>
      <c r="AA1631" s="26">
        <v>0</v>
      </c>
    </row>
    <row r="1632" spans="1:27" x14ac:dyDescent="0.2">
      <c r="A1632">
        <f t="shared" si="52"/>
        <v>4</v>
      </c>
      <c r="B1632">
        <f t="shared" si="53"/>
        <v>18</v>
      </c>
      <c r="C1632" s="27">
        <v>46140</v>
      </c>
      <c r="D1632" s="27">
        <v>46140</v>
      </c>
      <c r="E1632" s="26" t="s">
        <v>26</v>
      </c>
      <c r="F1632" s="26" t="s">
        <v>49</v>
      </c>
      <c r="G1632" s="26" t="s">
        <v>50</v>
      </c>
      <c r="H1632" s="26" t="s">
        <v>29</v>
      </c>
      <c r="I1632" s="26" t="s">
        <v>30</v>
      </c>
      <c r="J1632" s="26" t="s">
        <v>51</v>
      </c>
      <c r="K1632" s="26" t="s">
        <v>42</v>
      </c>
      <c r="L1632" s="26" t="s">
        <v>1126</v>
      </c>
      <c r="M1632" s="26">
        <v>1</v>
      </c>
      <c r="N1632" s="26">
        <v>1</v>
      </c>
      <c r="O1632" s="28">
        <v>1</v>
      </c>
      <c r="P1632" s="26">
        <v>0.78</v>
      </c>
      <c r="Q1632" s="26">
        <v>0.78</v>
      </c>
      <c r="R1632" s="26">
        <v>0</v>
      </c>
      <c r="S1632" s="26"/>
      <c r="T1632" s="26">
        <v>0</v>
      </c>
      <c r="U1632" s="26">
        <v>0</v>
      </c>
      <c r="V1632" s="26">
        <v>0</v>
      </c>
      <c r="W1632" s="28">
        <v>0</v>
      </c>
      <c r="X1632" s="26">
        <v>0</v>
      </c>
      <c r="Y1632" s="26">
        <v>0</v>
      </c>
      <c r="Z1632" s="26">
        <v>0</v>
      </c>
      <c r="AA1632" s="26">
        <v>0</v>
      </c>
    </row>
    <row r="1633" spans="1:27" x14ac:dyDescent="0.2">
      <c r="A1633">
        <f t="shared" si="52"/>
        <v>4</v>
      </c>
      <c r="B1633">
        <f t="shared" si="53"/>
        <v>16</v>
      </c>
      <c r="C1633" s="27">
        <v>46125</v>
      </c>
      <c r="D1633" s="27">
        <v>46125</v>
      </c>
      <c r="E1633" s="26" t="s">
        <v>26</v>
      </c>
      <c r="F1633" s="26" t="s">
        <v>49</v>
      </c>
      <c r="G1633" s="26" t="s">
        <v>50</v>
      </c>
      <c r="H1633" s="26" t="s">
        <v>29</v>
      </c>
      <c r="I1633" s="26" t="s">
        <v>30</v>
      </c>
      <c r="J1633" s="26" t="s">
        <v>51</v>
      </c>
      <c r="K1633" s="26" t="s">
        <v>42</v>
      </c>
      <c r="L1633" s="26" t="s">
        <v>1127</v>
      </c>
      <c r="M1633" s="26">
        <v>1</v>
      </c>
      <c r="N1633" s="26">
        <v>1</v>
      </c>
      <c r="O1633" s="28">
        <v>1</v>
      </c>
      <c r="P1633" s="26">
        <v>0.7</v>
      </c>
      <c r="Q1633" s="26">
        <v>0.7</v>
      </c>
      <c r="R1633" s="26">
        <v>0</v>
      </c>
      <c r="S1633" s="26"/>
      <c r="T1633" s="26">
        <v>0</v>
      </c>
      <c r="U1633" s="26">
        <v>0</v>
      </c>
      <c r="V1633" s="26">
        <v>0</v>
      </c>
      <c r="W1633" s="28">
        <v>0</v>
      </c>
      <c r="X1633" s="26">
        <v>0</v>
      </c>
      <c r="Y1633" s="26">
        <v>0</v>
      </c>
      <c r="Z1633" s="26">
        <v>0</v>
      </c>
      <c r="AA1633" s="26">
        <v>0</v>
      </c>
    </row>
    <row r="1634" spans="1:27" x14ac:dyDescent="0.2">
      <c r="A1634">
        <f t="shared" si="52"/>
        <v>4</v>
      </c>
      <c r="B1634">
        <f t="shared" si="53"/>
        <v>17</v>
      </c>
      <c r="C1634" s="27">
        <v>46132</v>
      </c>
      <c r="D1634" s="27">
        <v>46132</v>
      </c>
      <c r="E1634" s="26" t="s">
        <v>26</v>
      </c>
      <c r="F1634" s="26" t="s">
        <v>49</v>
      </c>
      <c r="G1634" s="26" t="s">
        <v>50</v>
      </c>
      <c r="H1634" s="26" t="s">
        <v>29</v>
      </c>
      <c r="I1634" s="26" t="s">
        <v>30</v>
      </c>
      <c r="J1634" s="26" t="s">
        <v>51</v>
      </c>
      <c r="K1634" s="26" t="s">
        <v>42</v>
      </c>
      <c r="L1634" s="26" t="s">
        <v>1128</v>
      </c>
      <c r="M1634" s="26">
        <v>2</v>
      </c>
      <c r="N1634" s="26">
        <v>1</v>
      </c>
      <c r="O1634" s="28">
        <v>0.5</v>
      </c>
      <c r="P1634" s="26">
        <v>0.1</v>
      </c>
      <c r="Q1634" s="26">
        <v>0.1</v>
      </c>
      <c r="R1634" s="26">
        <v>0</v>
      </c>
      <c r="S1634" s="26"/>
      <c r="T1634" s="26">
        <v>0</v>
      </c>
      <c r="U1634" s="26">
        <v>0</v>
      </c>
      <c r="V1634" s="26">
        <v>0</v>
      </c>
      <c r="W1634" s="28">
        <v>0</v>
      </c>
      <c r="X1634" s="26">
        <v>0</v>
      </c>
      <c r="Y1634" s="26">
        <v>0</v>
      </c>
      <c r="Z1634" s="26">
        <v>0</v>
      </c>
      <c r="AA1634" s="26">
        <v>0</v>
      </c>
    </row>
    <row r="1635" spans="1:27" x14ac:dyDescent="0.2">
      <c r="A1635">
        <f t="shared" si="52"/>
        <v>4</v>
      </c>
      <c r="B1635">
        <f t="shared" si="53"/>
        <v>17</v>
      </c>
      <c r="C1635" s="27">
        <v>46132</v>
      </c>
      <c r="D1635" s="27">
        <v>46132</v>
      </c>
      <c r="E1635" s="26" t="s">
        <v>26</v>
      </c>
      <c r="F1635" s="26" t="s">
        <v>49</v>
      </c>
      <c r="G1635" s="26" t="s">
        <v>50</v>
      </c>
      <c r="H1635" s="26" t="s">
        <v>29</v>
      </c>
      <c r="I1635" s="26" t="s">
        <v>30</v>
      </c>
      <c r="J1635" s="26" t="s">
        <v>51</v>
      </c>
      <c r="K1635" s="26" t="s">
        <v>42</v>
      </c>
      <c r="L1635" s="26" t="s">
        <v>323</v>
      </c>
      <c r="M1635" s="26">
        <v>2</v>
      </c>
      <c r="N1635" s="26">
        <v>1</v>
      </c>
      <c r="O1635" s="28">
        <v>0.5</v>
      </c>
      <c r="P1635" s="26">
        <v>0.55000000000000004</v>
      </c>
      <c r="Q1635" s="26">
        <v>0.55000000000000004</v>
      </c>
      <c r="R1635" s="26">
        <v>0</v>
      </c>
      <c r="S1635" s="26"/>
      <c r="T1635" s="26">
        <v>0</v>
      </c>
      <c r="U1635" s="26">
        <v>0</v>
      </c>
      <c r="V1635" s="26">
        <v>0</v>
      </c>
      <c r="W1635" s="28">
        <v>0</v>
      </c>
      <c r="X1635" s="26">
        <v>0</v>
      </c>
      <c r="Y1635" s="26">
        <v>0</v>
      </c>
      <c r="Z1635" s="26">
        <v>0</v>
      </c>
      <c r="AA1635" s="26">
        <v>0</v>
      </c>
    </row>
    <row r="1636" spans="1:27" x14ac:dyDescent="0.2">
      <c r="A1636">
        <f t="shared" si="52"/>
        <v>4</v>
      </c>
      <c r="B1636">
        <f t="shared" si="53"/>
        <v>16</v>
      </c>
      <c r="C1636" s="27">
        <v>46126</v>
      </c>
      <c r="D1636" s="27">
        <v>46126</v>
      </c>
      <c r="E1636" s="26" t="s">
        <v>26</v>
      </c>
      <c r="F1636" s="26" t="s">
        <v>49</v>
      </c>
      <c r="G1636" s="26" t="s">
        <v>50</v>
      </c>
      <c r="H1636" s="26" t="s">
        <v>29</v>
      </c>
      <c r="I1636" s="26" t="s">
        <v>30</v>
      </c>
      <c r="J1636" s="26" t="s">
        <v>51</v>
      </c>
      <c r="K1636" s="26" t="s">
        <v>42</v>
      </c>
      <c r="L1636" s="26" t="s">
        <v>1129</v>
      </c>
      <c r="M1636" s="26">
        <v>1</v>
      </c>
      <c r="N1636" s="26">
        <v>1</v>
      </c>
      <c r="O1636" s="28">
        <v>1</v>
      </c>
      <c r="P1636" s="26">
        <v>0.7</v>
      </c>
      <c r="Q1636" s="26">
        <v>0.7</v>
      </c>
      <c r="R1636" s="26">
        <v>0</v>
      </c>
      <c r="S1636" s="26"/>
      <c r="T1636" s="26">
        <v>0</v>
      </c>
      <c r="U1636" s="26">
        <v>0</v>
      </c>
      <c r="V1636" s="26">
        <v>0</v>
      </c>
      <c r="W1636" s="28">
        <v>0</v>
      </c>
      <c r="X1636" s="26">
        <v>0</v>
      </c>
      <c r="Y1636" s="26">
        <v>0</v>
      </c>
      <c r="Z1636" s="26">
        <v>0</v>
      </c>
      <c r="AA1636" s="26">
        <v>0</v>
      </c>
    </row>
    <row r="1637" spans="1:27" x14ac:dyDescent="0.2">
      <c r="A1637">
        <f t="shared" si="52"/>
        <v>4</v>
      </c>
      <c r="B1637">
        <f t="shared" si="53"/>
        <v>14</v>
      </c>
      <c r="C1637" s="27">
        <v>46115</v>
      </c>
      <c r="D1637" s="27">
        <v>46115</v>
      </c>
      <c r="E1637" s="26" t="s">
        <v>26</v>
      </c>
      <c r="F1637" s="26" t="s">
        <v>1130</v>
      </c>
      <c r="G1637" s="26" t="s">
        <v>54</v>
      </c>
      <c r="H1637" s="26" t="s">
        <v>29</v>
      </c>
      <c r="I1637" s="26" t="s">
        <v>30</v>
      </c>
      <c r="J1637" s="26" t="s">
        <v>51</v>
      </c>
      <c r="K1637" s="26" t="s">
        <v>42</v>
      </c>
      <c r="L1637" s="26" t="s">
        <v>1131</v>
      </c>
      <c r="M1637" s="26">
        <v>2</v>
      </c>
      <c r="N1637" s="26">
        <v>1</v>
      </c>
      <c r="O1637" s="28">
        <v>0.5</v>
      </c>
      <c r="P1637" s="26">
        <v>0.39</v>
      </c>
      <c r="Q1637" s="26">
        <v>0.39</v>
      </c>
      <c r="R1637" s="26">
        <v>0</v>
      </c>
      <c r="S1637" s="26"/>
      <c r="T1637" s="26">
        <v>0</v>
      </c>
      <c r="U1637" s="26">
        <v>0</v>
      </c>
      <c r="V1637" s="26">
        <v>0</v>
      </c>
      <c r="W1637" s="28">
        <v>0</v>
      </c>
      <c r="X1637" s="26">
        <v>0</v>
      </c>
      <c r="Y1637" s="26">
        <v>0</v>
      </c>
      <c r="Z1637" s="26">
        <v>0</v>
      </c>
      <c r="AA1637" s="26">
        <v>0</v>
      </c>
    </row>
    <row r="1638" spans="1:27" x14ac:dyDescent="0.2">
      <c r="A1638">
        <f t="shared" si="52"/>
        <v>4</v>
      </c>
      <c r="B1638">
        <f t="shared" si="53"/>
        <v>14</v>
      </c>
      <c r="C1638" s="27">
        <v>46113</v>
      </c>
      <c r="D1638" s="27">
        <v>46139</v>
      </c>
      <c r="E1638" s="26" t="s">
        <v>26</v>
      </c>
      <c r="F1638" s="26" t="s">
        <v>49</v>
      </c>
      <c r="G1638" s="26" t="s">
        <v>50</v>
      </c>
      <c r="H1638" s="26" t="s">
        <v>29</v>
      </c>
      <c r="I1638" s="26" t="s">
        <v>30</v>
      </c>
      <c r="J1638" s="26" t="s">
        <v>51</v>
      </c>
      <c r="K1638" s="26" t="s">
        <v>42</v>
      </c>
      <c r="L1638" s="26" t="s">
        <v>1132</v>
      </c>
      <c r="M1638" s="26">
        <v>26</v>
      </c>
      <c r="N1638" s="26">
        <v>3</v>
      </c>
      <c r="O1638" s="28">
        <v>0.115385</v>
      </c>
      <c r="P1638" s="26">
        <v>0.79</v>
      </c>
      <c r="Q1638" s="26">
        <v>2.38</v>
      </c>
      <c r="R1638" s="26">
        <v>0</v>
      </c>
      <c r="S1638" s="26"/>
      <c r="T1638" s="26">
        <v>0</v>
      </c>
      <c r="U1638" s="26">
        <v>0</v>
      </c>
      <c r="V1638" s="26">
        <v>0</v>
      </c>
      <c r="W1638" s="28">
        <v>0</v>
      </c>
      <c r="X1638" s="26">
        <v>0</v>
      </c>
      <c r="Y1638" s="26">
        <v>0</v>
      </c>
      <c r="Z1638" s="26">
        <v>0</v>
      </c>
      <c r="AA1638" s="26">
        <v>0</v>
      </c>
    </row>
    <row r="1639" spans="1:27" x14ac:dyDescent="0.2">
      <c r="A1639">
        <f t="shared" si="52"/>
        <v>4</v>
      </c>
      <c r="B1639">
        <f t="shared" si="53"/>
        <v>18</v>
      </c>
      <c r="C1639" s="27">
        <v>46142</v>
      </c>
      <c r="D1639" s="27">
        <v>46142</v>
      </c>
      <c r="E1639" s="26" t="s">
        <v>26</v>
      </c>
      <c r="F1639" s="26" t="s">
        <v>49</v>
      </c>
      <c r="G1639" s="26" t="s">
        <v>50</v>
      </c>
      <c r="H1639" s="26" t="s">
        <v>29</v>
      </c>
      <c r="I1639" s="26" t="s">
        <v>30</v>
      </c>
      <c r="J1639" s="26" t="s">
        <v>51</v>
      </c>
      <c r="K1639" s="26" t="s">
        <v>42</v>
      </c>
      <c r="L1639" s="26" t="s">
        <v>1133</v>
      </c>
      <c r="M1639" s="26">
        <v>1</v>
      </c>
      <c r="N1639" s="26">
        <v>1</v>
      </c>
      <c r="O1639" s="28">
        <v>1</v>
      </c>
      <c r="P1639" s="26">
        <v>1</v>
      </c>
      <c r="Q1639" s="26">
        <v>1</v>
      </c>
      <c r="R1639" s="26">
        <v>0</v>
      </c>
      <c r="S1639" s="26"/>
      <c r="T1639" s="26">
        <v>0</v>
      </c>
      <c r="U1639" s="26">
        <v>0</v>
      </c>
      <c r="V1639" s="26">
        <v>0</v>
      </c>
      <c r="W1639" s="28">
        <v>0</v>
      </c>
      <c r="X1639" s="26">
        <v>0</v>
      </c>
      <c r="Y1639" s="26">
        <v>0</v>
      </c>
      <c r="Z1639" s="26">
        <v>0</v>
      </c>
      <c r="AA1639" s="26">
        <v>0</v>
      </c>
    </row>
    <row r="1640" spans="1:27" x14ac:dyDescent="0.2">
      <c r="A1640">
        <f t="shared" si="52"/>
        <v>4</v>
      </c>
      <c r="B1640">
        <f t="shared" si="53"/>
        <v>17</v>
      </c>
      <c r="C1640" s="27">
        <v>46135</v>
      </c>
      <c r="D1640" s="27">
        <v>46135</v>
      </c>
      <c r="E1640" s="26" t="s">
        <v>26</v>
      </c>
      <c r="F1640" s="26" t="s">
        <v>49</v>
      </c>
      <c r="G1640" s="26" t="s">
        <v>50</v>
      </c>
      <c r="H1640" s="26" t="s">
        <v>29</v>
      </c>
      <c r="I1640" s="26" t="s">
        <v>30</v>
      </c>
      <c r="J1640" s="26" t="s">
        <v>51</v>
      </c>
      <c r="K1640" s="26" t="s">
        <v>42</v>
      </c>
      <c r="L1640" s="26" t="s">
        <v>64</v>
      </c>
      <c r="M1640" s="26">
        <v>1</v>
      </c>
      <c r="N1640" s="26">
        <v>1</v>
      </c>
      <c r="O1640" s="28">
        <v>1</v>
      </c>
      <c r="P1640" s="26">
        <v>0.53</v>
      </c>
      <c r="Q1640" s="26">
        <v>0.53</v>
      </c>
      <c r="R1640" s="26">
        <v>0</v>
      </c>
      <c r="S1640" s="26"/>
      <c r="T1640" s="26">
        <v>0</v>
      </c>
      <c r="U1640" s="26">
        <v>0</v>
      </c>
      <c r="V1640" s="26">
        <v>0</v>
      </c>
      <c r="W1640" s="28">
        <v>0</v>
      </c>
      <c r="X1640" s="26">
        <v>0</v>
      </c>
      <c r="Y1640" s="26">
        <v>0</v>
      </c>
      <c r="Z1640" s="26">
        <v>0</v>
      </c>
      <c r="AA1640" s="26">
        <v>0</v>
      </c>
    </row>
    <row r="1641" spans="1:27" x14ac:dyDescent="0.2">
      <c r="A1641">
        <f t="shared" si="52"/>
        <v>4</v>
      </c>
      <c r="B1641">
        <f t="shared" si="53"/>
        <v>17</v>
      </c>
      <c r="C1641" s="27">
        <v>46136</v>
      </c>
      <c r="D1641" s="27">
        <v>46142</v>
      </c>
      <c r="E1641" s="26" t="s">
        <v>26</v>
      </c>
      <c r="F1641" s="26" t="s">
        <v>39</v>
      </c>
      <c r="G1641" s="26" t="s">
        <v>40</v>
      </c>
      <c r="H1641" s="26" t="s">
        <v>29</v>
      </c>
      <c r="I1641" s="26" t="s">
        <v>30</v>
      </c>
      <c r="J1641" s="26" t="s">
        <v>1134</v>
      </c>
      <c r="K1641" s="26" t="s">
        <v>42</v>
      </c>
      <c r="L1641" s="26" t="s">
        <v>65</v>
      </c>
      <c r="M1641" s="26">
        <v>544</v>
      </c>
      <c r="N1641" s="26">
        <v>12</v>
      </c>
      <c r="O1641" s="28">
        <v>2.2058999999999999E-2</v>
      </c>
      <c r="P1641" s="26">
        <v>0.64</v>
      </c>
      <c r="Q1641" s="26">
        <v>7.62</v>
      </c>
      <c r="R1641" s="26">
        <v>52.98</v>
      </c>
      <c r="S1641" s="28">
        <v>0.14382800000000001</v>
      </c>
      <c r="T1641" s="26">
        <v>6.95</v>
      </c>
      <c r="U1641" s="26">
        <v>2</v>
      </c>
      <c r="V1641" s="26">
        <v>3</v>
      </c>
      <c r="W1641" s="28">
        <v>0.16666700000000001</v>
      </c>
      <c r="X1641" s="26">
        <v>3</v>
      </c>
      <c r="Y1641" s="26">
        <v>0</v>
      </c>
      <c r="Z1641" s="26">
        <v>52.98</v>
      </c>
      <c r="AA1641" s="26">
        <v>0</v>
      </c>
    </row>
    <row r="1642" spans="1:27" x14ac:dyDescent="0.2">
      <c r="A1642">
        <f t="shared" si="52"/>
        <v>4</v>
      </c>
      <c r="B1642">
        <f t="shared" si="53"/>
        <v>14</v>
      </c>
      <c r="C1642" s="27">
        <v>46115</v>
      </c>
      <c r="D1642" s="27">
        <v>46115</v>
      </c>
      <c r="E1642" s="26" t="s">
        <v>26</v>
      </c>
      <c r="F1642" s="26" t="s">
        <v>49</v>
      </c>
      <c r="G1642" s="26" t="s">
        <v>50</v>
      </c>
      <c r="H1642" s="26" t="s">
        <v>29</v>
      </c>
      <c r="I1642" s="26" t="s">
        <v>30</v>
      </c>
      <c r="J1642" s="26" t="s">
        <v>51</v>
      </c>
      <c r="K1642" s="26" t="s">
        <v>42</v>
      </c>
      <c r="L1642" s="26" t="s">
        <v>1135</v>
      </c>
      <c r="M1642" s="26">
        <v>2</v>
      </c>
      <c r="N1642" s="26">
        <v>1</v>
      </c>
      <c r="O1642" s="28">
        <v>0.5</v>
      </c>
      <c r="P1642" s="26">
        <v>0.56999999999999995</v>
      </c>
      <c r="Q1642" s="26">
        <v>0.56999999999999995</v>
      </c>
      <c r="R1642" s="26">
        <v>0</v>
      </c>
      <c r="S1642" s="26"/>
      <c r="T1642" s="26">
        <v>0</v>
      </c>
      <c r="U1642" s="26">
        <v>0</v>
      </c>
      <c r="V1642" s="26">
        <v>0</v>
      </c>
      <c r="W1642" s="28">
        <v>0</v>
      </c>
      <c r="X1642" s="26">
        <v>0</v>
      </c>
      <c r="Y1642" s="26">
        <v>0</v>
      </c>
      <c r="Z1642" s="26">
        <v>0</v>
      </c>
      <c r="AA1642" s="26">
        <v>0</v>
      </c>
    </row>
    <row r="1643" spans="1:27" x14ac:dyDescent="0.2">
      <c r="A1643">
        <f t="shared" si="52"/>
        <v>4</v>
      </c>
      <c r="B1643">
        <f t="shared" si="53"/>
        <v>17</v>
      </c>
      <c r="C1643" s="27">
        <v>46136</v>
      </c>
      <c r="D1643" s="27">
        <v>46136</v>
      </c>
      <c r="E1643" s="26" t="s">
        <v>26</v>
      </c>
      <c r="F1643" s="26" t="s">
        <v>49</v>
      </c>
      <c r="G1643" s="26" t="s">
        <v>50</v>
      </c>
      <c r="H1643" s="26" t="s">
        <v>29</v>
      </c>
      <c r="I1643" s="26" t="s">
        <v>30</v>
      </c>
      <c r="J1643" s="26" t="s">
        <v>51</v>
      </c>
      <c r="K1643" s="26" t="s">
        <v>42</v>
      </c>
      <c r="L1643" s="26" t="s">
        <v>1136</v>
      </c>
      <c r="M1643" s="26">
        <v>1</v>
      </c>
      <c r="N1643" s="26">
        <v>1</v>
      </c>
      <c r="O1643" s="28">
        <v>1</v>
      </c>
      <c r="P1643" s="26">
        <v>0.6</v>
      </c>
      <c r="Q1643" s="26">
        <v>0.6</v>
      </c>
      <c r="R1643" s="26">
        <v>0</v>
      </c>
      <c r="S1643" s="26"/>
      <c r="T1643" s="26">
        <v>0</v>
      </c>
      <c r="U1643" s="26">
        <v>0</v>
      </c>
      <c r="V1643" s="26">
        <v>0</v>
      </c>
      <c r="W1643" s="28">
        <v>0</v>
      </c>
      <c r="X1643" s="26">
        <v>0</v>
      </c>
      <c r="Y1643" s="26">
        <v>0</v>
      </c>
      <c r="Z1643" s="26">
        <v>0</v>
      </c>
      <c r="AA1643" s="26">
        <v>0</v>
      </c>
    </row>
    <row r="1644" spans="1:27" x14ac:dyDescent="0.2">
      <c r="A1644">
        <f t="shared" si="52"/>
        <v>4</v>
      </c>
      <c r="B1644">
        <f t="shared" si="53"/>
        <v>17</v>
      </c>
      <c r="C1644" s="27">
        <v>46137</v>
      </c>
      <c r="D1644" s="27">
        <v>46137</v>
      </c>
      <c r="E1644" s="26" t="s">
        <v>26</v>
      </c>
      <c r="F1644" s="26" t="s">
        <v>49</v>
      </c>
      <c r="G1644" s="26" t="s">
        <v>50</v>
      </c>
      <c r="H1644" s="26" t="s">
        <v>29</v>
      </c>
      <c r="I1644" s="26" t="s">
        <v>30</v>
      </c>
      <c r="J1644" s="26" t="s">
        <v>51</v>
      </c>
      <c r="K1644" s="26" t="s">
        <v>42</v>
      </c>
      <c r="L1644" s="26" t="s">
        <v>324</v>
      </c>
      <c r="M1644" s="26">
        <v>2</v>
      </c>
      <c r="N1644" s="26">
        <v>1</v>
      </c>
      <c r="O1644" s="28">
        <v>0.5</v>
      </c>
      <c r="P1644" s="26">
        <v>0.6</v>
      </c>
      <c r="Q1644" s="26">
        <v>0.6</v>
      </c>
      <c r="R1644" s="26">
        <v>0</v>
      </c>
      <c r="S1644" s="26"/>
      <c r="T1644" s="26">
        <v>0</v>
      </c>
      <c r="U1644" s="26">
        <v>0</v>
      </c>
      <c r="V1644" s="26">
        <v>0</v>
      </c>
      <c r="W1644" s="28">
        <v>0</v>
      </c>
      <c r="X1644" s="26">
        <v>0</v>
      </c>
      <c r="Y1644" s="26">
        <v>0</v>
      </c>
      <c r="Z1644" s="26">
        <v>0</v>
      </c>
      <c r="AA1644" s="26">
        <v>0</v>
      </c>
    </row>
    <row r="1645" spans="1:27" x14ac:dyDescent="0.2">
      <c r="A1645">
        <f t="shared" si="52"/>
        <v>4</v>
      </c>
      <c r="B1645">
        <f t="shared" si="53"/>
        <v>18</v>
      </c>
      <c r="C1645" s="27">
        <v>46142</v>
      </c>
      <c r="D1645" s="27">
        <v>46142</v>
      </c>
      <c r="E1645" s="26" t="s">
        <v>26</v>
      </c>
      <c r="F1645" s="26" t="s">
        <v>49</v>
      </c>
      <c r="G1645" s="26" t="s">
        <v>50</v>
      </c>
      <c r="H1645" s="26" t="s">
        <v>29</v>
      </c>
      <c r="I1645" s="26" t="s">
        <v>30</v>
      </c>
      <c r="J1645" s="26" t="s">
        <v>51</v>
      </c>
      <c r="K1645" s="26" t="s">
        <v>42</v>
      </c>
      <c r="L1645" s="26" t="s">
        <v>1137</v>
      </c>
      <c r="M1645" s="26">
        <v>2</v>
      </c>
      <c r="N1645" s="26">
        <v>1</v>
      </c>
      <c r="O1645" s="28">
        <v>0.5</v>
      </c>
      <c r="P1645" s="26">
        <v>0.67</v>
      </c>
      <c r="Q1645" s="26">
        <v>0.67</v>
      </c>
      <c r="R1645" s="26">
        <v>0</v>
      </c>
      <c r="S1645" s="26"/>
      <c r="T1645" s="26">
        <v>0</v>
      </c>
      <c r="U1645" s="26">
        <v>0</v>
      </c>
      <c r="V1645" s="26">
        <v>0</v>
      </c>
      <c r="W1645" s="28">
        <v>0</v>
      </c>
      <c r="X1645" s="26">
        <v>0</v>
      </c>
      <c r="Y1645" s="26">
        <v>0</v>
      </c>
      <c r="Z1645" s="26">
        <v>0</v>
      </c>
      <c r="AA1645" s="26">
        <v>0</v>
      </c>
    </row>
    <row r="1646" spans="1:27" x14ac:dyDescent="0.2">
      <c r="A1646">
        <f t="shared" si="52"/>
        <v>4</v>
      </c>
      <c r="B1646">
        <f t="shared" si="53"/>
        <v>15</v>
      </c>
      <c r="C1646" s="27">
        <v>46118</v>
      </c>
      <c r="D1646" s="27">
        <v>46118</v>
      </c>
      <c r="E1646" s="26" t="s">
        <v>26</v>
      </c>
      <c r="F1646" s="26" t="s">
        <v>49</v>
      </c>
      <c r="G1646" s="26" t="s">
        <v>50</v>
      </c>
      <c r="H1646" s="26" t="s">
        <v>29</v>
      </c>
      <c r="I1646" s="26" t="s">
        <v>30</v>
      </c>
      <c r="J1646" s="26" t="s">
        <v>51</v>
      </c>
      <c r="K1646" s="26" t="s">
        <v>42</v>
      </c>
      <c r="L1646" s="26" t="s">
        <v>696</v>
      </c>
      <c r="M1646" s="26">
        <v>10</v>
      </c>
      <c r="N1646" s="26">
        <v>1</v>
      </c>
      <c r="O1646" s="28">
        <v>0.1</v>
      </c>
      <c r="P1646" s="26">
        <v>0.52</v>
      </c>
      <c r="Q1646" s="26">
        <v>0.52</v>
      </c>
      <c r="R1646" s="26">
        <v>0</v>
      </c>
      <c r="S1646" s="26"/>
      <c r="T1646" s="26">
        <v>0</v>
      </c>
      <c r="U1646" s="26">
        <v>0</v>
      </c>
      <c r="V1646" s="26">
        <v>0</v>
      </c>
      <c r="W1646" s="28">
        <v>0</v>
      </c>
      <c r="X1646" s="26">
        <v>0</v>
      </c>
      <c r="Y1646" s="26">
        <v>0</v>
      </c>
      <c r="Z1646" s="26">
        <v>0</v>
      </c>
      <c r="AA1646" s="26">
        <v>0</v>
      </c>
    </row>
    <row r="1647" spans="1:27" x14ac:dyDescent="0.2">
      <c r="A1647">
        <f t="shared" si="52"/>
        <v>4</v>
      </c>
      <c r="B1647">
        <f t="shared" si="53"/>
        <v>17</v>
      </c>
      <c r="C1647" s="27">
        <v>46131</v>
      </c>
      <c r="D1647" s="27">
        <v>46131</v>
      </c>
      <c r="E1647" s="26" t="s">
        <v>26</v>
      </c>
      <c r="F1647" s="26" t="s">
        <v>61</v>
      </c>
      <c r="G1647" s="26" t="s">
        <v>62</v>
      </c>
      <c r="H1647" s="26" t="s">
        <v>29</v>
      </c>
      <c r="I1647" s="26" t="s">
        <v>30</v>
      </c>
      <c r="J1647" s="26" t="s">
        <v>51</v>
      </c>
      <c r="K1647" s="26" t="s">
        <v>42</v>
      </c>
      <c r="L1647" s="26" t="s">
        <v>1138</v>
      </c>
      <c r="M1647" s="26">
        <v>1</v>
      </c>
      <c r="N1647" s="26">
        <v>1</v>
      </c>
      <c r="O1647" s="28">
        <v>1</v>
      </c>
      <c r="P1647" s="26">
        <v>1.33</v>
      </c>
      <c r="Q1647" s="26">
        <v>1.33</v>
      </c>
      <c r="R1647" s="26">
        <v>0</v>
      </c>
      <c r="S1647" s="26"/>
      <c r="T1647" s="26">
        <v>0</v>
      </c>
      <c r="U1647" s="26">
        <v>0</v>
      </c>
      <c r="V1647" s="26">
        <v>0</v>
      </c>
      <c r="W1647" s="28">
        <v>0</v>
      </c>
      <c r="X1647" s="26">
        <v>0</v>
      </c>
      <c r="Y1647" s="26">
        <v>0</v>
      </c>
      <c r="Z1647" s="26">
        <v>0</v>
      </c>
      <c r="AA1647" s="26">
        <v>0</v>
      </c>
    </row>
    <row r="1648" spans="1:27" x14ac:dyDescent="0.2">
      <c r="A1648">
        <f t="shared" si="52"/>
        <v>4</v>
      </c>
      <c r="B1648">
        <f t="shared" si="53"/>
        <v>18</v>
      </c>
      <c r="C1648" s="27">
        <v>46142</v>
      </c>
      <c r="D1648" s="27">
        <v>46142</v>
      </c>
      <c r="E1648" s="26" t="s">
        <v>26</v>
      </c>
      <c r="F1648" s="26" t="s">
        <v>49</v>
      </c>
      <c r="G1648" s="26" t="s">
        <v>50</v>
      </c>
      <c r="H1648" s="26" t="s">
        <v>29</v>
      </c>
      <c r="I1648" s="26" t="s">
        <v>30</v>
      </c>
      <c r="J1648" s="26" t="s">
        <v>51</v>
      </c>
      <c r="K1648" s="26" t="s">
        <v>42</v>
      </c>
      <c r="L1648" s="26" t="s">
        <v>68</v>
      </c>
      <c r="M1648" s="26">
        <v>2</v>
      </c>
      <c r="N1648" s="26">
        <v>1</v>
      </c>
      <c r="O1648" s="28">
        <v>0.5</v>
      </c>
      <c r="P1648" s="26">
        <v>0.91</v>
      </c>
      <c r="Q1648" s="26">
        <v>0.91</v>
      </c>
      <c r="R1648" s="26">
        <v>0</v>
      </c>
      <c r="S1648" s="26"/>
      <c r="T1648" s="26">
        <v>0</v>
      </c>
      <c r="U1648" s="26">
        <v>0</v>
      </c>
      <c r="V1648" s="26">
        <v>0</v>
      </c>
      <c r="W1648" s="28">
        <v>0</v>
      </c>
      <c r="X1648" s="26">
        <v>0</v>
      </c>
      <c r="Y1648" s="26">
        <v>0</v>
      </c>
      <c r="Z1648" s="26">
        <v>0</v>
      </c>
      <c r="AA1648" s="26">
        <v>0</v>
      </c>
    </row>
    <row r="1649" spans="1:27" x14ac:dyDescent="0.2">
      <c r="A1649">
        <f t="shared" si="52"/>
        <v>4</v>
      </c>
      <c r="B1649">
        <f t="shared" si="53"/>
        <v>15</v>
      </c>
      <c r="C1649" s="27">
        <v>46117</v>
      </c>
      <c r="D1649" s="27">
        <v>46117</v>
      </c>
      <c r="E1649" s="26" t="s">
        <v>26</v>
      </c>
      <c r="F1649" s="26" t="s">
        <v>39</v>
      </c>
      <c r="G1649" s="26" t="s">
        <v>40</v>
      </c>
      <c r="H1649" s="26" t="s">
        <v>29</v>
      </c>
      <c r="I1649" s="26" t="s">
        <v>30</v>
      </c>
      <c r="J1649" s="26" t="s">
        <v>843</v>
      </c>
      <c r="K1649" s="26" t="s">
        <v>42</v>
      </c>
      <c r="L1649" s="26" t="s">
        <v>1139</v>
      </c>
      <c r="M1649" s="26">
        <v>5</v>
      </c>
      <c r="N1649" s="26">
        <v>1</v>
      </c>
      <c r="O1649" s="28">
        <v>0.2</v>
      </c>
      <c r="P1649" s="26">
        <v>0.75</v>
      </c>
      <c r="Q1649" s="26">
        <v>0.75</v>
      </c>
      <c r="R1649" s="26">
        <v>0</v>
      </c>
      <c r="S1649" s="26"/>
      <c r="T1649" s="26">
        <v>0</v>
      </c>
      <c r="U1649" s="26">
        <v>0</v>
      </c>
      <c r="V1649" s="26">
        <v>0</v>
      </c>
      <c r="W1649" s="28">
        <v>0</v>
      </c>
      <c r="X1649" s="26">
        <v>0</v>
      </c>
      <c r="Y1649" s="26">
        <v>0</v>
      </c>
      <c r="Z1649" s="26">
        <v>0</v>
      </c>
      <c r="AA1649" s="26">
        <v>0</v>
      </c>
    </row>
    <row r="1650" spans="1:27" x14ac:dyDescent="0.2">
      <c r="A1650">
        <f t="shared" si="52"/>
        <v>4</v>
      </c>
      <c r="B1650">
        <f t="shared" si="53"/>
        <v>15</v>
      </c>
      <c r="C1650" s="27">
        <v>46117</v>
      </c>
      <c r="D1650" s="27">
        <v>46140</v>
      </c>
      <c r="E1650" s="26" t="s">
        <v>26</v>
      </c>
      <c r="F1650" s="26" t="s">
        <v>49</v>
      </c>
      <c r="G1650" s="26" t="s">
        <v>50</v>
      </c>
      <c r="H1650" s="26" t="s">
        <v>29</v>
      </c>
      <c r="I1650" s="26" t="s">
        <v>30</v>
      </c>
      <c r="J1650" s="26" t="s">
        <v>51</v>
      </c>
      <c r="K1650" s="26" t="s">
        <v>42</v>
      </c>
      <c r="L1650" s="26" t="s">
        <v>71</v>
      </c>
      <c r="M1650" s="26">
        <v>39</v>
      </c>
      <c r="N1650" s="26">
        <v>2</v>
      </c>
      <c r="O1650" s="28">
        <v>5.1282000000000001E-2</v>
      </c>
      <c r="P1650" s="26">
        <v>0.89</v>
      </c>
      <c r="Q1650" s="26">
        <v>1.77</v>
      </c>
      <c r="R1650" s="26">
        <v>0</v>
      </c>
      <c r="S1650" s="26"/>
      <c r="T1650" s="26">
        <v>0</v>
      </c>
      <c r="U1650" s="26">
        <v>0</v>
      </c>
      <c r="V1650" s="26">
        <v>0</v>
      </c>
      <c r="W1650" s="28">
        <v>0</v>
      </c>
      <c r="X1650" s="26">
        <v>0</v>
      </c>
      <c r="Y1650" s="26">
        <v>0</v>
      </c>
      <c r="Z1650" s="26">
        <v>0</v>
      </c>
      <c r="AA1650" s="26">
        <v>0</v>
      </c>
    </row>
    <row r="1651" spans="1:27" x14ac:dyDescent="0.2">
      <c r="A1651">
        <f t="shared" si="52"/>
        <v>4</v>
      </c>
      <c r="B1651">
        <f t="shared" si="53"/>
        <v>14</v>
      </c>
      <c r="C1651" s="27">
        <v>46113</v>
      </c>
      <c r="D1651" s="27">
        <v>46142</v>
      </c>
      <c r="E1651" s="26" t="s">
        <v>26</v>
      </c>
      <c r="F1651" s="26" t="s">
        <v>39</v>
      </c>
      <c r="G1651" s="26" t="s">
        <v>40</v>
      </c>
      <c r="H1651" s="26" t="s">
        <v>29</v>
      </c>
      <c r="I1651" s="26" t="s">
        <v>30</v>
      </c>
      <c r="J1651" s="26" t="s">
        <v>70</v>
      </c>
      <c r="K1651" s="26" t="s">
        <v>42</v>
      </c>
      <c r="L1651" s="26" t="s">
        <v>71</v>
      </c>
      <c r="M1651" s="26">
        <v>3754</v>
      </c>
      <c r="N1651" s="26">
        <v>49</v>
      </c>
      <c r="O1651" s="28">
        <v>1.3053E-2</v>
      </c>
      <c r="P1651" s="26">
        <v>0.61</v>
      </c>
      <c r="Q1651" s="26">
        <v>30.1</v>
      </c>
      <c r="R1651" s="26">
        <v>36.08</v>
      </c>
      <c r="S1651" s="28">
        <v>0.83425700000000003</v>
      </c>
      <c r="T1651" s="26">
        <v>1.2</v>
      </c>
      <c r="U1651" s="26">
        <v>2</v>
      </c>
      <c r="V1651" s="26">
        <v>2</v>
      </c>
      <c r="W1651" s="28">
        <v>4.0815999999999998E-2</v>
      </c>
      <c r="X1651" s="26">
        <v>2</v>
      </c>
      <c r="Y1651" s="26">
        <v>0</v>
      </c>
      <c r="Z1651" s="26">
        <v>36.08</v>
      </c>
      <c r="AA1651" s="26">
        <v>0</v>
      </c>
    </row>
    <row r="1652" spans="1:27" x14ac:dyDescent="0.2">
      <c r="A1652">
        <f t="shared" si="52"/>
        <v>4</v>
      </c>
      <c r="B1652">
        <f t="shared" si="53"/>
        <v>16</v>
      </c>
      <c r="C1652" s="27">
        <v>46129</v>
      </c>
      <c r="D1652" s="27">
        <v>46129</v>
      </c>
      <c r="E1652" s="26" t="s">
        <v>26</v>
      </c>
      <c r="F1652" s="26" t="s">
        <v>49</v>
      </c>
      <c r="G1652" s="26" t="s">
        <v>50</v>
      </c>
      <c r="H1652" s="26" t="s">
        <v>29</v>
      </c>
      <c r="I1652" s="26" t="s">
        <v>30</v>
      </c>
      <c r="J1652" s="26" t="s">
        <v>51</v>
      </c>
      <c r="K1652" s="26" t="s">
        <v>42</v>
      </c>
      <c r="L1652" s="26" t="s">
        <v>702</v>
      </c>
      <c r="M1652" s="26">
        <v>3</v>
      </c>
      <c r="N1652" s="26">
        <v>1</v>
      </c>
      <c r="O1652" s="28">
        <v>0.33333299999999999</v>
      </c>
      <c r="P1652" s="26">
        <v>0.63</v>
      </c>
      <c r="Q1652" s="26">
        <v>0.63</v>
      </c>
      <c r="R1652" s="26">
        <v>0</v>
      </c>
      <c r="S1652" s="26"/>
      <c r="T1652" s="26">
        <v>0</v>
      </c>
      <c r="U1652" s="26">
        <v>0</v>
      </c>
      <c r="V1652" s="26">
        <v>0</v>
      </c>
      <c r="W1652" s="28">
        <v>0</v>
      </c>
      <c r="X1652" s="26">
        <v>0</v>
      </c>
      <c r="Y1652" s="26">
        <v>0</v>
      </c>
      <c r="Z1652" s="26">
        <v>0</v>
      </c>
      <c r="AA1652" s="26">
        <v>0</v>
      </c>
    </row>
    <row r="1653" spans="1:27" x14ac:dyDescent="0.2">
      <c r="A1653">
        <f t="shared" si="52"/>
        <v>4</v>
      </c>
      <c r="B1653">
        <f t="shared" si="53"/>
        <v>15</v>
      </c>
      <c r="C1653" s="27">
        <v>46118</v>
      </c>
      <c r="D1653" s="27">
        <v>46118</v>
      </c>
      <c r="E1653" s="26" t="s">
        <v>26</v>
      </c>
      <c r="F1653" s="26" t="s">
        <v>49</v>
      </c>
      <c r="G1653" s="26" t="s">
        <v>50</v>
      </c>
      <c r="H1653" s="26" t="s">
        <v>29</v>
      </c>
      <c r="I1653" s="26" t="s">
        <v>30</v>
      </c>
      <c r="J1653" s="26" t="s">
        <v>51</v>
      </c>
      <c r="K1653" s="26" t="s">
        <v>42</v>
      </c>
      <c r="L1653" s="26" t="s">
        <v>1140</v>
      </c>
      <c r="M1653" s="26">
        <v>1</v>
      </c>
      <c r="N1653" s="26">
        <v>1</v>
      </c>
      <c r="O1653" s="28">
        <v>1</v>
      </c>
      <c r="P1653" s="26">
        <v>0.56000000000000005</v>
      </c>
      <c r="Q1653" s="26">
        <v>0.56000000000000005</v>
      </c>
      <c r="R1653" s="26">
        <v>0</v>
      </c>
      <c r="S1653" s="26"/>
      <c r="T1653" s="26">
        <v>0</v>
      </c>
      <c r="U1653" s="26">
        <v>0</v>
      </c>
      <c r="V1653" s="26">
        <v>0</v>
      </c>
      <c r="W1653" s="28">
        <v>0</v>
      </c>
      <c r="X1653" s="26">
        <v>0</v>
      </c>
      <c r="Y1653" s="26">
        <v>0</v>
      </c>
      <c r="Z1653" s="26">
        <v>0</v>
      </c>
      <c r="AA1653" s="26">
        <v>0</v>
      </c>
    </row>
    <row r="1654" spans="1:27" x14ac:dyDescent="0.2">
      <c r="A1654">
        <f t="shared" si="52"/>
        <v>4</v>
      </c>
      <c r="B1654">
        <f t="shared" si="53"/>
        <v>17</v>
      </c>
      <c r="C1654" s="27">
        <v>46133</v>
      </c>
      <c r="D1654" s="27">
        <v>46134</v>
      </c>
      <c r="E1654" s="26" t="s">
        <v>26</v>
      </c>
      <c r="F1654" s="26" t="s">
        <v>61</v>
      </c>
      <c r="G1654" s="26" t="s">
        <v>62</v>
      </c>
      <c r="H1654" s="26" t="s">
        <v>29</v>
      </c>
      <c r="I1654" s="26" t="s">
        <v>30</v>
      </c>
      <c r="J1654" s="26" t="s">
        <v>95</v>
      </c>
      <c r="K1654" s="26" t="s">
        <v>42</v>
      </c>
      <c r="L1654" s="26" t="s">
        <v>1141</v>
      </c>
      <c r="M1654" s="26">
        <v>323</v>
      </c>
      <c r="N1654" s="26">
        <v>2</v>
      </c>
      <c r="O1654" s="28">
        <v>6.1919999999999996E-3</v>
      </c>
      <c r="P1654" s="26">
        <v>1.25</v>
      </c>
      <c r="Q1654" s="26">
        <v>2.5</v>
      </c>
      <c r="R1654" s="26">
        <v>0</v>
      </c>
      <c r="S1654" s="26"/>
      <c r="T1654" s="26">
        <v>0</v>
      </c>
      <c r="U1654" s="26">
        <v>0</v>
      </c>
      <c r="V1654" s="26">
        <v>0</v>
      </c>
      <c r="W1654" s="28">
        <v>0</v>
      </c>
      <c r="X1654" s="26">
        <v>0</v>
      </c>
      <c r="Y1654" s="26">
        <v>0</v>
      </c>
      <c r="Z1654" s="26">
        <v>0</v>
      </c>
      <c r="AA1654" s="26">
        <v>0</v>
      </c>
    </row>
    <row r="1655" spans="1:27" x14ac:dyDescent="0.2">
      <c r="A1655">
        <f t="shared" si="52"/>
        <v>4</v>
      </c>
      <c r="B1655">
        <f t="shared" si="53"/>
        <v>17</v>
      </c>
      <c r="C1655" s="27">
        <v>46133</v>
      </c>
      <c r="D1655" s="27">
        <v>46134</v>
      </c>
      <c r="E1655" s="26" t="s">
        <v>26</v>
      </c>
      <c r="F1655" s="26" t="s">
        <v>45</v>
      </c>
      <c r="G1655" s="26" t="s">
        <v>46</v>
      </c>
      <c r="H1655" s="26" t="s">
        <v>29</v>
      </c>
      <c r="I1655" s="26" t="s">
        <v>30</v>
      </c>
      <c r="J1655" s="26" t="s">
        <v>47</v>
      </c>
      <c r="K1655" s="26" t="s">
        <v>42</v>
      </c>
      <c r="L1655" s="26" t="s">
        <v>1141</v>
      </c>
      <c r="M1655" s="26">
        <v>312</v>
      </c>
      <c r="N1655" s="26">
        <v>2</v>
      </c>
      <c r="O1655" s="28">
        <v>6.4099999999999999E-3</v>
      </c>
      <c r="P1655" s="26">
        <v>0.34</v>
      </c>
      <c r="Q1655" s="26">
        <v>0.68</v>
      </c>
      <c r="R1655" s="26">
        <v>0</v>
      </c>
      <c r="S1655" s="26"/>
      <c r="T1655" s="26">
        <v>0</v>
      </c>
      <c r="U1655" s="26">
        <v>0</v>
      </c>
      <c r="V1655" s="26">
        <v>0</v>
      </c>
      <c r="W1655" s="28">
        <v>0</v>
      </c>
      <c r="X1655" s="26">
        <v>0</v>
      </c>
      <c r="Y1655" s="26">
        <v>0</v>
      </c>
      <c r="Z1655" s="26">
        <v>0</v>
      </c>
      <c r="AA1655" s="26">
        <v>0</v>
      </c>
    </row>
    <row r="1656" spans="1:27" x14ac:dyDescent="0.2">
      <c r="A1656">
        <f t="shared" si="52"/>
        <v>4</v>
      </c>
      <c r="B1656">
        <f t="shared" si="53"/>
        <v>16</v>
      </c>
      <c r="C1656" s="27">
        <v>46130</v>
      </c>
      <c r="D1656" s="27">
        <v>46130</v>
      </c>
      <c r="E1656" s="26" t="s">
        <v>26</v>
      </c>
      <c r="F1656" s="26" t="s">
        <v>61</v>
      </c>
      <c r="G1656" s="26" t="s">
        <v>62</v>
      </c>
      <c r="H1656" s="26" t="s">
        <v>29</v>
      </c>
      <c r="I1656" s="26" t="s">
        <v>30</v>
      </c>
      <c r="J1656" s="26" t="s">
        <v>51</v>
      </c>
      <c r="K1656" s="26" t="s">
        <v>42</v>
      </c>
      <c r="L1656" s="26" t="s">
        <v>1142</v>
      </c>
      <c r="M1656" s="26">
        <v>1</v>
      </c>
      <c r="N1656" s="26">
        <v>1</v>
      </c>
      <c r="O1656" s="28">
        <v>1</v>
      </c>
      <c r="P1656" s="26">
        <v>1.4</v>
      </c>
      <c r="Q1656" s="26">
        <v>1.4</v>
      </c>
      <c r="R1656" s="26">
        <v>0</v>
      </c>
      <c r="S1656" s="26"/>
      <c r="T1656" s="26">
        <v>0</v>
      </c>
      <c r="U1656" s="26">
        <v>0</v>
      </c>
      <c r="V1656" s="26">
        <v>0</v>
      </c>
      <c r="W1656" s="28">
        <v>0</v>
      </c>
      <c r="X1656" s="26">
        <v>0</v>
      </c>
      <c r="Y1656" s="26">
        <v>0</v>
      </c>
      <c r="Z1656" s="26">
        <v>0</v>
      </c>
      <c r="AA1656" s="26">
        <v>0</v>
      </c>
    </row>
    <row r="1657" spans="1:27" x14ac:dyDescent="0.2">
      <c r="A1657">
        <f t="shared" si="52"/>
        <v>4</v>
      </c>
      <c r="B1657">
        <f t="shared" si="53"/>
        <v>17</v>
      </c>
      <c r="C1657" s="27">
        <v>46134</v>
      </c>
      <c r="D1657" s="27">
        <v>46134</v>
      </c>
      <c r="E1657" s="26" t="s">
        <v>26</v>
      </c>
      <c r="F1657" s="26" t="s">
        <v>61</v>
      </c>
      <c r="G1657" s="26" t="s">
        <v>62</v>
      </c>
      <c r="H1657" s="26" t="s">
        <v>29</v>
      </c>
      <c r="I1657" s="26" t="s">
        <v>30</v>
      </c>
      <c r="J1657" s="26" t="s">
        <v>51</v>
      </c>
      <c r="K1657" s="26" t="s">
        <v>42</v>
      </c>
      <c r="L1657" s="26" t="s">
        <v>1143</v>
      </c>
      <c r="M1657" s="26">
        <v>1</v>
      </c>
      <c r="N1657" s="26">
        <v>1</v>
      </c>
      <c r="O1657" s="28">
        <v>1</v>
      </c>
      <c r="P1657" s="26">
        <v>1.2</v>
      </c>
      <c r="Q1657" s="26">
        <v>1.2</v>
      </c>
      <c r="R1657" s="26">
        <v>0</v>
      </c>
      <c r="S1657" s="26"/>
      <c r="T1657" s="26">
        <v>0</v>
      </c>
      <c r="U1657" s="26">
        <v>0</v>
      </c>
      <c r="V1657" s="26">
        <v>0</v>
      </c>
      <c r="W1657" s="28">
        <v>0</v>
      </c>
      <c r="X1657" s="26">
        <v>0</v>
      </c>
      <c r="Y1657" s="26">
        <v>0</v>
      </c>
      <c r="Z1657" s="26">
        <v>0</v>
      </c>
      <c r="AA1657" s="26">
        <v>0</v>
      </c>
    </row>
    <row r="1658" spans="1:27" x14ac:dyDescent="0.2">
      <c r="A1658">
        <f t="shared" si="52"/>
        <v>4</v>
      </c>
      <c r="B1658">
        <f t="shared" si="53"/>
        <v>14</v>
      </c>
      <c r="C1658" s="27">
        <v>46113</v>
      </c>
      <c r="D1658" s="27">
        <v>46141</v>
      </c>
      <c r="E1658" s="26" t="s">
        <v>26</v>
      </c>
      <c r="F1658" s="26" t="s">
        <v>39</v>
      </c>
      <c r="G1658" s="26" t="s">
        <v>40</v>
      </c>
      <c r="H1658" s="26" t="s">
        <v>29</v>
      </c>
      <c r="I1658" s="26" t="s">
        <v>30</v>
      </c>
      <c r="J1658" s="26" t="s">
        <v>78</v>
      </c>
      <c r="K1658" s="26" t="s">
        <v>42</v>
      </c>
      <c r="L1658" s="26" t="s">
        <v>79</v>
      </c>
      <c r="M1658" s="26">
        <v>1431</v>
      </c>
      <c r="N1658" s="26">
        <v>30</v>
      </c>
      <c r="O1658" s="28">
        <v>2.0964E-2</v>
      </c>
      <c r="P1658" s="26">
        <v>0.56000000000000005</v>
      </c>
      <c r="Q1658" s="26">
        <v>16.66</v>
      </c>
      <c r="R1658" s="26">
        <v>37.03</v>
      </c>
      <c r="S1658" s="28">
        <v>0.449905</v>
      </c>
      <c r="T1658" s="26">
        <v>2.2200000000000002</v>
      </c>
      <c r="U1658" s="26">
        <v>2</v>
      </c>
      <c r="V1658" s="26">
        <v>2</v>
      </c>
      <c r="W1658" s="28">
        <v>6.6667000000000004E-2</v>
      </c>
      <c r="X1658" s="26">
        <v>2</v>
      </c>
      <c r="Y1658" s="26">
        <v>0</v>
      </c>
      <c r="Z1658" s="26">
        <v>37.03</v>
      </c>
      <c r="AA1658" s="26">
        <v>0</v>
      </c>
    </row>
    <row r="1659" spans="1:27" x14ac:dyDescent="0.2">
      <c r="A1659">
        <f t="shared" si="52"/>
        <v>4</v>
      </c>
      <c r="B1659">
        <f t="shared" si="53"/>
        <v>17</v>
      </c>
      <c r="C1659" s="27">
        <v>46132</v>
      </c>
      <c r="D1659" s="27">
        <v>46132</v>
      </c>
      <c r="E1659" s="26" t="s">
        <v>26</v>
      </c>
      <c r="F1659" s="26" t="s">
        <v>49</v>
      </c>
      <c r="G1659" s="26" t="s">
        <v>50</v>
      </c>
      <c r="H1659" s="26" t="s">
        <v>29</v>
      </c>
      <c r="I1659" s="26" t="s">
        <v>30</v>
      </c>
      <c r="J1659" s="26" t="s">
        <v>51</v>
      </c>
      <c r="K1659" s="26" t="s">
        <v>42</v>
      </c>
      <c r="L1659" s="26" t="s">
        <v>1144</v>
      </c>
      <c r="M1659" s="26">
        <v>4</v>
      </c>
      <c r="N1659" s="26">
        <v>1</v>
      </c>
      <c r="O1659" s="28">
        <v>0.25</v>
      </c>
      <c r="P1659" s="26">
        <v>0.69</v>
      </c>
      <c r="Q1659" s="26">
        <v>0.69</v>
      </c>
      <c r="R1659" s="26">
        <v>0</v>
      </c>
      <c r="S1659" s="26"/>
      <c r="T1659" s="26">
        <v>0</v>
      </c>
      <c r="U1659" s="26">
        <v>0</v>
      </c>
      <c r="V1659" s="26">
        <v>0</v>
      </c>
      <c r="W1659" s="28">
        <v>0</v>
      </c>
      <c r="X1659" s="26">
        <v>0</v>
      </c>
      <c r="Y1659" s="26">
        <v>0</v>
      </c>
      <c r="Z1659" s="26">
        <v>0</v>
      </c>
      <c r="AA1659" s="26">
        <v>0</v>
      </c>
    </row>
    <row r="1660" spans="1:27" x14ac:dyDescent="0.2">
      <c r="A1660">
        <f t="shared" si="52"/>
        <v>4</v>
      </c>
      <c r="B1660">
        <f t="shared" si="53"/>
        <v>15</v>
      </c>
      <c r="C1660" s="27">
        <v>46118</v>
      </c>
      <c r="D1660" s="27">
        <v>46118</v>
      </c>
      <c r="E1660" s="26" t="s">
        <v>26</v>
      </c>
      <c r="F1660" s="26" t="s">
        <v>49</v>
      </c>
      <c r="G1660" s="26" t="s">
        <v>50</v>
      </c>
      <c r="H1660" s="26" t="s">
        <v>29</v>
      </c>
      <c r="I1660" s="26" t="s">
        <v>30</v>
      </c>
      <c r="J1660" s="26" t="s">
        <v>51</v>
      </c>
      <c r="K1660" s="26" t="s">
        <v>42</v>
      </c>
      <c r="L1660" s="26" t="s">
        <v>1145</v>
      </c>
      <c r="M1660" s="26">
        <v>1</v>
      </c>
      <c r="N1660" s="26">
        <v>1</v>
      </c>
      <c r="O1660" s="28">
        <v>1</v>
      </c>
      <c r="P1660" s="26">
        <v>0.1</v>
      </c>
      <c r="Q1660" s="26">
        <v>0.1</v>
      </c>
      <c r="R1660" s="26">
        <v>0</v>
      </c>
      <c r="S1660" s="26"/>
      <c r="T1660" s="26">
        <v>0</v>
      </c>
      <c r="U1660" s="26">
        <v>0</v>
      </c>
      <c r="V1660" s="26">
        <v>0</v>
      </c>
      <c r="W1660" s="28">
        <v>0</v>
      </c>
      <c r="X1660" s="26">
        <v>0</v>
      </c>
      <c r="Y1660" s="26">
        <v>0</v>
      </c>
      <c r="Z1660" s="26">
        <v>0</v>
      </c>
      <c r="AA1660" s="26">
        <v>0</v>
      </c>
    </row>
    <row r="1661" spans="1:27" x14ac:dyDescent="0.2">
      <c r="A1661">
        <f t="shared" si="52"/>
        <v>4</v>
      </c>
      <c r="B1661">
        <f t="shared" si="53"/>
        <v>16</v>
      </c>
      <c r="C1661" s="27">
        <v>46127</v>
      </c>
      <c r="D1661" s="27">
        <v>46127</v>
      </c>
      <c r="E1661" s="26" t="s">
        <v>26</v>
      </c>
      <c r="F1661" s="26" t="s">
        <v>49</v>
      </c>
      <c r="G1661" s="26" t="s">
        <v>50</v>
      </c>
      <c r="H1661" s="26" t="s">
        <v>29</v>
      </c>
      <c r="I1661" s="26" t="s">
        <v>30</v>
      </c>
      <c r="J1661" s="26" t="s">
        <v>51</v>
      </c>
      <c r="K1661" s="26" t="s">
        <v>42</v>
      </c>
      <c r="L1661" s="26" t="s">
        <v>1146</v>
      </c>
      <c r="M1661" s="26">
        <v>4</v>
      </c>
      <c r="N1661" s="26">
        <v>1</v>
      </c>
      <c r="O1661" s="28">
        <v>0.25</v>
      </c>
      <c r="P1661" s="26">
        <v>0.7</v>
      </c>
      <c r="Q1661" s="26">
        <v>0.7</v>
      </c>
      <c r="R1661" s="26">
        <v>0</v>
      </c>
      <c r="S1661" s="26"/>
      <c r="T1661" s="26">
        <v>0</v>
      </c>
      <c r="U1661" s="26">
        <v>0</v>
      </c>
      <c r="V1661" s="26">
        <v>0</v>
      </c>
      <c r="W1661" s="28">
        <v>0</v>
      </c>
      <c r="X1661" s="26">
        <v>0</v>
      </c>
      <c r="Y1661" s="26">
        <v>0</v>
      </c>
      <c r="Z1661" s="26">
        <v>0</v>
      </c>
      <c r="AA1661" s="26">
        <v>0</v>
      </c>
    </row>
    <row r="1662" spans="1:27" x14ac:dyDescent="0.2">
      <c r="A1662">
        <f t="shared" si="52"/>
        <v>4</v>
      </c>
      <c r="B1662">
        <f t="shared" si="53"/>
        <v>16</v>
      </c>
      <c r="C1662" s="27">
        <v>46130</v>
      </c>
      <c r="D1662" s="27">
        <v>46138</v>
      </c>
      <c r="E1662" s="26" t="s">
        <v>26</v>
      </c>
      <c r="F1662" s="26" t="s">
        <v>49</v>
      </c>
      <c r="G1662" s="26" t="s">
        <v>50</v>
      </c>
      <c r="H1662" s="26" t="s">
        <v>29</v>
      </c>
      <c r="I1662" s="26" t="s">
        <v>30</v>
      </c>
      <c r="J1662" s="26" t="s">
        <v>51</v>
      </c>
      <c r="K1662" s="26" t="s">
        <v>42</v>
      </c>
      <c r="L1662" s="26" t="s">
        <v>1147</v>
      </c>
      <c r="M1662" s="26">
        <v>4</v>
      </c>
      <c r="N1662" s="26">
        <v>2</v>
      </c>
      <c r="O1662" s="28">
        <v>0.5</v>
      </c>
      <c r="P1662" s="26">
        <v>0.65</v>
      </c>
      <c r="Q1662" s="26">
        <v>1.29</v>
      </c>
      <c r="R1662" s="26">
        <v>0</v>
      </c>
      <c r="S1662" s="26"/>
      <c r="T1662" s="26">
        <v>0</v>
      </c>
      <c r="U1662" s="26">
        <v>0</v>
      </c>
      <c r="V1662" s="26">
        <v>0</v>
      </c>
      <c r="W1662" s="28">
        <v>0</v>
      </c>
      <c r="X1662" s="26">
        <v>0</v>
      </c>
      <c r="Y1662" s="26">
        <v>0</v>
      </c>
      <c r="Z1662" s="26">
        <v>0</v>
      </c>
      <c r="AA1662" s="26">
        <v>0</v>
      </c>
    </row>
    <row r="1663" spans="1:27" x14ac:dyDescent="0.2">
      <c r="A1663">
        <f t="shared" si="52"/>
        <v>4</v>
      </c>
      <c r="B1663">
        <f t="shared" si="53"/>
        <v>16</v>
      </c>
      <c r="C1663" s="27">
        <v>46129</v>
      </c>
      <c r="D1663" s="27">
        <v>46129</v>
      </c>
      <c r="E1663" s="26" t="s">
        <v>26</v>
      </c>
      <c r="F1663" s="26" t="s">
        <v>49</v>
      </c>
      <c r="G1663" s="26" t="s">
        <v>50</v>
      </c>
      <c r="H1663" s="26" t="s">
        <v>29</v>
      </c>
      <c r="I1663" s="26" t="s">
        <v>30</v>
      </c>
      <c r="J1663" s="26" t="s">
        <v>51</v>
      </c>
      <c r="K1663" s="26" t="s">
        <v>42</v>
      </c>
      <c r="L1663" s="26" t="s">
        <v>328</v>
      </c>
      <c r="M1663" s="26">
        <v>63</v>
      </c>
      <c r="N1663" s="26">
        <v>1</v>
      </c>
      <c r="O1663" s="28">
        <v>1.5873000000000002E-2</v>
      </c>
      <c r="P1663" s="26">
        <v>0.71</v>
      </c>
      <c r="Q1663" s="26">
        <v>0.71</v>
      </c>
      <c r="R1663" s="26">
        <v>0</v>
      </c>
      <c r="S1663" s="26"/>
      <c r="T1663" s="26">
        <v>0</v>
      </c>
      <c r="U1663" s="26">
        <v>0</v>
      </c>
      <c r="V1663" s="26">
        <v>0</v>
      </c>
      <c r="W1663" s="28">
        <v>0</v>
      </c>
      <c r="X1663" s="26">
        <v>0</v>
      </c>
      <c r="Y1663" s="26">
        <v>0</v>
      </c>
      <c r="Z1663" s="26">
        <v>0</v>
      </c>
      <c r="AA1663" s="26">
        <v>0</v>
      </c>
    </row>
    <row r="1664" spans="1:27" x14ac:dyDescent="0.2">
      <c r="A1664">
        <f t="shared" si="52"/>
        <v>4</v>
      </c>
      <c r="B1664">
        <f t="shared" si="53"/>
        <v>15</v>
      </c>
      <c r="C1664" s="27">
        <v>46121</v>
      </c>
      <c r="D1664" s="27">
        <v>46121</v>
      </c>
      <c r="E1664" s="26" t="s">
        <v>26</v>
      </c>
      <c r="F1664" s="26" t="s">
        <v>49</v>
      </c>
      <c r="G1664" s="26" t="s">
        <v>50</v>
      </c>
      <c r="H1664" s="26" t="s">
        <v>29</v>
      </c>
      <c r="I1664" s="26" t="s">
        <v>30</v>
      </c>
      <c r="J1664" s="26" t="s">
        <v>51</v>
      </c>
      <c r="K1664" s="26" t="s">
        <v>42</v>
      </c>
      <c r="L1664" s="26" t="s">
        <v>1148</v>
      </c>
      <c r="M1664" s="26">
        <v>1</v>
      </c>
      <c r="N1664" s="26">
        <v>1</v>
      </c>
      <c r="O1664" s="28">
        <v>1</v>
      </c>
      <c r="P1664" s="26">
        <v>0.1</v>
      </c>
      <c r="Q1664" s="26">
        <v>0.1</v>
      </c>
      <c r="R1664" s="26">
        <v>0</v>
      </c>
      <c r="S1664" s="26"/>
      <c r="T1664" s="26">
        <v>0</v>
      </c>
      <c r="U1664" s="26">
        <v>0</v>
      </c>
      <c r="V1664" s="26">
        <v>0</v>
      </c>
      <c r="W1664" s="28">
        <v>0</v>
      </c>
      <c r="X1664" s="26">
        <v>0</v>
      </c>
      <c r="Y1664" s="26">
        <v>0</v>
      </c>
      <c r="Z1664" s="26">
        <v>0</v>
      </c>
      <c r="AA1664" s="26">
        <v>0</v>
      </c>
    </row>
    <row r="1665" spans="1:27" x14ac:dyDescent="0.2">
      <c r="A1665">
        <f t="shared" si="52"/>
        <v>4</v>
      </c>
      <c r="B1665">
        <f t="shared" si="53"/>
        <v>17</v>
      </c>
      <c r="C1665" s="27">
        <v>46136</v>
      </c>
      <c r="D1665" s="27">
        <v>46136</v>
      </c>
      <c r="E1665" s="26" t="s">
        <v>26</v>
      </c>
      <c r="F1665" s="26" t="s">
        <v>49</v>
      </c>
      <c r="G1665" s="26" t="s">
        <v>50</v>
      </c>
      <c r="H1665" s="26" t="s">
        <v>29</v>
      </c>
      <c r="I1665" s="26" t="s">
        <v>30</v>
      </c>
      <c r="J1665" s="26" t="s">
        <v>51</v>
      </c>
      <c r="K1665" s="26" t="s">
        <v>42</v>
      </c>
      <c r="L1665" s="26" t="s">
        <v>1149</v>
      </c>
      <c r="M1665" s="26">
        <v>2</v>
      </c>
      <c r="N1665" s="26">
        <v>1</v>
      </c>
      <c r="O1665" s="28">
        <v>0.5</v>
      </c>
      <c r="P1665" s="26">
        <v>0.66</v>
      </c>
      <c r="Q1665" s="26">
        <v>0.66</v>
      </c>
      <c r="R1665" s="26">
        <v>18.04</v>
      </c>
      <c r="S1665" s="28">
        <v>3.6584999999999999E-2</v>
      </c>
      <c r="T1665" s="26">
        <v>27.33</v>
      </c>
      <c r="U1665" s="26">
        <v>1</v>
      </c>
      <c r="V1665" s="26">
        <v>1</v>
      </c>
      <c r="W1665" s="28">
        <v>1</v>
      </c>
      <c r="X1665" s="26">
        <v>1</v>
      </c>
      <c r="Y1665" s="26">
        <v>0</v>
      </c>
      <c r="Z1665" s="26">
        <v>18.04</v>
      </c>
      <c r="AA1665" s="26">
        <v>0</v>
      </c>
    </row>
    <row r="1666" spans="1:27" x14ac:dyDescent="0.2">
      <c r="A1666">
        <f t="shared" si="52"/>
        <v>4</v>
      </c>
      <c r="B1666">
        <f t="shared" si="53"/>
        <v>16</v>
      </c>
      <c r="C1666" s="27">
        <v>46127</v>
      </c>
      <c r="D1666" s="27">
        <v>46127</v>
      </c>
      <c r="E1666" s="26" t="s">
        <v>26</v>
      </c>
      <c r="F1666" s="26" t="s">
        <v>49</v>
      </c>
      <c r="G1666" s="26" t="s">
        <v>50</v>
      </c>
      <c r="H1666" s="26" t="s">
        <v>29</v>
      </c>
      <c r="I1666" s="26" t="s">
        <v>30</v>
      </c>
      <c r="J1666" s="26" t="s">
        <v>51</v>
      </c>
      <c r="K1666" s="26" t="s">
        <v>42</v>
      </c>
      <c r="L1666" s="26" t="s">
        <v>1150</v>
      </c>
      <c r="M1666" s="26">
        <v>1</v>
      </c>
      <c r="N1666" s="26">
        <v>1</v>
      </c>
      <c r="O1666" s="28">
        <v>1</v>
      </c>
      <c r="P1666" s="26">
        <v>0.7</v>
      </c>
      <c r="Q1666" s="26">
        <v>0.7</v>
      </c>
      <c r="R1666" s="26">
        <v>0</v>
      </c>
      <c r="S1666" s="26"/>
      <c r="T1666" s="26">
        <v>0</v>
      </c>
      <c r="U1666" s="26">
        <v>0</v>
      </c>
      <c r="V1666" s="26">
        <v>0</v>
      </c>
      <c r="W1666" s="28">
        <v>0</v>
      </c>
      <c r="X1666" s="26">
        <v>0</v>
      </c>
      <c r="Y1666" s="26">
        <v>0</v>
      </c>
      <c r="Z1666" s="26">
        <v>0</v>
      </c>
      <c r="AA1666" s="26">
        <v>0</v>
      </c>
    </row>
    <row r="1667" spans="1:27" x14ac:dyDescent="0.2">
      <c r="A1667">
        <f t="shared" si="52"/>
        <v>4</v>
      </c>
      <c r="B1667">
        <f t="shared" si="53"/>
        <v>18</v>
      </c>
      <c r="C1667" s="27">
        <v>46141</v>
      </c>
      <c r="D1667" s="27">
        <v>46141</v>
      </c>
      <c r="E1667" s="26" t="s">
        <v>26</v>
      </c>
      <c r="F1667" s="26" t="s">
        <v>49</v>
      </c>
      <c r="G1667" s="26" t="s">
        <v>50</v>
      </c>
      <c r="H1667" s="26" t="s">
        <v>29</v>
      </c>
      <c r="I1667" s="26" t="s">
        <v>30</v>
      </c>
      <c r="J1667" s="26" t="s">
        <v>51</v>
      </c>
      <c r="K1667" s="26" t="s">
        <v>42</v>
      </c>
      <c r="L1667" s="26" t="s">
        <v>1151</v>
      </c>
      <c r="M1667" s="26">
        <v>1</v>
      </c>
      <c r="N1667" s="26">
        <v>1</v>
      </c>
      <c r="O1667" s="28">
        <v>1</v>
      </c>
      <c r="P1667" s="26">
        <v>0.92</v>
      </c>
      <c r="Q1667" s="26">
        <v>0.92</v>
      </c>
      <c r="R1667" s="26">
        <v>0</v>
      </c>
      <c r="S1667" s="26"/>
      <c r="T1667" s="26">
        <v>0</v>
      </c>
      <c r="U1667" s="26">
        <v>0</v>
      </c>
      <c r="V1667" s="26">
        <v>0</v>
      </c>
      <c r="W1667" s="28">
        <v>0</v>
      </c>
      <c r="X1667" s="26">
        <v>0</v>
      </c>
      <c r="Y1667" s="26">
        <v>0</v>
      </c>
      <c r="Z1667" s="26">
        <v>0</v>
      </c>
      <c r="AA1667" s="26">
        <v>0</v>
      </c>
    </row>
    <row r="1668" spans="1:27" x14ac:dyDescent="0.2">
      <c r="A1668">
        <f t="shared" si="52"/>
        <v>4</v>
      </c>
      <c r="B1668">
        <f t="shared" si="53"/>
        <v>18</v>
      </c>
      <c r="C1668" s="27">
        <v>46139</v>
      </c>
      <c r="D1668" s="27">
        <v>46139</v>
      </c>
      <c r="E1668" s="26" t="s">
        <v>26</v>
      </c>
      <c r="F1668" s="26" t="s">
        <v>49</v>
      </c>
      <c r="G1668" s="26" t="s">
        <v>50</v>
      </c>
      <c r="H1668" s="26" t="s">
        <v>29</v>
      </c>
      <c r="I1668" s="26" t="s">
        <v>30</v>
      </c>
      <c r="J1668" s="26" t="s">
        <v>51</v>
      </c>
      <c r="K1668" s="26" t="s">
        <v>42</v>
      </c>
      <c r="L1668" s="26" t="s">
        <v>1152</v>
      </c>
      <c r="M1668" s="26">
        <v>2</v>
      </c>
      <c r="N1668" s="26">
        <v>1</v>
      </c>
      <c r="O1668" s="28">
        <v>0.5</v>
      </c>
      <c r="P1668" s="26">
        <v>1</v>
      </c>
      <c r="Q1668" s="26">
        <v>1</v>
      </c>
      <c r="R1668" s="26">
        <v>0</v>
      </c>
      <c r="S1668" s="26"/>
      <c r="T1668" s="26">
        <v>0</v>
      </c>
      <c r="U1668" s="26">
        <v>0</v>
      </c>
      <c r="V1668" s="26">
        <v>0</v>
      </c>
      <c r="W1668" s="28">
        <v>0</v>
      </c>
      <c r="X1668" s="26">
        <v>0</v>
      </c>
      <c r="Y1668" s="26">
        <v>0</v>
      </c>
      <c r="Z1668" s="26">
        <v>0</v>
      </c>
      <c r="AA1668" s="26">
        <v>0</v>
      </c>
    </row>
    <row r="1669" spans="1:27" x14ac:dyDescent="0.2">
      <c r="A1669">
        <f t="shared" si="52"/>
        <v>4</v>
      </c>
      <c r="B1669">
        <f t="shared" si="53"/>
        <v>15</v>
      </c>
      <c r="C1669" s="27">
        <v>46120</v>
      </c>
      <c r="D1669" s="27">
        <v>46120</v>
      </c>
      <c r="E1669" s="26" t="s">
        <v>26</v>
      </c>
      <c r="F1669" s="26" t="s">
        <v>61</v>
      </c>
      <c r="G1669" s="26" t="s">
        <v>62</v>
      </c>
      <c r="H1669" s="26" t="s">
        <v>29</v>
      </c>
      <c r="I1669" s="26" t="s">
        <v>30</v>
      </c>
      <c r="J1669" s="26" t="s">
        <v>95</v>
      </c>
      <c r="K1669" s="26" t="s">
        <v>42</v>
      </c>
      <c r="L1669" s="26" t="s">
        <v>1153</v>
      </c>
      <c r="M1669" s="26">
        <v>41</v>
      </c>
      <c r="N1669" s="26">
        <v>1</v>
      </c>
      <c r="O1669" s="28">
        <v>2.4389999999999998E-2</v>
      </c>
      <c r="P1669" s="26">
        <v>1.27</v>
      </c>
      <c r="Q1669" s="26">
        <v>1.27</v>
      </c>
      <c r="R1669" s="26">
        <v>0</v>
      </c>
      <c r="S1669" s="26"/>
      <c r="T1669" s="26">
        <v>0</v>
      </c>
      <c r="U1669" s="26">
        <v>0</v>
      </c>
      <c r="V1669" s="26">
        <v>0</v>
      </c>
      <c r="W1669" s="28">
        <v>0</v>
      </c>
      <c r="X1669" s="26">
        <v>0</v>
      </c>
      <c r="Y1669" s="26">
        <v>0</v>
      </c>
      <c r="Z1669" s="26">
        <v>0</v>
      </c>
      <c r="AA1669" s="26">
        <v>0</v>
      </c>
    </row>
    <row r="1670" spans="1:27" x14ac:dyDescent="0.2">
      <c r="A1670">
        <f t="shared" si="52"/>
        <v>4</v>
      </c>
      <c r="B1670">
        <f t="shared" si="53"/>
        <v>15</v>
      </c>
      <c r="C1670" s="27">
        <v>46118</v>
      </c>
      <c r="D1670" s="27">
        <v>46118</v>
      </c>
      <c r="E1670" s="26" t="s">
        <v>26</v>
      </c>
      <c r="F1670" s="26" t="s">
        <v>61</v>
      </c>
      <c r="G1670" s="26" t="s">
        <v>62</v>
      </c>
      <c r="H1670" s="26" t="s">
        <v>29</v>
      </c>
      <c r="I1670" s="26" t="s">
        <v>30</v>
      </c>
      <c r="J1670" s="26" t="s">
        <v>95</v>
      </c>
      <c r="K1670" s="26" t="s">
        <v>42</v>
      </c>
      <c r="L1670" s="26" t="s">
        <v>1154</v>
      </c>
      <c r="M1670" s="26">
        <v>30</v>
      </c>
      <c r="N1670" s="26">
        <v>1</v>
      </c>
      <c r="O1670" s="28">
        <v>3.3333000000000002E-2</v>
      </c>
      <c r="P1670" s="26">
        <v>0.39</v>
      </c>
      <c r="Q1670" s="26">
        <v>0.39</v>
      </c>
      <c r="R1670" s="26">
        <v>0</v>
      </c>
      <c r="S1670" s="26"/>
      <c r="T1670" s="26">
        <v>0</v>
      </c>
      <c r="U1670" s="26">
        <v>0</v>
      </c>
      <c r="V1670" s="26">
        <v>0</v>
      </c>
      <c r="W1670" s="28">
        <v>0</v>
      </c>
      <c r="X1670" s="26">
        <v>0</v>
      </c>
      <c r="Y1670" s="26">
        <v>0</v>
      </c>
      <c r="Z1670" s="26">
        <v>0</v>
      </c>
      <c r="AA1670" s="26">
        <v>0</v>
      </c>
    </row>
    <row r="1671" spans="1:27" x14ac:dyDescent="0.2">
      <c r="A1671">
        <f t="shared" si="52"/>
        <v>4</v>
      </c>
      <c r="B1671">
        <f t="shared" si="53"/>
        <v>18</v>
      </c>
      <c r="C1671" s="27">
        <v>46141</v>
      </c>
      <c r="D1671" s="27">
        <v>46141</v>
      </c>
      <c r="E1671" s="26" t="s">
        <v>26</v>
      </c>
      <c r="F1671" s="26" t="s">
        <v>61</v>
      </c>
      <c r="G1671" s="26" t="s">
        <v>62</v>
      </c>
      <c r="H1671" s="26" t="s">
        <v>29</v>
      </c>
      <c r="I1671" s="26" t="s">
        <v>30</v>
      </c>
      <c r="J1671" s="26" t="s">
        <v>95</v>
      </c>
      <c r="K1671" s="26" t="s">
        <v>42</v>
      </c>
      <c r="L1671" s="26" t="s">
        <v>1155</v>
      </c>
      <c r="M1671" s="26">
        <v>4</v>
      </c>
      <c r="N1671" s="26">
        <v>1</v>
      </c>
      <c r="O1671" s="28">
        <v>0.25</v>
      </c>
      <c r="P1671" s="26">
        <v>1.34</v>
      </c>
      <c r="Q1671" s="26">
        <v>1.34</v>
      </c>
      <c r="R1671" s="26">
        <v>0</v>
      </c>
      <c r="S1671" s="26"/>
      <c r="T1671" s="26">
        <v>0</v>
      </c>
      <c r="U1671" s="26">
        <v>0</v>
      </c>
      <c r="V1671" s="26">
        <v>0</v>
      </c>
      <c r="W1671" s="28">
        <v>0</v>
      </c>
      <c r="X1671" s="26">
        <v>0</v>
      </c>
      <c r="Y1671" s="26">
        <v>0</v>
      </c>
      <c r="Z1671" s="26">
        <v>0</v>
      </c>
      <c r="AA1671" s="26">
        <v>0</v>
      </c>
    </row>
    <row r="1672" spans="1:27" x14ac:dyDescent="0.2">
      <c r="A1672">
        <f t="shared" si="52"/>
        <v>4</v>
      </c>
      <c r="B1672">
        <f t="shared" si="53"/>
        <v>15</v>
      </c>
      <c r="C1672" s="27">
        <v>46118</v>
      </c>
      <c r="D1672" s="27">
        <v>46118</v>
      </c>
      <c r="E1672" s="26" t="s">
        <v>26</v>
      </c>
      <c r="F1672" s="26" t="s">
        <v>1130</v>
      </c>
      <c r="G1672" s="26" t="s">
        <v>54</v>
      </c>
      <c r="H1672" s="26" t="s">
        <v>29</v>
      </c>
      <c r="I1672" s="26" t="s">
        <v>30</v>
      </c>
      <c r="J1672" s="26" t="s">
        <v>95</v>
      </c>
      <c r="K1672" s="26" t="s">
        <v>42</v>
      </c>
      <c r="L1672" s="26" t="s">
        <v>1156</v>
      </c>
      <c r="M1672" s="26">
        <v>1</v>
      </c>
      <c r="N1672" s="26">
        <v>1</v>
      </c>
      <c r="O1672" s="28">
        <v>1</v>
      </c>
      <c r="P1672" s="26">
        <v>0.41</v>
      </c>
      <c r="Q1672" s="26">
        <v>0.41</v>
      </c>
      <c r="R1672" s="26">
        <v>0</v>
      </c>
      <c r="S1672" s="26"/>
      <c r="T1672" s="26">
        <v>0</v>
      </c>
      <c r="U1672" s="26">
        <v>0</v>
      </c>
      <c r="V1672" s="26">
        <v>0</v>
      </c>
      <c r="W1672" s="28">
        <v>0</v>
      </c>
      <c r="X1672" s="26">
        <v>0</v>
      </c>
      <c r="Y1672" s="26">
        <v>0</v>
      </c>
      <c r="Z1672" s="26">
        <v>0</v>
      </c>
      <c r="AA1672" s="26">
        <v>0</v>
      </c>
    </row>
    <row r="1673" spans="1:27" x14ac:dyDescent="0.2">
      <c r="A1673">
        <f t="shared" si="52"/>
        <v>4</v>
      </c>
      <c r="B1673">
        <f t="shared" si="53"/>
        <v>17</v>
      </c>
      <c r="C1673" s="27">
        <v>46135</v>
      </c>
      <c r="D1673" s="27">
        <v>46138</v>
      </c>
      <c r="E1673" s="26" t="s">
        <v>26</v>
      </c>
      <c r="F1673" s="26" t="s">
        <v>112</v>
      </c>
      <c r="G1673" s="26" t="s">
        <v>113</v>
      </c>
      <c r="H1673" s="26" t="s">
        <v>29</v>
      </c>
      <c r="I1673" s="26" t="s">
        <v>30</v>
      </c>
      <c r="J1673" s="26" t="s">
        <v>238</v>
      </c>
      <c r="K1673" s="26" t="s">
        <v>32</v>
      </c>
      <c r="L1673" s="26" t="s">
        <v>97</v>
      </c>
      <c r="M1673" s="26">
        <v>227</v>
      </c>
      <c r="N1673" s="26">
        <v>3</v>
      </c>
      <c r="O1673" s="28">
        <v>1.3216E-2</v>
      </c>
      <c r="P1673" s="26">
        <v>2.89</v>
      </c>
      <c r="Q1673" s="26">
        <v>8.67</v>
      </c>
      <c r="R1673" s="26">
        <v>0</v>
      </c>
      <c r="S1673" s="26"/>
      <c r="T1673" s="26">
        <v>0</v>
      </c>
      <c r="U1673" s="26">
        <v>0</v>
      </c>
      <c r="V1673" s="26">
        <v>0</v>
      </c>
      <c r="W1673" s="28">
        <v>0</v>
      </c>
      <c r="X1673" s="26">
        <v>0</v>
      </c>
      <c r="Y1673" s="26">
        <v>0</v>
      </c>
      <c r="Z1673" s="26">
        <v>0</v>
      </c>
      <c r="AA1673" s="26">
        <v>0</v>
      </c>
    </row>
    <row r="1674" spans="1:27" x14ac:dyDescent="0.2">
      <c r="A1674">
        <f t="shared" si="52"/>
        <v>4</v>
      </c>
      <c r="B1674">
        <f t="shared" si="53"/>
        <v>15</v>
      </c>
      <c r="C1674" s="27">
        <v>46119</v>
      </c>
      <c r="D1674" s="27">
        <v>46133</v>
      </c>
      <c r="E1674" s="26" t="s">
        <v>26</v>
      </c>
      <c r="F1674" s="26" t="s">
        <v>1130</v>
      </c>
      <c r="G1674" s="26" t="s">
        <v>54</v>
      </c>
      <c r="H1674" s="26" t="s">
        <v>29</v>
      </c>
      <c r="I1674" s="26" t="s">
        <v>30</v>
      </c>
      <c r="J1674" s="26" t="s">
        <v>47</v>
      </c>
      <c r="K1674" s="26" t="s">
        <v>42</v>
      </c>
      <c r="L1674" s="26" t="s">
        <v>97</v>
      </c>
      <c r="M1674" s="26">
        <v>19</v>
      </c>
      <c r="N1674" s="26">
        <v>3</v>
      </c>
      <c r="O1674" s="28">
        <v>0.15789500000000001</v>
      </c>
      <c r="P1674" s="26">
        <v>0.5</v>
      </c>
      <c r="Q1674" s="26">
        <v>1.5</v>
      </c>
      <c r="R1674" s="26">
        <v>0</v>
      </c>
      <c r="S1674" s="26"/>
      <c r="T1674" s="26">
        <v>0</v>
      </c>
      <c r="U1674" s="26">
        <v>0</v>
      </c>
      <c r="V1674" s="26">
        <v>0</v>
      </c>
      <c r="W1674" s="28">
        <v>0</v>
      </c>
      <c r="X1674" s="26">
        <v>0</v>
      </c>
      <c r="Y1674" s="26">
        <v>0</v>
      </c>
      <c r="Z1674" s="26">
        <v>0</v>
      </c>
      <c r="AA1674" s="26">
        <v>0</v>
      </c>
    </row>
    <row r="1675" spans="1:27" x14ac:dyDescent="0.2">
      <c r="A1675">
        <f t="shared" si="52"/>
        <v>4</v>
      </c>
      <c r="B1675">
        <f t="shared" si="53"/>
        <v>14</v>
      </c>
      <c r="C1675" s="27">
        <v>46113</v>
      </c>
      <c r="D1675" s="27">
        <v>46125</v>
      </c>
      <c r="E1675" s="26" t="s">
        <v>26</v>
      </c>
      <c r="F1675" s="26" t="s">
        <v>61</v>
      </c>
      <c r="G1675" s="26" t="s">
        <v>62</v>
      </c>
      <c r="H1675" s="26" t="s">
        <v>29</v>
      </c>
      <c r="I1675" s="26" t="s">
        <v>30</v>
      </c>
      <c r="J1675" s="26" t="s">
        <v>95</v>
      </c>
      <c r="K1675" s="26" t="s">
        <v>42</v>
      </c>
      <c r="L1675" s="26" t="s">
        <v>1157</v>
      </c>
      <c r="M1675" s="26">
        <v>19</v>
      </c>
      <c r="N1675" s="26">
        <v>2</v>
      </c>
      <c r="O1675" s="28">
        <v>0.105263</v>
      </c>
      <c r="P1675" s="26">
        <v>1.1200000000000001</v>
      </c>
      <c r="Q1675" s="26">
        <v>2.23</v>
      </c>
      <c r="R1675" s="26">
        <v>0</v>
      </c>
      <c r="S1675" s="26"/>
      <c r="T1675" s="26">
        <v>0</v>
      </c>
      <c r="U1675" s="26">
        <v>0</v>
      </c>
      <c r="V1675" s="26">
        <v>0</v>
      </c>
      <c r="W1675" s="28">
        <v>0</v>
      </c>
      <c r="X1675" s="26">
        <v>0</v>
      </c>
      <c r="Y1675" s="26">
        <v>0</v>
      </c>
      <c r="Z1675" s="26">
        <v>0</v>
      </c>
      <c r="AA1675" s="26">
        <v>0</v>
      </c>
    </row>
    <row r="1676" spans="1:27" x14ac:dyDescent="0.2">
      <c r="A1676">
        <f t="shared" si="52"/>
        <v>4</v>
      </c>
      <c r="B1676">
        <f t="shared" si="53"/>
        <v>17</v>
      </c>
      <c r="C1676" s="27">
        <v>46134</v>
      </c>
      <c r="D1676" s="27">
        <v>46134</v>
      </c>
      <c r="E1676" s="26" t="s">
        <v>26</v>
      </c>
      <c r="F1676" s="26" t="s">
        <v>112</v>
      </c>
      <c r="G1676" s="26" t="s">
        <v>113</v>
      </c>
      <c r="H1676" s="26" t="s">
        <v>29</v>
      </c>
      <c r="I1676" s="26" t="s">
        <v>30</v>
      </c>
      <c r="J1676" s="26" t="s">
        <v>109</v>
      </c>
      <c r="K1676" s="26" t="s">
        <v>32</v>
      </c>
      <c r="L1676" s="26" t="s">
        <v>1158</v>
      </c>
      <c r="M1676" s="26">
        <v>1</v>
      </c>
      <c r="N1676" s="26">
        <v>1</v>
      </c>
      <c r="O1676" s="28">
        <v>1</v>
      </c>
      <c r="P1676" s="26">
        <v>3.45</v>
      </c>
      <c r="Q1676" s="26">
        <v>3.45</v>
      </c>
      <c r="R1676" s="26">
        <v>0</v>
      </c>
      <c r="S1676" s="26"/>
      <c r="T1676" s="26">
        <v>0</v>
      </c>
      <c r="U1676" s="26">
        <v>0</v>
      </c>
      <c r="V1676" s="26">
        <v>0</v>
      </c>
      <c r="W1676" s="28">
        <v>0</v>
      </c>
      <c r="X1676" s="26">
        <v>0</v>
      </c>
      <c r="Y1676" s="26">
        <v>0</v>
      </c>
      <c r="Z1676" s="26">
        <v>0</v>
      </c>
      <c r="AA1676" s="26">
        <v>0</v>
      </c>
    </row>
    <row r="1677" spans="1:27" x14ac:dyDescent="0.2">
      <c r="A1677">
        <f t="shared" si="52"/>
        <v>4</v>
      </c>
      <c r="B1677">
        <f t="shared" si="53"/>
        <v>16</v>
      </c>
      <c r="C1677" s="27">
        <v>46126</v>
      </c>
      <c r="D1677" s="27">
        <v>46126</v>
      </c>
      <c r="E1677" s="26" t="s">
        <v>26</v>
      </c>
      <c r="F1677" s="26" t="s">
        <v>61</v>
      </c>
      <c r="G1677" s="26" t="s">
        <v>62</v>
      </c>
      <c r="H1677" s="26" t="s">
        <v>29</v>
      </c>
      <c r="I1677" s="26" t="s">
        <v>30</v>
      </c>
      <c r="J1677" s="26" t="s">
        <v>95</v>
      </c>
      <c r="K1677" s="26" t="s">
        <v>42</v>
      </c>
      <c r="L1677" s="26" t="s">
        <v>1159</v>
      </c>
      <c r="M1677" s="26">
        <v>1</v>
      </c>
      <c r="N1677" s="26">
        <v>1</v>
      </c>
      <c r="O1677" s="28">
        <v>1</v>
      </c>
      <c r="P1677" s="26">
        <v>1.67</v>
      </c>
      <c r="Q1677" s="26">
        <v>1.67</v>
      </c>
      <c r="R1677" s="26">
        <v>0</v>
      </c>
      <c r="S1677" s="26"/>
      <c r="T1677" s="26">
        <v>0</v>
      </c>
      <c r="U1677" s="26">
        <v>0</v>
      </c>
      <c r="V1677" s="26">
        <v>0</v>
      </c>
      <c r="W1677" s="28">
        <v>0</v>
      </c>
      <c r="X1677" s="26">
        <v>0</v>
      </c>
      <c r="Y1677" s="26">
        <v>0</v>
      </c>
      <c r="Z1677" s="26">
        <v>0</v>
      </c>
      <c r="AA1677" s="26">
        <v>0</v>
      </c>
    </row>
    <row r="1678" spans="1:27" x14ac:dyDescent="0.2">
      <c r="A1678">
        <f t="shared" si="52"/>
        <v>4</v>
      </c>
      <c r="B1678">
        <f t="shared" si="53"/>
        <v>16</v>
      </c>
      <c r="C1678" s="27">
        <v>46129</v>
      </c>
      <c r="D1678" s="27">
        <v>46129</v>
      </c>
      <c r="E1678" s="26" t="s">
        <v>26</v>
      </c>
      <c r="F1678" s="26" t="s">
        <v>61</v>
      </c>
      <c r="G1678" s="26" t="s">
        <v>62</v>
      </c>
      <c r="H1678" s="26" t="s">
        <v>29</v>
      </c>
      <c r="I1678" s="26" t="s">
        <v>30</v>
      </c>
      <c r="J1678" s="26" t="s">
        <v>51</v>
      </c>
      <c r="K1678" s="26" t="s">
        <v>42</v>
      </c>
      <c r="L1678" s="26" t="s">
        <v>1159</v>
      </c>
      <c r="M1678" s="26">
        <v>1</v>
      </c>
      <c r="N1678" s="26">
        <v>1</v>
      </c>
      <c r="O1678" s="28">
        <v>1</v>
      </c>
      <c r="P1678" s="26">
        <v>0.28000000000000003</v>
      </c>
      <c r="Q1678" s="26">
        <v>0.28000000000000003</v>
      </c>
      <c r="R1678" s="26">
        <v>0</v>
      </c>
      <c r="S1678" s="26"/>
      <c r="T1678" s="26">
        <v>0</v>
      </c>
      <c r="U1678" s="26">
        <v>0</v>
      </c>
      <c r="V1678" s="26">
        <v>0</v>
      </c>
      <c r="W1678" s="28">
        <v>0</v>
      </c>
      <c r="X1678" s="26">
        <v>0</v>
      </c>
      <c r="Y1678" s="26">
        <v>0</v>
      </c>
      <c r="Z1678" s="26">
        <v>0</v>
      </c>
      <c r="AA1678" s="26">
        <v>0</v>
      </c>
    </row>
    <row r="1679" spans="1:27" x14ac:dyDescent="0.2">
      <c r="A1679">
        <f t="shared" si="52"/>
        <v>4</v>
      </c>
      <c r="B1679">
        <f t="shared" si="53"/>
        <v>18</v>
      </c>
      <c r="C1679" s="27">
        <v>46138</v>
      </c>
      <c r="D1679" s="27">
        <v>46138</v>
      </c>
      <c r="E1679" s="26" t="s">
        <v>26</v>
      </c>
      <c r="F1679" s="26" t="s">
        <v>49</v>
      </c>
      <c r="G1679" s="26" t="s">
        <v>50</v>
      </c>
      <c r="H1679" s="26" t="s">
        <v>29</v>
      </c>
      <c r="I1679" s="26" t="s">
        <v>30</v>
      </c>
      <c r="J1679" s="26" t="s">
        <v>95</v>
      </c>
      <c r="K1679" s="26" t="s">
        <v>42</v>
      </c>
      <c r="L1679" s="26" t="s">
        <v>1160</v>
      </c>
      <c r="M1679" s="26">
        <v>1</v>
      </c>
      <c r="N1679" s="26">
        <v>1</v>
      </c>
      <c r="O1679" s="28">
        <v>1</v>
      </c>
      <c r="P1679" s="26">
        <v>0.6</v>
      </c>
      <c r="Q1679" s="26">
        <v>0.6</v>
      </c>
      <c r="R1679" s="26">
        <v>0</v>
      </c>
      <c r="S1679" s="26"/>
      <c r="T1679" s="26">
        <v>0</v>
      </c>
      <c r="U1679" s="26">
        <v>0</v>
      </c>
      <c r="V1679" s="26">
        <v>0</v>
      </c>
      <c r="W1679" s="28">
        <v>0</v>
      </c>
      <c r="X1679" s="26">
        <v>0</v>
      </c>
      <c r="Y1679" s="26">
        <v>0</v>
      </c>
      <c r="Z1679" s="26">
        <v>0</v>
      </c>
      <c r="AA1679" s="26">
        <v>0</v>
      </c>
    </row>
    <row r="1680" spans="1:27" x14ac:dyDescent="0.2">
      <c r="A1680">
        <f t="shared" si="52"/>
        <v>4</v>
      </c>
      <c r="B1680">
        <f t="shared" si="53"/>
        <v>17</v>
      </c>
      <c r="C1680" s="27">
        <v>46134</v>
      </c>
      <c r="D1680" s="27">
        <v>46134</v>
      </c>
      <c r="E1680" s="26" t="s">
        <v>26</v>
      </c>
      <c r="F1680" s="26" t="s">
        <v>49</v>
      </c>
      <c r="G1680" s="26" t="s">
        <v>50</v>
      </c>
      <c r="H1680" s="26" t="s">
        <v>29</v>
      </c>
      <c r="I1680" s="26" t="s">
        <v>30</v>
      </c>
      <c r="J1680" s="26" t="s">
        <v>95</v>
      </c>
      <c r="K1680" s="26" t="s">
        <v>42</v>
      </c>
      <c r="L1680" s="26" t="s">
        <v>1161</v>
      </c>
      <c r="M1680" s="26">
        <v>1</v>
      </c>
      <c r="N1680" s="26">
        <v>1</v>
      </c>
      <c r="O1680" s="28">
        <v>1</v>
      </c>
      <c r="P1680" s="26">
        <v>0.57999999999999996</v>
      </c>
      <c r="Q1680" s="26">
        <v>0.57999999999999996</v>
      </c>
      <c r="R1680" s="26">
        <v>0</v>
      </c>
      <c r="S1680" s="26"/>
      <c r="T1680" s="26">
        <v>0</v>
      </c>
      <c r="U1680" s="26">
        <v>0</v>
      </c>
      <c r="V1680" s="26">
        <v>0</v>
      </c>
      <c r="W1680" s="28">
        <v>0</v>
      </c>
      <c r="X1680" s="26">
        <v>0</v>
      </c>
      <c r="Y1680" s="26">
        <v>0</v>
      </c>
      <c r="Z1680" s="26">
        <v>0</v>
      </c>
      <c r="AA1680" s="26">
        <v>0</v>
      </c>
    </row>
    <row r="1681" spans="1:27" x14ac:dyDescent="0.2">
      <c r="A1681">
        <f t="shared" si="52"/>
        <v>4</v>
      </c>
      <c r="B1681">
        <f t="shared" si="53"/>
        <v>14</v>
      </c>
      <c r="C1681" s="27">
        <v>46115</v>
      </c>
      <c r="D1681" s="27">
        <v>46115</v>
      </c>
      <c r="E1681" s="26" t="s">
        <v>26</v>
      </c>
      <c r="F1681" s="26" t="s">
        <v>27</v>
      </c>
      <c r="G1681" s="26" t="s">
        <v>28</v>
      </c>
      <c r="H1681" s="26" t="s">
        <v>29</v>
      </c>
      <c r="I1681" s="26" t="s">
        <v>30</v>
      </c>
      <c r="J1681" s="26" t="s">
        <v>253</v>
      </c>
      <c r="K1681" s="26" t="s">
        <v>32</v>
      </c>
      <c r="L1681" s="26" t="s">
        <v>883</v>
      </c>
      <c r="M1681" s="26">
        <v>4</v>
      </c>
      <c r="N1681" s="26">
        <v>1</v>
      </c>
      <c r="O1681" s="28">
        <v>0.25</v>
      </c>
      <c r="P1681" s="26">
        <v>0.21</v>
      </c>
      <c r="Q1681" s="26">
        <v>0.21</v>
      </c>
      <c r="R1681" s="26">
        <v>0</v>
      </c>
      <c r="S1681" s="26"/>
      <c r="T1681" s="26">
        <v>0</v>
      </c>
      <c r="U1681" s="26">
        <v>0</v>
      </c>
      <c r="V1681" s="26">
        <v>0</v>
      </c>
      <c r="W1681" s="28">
        <v>0</v>
      </c>
      <c r="X1681" s="26">
        <v>0</v>
      </c>
      <c r="Y1681" s="26">
        <v>0</v>
      </c>
      <c r="Z1681" s="26">
        <v>0</v>
      </c>
      <c r="AA1681" s="26">
        <v>0</v>
      </c>
    </row>
    <row r="1682" spans="1:27" x14ac:dyDescent="0.2">
      <c r="A1682">
        <f t="shared" si="52"/>
        <v>4</v>
      </c>
      <c r="B1682">
        <f t="shared" si="53"/>
        <v>17</v>
      </c>
      <c r="C1682" s="27">
        <v>46131</v>
      </c>
      <c r="D1682" s="27">
        <v>46131</v>
      </c>
      <c r="E1682" s="26" t="s">
        <v>26</v>
      </c>
      <c r="F1682" s="26" t="s">
        <v>1130</v>
      </c>
      <c r="G1682" s="26" t="s">
        <v>54</v>
      </c>
      <c r="H1682" s="26" t="s">
        <v>29</v>
      </c>
      <c r="I1682" s="26" t="s">
        <v>30</v>
      </c>
      <c r="J1682" s="26" t="s">
        <v>47</v>
      </c>
      <c r="K1682" s="26" t="s">
        <v>42</v>
      </c>
      <c r="L1682" s="26" t="s">
        <v>105</v>
      </c>
      <c r="M1682" s="26">
        <v>65</v>
      </c>
      <c r="N1682" s="26">
        <v>1</v>
      </c>
      <c r="O1682" s="28">
        <v>1.5384999999999999E-2</v>
      </c>
      <c r="P1682" s="26">
        <v>0.5</v>
      </c>
      <c r="Q1682" s="26">
        <v>0.5</v>
      </c>
      <c r="R1682" s="26">
        <v>0</v>
      </c>
      <c r="S1682" s="26"/>
      <c r="T1682" s="26">
        <v>0</v>
      </c>
      <c r="U1682" s="26">
        <v>0</v>
      </c>
      <c r="V1682" s="26">
        <v>0</v>
      </c>
      <c r="W1682" s="28">
        <v>0</v>
      </c>
      <c r="X1682" s="26">
        <v>0</v>
      </c>
      <c r="Y1682" s="26">
        <v>0</v>
      </c>
      <c r="Z1682" s="26">
        <v>0</v>
      </c>
      <c r="AA1682" s="26">
        <v>0</v>
      </c>
    </row>
    <row r="1683" spans="1:27" x14ac:dyDescent="0.2">
      <c r="A1683">
        <f t="shared" si="52"/>
        <v>4</v>
      </c>
      <c r="B1683">
        <f t="shared" si="53"/>
        <v>14</v>
      </c>
      <c r="C1683" s="27">
        <v>46115</v>
      </c>
      <c r="D1683" s="27">
        <v>46115</v>
      </c>
      <c r="E1683" s="26" t="s">
        <v>26</v>
      </c>
      <c r="F1683" s="26" t="s">
        <v>45</v>
      </c>
      <c r="G1683" s="26" t="s">
        <v>46</v>
      </c>
      <c r="H1683" s="26" t="s">
        <v>29</v>
      </c>
      <c r="I1683" s="26" t="s">
        <v>30</v>
      </c>
      <c r="J1683" s="26" t="s">
        <v>95</v>
      </c>
      <c r="K1683" s="26" t="s">
        <v>42</v>
      </c>
      <c r="L1683" s="26" t="s">
        <v>106</v>
      </c>
      <c r="M1683" s="26">
        <v>2</v>
      </c>
      <c r="N1683" s="26">
        <v>1</v>
      </c>
      <c r="O1683" s="28">
        <v>0.5</v>
      </c>
      <c r="P1683" s="26">
        <v>0.46</v>
      </c>
      <c r="Q1683" s="26">
        <v>0.46</v>
      </c>
      <c r="R1683" s="26">
        <v>0</v>
      </c>
      <c r="S1683" s="26"/>
      <c r="T1683" s="26">
        <v>0</v>
      </c>
      <c r="U1683" s="26">
        <v>0</v>
      </c>
      <c r="V1683" s="26">
        <v>0</v>
      </c>
      <c r="W1683" s="28">
        <v>0</v>
      </c>
      <c r="X1683" s="26">
        <v>0</v>
      </c>
      <c r="Y1683" s="26">
        <v>0</v>
      </c>
      <c r="Z1683" s="26">
        <v>0</v>
      </c>
      <c r="AA1683" s="26">
        <v>0</v>
      </c>
    </row>
    <row r="1684" spans="1:27" x14ac:dyDescent="0.2">
      <c r="A1684">
        <f t="shared" si="52"/>
        <v>4</v>
      </c>
      <c r="B1684">
        <f t="shared" si="53"/>
        <v>17</v>
      </c>
      <c r="C1684" s="27">
        <v>46136</v>
      </c>
      <c r="D1684" s="27">
        <v>46136</v>
      </c>
      <c r="E1684" s="26" t="s">
        <v>26</v>
      </c>
      <c r="F1684" s="26" t="s">
        <v>61</v>
      </c>
      <c r="G1684" s="26" t="s">
        <v>62</v>
      </c>
      <c r="H1684" s="26" t="s">
        <v>29</v>
      </c>
      <c r="I1684" s="26" t="s">
        <v>30</v>
      </c>
      <c r="J1684" s="26" t="s">
        <v>95</v>
      </c>
      <c r="K1684" s="26" t="s">
        <v>42</v>
      </c>
      <c r="L1684" s="26" t="s">
        <v>108</v>
      </c>
      <c r="M1684" s="26">
        <v>1</v>
      </c>
      <c r="N1684" s="26">
        <v>1</v>
      </c>
      <c r="O1684" s="28">
        <v>1</v>
      </c>
      <c r="P1684" s="26">
        <v>1.03</v>
      </c>
      <c r="Q1684" s="26">
        <v>1.03</v>
      </c>
      <c r="R1684" s="26">
        <v>0</v>
      </c>
      <c r="S1684" s="26"/>
      <c r="T1684" s="26">
        <v>0</v>
      </c>
      <c r="U1684" s="26">
        <v>0</v>
      </c>
      <c r="V1684" s="26">
        <v>0</v>
      </c>
      <c r="W1684" s="28">
        <v>0</v>
      </c>
      <c r="X1684" s="26">
        <v>0</v>
      </c>
      <c r="Y1684" s="26">
        <v>0</v>
      </c>
      <c r="Z1684" s="26">
        <v>0</v>
      </c>
      <c r="AA1684" s="26">
        <v>0</v>
      </c>
    </row>
    <row r="1685" spans="1:27" x14ac:dyDescent="0.2">
      <c r="A1685">
        <f t="shared" si="52"/>
        <v>4</v>
      </c>
      <c r="B1685">
        <f t="shared" si="53"/>
        <v>16</v>
      </c>
      <c r="C1685" s="27">
        <v>46124</v>
      </c>
      <c r="D1685" s="27">
        <v>46124</v>
      </c>
      <c r="E1685" s="26" t="s">
        <v>26</v>
      </c>
      <c r="F1685" s="26" t="s">
        <v>1130</v>
      </c>
      <c r="G1685" s="26" t="s">
        <v>54</v>
      </c>
      <c r="H1685" s="26" t="s">
        <v>29</v>
      </c>
      <c r="I1685" s="26" t="s">
        <v>30</v>
      </c>
      <c r="J1685" s="26" t="s">
        <v>47</v>
      </c>
      <c r="K1685" s="26" t="s">
        <v>42</v>
      </c>
      <c r="L1685" s="26" t="s">
        <v>108</v>
      </c>
      <c r="M1685" s="26">
        <v>5</v>
      </c>
      <c r="N1685" s="26">
        <v>1</v>
      </c>
      <c r="O1685" s="28">
        <v>0.2</v>
      </c>
      <c r="P1685" s="26">
        <v>0.5</v>
      </c>
      <c r="Q1685" s="26">
        <v>0.5</v>
      </c>
      <c r="R1685" s="26">
        <v>0</v>
      </c>
      <c r="S1685" s="26"/>
      <c r="T1685" s="26">
        <v>0</v>
      </c>
      <c r="U1685" s="26">
        <v>0</v>
      </c>
      <c r="V1685" s="26">
        <v>0</v>
      </c>
      <c r="W1685" s="28">
        <v>0</v>
      </c>
      <c r="X1685" s="26">
        <v>0</v>
      </c>
      <c r="Y1685" s="26">
        <v>0</v>
      </c>
      <c r="Z1685" s="26">
        <v>0</v>
      </c>
      <c r="AA1685" s="26">
        <v>0</v>
      </c>
    </row>
    <row r="1686" spans="1:27" x14ac:dyDescent="0.2">
      <c r="A1686">
        <f t="shared" si="52"/>
        <v>4</v>
      </c>
      <c r="B1686">
        <f t="shared" si="53"/>
        <v>17</v>
      </c>
      <c r="C1686" s="27">
        <v>46135</v>
      </c>
      <c r="D1686" s="27">
        <v>46138</v>
      </c>
      <c r="E1686" s="26" t="s">
        <v>26</v>
      </c>
      <c r="F1686" s="26" t="s">
        <v>112</v>
      </c>
      <c r="G1686" s="26" t="s">
        <v>113</v>
      </c>
      <c r="H1686" s="26" t="s">
        <v>29</v>
      </c>
      <c r="I1686" s="26" t="s">
        <v>30</v>
      </c>
      <c r="J1686" s="26" t="s">
        <v>238</v>
      </c>
      <c r="K1686" s="26" t="s">
        <v>32</v>
      </c>
      <c r="L1686" s="26" t="s">
        <v>109</v>
      </c>
      <c r="M1686" s="26">
        <v>57</v>
      </c>
      <c r="N1686" s="26">
        <v>2</v>
      </c>
      <c r="O1686" s="28">
        <v>3.5088000000000001E-2</v>
      </c>
      <c r="P1686" s="26">
        <v>2.16</v>
      </c>
      <c r="Q1686" s="26">
        <v>4.32</v>
      </c>
      <c r="R1686" s="26">
        <v>0</v>
      </c>
      <c r="S1686" s="26"/>
      <c r="T1686" s="26">
        <v>0</v>
      </c>
      <c r="U1686" s="26">
        <v>0</v>
      </c>
      <c r="V1686" s="26">
        <v>0</v>
      </c>
      <c r="W1686" s="28">
        <v>0</v>
      </c>
      <c r="X1686" s="26">
        <v>0</v>
      </c>
      <c r="Y1686" s="26">
        <v>0</v>
      </c>
      <c r="Z1686" s="26">
        <v>0</v>
      </c>
      <c r="AA1686" s="26">
        <v>0</v>
      </c>
    </row>
    <row r="1687" spans="1:27" x14ac:dyDescent="0.2">
      <c r="A1687">
        <f t="shared" ref="A1687:A1750" si="54">MONTH(C1687)</f>
        <v>4</v>
      </c>
      <c r="B1687">
        <f t="shared" ref="B1687:B1750" si="55">WEEKNUM(C1687,1)</f>
        <v>17</v>
      </c>
      <c r="C1687" s="27">
        <v>46133</v>
      </c>
      <c r="D1687" s="27">
        <v>46139</v>
      </c>
      <c r="E1687" s="26" t="s">
        <v>26</v>
      </c>
      <c r="F1687" s="26" t="s">
        <v>112</v>
      </c>
      <c r="G1687" s="26" t="s">
        <v>113</v>
      </c>
      <c r="H1687" s="26" t="s">
        <v>29</v>
      </c>
      <c r="I1687" s="26" t="s">
        <v>30</v>
      </c>
      <c r="J1687" s="26" t="s">
        <v>109</v>
      </c>
      <c r="K1687" s="26" t="s">
        <v>87</v>
      </c>
      <c r="L1687" s="26" t="s">
        <v>109</v>
      </c>
      <c r="M1687" s="26">
        <v>887</v>
      </c>
      <c r="N1687" s="26">
        <v>3</v>
      </c>
      <c r="O1687" s="28">
        <v>3.382E-3</v>
      </c>
      <c r="P1687" s="26">
        <v>2.08</v>
      </c>
      <c r="Q1687" s="26">
        <v>6.25</v>
      </c>
      <c r="R1687" s="26">
        <v>0</v>
      </c>
      <c r="S1687" s="26"/>
      <c r="T1687" s="26">
        <v>0</v>
      </c>
      <c r="U1687" s="26">
        <v>0</v>
      </c>
      <c r="V1687" s="26">
        <v>0</v>
      </c>
      <c r="W1687" s="28">
        <v>0</v>
      </c>
      <c r="X1687" s="26">
        <v>0</v>
      </c>
      <c r="Y1687" s="26">
        <v>0</v>
      </c>
      <c r="Z1687" s="26">
        <v>0</v>
      </c>
      <c r="AA1687" s="26">
        <v>0</v>
      </c>
    </row>
    <row r="1688" spans="1:27" x14ac:dyDescent="0.2">
      <c r="A1688">
        <f t="shared" si="54"/>
        <v>4</v>
      </c>
      <c r="B1688">
        <f t="shared" si="55"/>
        <v>15</v>
      </c>
      <c r="C1688" s="27">
        <v>46121</v>
      </c>
      <c r="D1688" s="27">
        <v>46138</v>
      </c>
      <c r="E1688" s="26" t="s">
        <v>26</v>
      </c>
      <c r="F1688" s="26" t="s">
        <v>1130</v>
      </c>
      <c r="G1688" s="26" t="s">
        <v>54</v>
      </c>
      <c r="H1688" s="26" t="s">
        <v>29</v>
      </c>
      <c r="I1688" s="26" t="s">
        <v>30</v>
      </c>
      <c r="J1688" s="26" t="s">
        <v>47</v>
      </c>
      <c r="K1688" s="26" t="s">
        <v>42</v>
      </c>
      <c r="L1688" s="26" t="s">
        <v>109</v>
      </c>
      <c r="M1688" s="26">
        <v>27</v>
      </c>
      <c r="N1688" s="26">
        <v>4</v>
      </c>
      <c r="O1688" s="28">
        <v>0.148148</v>
      </c>
      <c r="P1688" s="26">
        <v>0.54</v>
      </c>
      <c r="Q1688" s="26">
        <v>2.15</v>
      </c>
      <c r="R1688" s="26">
        <v>18.04</v>
      </c>
      <c r="S1688" s="28">
        <v>0.11917999999999999</v>
      </c>
      <c r="T1688" s="26">
        <v>8.39</v>
      </c>
      <c r="U1688" s="26">
        <v>1</v>
      </c>
      <c r="V1688" s="26">
        <v>1</v>
      </c>
      <c r="W1688" s="28">
        <v>0.25</v>
      </c>
      <c r="X1688" s="26">
        <v>0</v>
      </c>
      <c r="Y1688" s="26">
        <v>1</v>
      </c>
      <c r="Z1688" s="26">
        <v>0</v>
      </c>
      <c r="AA1688" s="26">
        <v>18.04</v>
      </c>
    </row>
    <row r="1689" spans="1:27" x14ac:dyDescent="0.2">
      <c r="A1689">
        <f t="shared" si="54"/>
        <v>4</v>
      </c>
      <c r="B1689">
        <f t="shared" si="55"/>
        <v>17</v>
      </c>
      <c r="C1689" s="27">
        <v>46132</v>
      </c>
      <c r="D1689" s="27">
        <v>46132</v>
      </c>
      <c r="E1689" s="26" t="s">
        <v>26</v>
      </c>
      <c r="F1689" s="26" t="s">
        <v>112</v>
      </c>
      <c r="G1689" s="26" t="s">
        <v>113</v>
      </c>
      <c r="H1689" s="26" t="s">
        <v>29</v>
      </c>
      <c r="I1689" s="26" t="s">
        <v>30</v>
      </c>
      <c r="J1689" s="26" t="s">
        <v>238</v>
      </c>
      <c r="K1689" s="26" t="s">
        <v>32</v>
      </c>
      <c r="L1689" s="26" t="s">
        <v>719</v>
      </c>
      <c r="M1689" s="26">
        <v>6</v>
      </c>
      <c r="N1689" s="26">
        <v>1</v>
      </c>
      <c r="O1689" s="28">
        <v>0.16666700000000001</v>
      </c>
      <c r="P1689" s="26">
        <v>3.62</v>
      </c>
      <c r="Q1689" s="26">
        <v>3.62</v>
      </c>
      <c r="R1689" s="26">
        <v>0</v>
      </c>
      <c r="S1689" s="26"/>
      <c r="T1689" s="26">
        <v>0</v>
      </c>
      <c r="U1689" s="26">
        <v>0</v>
      </c>
      <c r="V1689" s="26">
        <v>0</v>
      </c>
      <c r="W1689" s="28">
        <v>0</v>
      </c>
      <c r="X1689" s="26">
        <v>0</v>
      </c>
      <c r="Y1689" s="26">
        <v>0</v>
      </c>
      <c r="Z1689" s="26">
        <v>0</v>
      </c>
      <c r="AA1689" s="26">
        <v>0</v>
      </c>
    </row>
    <row r="1690" spans="1:27" x14ac:dyDescent="0.2">
      <c r="A1690">
        <f t="shared" si="54"/>
        <v>4</v>
      </c>
      <c r="B1690">
        <f t="shared" si="55"/>
        <v>18</v>
      </c>
      <c r="C1690" s="27">
        <v>46142</v>
      </c>
      <c r="D1690" s="27">
        <v>46142</v>
      </c>
      <c r="E1690" s="26" t="s">
        <v>26</v>
      </c>
      <c r="F1690" s="26" t="s">
        <v>112</v>
      </c>
      <c r="G1690" s="26" t="s">
        <v>113</v>
      </c>
      <c r="H1690" s="26" t="s">
        <v>29</v>
      </c>
      <c r="I1690" s="26" t="s">
        <v>30</v>
      </c>
      <c r="J1690" s="26" t="s">
        <v>109</v>
      </c>
      <c r="K1690" s="26" t="s">
        <v>32</v>
      </c>
      <c r="L1690" s="26" t="s">
        <v>110</v>
      </c>
      <c r="M1690" s="26">
        <v>49</v>
      </c>
      <c r="N1690" s="26">
        <v>1</v>
      </c>
      <c r="O1690" s="28">
        <v>2.0407999999999999E-2</v>
      </c>
      <c r="P1690" s="26">
        <v>1.79</v>
      </c>
      <c r="Q1690" s="26">
        <v>1.79</v>
      </c>
      <c r="R1690" s="26">
        <v>0</v>
      </c>
      <c r="S1690" s="26"/>
      <c r="T1690" s="26">
        <v>0</v>
      </c>
      <c r="U1690" s="26">
        <v>0</v>
      </c>
      <c r="V1690" s="26">
        <v>0</v>
      </c>
      <c r="W1690" s="28">
        <v>0</v>
      </c>
      <c r="X1690" s="26">
        <v>0</v>
      </c>
      <c r="Y1690" s="26">
        <v>0</v>
      </c>
      <c r="Z1690" s="26">
        <v>0</v>
      </c>
      <c r="AA1690" s="26">
        <v>0</v>
      </c>
    </row>
    <row r="1691" spans="1:27" x14ac:dyDescent="0.2">
      <c r="A1691">
        <f t="shared" si="54"/>
        <v>4</v>
      </c>
      <c r="B1691">
        <f t="shared" si="55"/>
        <v>18</v>
      </c>
      <c r="C1691" s="27">
        <v>46140</v>
      </c>
      <c r="D1691" s="27">
        <v>46140</v>
      </c>
      <c r="E1691" s="26" t="s">
        <v>26</v>
      </c>
      <c r="F1691" s="26" t="s">
        <v>112</v>
      </c>
      <c r="G1691" s="26" t="s">
        <v>113</v>
      </c>
      <c r="H1691" s="26" t="s">
        <v>29</v>
      </c>
      <c r="I1691" s="26" t="s">
        <v>30</v>
      </c>
      <c r="J1691" s="26" t="s">
        <v>238</v>
      </c>
      <c r="K1691" s="26" t="s">
        <v>32</v>
      </c>
      <c r="L1691" s="26" t="s">
        <v>431</v>
      </c>
      <c r="M1691" s="26">
        <v>19</v>
      </c>
      <c r="N1691" s="26">
        <v>1</v>
      </c>
      <c r="O1691" s="28">
        <v>5.2631999999999998E-2</v>
      </c>
      <c r="P1691" s="26">
        <v>2.21</v>
      </c>
      <c r="Q1691" s="26">
        <v>2.21</v>
      </c>
      <c r="R1691" s="26">
        <v>0</v>
      </c>
      <c r="S1691" s="26"/>
      <c r="T1691" s="26">
        <v>0</v>
      </c>
      <c r="U1691" s="26">
        <v>0</v>
      </c>
      <c r="V1691" s="26">
        <v>0</v>
      </c>
      <c r="W1691" s="28">
        <v>0</v>
      </c>
      <c r="X1691" s="26">
        <v>0</v>
      </c>
      <c r="Y1691" s="26">
        <v>0</v>
      </c>
      <c r="Z1691" s="26">
        <v>0</v>
      </c>
      <c r="AA1691" s="26">
        <v>0</v>
      </c>
    </row>
    <row r="1692" spans="1:27" x14ac:dyDescent="0.2">
      <c r="A1692">
        <f t="shared" si="54"/>
        <v>4</v>
      </c>
      <c r="B1692">
        <f t="shared" si="55"/>
        <v>14</v>
      </c>
      <c r="C1692" s="27">
        <v>46113</v>
      </c>
      <c r="D1692" s="27">
        <v>46142</v>
      </c>
      <c r="E1692" s="26" t="s">
        <v>26</v>
      </c>
      <c r="F1692" s="26" t="s">
        <v>1130</v>
      </c>
      <c r="G1692" s="26" t="s">
        <v>54</v>
      </c>
      <c r="H1692" s="26" t="s">
        <v>29</v>
      </c>
      <c r="I1692" s="26" t="s">
        <v>30</v>
      </c>
      <c r="J1692" s="26" t="s">
        <v>47</v>
      </c>
      <c r="K1692" s="26" t="s">
        <v>42</v>
      </c>
      <c r="L1692" s="26" t="s">
        <v>431</v>
      </c>
      <c r="M1692" s="26">
        <v>39</v>
      </c>
      <c r="N1692" s="26">
        <v>6</v>
      </c>
      <c r="O1692" s="28">
        <v>0.15384600000000001</v>
      </c>
      <c r="P1692" s="26">
        <v>0.52</v>
      </c>
      <c r="Q1692" s="26">
        <v>3.1</v>
      </c>
      <c r="R1692" s="26">
        <v>0</v>
      </c>
      <c r="S1692" s="26"/>
      <c r="T1692" s="26">
        <v>0</v>
      </c>
      <c r="U1692" s="26">
        <v>0</v>
      </c>
      <c r="V1692" s="26">
        <v>0</v>
      </c>
      <c r="W1692" s="28">
        <v>0</v>
      </c>
      <c r="X1692" s="26">
        <v>0</v>
      </c>
      <c r="Y1692" s="26">
        <v>0</v>
      </c>
      <c r="Z1692" s="26">
        <v>0</v>
      </c>
      <c r="AA1692" s="26">
        <v>0</v>
      </c>
    </row>
    <row r="1693" spans="1:27" x14ac:dyDescent="0.2">
      <c r="A1693">
        <f t="shared" si="54"/>
        <v>4</v>
      </c>
      <c r="B1693">
        <f t="shared" si="55"/>
        <v>15</v>
      </c>
      <c r="C1693" s="27">
        <v>46118</v>
      </c>
      <c r="D1693" s="27">
        <v>46118</v>
      </c>
      <c r="E1693" s="26" t="s">
        <v>26</v>
      </c>
      <c r="F1693" s="26" t="s">
        <v>1130</v>
      </c>
      <c r="G1693" s="26" t="s">
        <v>54</v>
      </c>
      <c r="H1693" s="26" t="s">
        <v>29</v>
      </c>
      <c r="I1693" s="26" t="s">
        <v>30</v>
      </c>
      <c r="J1693" s="26" t="s">
        <v>47</v>
      </c>
      <c r="K1693" s="26" t="s">
        <v>42</v>
      </c>
      <c r="L1693" s="26" t="s">
        <v>111</v>
      </c>
      <c r="M1693" s="26">
        <v>4</v>
      </c>
      <c r="N1693" s="26">
        <v>1</v>
      </c>
      <c r="O1693" s="28">
        <v>0.25</v>
      </c>
      <c r="P1693" s="26">
        <v>0.65</v>
      </c>
      <c r="Q1693" s="26">
        <v>0.65</v>
      </c>
      <c r="R1693" s="26">
        <v>0</v>
      </c>
      <c r="S1693" s="26"/>
      <c r="T1693" s="26">
        <v>0</v>
      </c>
      <c r="U1693" s="26">
        <v>0</v>
      </c>
      <c r="V1693" s="26">
        <v>0</v>
      </c>
      <c r="W1693" s="28">
        <v>0</v>
      </c>
      <c r="X1693" s="26">
        <v>0</v>
      </c>
      <c r="Y1693" s="26">
        <v>0</v>
      </c>
      <c r="Z1693" s="26">
        <v>0</v>
      </c>
      <c r="AA1693" s="26">
        <v>0</v>
      </c>
    </row>
    <row r="1694" spans="1:27" x14ac:dyDescent="0.2">
      <c r="A1694">
        <f t="shared" si="54"/>
        <v>4</v>
      </c>
      <c r="B1694">
        <f t="shared" si="55"/>
        <v>15</v>
      </c>
      <c r="C1694" s="27">
        <v>46121</v>
      </c>
      <c r="D1694" s="27">
        <v>46121</v>
      </c>
      <c r="E1694" s="26" t="s">
        <v>26</v>
      </c>
      <c r="F1694" s="26" t="s">
        <v>112</v>
      </c>
      <c r="G1694" s="26" t="s">
        <v>113</v>
      </c>
      <c r="H1694" s="26" t="s">
        <v>29</v>
      </c>
      <c r="I1694" s="26" t="s">
        <v>30</v>
      </c>
      <c r="J1694" s="26" t="s">
        <v>431</v>
      </c>
      <c r="K1694" s="26" t="s">
        <v>32</v>
      </c>
      <c r="L1694" s="26" t="s">
        <v>1162</v>
      </c>
      <c r="M1694" s="26">
        <v>1</v>
      </c>
      <c r="N1694" s="26">
        <v>1</v>
      </c>
      <c r="O1694" s="28">
        <v>1</v>
      </c>
      <c r="P1694" s="26">
        <v>0.45</v>
      </c>
      <c r="Q1694" s="26">
        <v>0.45</v>
      </c>
      <c r="R1694" s="26">
        <v>0</v>
      </c>
      <c r="S1694" s="26"/>
      <c r="T1694" s="26">
        <v>0</v>
      </c>
      <c r="U1694" s="26">
        <v>0</v>
      </c>
      <c r="V1694" s="26">
        <v>0</v>
      </c>
      <c r="W1694" s="28">
        <v>0</v>
      </c>
      <c r="X1694" s="26">
        <v>0</v>
      </c>
      <c r="Y1694" s="26">
        <v>0</v>
      </c>
      <c r="Z1694" s="26">
        <v>0</v>
      </c>
      <c r="AA1694" s="26">
        <v>0</v>
      </c>
    </row>
    <row r="1695" spans="1:27" x14ac:dyDescent="0.2">
      <c r="A1695">
        <f t="shared" si="54"/>
        <v>4</v>
      </c>
      <c r="B1695">
        <f t="shared" si="55"/>
        <v>17</v>
      </c>
      <c r="C1695" s="27">
        <v>46134</v>
      </c>
      <c r="D1695" s="27">
        <v>46134</v>
      </c>
      <c r="E1695" s="26" t="s">
        <v>26</v>
      </c>
      <c r="F1695" s="26" t="s">
        <v>27</v>
      </c>
      <c r="G1695" s="26" t="s">
        <v>28</v>
      </c>
      <c r="H1695" s="26" t="s">
        <v>29</v>
      </c>
      <c r="I1695" s="26" t="s">
        <v>30</v>
      </c>
      <c r="J1695" s="26" t="s">
        <v>253</v>
      </c>
      <c r="K1695" s="26" t="s">
        <v>32</v>
      </c>
      <c r="L1695" s="26" t="s">
        <v>1163</v>
      </c>
      <c r="M1695" s="26">
        <v>2</v>
      </c>
      <c r="N1695" s="26">
        <v>1</v>
      </c>
      <c r="O1695" s="28">
        <v>0.5</v>
      </c>
      <c r="P1695" s="26">
        <v>0.21</v>
      </c>
      <c r="Q1695" s="26">
        <v>0.21</v>
      </c>
      <c r="R1695" s="26">
        <v>0</v>
      </c>
      <c r="S1695" s="26"/>
      <c r="T1695" s="26">
        <v>0</v>
      </c>
      <c r="U1695" s="26">
        <v>0</v>
      </c>
      <c r="V1695" s="26">
        <v>0</v>
      </c>
      <c r="W1695" s="28">
        <v>0</v>
      </c>
      <c r="X1695" s="26">
        <v>0</v>
      </c>
      <c r="Y1695" s="26">
        <v>0</v>
      </c>
      <c r="Z1695" s="26">
        <v>0</v>
      </c>
      <c r="AA1695" s="26">
        <v>0</v>
      </c>
    </row>
    <row r="1696" spans="1:27" x14ac:dyDescent="0.2">
      <c r="A1696">
        <f t="shared" si="54"/>
        <v>4</v>
      </c>
      <c r="B1696">
        <f t="shared" si="55"/>
        <v>14</v>
      </c>
      <c r="C1696" s="27">
        <v>46114</v>
      </c>
      <c r="D1696" s="27">
        <v>46114</v>
      </c>
      <c r="E1696" s="26" t="s">
        <v>26</v>
      </c>
      <c r="F1696" s="26" t="s">
        <v>27</v>
      </c>
      <c r="G1696" s="26" t="s">
        <v>124</v>
      </c>
      <c r="H1696" s="26" t="s">
        <v>29</v>
      </c>
      <c r="I1696" s="26" t="s">
        <v>30</v>
      </c>
      <c r="J1696" s="26" t="s">
        <v>280</v>
      </c>
      <c r="K1696" s="26" t="s">
        <v>87</v>
      </c>
      <c r="L1696" s="26" t="s">
        <v>1164</v>
      </c>
      <c r="M1696" s="26">
        <v>7</v>
      </c>
      <c r="N1696" s="26">
        <v>1</v>
      </c>
      <c r="O1696" s="28">
        <v>0.14285700000000001</v>
      </c>
      <c r="P1696" s="26">
        <v>0.21</v>
      </c>
      <c r="Q1696" s="26">
        <v>0.21</v>
      </c>
      <c r="R1696" s="26">
        <v>0</v>
      </c>
      <c r="S1696" s="26"/>
      <c r="T1696" s="26">
        <v>0</v>
      </c>
      <c r="U1696" s="26">
        <v>0</v>
      </c>
      <c r="V1696" s="26">
        <v>0</v>
      </c>
      <c r="W1696" s="28">
        <v>0</v>
      </c>
      <c r="X1696" s="26">
        <v>0</v>
      </c>
      <c r="Y1696" s="26">
        <v>0</v>
      </c>
      <c r="Z1696" s="26">
        <v>0</v>
      </c>
      <c r="AA1696" s="26">
        <v>0</v>
      </c>
    </row>
    <row r="1697" spans="1:27" x14ac:dyDescent="0.2">
      <c r="A1697">
        <f t="shared" si="54"/>
        <v>4</v>
      </c>
      <c r="B1697">
        <f t="shared" si="55"/>
        <v>18</v>
      </c>
      <c r="C1697" s="27">
        <v>46140</v>
      </c>
      <c r="D1697" s="27">
        <v>46140</v>
      </c>
      <c r="E1697" s="26" t="s">
        <v>26</v>
      </c>
      <c r="F1697" s="26" t="s">
        <v>61</v>
      </c>
      <c r="G1697" s="26" t="s">
        <v>62</v>
      </c>
      <c r="H1697" s="26" t="s">
        <v>29</v>
      </c>
      <c r="I1697" s="26" t="s">
        <v>30</v>
      </c>
      <c r="J1697" s="26" t="s">
        <v>95</v>
      </c>
      <c r="K1697" s="26" t="s">
        <v>42</v>
      </c>
      <c r="L1697" s="26" t="s">
        <v>888</v>
      </c>
      <c r="M1697" s="26">
        <v>2</v>
      </c>
      <c r="N1697" s="26">
        <v>1</v>
      </c>
      <c r="O1697" s="28">
        <v>0.5</v>
      </c>
      <c r="P1697" s="26">
        <v>1.53</v>
      </c>
      <c r="Q1697" s="26">
        <v>1.53</v>
      </c>
      <c r="R1697" s="26">
        <v>0</v>
      </c>
      <c r="S1697" s="26"/>
      <c r="T1697" s="26">
        <v>0</v>
      </c>
      <c r="U1697" s="26">
        <v>0</v>
      </c>
      <c r="V1697" s="26">
        <v>0</v>
      </c>
      <c r="W1697" s="28">
        <v>0</v>
      </c>
      <c r="X1697" s="26">
        <v>0</v>
      </c>
      <c r="Y1697" s="26">
        <v>0</v>
      </c>
      <c r="Z1697" s="26">
        <v>0</v>
      </c>
      <c r="AA1697" s="26">
        <v>0</v>
      </c>
    </row>
    <row r="1698" spans="1:27" x14ac:dyDescent="0.2">
      <c r="A1698">
        <f t="shared" si="54"/>
        <v>4</v>
      </c>
      <c r="B1698">
        <f t="shared" si="55"/>
        <v>14</v>
      </c>
      <c r="C1698" s="27">
        <v>46113</v>
      </c>
      <c r="D1698" s="27">
        <v>46113</v>
      </c>
      <c r="E1698" s="26" t="s">
        <v>26</v>
      </c>
      <c r="F1698" s="26" t="s">
        <v>27</v>
      </c>
      <c r="G1698" s="26" t="s">
        <v>28</v>
      </c>
      <c r="H1698" s="26" t="s">
        <v>29</v>
      </c>
      <c r="I1698" s="26" t="s">
        <v>30</v>
      </c>
      <c r="J1698" s="26" t="s">
        <v>50</v>
      </c>
      <c r="K1698" s="26" t="s">
        <v>32</v>
      </c>
      <c r="L1698" s="26" t="s">
        <v>1165</v>
      </c>
      <c r="M1698" s="26">
        <v>2</v>
      </c>
      <c r="N1698" s="26">
        <v>1</v>
      </c>
      <c r="O1698" s="28">
        <v>0.5</v>
      </c>
      <c r="P1698" s="26">
        <v>0.4</v>
      </c>
      <c r="Q1698" s="26">
        <v>0.4</v>
      </c>
      <c r="R1698" s="26">
        <v>0</v>
      </c>
      <c r="S1698" s="26"/>
      <c r="T1698" s="26">
        <v>0</v>
      </c>
      <c r="U1698" s="26">
        <v>0</v>
      </c>
      <c r="V1698" s="26">
        <v>0</v>
      </c>
      <c r="W1698" s="28">
        <v>0</v>
      </c>
      <c r="X1698" s="26">
        <v>0</v>
      </c>
      <c r="Y1698" s="26">
        <v>0</v>
      </c>
      <c r="Z1698" s="26">
        <v>0</v>
      </c>
      <c r="AA1698" s="26">
        <v>0</v>
      </c>
    </row>
    <row r="1699" spans="1:27" x14ac:dyDescent="0.2">
      <c r="A1699">
        <f t="shared" si="54"/>
        <v>4</v>
      </c>
      <c r="B1699">
        <f t="shared" si="55"/>
        <v>16</v>
      </c>
      <c r="C1699" s="27">
        <v>46129</v>
      </c>
      <c r="D1699" s="27">
        <v>46129</v>
      </c>
      <c r="E1699" s="26" t="s">
        <v>26</v>
      </c>
      <c r="F1699" s="26" t="s">
        <v>27</v>
      </c>
      <c r="G1699" s="26" t="s">
        <v>28</v>
      </c>
      <c r="H1699" s="26" t="s">
        <v>29</v>
      </c>
      <c r="I1699" s="26" t="s">
        <v>30</v>
      </c>
      <c r="J1699" s="26" t="s">
        <v>243</v>
      </c>
      <c r="K1699" s="26" t="s">
        <v>32</v>
      </c>
      <c r="L1699" s="26" t="s">
        <v>1166</v>
      </c>
      <c r="M1699" s="26">
        <v>2</v>
      </c>
      <c r="N1699" s="26">
        <v>1</v>
      </c>
      <c r="O1699" s="28">
        <v>0.5</v>
      </c>
      <c r="P1699" s="26">
        <v>0.23</v>
      </c>
      <c r="Q1699" s="26">
        <v>0.23</v>
      </c>
      <c r="R1699" s="26">
        <v>0</v>
      </c>
      <c r="S1699" s="26"/>
      <c r="T1699" s="26">
        <v>0</v>
      </c>
      <c r="U1699" s="26">
        <v>0</v>
      </c>
      <c r="V1699" s="26">
        <v>0</v>
      </c>
      <c r="W1699" s="28">
        <v>0</v>
      </c>
      <c r="X1699" s="26">
        <v>0</v>
      </c>
      <c r="Y1699" s="26">
        <v>0</v>
      </c>
      <c r="Z1699" s="26">
        <v>0</v>
      </c>
      <c r="AA1699" s="26">
        <v>0</v>
      </c>
    </row>
    <row r="1700" spans="1:27" x14ac:dyDescent="0.2">
      <c r="A1700">
        <f t="shared" si="54"/>
        <v>4</v>
      </c>
      <c r="B1700">
        <f t="shared" si="55"/>
        <v>18</v>
      </c>
      <c r="C1700" s="27">
        <v>46139</v>
      </c>
      <c r="D1700" s="27">
        <v>46139</v>
      </c>
      <c r="E1700" s="26" t="s">
        <v>26</v>
      </c>
      <c r="F1700" s="26" t="s">
        <v>27</v>
      </c>
      <c r="G1700" s="26" t="s">
        <v>28</v>
      </c>
      <c r="H1700" s="26" t="s">
        <v>29</v>
      </c>
      <c r="I1700" s="26" t="s">
        <v>30</v>
      </c>
      <c r="J1700" s="26" t="s">
        <v>101</v>
      </c>
      <c r="K1700" s="26" t="s">
        <v>32</v>
      </c>
      <c r="L1700" s="26" t="s">
        <v>1167</v>
      </c>
      <c r="M1700" s="26">
        <v>5</v>
      </c>
      <c r="N1700" s="26">
        <v>1</v>
      </c>
      <c r="O1700" s="28">
        <v>0.2</v>
      </c>
      <c r="P1700" s="26">
        <v>0.12</v>
      </c>
      <c r="Q1700" s="26">
        <v>0.12</v>
      </c>
      <c r="R1700" s="26">
        <v>0</v>
      </c>
      <c r="S1700" s="26"/>
      <c r="T1700" s="26">
        <v>0</v>
      </c>
      <c r="U1700" s="26">
        <v>0</v>
      </c>
      <c r="V1700" s="26">
        <v>0</v>
      </c>
      <c r="W1700" s="28">
        <v>0</v>
      </c>
      <c r="X1700" s="26">
        <v>0</v>
      </c>
      <c r="Y1700" s="26">
        <v>0</v>
      </c>
      <c r="Z1700" s="26">
        <v>0</v>
      </c>
      <c r="AA1700" s="26">
        <v>0</v>
      </c>
    </row>
    <row r="1701" spans="1:27" x14ac:dyDescent="0.2">
      <c r="A1701">
        <f t="shared" si="54"/>
        <v>4</v>
      </c>
      <c r="B1701">
        <f t="shared" si="55"/>
        <v>14</v>
      </c>
      <c r="C1701" s="27">
        <v>46116</v>
      </c>
      <c r="D1701" s="27">
        <v>46116</v>
      </c>
      <c r="E1701" s="26" t="s">
        <v>26</v>
      </c>
      <c r="F1701" s="26" t="s">
        <v>61</v>
      </c>
      <c r="G1701" s="26" t="s">
        <v>62</v>
      </c>
      <c r="H1701" s="26" t="s">
        <v>29</v>
      </c>
      <c r="I1701" s="26" t="s">
        <v>30</v>
      </c>
      <c r="J1701" s="26" t="s">
        <v>95</v>
      </c>
      <c r="K1701" s="26" t="s">
        <v>42</v>
      </c>
      <c r="L1701" s="26" t="s">
        <v>1168</v>
      </c>
      <c r="M1701" s="26">
        <v>14</v>
      </c>
      <c r="N1701" s="26">
        <v>1</v>
      </c>
      <c r="O1701" s="28">
        <v>7.1429000000000006E-2</v>
      </c>
      <c r="P1701" s="26">
        <v>1.63</v>
      </c>
      <c r="Q1701" s="26">
        <v>1.63</v>
      </c>
      <c r="R1701" s="26">
        <v>0</v>
      </c>
      <c r="S1701" s="26"/>
      <c r="T1701" s="26">
        <v>0</v>
      </c>
      <c r="U1701" s="26">
        <v>0</v>
      </c>
      <c r="V1701" s="26">
        <v>0</v>
      </c>
      <c r="W1701" s="28">
        <v>0</v>
      </c>
      <c r="X1701" s="26">
        <v>0</v>
      </c>
      <c r="Y1701" s="26">
        <v>0</v>
      </c>
      <c r="Z1701" s="26">
        <v>0</v>
      </c>
      <c r="AA1701" s="26">
        <v>0</v>
      </c>
    </row>
    <row r="1702" spans="1:27" x14ac:dyDescent="0.2">
      <c r="A1702">
        <f t="shared" si="54"/>
        <v>4</v>
      </c>
      <c r="B1702">
        <f t="shared" si="55"/>
        <v>16</v>
      </c>
      <c r="C1702" s="27">
        <v>46126</v>
      </c>
      <c r="D1702" s="27">
        <v>46126</v>
      </c>
      <c r="E1702" s="26" t="s">
        <v>26</v>
      </c>
      <c r="F1702" s="26" t="s">
        <v>27</v>
      </c>
      <c r="G1702" s="26" t="s">
        <v>28</v>
      </c>
      <c r="H1702" s="26" t="s">
        <v>29</v>
      </c>
      <c r="I1702" s="26" t="s">
        <v>30</v>
      </c>
      <c r="J1702" s="26" t="s">
        <v>50</v>
      </c>
      <c r="K1702" s="26" t="s">
        <v>32</v>
      </c>
      <c r="L1702" s="26" t="s">
        <v>1169</v>
      </c>
      <c r="M1702" s="26">
        <v>2</v>
      </c>
      <c r="N1702" s="26">
        <v>1</v>
      </c>
      <c r="O1702" s="28">
        <v>0.5</v>
      </c>
      <c r="P1702" s="26">
        <v>0.23</v>
      </c>
      <c r="Q1702" s="26">
        <v>0.23</v>
      </c>
      <c r="R1702" s="26">
        <v>0</v>
      </c>
      <c r="S1702" s="26"/>
      <c r="T1702" s="26">
        <v>0</v>
      </c>
      <c r="U1702" s="26">
        <v>0</v>
      </c>
      <c r="V1702" s="26">
        <v>0</v>
      </c>
      <c r="W1702" s="28">
        <v>0</v>
      </c>
      <c r="X1702" s="26">
        <v>0</v>
      </c>
      <c r="Y1702" s="26">
        <v>0</v>
      </c>
      <c r="Z1702" s="26">
        <v>0</v>
      </c>
      <c r="AA1702" s="26">
        <v>0</v>
      </c>
    </row>
    <row r="1703" spans="1:27" x14ac:dyDescent="0.2">
      <c r="A1703">
        <f t="shared" si="54"/>
        <v>4</v>
      </c>
      <c r="B1703">
        <f t="shared" si="55"/>
        <v>17</v>
      </c>
      <c r="C1703" s="27">
        <v>46131</v>
      </c>
      <c r="D1703" s="27">
        <v>46131</v>
      </c>
      <c r="E1703" s="26" t="s">
        <v>26</v>
      </c>
      <c r="F1703" s="26" t="s">
        <v>49</v>
      </c>
      <c r="G1703" s="26" t="s">
        <v>50</v>
      </c>
      <c r="H1703" s="26" t="s">
        <v>29</v>
      </c>
      <c r="I1703" s="26" t="s">
        <v>30</v>
      </c>
      <c r="J1703" s="26" t="s">
        <v>95</v>
      </c>
      <c r="K1703" s="26" t="s">
        <v>42</v>
      </c>
      <c r="L1703" s="26" t="s">
        <v>1170</v>
      </c>
      <c r="M1703" s="26">
        <v>1</v>
      </c>
      <c r="N1703" s="26">
        <v>1</v>
      </c>
      <c r="O1703" s="28">
        <v>1</v>
      </c>
      <c r="P1703" s="26">
        <v>0.54</v>
      </c>
      <c r="Q1703" s="26">
        <v>0.54</v>
      </c>
      <c r="R1703" s="26">
        <v>0</v>
      </c>
      <c r="S1703" s="26"/>
      <c r="T1703" s="26">
        <v>0</v>
      </c>
      <c r="U1703" s="26">
        <v>0</v>
      </c>
      <c r="V1703" s="26">
        <v>0</v>
      </c>
      <c r="W1703" s="28">
        <v>0</v>
      </c>
      <c r="X1703" s="26">
        <v>0</v>
      </c>
      <c r="Y1703" s="26">
        <v>0</v>
      </c>
      <c r="Z1703" s="26">
        <v>0</v>
      </c>
      <c r="AA1703" s="26">
        <v>0</v>
      </c>
    </row>
    <row r="1704" spans="1:27" x14ac:dyDescent="0.2">
      <c r="A1704">
        <f t="shared" si="54"/>
        <v>4</v>
      </c>
      <c r="B1704">
        <f t="shared" si="55"/>
        <v>18</v>
      </c>
      <c r="C1704" s="27">
        <v>46139</v>
      </c>
      <c r="D1704" s="27">
        <v>46139</v>
      </c>
      <c r="E1704" s="26" t="s">
        <v>26</v>
      </c>
      <c r="F1704" s="26" t="s">
        <v>27</v>
      </c>
      <c r="G1704" s="26" t="s">
        <v>28</v>
      </c>
      <c r="H1704" s="26" t="s">
        <v>29</v>
      </c>
      <c r="I1704" s="26" t="s">
        <v>30</v>
      </c>
      <c r="J1704" s="26" t="s">
        <v>37</v>
      </c>
      <c r="K1704" s="26" t="s">
        <v>32</v>
      </c>
      <c r="L1704" s="26" t="s">
        <v>1171</v>
      </c>
      <c r="M1704" s="26">
        <v>1</v>
      </c>
      <c r="N1704" s="26">
        <v>1</v>
      </c>
      <c r="O1704" s="28">
        <v>1</v>
      </c>
      <c r="P1704" s="26">
        <v>0.08</v>
      </c>
      <c r="Q1704" s="26">
        <v>0.08</v>
      </c>
      <c r="R1704" s="26">
        <v>0</v>
      </c>
      <c r="S1704" s="26"/>
      <c r="T1704" s="26">
        <v>0</v>
      </c>
      <c r="U1704" s="26">
        <v>0</v>
      </c>
      <c r="V1704" s="26">
        <v>0</v>
      </c>
      <c r="W1704" s="28">
        <v>0</v>
      </c>
      <c r="X1704" s="26">
        <v>0</v>
      </c>
      <c r="Y1704" s="26">
        <v>0</v>
      </c>
      <c r="Z1704" s="26">
        <v>0</v>
      </c>
      <c r="AA1704" s="26">
        <v>0</v>
      </c>
    </row>
    <row r="1705" spans="1:27" x14ac:dyDescent="0.2">
      <c r="A1705">
        <f t="shared" si="54"/>
        <v>4</v>
      </c>
      <c r="B1705">
        <f t="shared" si="55"/>
        <v>15</v>
      </c>
      <c r="C1705" s="27">
        <v>46118</v>
      </c>
      <c r="D1705" s="27">
        <v>46118</v>
      </c>
      <c r="E1705" s="26" t="s">
        <v>26</v>
      </c>
      <c r="F1705" s="26" t="s">
        <v>27</v>
      </c>
      <c r="G1705" s="26" t="s">
        <v>28</v>
      </c>
      <c r="H1705" s="26" t="s">
        <v>29</v>
      </c>
      <c r="I1705" s="26" t="s">
        <v>30</v>
      </c>
      <c r="J1705" s="26" t="s">
        <v>44</v>
      </c>
      <c r="K1705" s="26" t="s">
        <v>32</v>
      </c>
      <c r="L1705" s="26" t="s">
        <v>1172</v>
      </c>
      <c r="M1705" s="26">
        <v>3</v>
      </c>
      <c r="N1705" s="26">
        <v>1</v>
      </c>
      <c r="O1705" s="28">
        <v>0.33333299999999999</v>
      </c>
      <c r="P1705" s="26">
        <v>0.08</v>
      </c>
      <c r="Q1705" s="26">
        <v>0.08</v>
      </c>
      <c r="R1705" s="26">
        <v>0</v>
      </c>
      <c r="S1705" s="26"/>
      <c r="T1705" s="26">
        <v>0</v>
      </c>
      <c r="U1705" s="26">
        <v>0</v>
      </c>
      <c r="V1705" s="26">
        <v>0</v>
      </c>
      <c r="W1705" s="28">
        <v>0</v>
      </c>
      <c r="X1705" s="26">
        <v>0</v>
      </c>
      <c r="Y1705" s="26">
        <v>0</v>
      </c>
      <c r="Z1705" s="26">
        <v>0</v>
      </c>
      <c r="AA1705" s="26">
        <v>0</v>
      </c>
    </row>
    <row r="1706" spans="1:27" x14ac:dyDescent="0.2">
      <c r="A1706">
        <f t="shared" si="54"/>
        <v>4</v>
      </c>
      <c r="B1706">
        <f t="shared" si="55"/>
        <v>16</v>
      </c>
      <c r="C1706" s="27">
        <v>46126</v>
      </c>
      <c r="D1706" s="27">
        <v>46126</v>
      </c>
      <c r="E1706" s="26" t="s">
        <v>26</v>
      </c>
      <c r="F1706" s="26" t="s">
        <v>27</v>
      </c>
      <c r="G1706" s="26" t="s">
        <v>124</v>
      </c>
      <c r="H1706" s="26" t="s">
        <v>29</v>
      </c>
      <c r="I1706" s="26" t="s">
        <v>30</v>
      </c>
      <c r="J1706" s="26" t="s">
        <v>31</v>
      </c>
      <c r="K1706" s="26" t="s">
        <v>87</v>
      </c>
      <c r="L1706" s="26" t="s">
        <v>1173</v>
      </c>
      <c r="M1706" s="26">
        <v>1</v>
      </c>
      <c r="N1706" s="26">
        <v>1</v>
      </c>
      <c r="O1706" s="28">
        <v>1</v>
      </c>
      <c r="P1706" s="26">
        <v>0.4</v>
      </c>
      <c r="Q1706" s="26">
        <v>0.4</v>
      </c>
      <c r="R1706" s="26">
        <v>0</v>
      </c>
      <c r="S1706" s="26"/>
      <c r="T1706" s="26">
        <v>0</v>
      </c>
      <c r="U1706" s="26">
        <v>0</v>
      </c>
      <c r="V1706" s="26">
        <v>0</v>
      </c>
      <c r="W1706" s="28">
        <v>0</v>
      </c>
      <c r="X1706" s="26">
        <v>0</v>
      </c>
      <c r="Y1706" s="26">
        <v>0</v>
      </c>
      <c r="Z1706" s="26">
        <v>0</v>
      </c>
      <c r="AA1706" s="26">
        <v>0</v>
      </c>
    </row>
    <row r="1707" spans="1:27" x14ac:dyDescent="0.2">
      <c r="A1707">
        <f t="shared" si="54"/>
        <v>4</v>
      </c>
      <c r="B1707">
        <f t="shared" si="55"/>
        <v>17</v>
      </c>
      <c r="C1707" s="27">
        <v>46133</v>
      </c>
      <c r="D1707" s="27">
        <v>46133</v>
      </c>
      <c r="E1707" s="26" t="s">
        <v>26</v>
      </c>
      <c r="F1707" s="26" t="s">
        <v>49</v>
      </c>
      <c r="G1707" s="26" t="s">
        <v>50</v>
      </c>
      <c r="H1707" s="26" t="s">
        <v>29</v>
      </c>
      <c r="I1707" s="26" t="s">
        <v>30</v>
      </c>
      <c r="J1707" s="26" t="s">
        <v>95</v>
      </c>
      <c r="K1707" s="26" t="s">
        <v>42</v>
      </c>
      <c r="L1707" s="26" t="s">
        <v>1174</v>
      </c>
      <c r="M1707" s="26">
        <v>1</v>
      </c>
      <c r="N1707" s="26">
        <v>1</v>
      </c>
      <c r="O1707" s="28">
        <v>1</v>
      </c>
      <c r="P1707" s="26">
        <v>0.63</v>
      </c>
      <c r="Q1707" s="26">
        <v>0.63</v>
      </c>
      <c r="R1707" s="26">
        <v>0</v>
      </c>
      <c r="S1707" s="26"/>
      <c r="T1707" s="26">
        <v>0</v>
      </c>
      <c r="U1707" s="26">
        <v>0</v>
      </c>
      <c r="V1707" s="26">
        <v>0</v>
      </c>
      <c r="W1707" s="28">
        <v>0</v>
      </c>
      <c r="X1707" s="26">
        <v>0</v>
      </c>
      <c r="Y1707" s="26">
        <v>0</v>
      </c>
      <c r="Z1707" s="26">
        <v>0</v>
      </c>
      <c r="AA1707" s="26">
        <v>0</v>
      </c>
    </row>
    <row r="1708" spans="1:27" x14ac:dyDescent="0.2">
      <c r="A1708">
        <f t="shared" si="54"/>
        <v>4</v>
      </c>
      <c r="B1708">
        <f t="shared" si="55"/>
        <v>14</v>
      </c>
      <c r="C1708" s="27">
        <v>46113</v>
      </c>
      <c r="D1708" s="27">
        <v>46113</v>
      </c>
      <c r="E1708" s="26" t="s">
        <v>26</v>
      </c>
      <c r="F1708" s="26" t="s">
        <v>27</v>
      </c>
      <c r="G1708" s="26" t="s">
        <v>28</v>
      </c>
      <c r="H1708" s="26" t="s">
        <v>29</v>
      </c>
      <c r="I1708" s="26" t="s">
        <v>30</v>
      </c>
      <c r="J1708" s="26" t="s">
        <v>44</v>
      </c>
      <c r="K1708" s="26" t="s">
        <v>32</v>
      </c>
      <c r="L1708" s="26" t="s">
        <v>445</v>
      </c>
      <c r="M1708" s="26">
        <v>6</v>
      </c>
      <c r="N1708" s="26">
        <v>1</v>
      </c>
      <c r="O1708" s="28">
        <v>0.16666700000000001</v>
      </c>
      <c r="P1708" s="26">
        <v>0.21</v>
      </c>
      <c r="Q1708" s="26">
        <v>0.21</v>
      </c>
      <c r="R1708" s="26">
        <v>0</v>
      </c>
      <c r="S1708" s="26"/>
      <c r="T1708" s="26">
        <v>0</v>
      </c>
      <c r="U1708" s="26">
        <v>0</v>
      </c>
      <c r="V1708" s="26">
        <v>0</v>
      </c>
      <c r="W1708" s="28">
        <v>0</v>
      </c>
      <c r="X1708" s="26">
        <v>0</v>
      </c>
      <c r="Y1708" s="26">
        <v>0</v>
      </c>
      <c r="Z1708" s="26">
        <v>0</v>
      </c>
      <c r="AA1708" s="26">
        <v>0</v>
      </c>
    </row>
    <row r="1709" spans="1:27" x14ac:dyDescent="0.2">
      <c r="A1709">
        <f t="shared" si="54"/>
        <v>4</v>
      </c>
      <c r="B1709">
        <f t="shared" si="55"/>
        <v>15</v>
      </c>
      <c r="C1709" s="27">
        <v>46122</v>
      </c>
      <c r="D1709" s="27">
        <v>46122</v>
      </c>
      <c r="E1709" s="26" t="s">
        <v>26</v>
      </c>
      <c r="F1709" s="26" t="s">
        <v>61</v>
      </c>
      <c r="G1709" s="26" t="s">
        <v>62</v>
      </c>
      <c r="H1709" s="26" t="s">
        <v>29</v>
      </c>
      <c r="I1709" s="26" t="s">
        <v>30</v>
      </c>
      <c r="J1709" s="26" t="s">
        <v>47</v>
      </c>
      <c r="K1709" s="26" t="s">
        <v>42</v>
      </c>
      <c r="L1709" s="26" t="s">
        <v>1175</v>
      </c>
      <c r="M1709" s="26">
        <v>1</v>
      </c>
      <c r="N1709" s="26">
        <v>1</v>
      </c>
      <c r="O1709" s="28">
        <v>1</v>
      </c>
      <c r="P1709" s="26">
        <v>1.74</v>
      </c>
      <c r="Q1709" s="26">
        <v>1.74</v>
      </c>
      <c r="R1709" s="26">
        <v>0</v>
      </c>
      <c r="S1709" s="26"/>
      <c r="T1709" s="26">
        <v>0</v>
      </c>
      <c r="U1709" s="26">
        <v>0</v>
      </c>
      <c r="V1709" s="26">
        <v>0</v>
      </c>
      <c r="W1709" s="28">
        <v>0</v>
      </c>
      <c r="X1709" s="26">
        <v>0</v>
      </c>
      <c r="Y1709" s="26">
        <v>0</v>
      </c>
      <c r="Z1709" s="26">
        <v>0</v>
      </c>
      <c r="AA1709" s="26">
        <v>0</v>
      </c>
    </row>
    <row r="1710" spans="1:27" x14ac:dyDescent="0.2">
      <c r="A1710">
        <f t="shared" si="54"/>
        <v>4</v>
      </c>
      <c r="B1710">
        <f t="shared" si="55"/>
        <v>14</v>
      </c>
      <c r="C1710" s="27">
        <v>46113</v>
      </c>
      <c r="D1710" s="27">
        <v>46113</v>
      </c>
      <c r="E1710" s="26" t="s">
        <v>26</v>
      </c>
      <c r="F1710" s="26" t="s">
        <v>27</v>
      </c>
      <c r="G1710" s="26" t="s">
        <v>28</v>
      </c>
      <c r="H1710" s="26" t="s">
        <v>29</v>
      </c>
      <c r="I1710" s="26" t="s">
        <v>30</v>
      </c>
      <c r="J1710" s="26" t="s">
        <v>31</v>
      </c>
      <c r="K1710" s="26" t="s">
        <v>32</v>
      </c>
      <c r="L1710" s="26" t="s">
        <v>1176</v>
      </c>
      <c r="M1710" s="26">
        <v>4</v>
      </c>
      <c r="N1710" s="26">
        <v>1</v>
      </c>
      <c r="O1710" s="28">
        <v>0.25</v>
      </c>
      <c r="P1710" s="26">
        <v>0.21</v>
      </c>
      <c r="Q1710" s="26">
        <v>0.21</v>
      </c>
      <c r="R1710" s="26">
        <v>0</v>
      </c>
      <c r="S1710" s="26"/>
      <c r="T1710" s="26">
        <v>0</v>
      </c>
      <c r="U1710" s="26">
        <v>0</v>
      </c>
      <c r="V1710" s="26">
        <v>0</v>
      </c>
      <c r="W1710" s="28">
        <v>0</v>
      </c>
      <c r="X1710" s="26">
        <v>0</v>
      </c>
      <c r="Y1710" s="26">
        <v>0</v>
      </c>
      <c r="Z1710" s="26">
        <v>0</v>
      </c>
      <c r="AA1710" s="26">
        <v>0</v>
      </c>
    </row>
    <row r="1711" spans="1:27" x14ac:dyDescent="0.2">
      <c r="A1711">
        <f t="shared" si="54"/>
        <v>4</v>
      </c>
      <c r="B1711">
        <f t="shared" si="55"/>
        <v>17</v>
      </c>
      <c r="C1711" s="27">
        <v>46133</v>
      </c>
      <c r="D1711" s="27">
        <v>46133</v>
      </c>
      <c r="E1711" s="26" t="s">
        <v>26</v>
      </c>
      <c r="F1711" s="26" t="s">
        <v>39</v>
      </c>
      <c r="G1711" s="26" t="s">
        <v>40</v>
      </c>
      <c r="H1711" s="26" t="s">
        <v>29</v>
      </c>
      <c r="I1711" s="26" t="s">
        <v>30</v>
      </c>
      <c r="J1711" s="26" t="s">
        <v>70</v>
      </c>
      <c r="K1711" s="26" t="s">
        <v>42</v>
      </c>
      <c r="L1711" s="26" t="s">
        <v>892</v>
      </c>
      <c r="M1711" s="26">
        <v>2</v>
      </c>
      <c r="N1711" s="26">
        <v>1</v>
      </c>
      <c r="O1711" s="28">
        <v>0.5</v>
      </c>
      <c r="P1711" s="26">
        <v>0.42</v>
      </c>
      <c r="Q1711" s="26">
        <v>0.42</v>
      </c>
      <c r="R1711" s="26">
        <v>0</v>
      </c>
      <c r="S1711" s="26"/>
      <c r="T1711" s="26">
        <v>0</v>
      </c>
      <c r="U1711" s="26">
        <v>0</v>
      </c>
      <c r="V1711" s="26">
        <v>0</v>
      </c>
      <c r="W1711" s="28">
        <v>0</v>
      </c>
      <c r="X1711" s="26">
        <v>0</v>
      </c>
      <c r="Y1711" s="26">
        <v>0</v>
      </c>
      <c r="Z1711" s="26">
        <v>0</v>
      </c>
      <c r="AA1711" s="26">
        <v>0</v>
      </c>
    </row>
    <row r="1712" spans="1:27" x14ac:dyDescent="0.2">
      <c r="A1712">
        <f t="shared" si="54"/>
        <v>4</v>
      </c>
      <c r="B1712">
        <f t="shared" si="55"/>
        <v>18</v>
      </c>
      <c r="C1712" s="27">
        <v>46142</v>
      </c>
      <c r="D1712" s="27">
        <v>46142</v>
      </c>
      <c r="E1712" s="26" t="s">
        <v>26</v>
      </c>
      <c r="F1712" s="26" t="s">
        <v>27</v>
      </c>
      <c r="G1712" s="26" t="s">
        <v>124</v>
      </c>
      <c r="H1712" s="26" t="s">
        <v>29</v>
      </c>
      <c r="I1712" s="26" t="s">
        <v>30</v>
      </c>
      <c r="J1712" s="26" t="s">
        <v>101</v>
      </c>
      <c r="K1712" s="26" t="s">
        <v>87</v>
      </c>
      <c r="L1712" s="26" t="s">
        <v>1177</v>
      </c>
      <c r="M1712" s="26">
        <v>3</v>
      </c>
      <c r="N1712" s="26">
        <v>1</v>
      </c>
      <c r="O1712" s="28">
        <v>0.33333299999999999</v>
      </c>
      <c r="P1712" s="26">
        <v>0.23</v>
      </c>
      <c r="Q1712" s="26">
        <v>0.23</v>
      </c>
      <c r="R1712" s="26">
        <v>0</v>
      </c>
      <c r="S1712" s="26"/>
      <c r="T1712" s="26">
        <v>0</v>
      </c>
      <c r="U1712" s="26">
        <v>0</v>
      </c>
      <c r="V1712" s="26">
        <v>0</v>
      </c>
      <c r="W1712" s="28">
        <v>0</v>
      </c>
      <c r="X1712" s="26">
        <v>0</v>
      </c>
      <c r="Y1712" s="26">
        <v>0</v>
      </c>
      <c r="Z1712" s="26">
        <v>0</v>
      </c>
      <c r="AA1712" s="26">
        <v>0</v>
      </c>
    </row>
    <row r="1713" spans="1:27" x14ac:dyDescent="0.2">
      <c r="A1713">
        <f t="shared" si="54"/>
        <v>4</v>
      </c>
      <c r="B1713">
        <f t="shared" si="55"/>
        <v>16</v>
      </c>
      <c r="C1713" s="27">
        <v>46125</v>
      </c>
      <c r="D1713" s="27">
        <v>46125</v>
      </c>
      <c r="E1713" s="26" t="s">
        <v>26</v>
      </c>
      <c r="F1713" s="26" t="s">
        <v>27</v>
      </c>
      <c r="G1713" s="26" t="s">
        <v>28</v>
      </c>
      <c r="H1713" s="26" t="s">
        <v>29</v>
      </c>
      <c r="I1713" s="26" t="s">
        <v>30</v>
      </c>
      <c r="J1713" s="26" t="s">
        <v>119</v>
      </c>
      <c r="K1713" s="26" t="s">
        <v>32</v>
      </c>
      <c r="L1713" s="26" t="s">
        <v>1178</v>
      </c>
      <c r="M1713" s="26">
        <v>1</v>
      </c>
      <c r="N1713" s="26">
        <v>1</v>
      </c>
      <c r="O1713" s="28">
        <v>1</v>
      </c>
      <c r="P1713" s="26">
        <v>0.15</v>
      </c>
      <c r="Q1713" s="26">
        <v>0.15</v>
      </c>
      <c r="R1713" s="26">
        <v>0</v>
      </c>
      <c r="S1713" s="26"/>
      <c r="T1713" s="26">
        <v>0</v>
      </c>
      <c r="U1713" s="26">
        <v>0</v>
      </c>
      <c r="V1713" s="26">
        <v>0</v>
      </c>
      <c r="W1713" s="28">
        <v>0</v>
      </c>
      <c r="X1713" s="26">
        <v>0</v>
      </c>
      <c r="Y1713" s="26">
        <v>0</v>
      </c>
      <c r="Z1713" s="26">
        <v>0</v>
      </c>
      <c r="AA1713" s="26">
        <v>0</v>
      </c>
    </row>
    <row r="1714" spans="1:27" x14ac:dyDescent="0.2">
      <c r="A1714">
        <f t="shared" si="54"/>
        <v>4</v>
      </c>
      <c r="B1714">
        <f t="shared" si="55"/>
        <v>14</v>
      </c>
      <c r="C1714" s="27">
        <v>46115</v>
      </c>
      <c r="D1714" s="27">
        <v>46115</v>
      </c>
      <c r="E1714" s="26" t="s">
        <v>26</v>
      </c>
      <c r="F1714" s="26" t="s">
        <v>27</v>
      </c>
      <c r="G1714" s="26" t="s">
        <v>28</v>
      </c>
      <c r="H1714" s="26" t="s">
        <v>29</v>
      </c>
      <c r="I1714" s="26" t="s">
        <v>30</v>
      </c>
      <c r="J1714" s="26" t="s">
        <v>31</v>
      </c>
      <c r="K1714" s="26" t="s">
        <v>32</v>
      </c>
      <c r="L1714" s="26" t="s">
        <v>1179</v>
      </c>
      <c r="M1714" s="26">
        <v>1</v>
      </c>
      <c r="N1714" s="26">
        <v>1</v>
      </c>
      <c r="O1714" s="28">
        <v>1</v>
      </c>
      <c r="P1714" s="26">
        <v>0.2</v>
      </c>
      <c r="Q1714" s="26">
        <v>0.2</v>
      </c>
      <c r="R1714" s="26">
        <v>0</v>
      </c>
      <c r="S1714" s="26"/>
      <c r="T1714" s="26">
        <v>0</v>
      </c>
      <c r="U1714" s="26">
        <v>0</v>
      </c>
      <c r="V1714" s="26">
        <v>0</v>
      </c>
      <c r="W1714" s="28">
        <v>0</v>
      </c>
      <c r="X1714" s="26">
        <v>0</v>
      </c>
      <c r="Y1714" s="26">
        <v>0</v>
      </c>
      <c r="Z1714" s="26">
        <v>0</v>
      </c>
      <c r="AA1714" s="26">
        <v>0</v>
      </c>
    </row>
    <row r="1715" spans="1:27" x14ac:dyDescent="0.2">
      <c r="A1715">
        <f t="shared" si="54"/>
        <v>4</v>
      </c>
      <c r="B1715">
        <f t="shared" si="55"/>
        <v>14</v>
      </c>
      <c r="C1715" s="27">
        <v>46113</v>
      </c>
      <c r="D1715" s="27">
        <v>46113</v>
      </c>
      <c r="E1715" s="26" t="s">
        <v>26</v>
      </c>
      <c r="F1715" s="26" t="s">
        <v>27</v>
      </c>
      <c r="G1715" s="26" t="s">
        <v>28</v>
      </c>
      <c r="H1715" s="26" t="s">
        <v>29</v>
      </c>
      <c r="I1715" s="26" t="s">
        <v>30</v>
      </c>
      <c r="J1715" s="26" t="s">
        <v>133</v>
      </c>
      <c r="K1715" s="26" t="s">
        <v>32</v>
      </c>
      <c r="L1715" s="26" t="s">
        <v>1180</v>
      </c>
      <c r="M1715" s="26">
        <v>1</v>
      </c>
      <c r="N1715" s="26">
        <v>1</v>
      </c>
      <c r="O1715" s="28">
        <v>1</v>
      </c>
      <c r="P1715" s="26">
        <v>0.21</v>
      </c>
      <c r="Q1715" s="26">
        <v>0.21</v>
      </c>
      <c r="R1715" s="26">
        <v>0</v>
      </c>
      <c r="S1715" s="26"/>
      <c r="T1715" s="26">
        <v>0</v>
      </c>
      <c r="U1715" s="26">
        <v>0</v>
      </c>
      <c r="V1715" s="26">
        <v>0</v>
      </c>
      <c r="W1715" s="28">
        <v>0</v>
      </c>
      <c r="X1715" s="26">
        <v>0</v>
      </c>
      <c r="Y1715" s="26">
        <v>0</v>
      </c>
      <c r="Z1715" s="26">
        <v>0</v>
      </c>
      <c r="AA1715" s="26">
        <v>0</v>
      </c>
    </row>
    <row r="1716" spans="1:27" x14ac:dyDescent="0.2">
      <c r="A1716">
        <f t="shared" si="54"/>
        <v>4</v>
      </c>
      <c r="B1716">
        <f t="shared" si="55"/>
        <v>18</v>
      </c>
      <c r="C1716" s="27">
        <v>46142</v>
      </c>
      <c r="D1716" s="27">
        <v>46142</v>
      </c>
      <c r="E1716" s="26" t="s">
        <v>26</v>
      </c>
      <c r="F1716" s="26" t="s">
        <v>27</v>
      </c>
      <c r="G1716" s="26" t="s">
        <v>28</v>
      </c>
      <c r="H1716" s="26" t="s">
        <v>29</v>
      </c>
      <c r="I1716" s="26" t="s">
        <v>30</v>
      </c>
      <c r="J1716" s="26" t="s">
        <v>101</v>
      </c>
      <c r="K1716" s="26" t="s">
        <v>32</v>
      </c>
      <c r="L1716" s="26" t="s">
        <v>137</v>
      </c>
      <c r="M1716" s="26">
        <v>4</v>
      </c>
      <c r="N1716" s="26">
        <v>1</v>
      </c>
      <c r="O1716" s="28">
        <v>0.25</v>
      </c>
      <c r="P1716" s="26">
        <v>0.21</v>
      </c>
      <c r="Q1716" s="26">
        <v>0.21</v>
      </c>
      <c r="R1716" s="26">
        <v>0</v>
      </c>
      <c r="S1716" s="26"/>
      <c r="T1716" s="26">
        <v>0</v>
      </c>
      <c r="U1716" s="26">
        <v>0</v>
      </c>
      <c r="V1716" s="26">
        <v>0</v>
      </c>
      <c r="W1716" s="28">
        <v>0</v>
      </c>
      <c r="X1716" s="26">
        <v>0</v>
      </c>
      <c r="Y1716" s="26">
        <v>0</v>
      </c>
      <c r="Z1716" s="26">
        <v>0</v>
      </c>
      <c r="AA1716" s="26">
        <v>0</v>
      </c>
    </row>
    <row r="1717" spans="1:27" x14ac:dyDescent="0.2">
      <c r="A1717">
        <f t="shared" si="54"/>
        <v>4</v>
      </c>
      <c r="B1717">
        <f t="shared" si="55"/>
        <v>16</v>
      </c>
      <c r="C1717" s="27">
        <v>46126</v>
      </c>
      <c r="D1717" s="27">
        <v>46126</v>
      </c>
      <c r="E1717" s="26" t="s">
        <v>26</v>
      </c>
      <c r="F1717" s="26" t="s">
        <v>27</v>
      </c>
      <c r="G1717" s="26" t="s">
        <v>28</v>
      </c>
      <c r="H1717" s="26" t="s">
        <v>29</v>
      </c>
      <c r="I1717" s="26" t="s">
        <v>30</v>
      </c>
      <c r="J1717" s="26" t="s">
        <v>243</v>
      </c>
      <c r="K1717" s="26" t="s">
        <v>32</v>
      </c>
      <c r="L1717" s="26" t="s">
        <v>1181</v>
      </c>
      <c r="M1717" s="26">
        <v>1</v>
      </c>
      <c r="N1717" s="26">
        <v>1</v>
      </c>
      <c r="O1717" s="28">
        <v>1</v>
      </c>
      <c r="P1717" s="26">
        <v>0.4</v>
      </c>
      <c r="Q1717" s="26">
        <v>0.4</v>
      </c>
      <c r="R1717" s="26">
        <v>0</v>
      </c>
      <c r="S1717" s="26"/>
      <c r="T1717" s="26">
        <v>0</v>
      </c>
      <c r="U1717" s="26">
        <v>0</v>
      </c>
      <c r="V1717" s="26">
        <v>0</v>
      </c>
      <c r="W1717" s="28">
        <v>0</v>
      </c>
      <c r="X1717" s="26">
        <v>0</v>
      </c>
      <c r="Y1717" s="26">
        <v>0</v>
      </c>
      <c r="Z1717" s="26">
        <v>0</v>
      </c>
      <c r="AA1717" s="26">
        <v>0</v>
      </c>
    </row>
    <row r="1718" spans="1:27" x14ac:dyDescent="0.2">
      <c r="A1718">
        <f t="shared" si="54"/>
        <v>4</v>
      </c>
      <c r="B1718">
        <f t="shared" si="55"/>
        <v>14</v>
      </c>
      <c r="C1718" s="27">
        <v>46116</v>
      </c>
      <c r="D1718" s="27">
        <v>46116</v>
      </c>
      <c r="E1718" s="26" t="s">
        <v>26</v>
      </c>
      <c r="F1718" s="26" t="s">
        <v>1130</v>
      </c>
      <c r="G1718" s="26" t="s">
        <v>54</v>
      </c>
      <c r="H1718" s="26" t="s">
        <v>29</v>
      </c>
      <c r="I1718" s="26" t="s">
        <v>30</v>
      </c>
      <c r="J1718" s="26" t="s">
        <v>95</v>
      </c>
      <c r="K1718" s="26" t="s">
        <v>42</v>
      </c>
      <c r="L1718" s="26" t="s">
        <v>1182</v>
      </c>
      <c r="M1718" s="26">
        <v>1</v>
      </c>
      <c r="N1718" s="26">
        <v>1</v>
      </c>
      <c r="O1718" s="28">
        <v>1</v>
      </c>
      <c r="P1718" s="26">
        <v>0.45</v>
      </c>
      <c r="Q1718" s="26">
        <v>0.45</v>
      </c>
      <c r="R1718" s="26">
        <v>0</v>
      </c>
      <c r="S1718" s="26"/>
      <c r="T1718" s="26">
        <v>0</v>
      </c>
      <c r="U1718" s="26">
        <v>0</v>
      </c>
      <c r="V1718" s="26">
        <v>0</v>
      </c>
      <c r="W1718" s="28">
        <v>0</v>
      </c>
      <c r="X1718" s="26">
        <v>0</v>
      </c>
      <c r="Y1718" s="26">
        <v>0</v>
      </c>
      <c r="Z1718" s="26">
        <v>0</v>
      </c>
      <c r="AA1718" s="26">
        <v>0</v>
      </c>
    </row>
    <row r="1719" spans="1:27" x14ac:dyDescent="0.2">
      <c r="A1719">
        <f t="shared" si="54"/>
        <v>4</v>
      </c>
      <c r="B1719">
        <f t="shared" si="55"/>
        <v>16</v>
      </c>
      <c r="C1719" s="27">
        <v>46125</v>
      </c>
      <c r="D1719" s="27">
        <v>46125</v>
      </c>
      <c r="E1719" s="26" t="s">
        <v>26</v>
      </c>
      <c r="F1719" s="26" t="s">
        <v>27</v>
      </c>
      <c r="G1719" s="26" t="s">
        <v>28</v>
      </c>
      <c r="H1719" s="26" t="s">
        <v>29</v>
      </c>
      <c r="I1719" s="26" t="s">
        <v>30</v>
      </c>
      <c r="J1719" s="26" t="s">
        <v>50</v>
      </c>
      <c r="K1719" s="26" t="s">
        <v>32</v>
      </c>
      <c r="L1719" s="26" t="s">
        <v>1183</v>
      </c>
      <c r="M1719" s="26">
        <v>1</v>
      </c>
      <c r="N1719" s="26">
        <v>1</v>
      </c>
      <c r="O1719" s="28">
        <v>1</v>
      </c>
      <c r="P1719" s="26">
        <v>0.21</v>
      </c>
      <c r="Q1719" s="26">
        <v>0.21</v>
      </c>
      <c r="R1719" s="26">
        <v>0</v>
      </c>
      <c r="S1719" s="26"/>
      <c r="T1719" s="26">
        <v>0</v>
      </c>
      <c r="U1719" s="26">
        <v>0</v>
      </c>
      <c r="V1719" s="26">
        <v>0</v>
      </c>
      <c r="W1719" s="28">
        <v>0</v>
      </c>
      <c r="X1719" s="26">
        <v>0</v>
      </c>
      <c r="Y1719" s="26">
        <v>0</v>
      </c>
      <c r="Z1719" s="26">
        <v>0</v>
      </c>
      <c r="AA1719" s="26">
        <v>0</v>
      </c>
    </row>
    <row r="1720" spans="1:27" x14ac:dyDescent="0.2">
      <c r="A1720">
        <f t="shared" si="54"/>
        <v>4</v>
      </c>
      <c r="B1720">
        <f t="shared" si="55"/>
        <v>15</v>
      </c>
      <c r="C1720" s="27">
        <v>46118</v>
      </c>
      <c r="D1720" s="27">
        <v>46118</v>
      </c>
      <c r="E1720" s="26" t="s">
        <v>26</v>
      </c>
      <c r="F1720" s="26" t="s">
        <v>27</v>
      </c>
      <c r="G1720" s="26" t="s">
        <v>28</v>
      </c>
      <c r="H1720" s="26" t="s">
        <v>29</v>
      </c>
      <c r="I1720" s="26" t="s">
        <v>30</v>
      </c>
      <c r="J1720" s="26" t="s">
        <v>50</v>
      </c>
      <c r="K1720" s="26" t="s">
        <v>32</v>
      </c>
      <c r="L1720" s="26" t="s">
        <v>1184</v>
      </c>
      <c r="M1720" s="26">
        <v>1</v>
      </c>
      <c r="N1720" s="26">
        <v>1</v>
      </c>
      <c r="O1720" s="28">
        <v>1</v>
      </c>
      <c r="P1720" s="26">
        <v>0.21</v>
      </c>
      <c r="Q1720" s="26">
        <v>0.21</v>
      </c>
      <c r="R1720" s="26">
        <v>0</v>
      </c>
      <c r="S1720" s="26"/>
      <c r="T1720" s="26">
        <v>0</v>
      </c>
      <c r="U1720" s="26">
        <v>0</v>
      </c>
      <c r="V1720" s="26">
        <v>0</v>
      </c>
      <c r="W1720" s="28">
        <v>0</v>
      </c>
      <c r="X1720" s="26">
        <v>0</v>
      </c>
      <c r="Y1720" s="26">
        <v>0</v>
      </c>
      <c r="Z1720" s="26">
        <v>0</v>
      </c>
      <c r="AA1720" s="26">
        <v>0</v>
      </c>
    </row>
    <row r="1721" spans="1:27" x14ac:dyDescent="0.2">
      <c r="A1721">
        <f t="shared" si="54"/>
        <v>4</v>
      </c>
      <c r="B1721">
        <f t="shared" si="55"/>
        <v>18</v>
      </c>
      <c r="C1721" s="27">
        <v>46141</v>
      </c>
      <c r="D1721" s="27">
        <v>46141</v>
      </c>
      <c r="E1721" s="26" t="s">
        <v>26</v>
      </c>
      <c r="F1721" s="26" t="s">
        <v>27</v>
      </c>
      <c r="G1721" s="26" t="s">
        <v>28</v>
      </c>
      <c r="H1721" s="26" t="s">
        <v>29</v>
      </c>
      <c r="I1721" s="26" t="s">
        <v>30</v>
      </c>
      <c r="J1721" s="26" t="s">
        <v>119</v>
      </c>
      <c r="K1721" s="26" t="s">
        <v>32</v>
      </c>
      <c r="L1721" s="26" t="s">
        <v>451</v>
      </c>
      <c r="M1721" s="26">
        <v>1</v>
      </c>
      <c r="N1721" s="26">
        <v>1</v>
      </c>
      <c r="O1721" s="28">
        <v>1</v>
      </c>
      <c r="P1721" s="26">
        <v>0.16</v>
      </c>
      <c r="Q1721" s="26">
        <v>0.16</v>
      </c>
      <c r="R1721" s="26">
        <v>0</v>
      </c>
      <c r="S1721" s="26"/>
      <c r="T1721" s="26">
        <v>0</v>
      </c>
      <c r="U1721" s="26">
        <v>0</v>
      </c>
      <c r="V1721" s="26">
        <v>0</v>
      </c>
      <c r="W1721" s="28">
        <v>0</v>
      </c>
      <c r="X1721" s="26">
        <v>0</v>
      </c>
      <c r="Y1721" s="26">
        <v>0</v>
      </c>
      <c r="Z1721" s="26">
        <v>0</v>
      </c>
      <c r="AA1721" s="26">
        <v>0</v>
      </c>
    </row>
    <row r="1722" spans="1:27" x14ac:dyDescent="0.2">
      <c r="A1722">
        <f t="shared" si="54"/>
        <v>4</v>
      </c>
      <c r="B1722">
        <f t="shared" si="55"/>
        <v>14</v>
      </c>
      <c r="C1722" s="27">
        <v>46114</v>
      </c>
      <c r="D1722" s="27">
        <v>46114</v>
      </c>
      <c r="E1722" s="26" t="s">
        <v>26</v>
      </c>
      <c r="F1722" s="26" t="s">
        <v>27</v>
      </c>
      <c r="G1722" s="26" t="s">
        <v>28</v>
      </c>
      <c r="H1722" s="26" t="s">
        <v>29</v>
      </c>
      <c r="I1722" s="26" t="s">
        <v>30</v>
      </c>
      <c r="J1722" s="26" t="s">
        <v>119</v>
      </c>
      <c r="K1722" s="26" t="s">
        <v>32</v>
      </c>
      <c r="L1722" s="26" t="s">
        <v>1185</v>
      </c>
      <c r="M1722" s="26">
        <v>2</v>
      </c>
      <c r="N1722" s="26">
        <v>1</v>
      </c>
      <c r="O1722" s="28">
        <v>0.5</v>
      </c>
      <c r="P1722" s="26">
        <v>0.16</v>
      </c>
      <c r="Q1722" s="26">
        <v>0.16</v>
      </c>
      <c r="R1722" s="26">
        <v>0</v>
      </c>
      <c r="S1722" s="26"/>
      <c r="T1722" s="26">
        <v>0</v>
      </c>
      <c r="U1722" s="26">
        <v>0</v>
      </c>
      <c r="V1722" s="26">
        <v>0</v>
      </c>
      <c r="W1722" s="28">
        <v>0</v>
      </c>
      <c r="X1722" s="26">
        <v>0</v>
      </c>
      <c r="Y1722" s="26">
        <v>0</v>
      </c>
      <c r="Z1722" s="26">
        <v>0</v>
      </c>
      <c r="AA1722" s="26">
        <v>0</v>
      </c>
    </row>
    <row r="1723" spans="1:27" x14ac:dyDescent="0.2">
      <c r="A1723">
        <f t="shared" si="54"/>
        <v>4</v>
      </c>
      <c r="B1723">
        <f t="shared" si="55"/>
        <v>18</v>
      </c>
      <c r="C1723" s="27">
        <v>46141</v>
      </c>
      <c r="D1723" s="27">
        <v>46141</v>
      </c>
      <c r="E1723" s="26" t="s">
        <v>26</v>
      </c>
      <c r="F1723" s="26" t="s">
        <v>49</v>
      </c>
      <c r="G1723" s="26" t="s">
        <v>50</v>
      </c>
      <c r="H1723" s="26" t="s">
        <v>29</v>
      </c>
      <c r="I1723" s="26" t="s">
        <v>30</v>
      </c>
      <c r="J1723" s="26" t="s">
        <v>95</v>
      </c>
      <c r="K1723" s="26" t="s">
        <v>42</v>
      </c>
      <c r="L1723" s="26" t="s">
        <v>1186</v>
      </c>
      <c r="M1723" s="26">
        <v>2</v>
      </c>
      <c r="N1723" s="26">
        <v>1</v>
      </c>
      <c r="O1723" s="28">
        <v>0.5</v>
      </c>
      <c r="P1723" s="26">
        <v>0.56999999999999995</v>
      </c>
      <c r="Q1723" s="26">
        <v>0.56999999999999995</v>
      </c>
      <c r="R1723" s="26">
        <v>0</v>
      </c>
      <c r="S1723" s="26"/>
      <c r="T1723" s="26">
        <v>0</v>
      </c>
      <c r="U1723" s="26">
        <v>0</v>
      </c>
      <c r="V1723" s="26">
        <v>0</v>
      </c>
      <c r="W1723" s="28">
        <v>0</v>
      </c>
      <c r="X1723" s="26">
        <v>0</v>
      </c>
      <c r="Y1723" s="26">
        <v>0</v>
      </c>
      <c r="Z1723" s="26">
        <v>0</v>
      </c>
      <c r="AA1723" s="26">
        <v>0</v>
      </c>
    </row>
    <row r="1724" spans="1:27" x14ac:dyDescent="0.2">
      <c r="A1724">
        <f t="shared" si="54"/>
        <v>4</v>
      </c>
      <c r="B1724">
        <f t="shared" si="55"/>
        <v>16</v>
      </c>
      <c r="C1724" s="27">
        <v>46124</v>
      </c>
      <c r="D1724" s="27">
        <v>46124</v>
      </c>
      <c r="E1724" s="26" t="s">
        <v>26</v>
      </c>
      <c r="F1724" s="26" t="s">
        <v>49</v>
      </c>
      <c r="G1724" s="26" t="s">
        <v>50</v>
      </c>
      <c r="H1724" s="26" t="s">
        <v>29</v>
      </c>
      <c r="I1724" s="26" t="s">
        <v>30</v>
      </c>
      <c r="J1724" s="26" t="s">
        <v>95</v>
      </c>
      <c r="K1724" s="26" t="s">
        <v>42</v>
      </c>
      <c r="L1724" s="26" t="s">
        <v>1187</v>
      </c>
      <c r="M1724" s="26">
        <v>1</v>
      </c>
      <c r="N1724" s="26">
        <v>1</v>
      </c>
      <c r="O1724" s="28">
        <v>1</v>
      </c>
      <c r="P1724" s="26">
        <v>0.72</v>
      </c>
      <c r="Q1724" s="26">
        <v>0.72</v>
      </c>
      <c r="R1724" s="26">
        <v>0</v>
      </c>
      <c r="S1724" s="26"/>
      <c r="T1724" s="26">
        <v>0</v>
      </c>
      <c r="U1724" s="26">
        <v>0</v>
      </c>
      <c r="V1724" s="26">
        <v>0</v>
      </c>
      <c r="W1724" s="28">
        <v>0</v>
      </c>
      <c r="X1724" s="26">
        <v>0</v>
      </c>
      <c r="Y1724" s="26">
        <v>0</v>
      </c>
      <c r="Z1724" s="26">
        <v>0</v>
      </c>
      <c r="AA1724" s="26">
        <v>0</v>
      </c>
    </row>
    <row r="1725" spans="1:27" x14ac:dyDescent="0.2">
      <c r="A1725">
        <f t="shared" si="54"/>
        <v>4</v>
      </c>
      <c r="B1725">
        <f t="shared" si="55"/>
        <v>17</v>
      </c>
      <c r="C1725" s="27">
        <v>46133</v>
      </c>
      <c r="D1725" s="27">
        <v>46133</v>
      </c>
      <c r="E1725" s="26" t="s">
        <v>26</v>
      </c>
      <c r="F1725" s="26" t="s">
        <v>45</v>
      </c>
      <c r="G1725" s="26" t="s">
        <v>46</v>
      </c>
      <c r="H1725" s="26" t="s">
        <v>29</v>
      </c>
      <c r="I1725" s="26" t="s">
        <v>30</v>
      </c>
      <c r="J1725" s="26" t="s">
        <v>95</v>
      </c>
      <c r="K1725" s="26" t="s">
        <v>42</v>
      </c>
      <c r="L1725" s="26" t="s">
        <v>1188</v>
      </c>
      <c r="M1725" s="26">
        <v>1</v>
      </c>
      <c r="N1725" s="26">
        <v>1</v>
      </c>
      <c r="O1725" s="28">
        <v>1</v>
      </c>
      <c r="P1725" s="26">
        <v>0.46</v>
      </c>
      <c r="Q1725" s="26">
        <v>0.46</v>
      </c>
      <c r="R1725" s="26">
        <v>0</v>
      </c>
      <c r="S1725" s="26"/>
      <c r="T1725" s="26">
        <v>0</v>
      </c>
      <c r="U1725" s="26">
        <v>0</v>
      </c>
      <c r="V1725" s="26">
        <v>0</v>
      </c>
      <c r="W1725" s="28">
        <v>0</v>
      </c>
      <c r="X1725" s="26">
        <v>0</v>
      </c>
      <c r="Y1725" s="26">
        <v>0</v>
      </c>
      <c r="Z1725" s="26">
        <v>0</v>
      </c>
      <c r="AA1725" s="26">
        <v>0</v>
      </c>
    </row>
    <row r="1726" spans="1:27" x14ac:dyDescent="0.2">
      <c r="A1726">
        <f t="shared" si="54"/>
        <v>4</v>
      </c>
      <c r="B1726">
        <f t="shared" si="55"/>
        <v>15</v>
      </c>
      <c r="C1726" s="27">
        <v>46117</v>
      </c>
      <c r="D1726" s="27">
        <v>46117</v>
      </c>
      <c r="E1726" s="26" t="s">
        <v>26</v>
      </c>
      <c r="F1726" s="26" t="s">
        <v>27</v>
      </c>
      <c r="G1726" s="26" t="s">
        <v>28</v>
      </c>
      <c r="H1726" s="26" t="s">
        <v>29</v>
      </c>
      <c r="I1726" s="26" t="s">
        <v>30</v>
      </c>
      <c r="J1726" s="26" t="s">
        <v>542</v>
      </c>
      <c r="K1726" s="26" t="s">
        <v>32</v>
      </c>
      <c r="L1726" s="26" t="s">
        <v>1189</v>
      </c>
      <c r="M1726" s="26">
        <v>3</v>
      </c>
      <c r="N1726" s="26">
        <v>1</v>
      </c>
      <c r="O1726" s="28">
        <v>0.33333299999999999</v>
      </c>
      <c r="P1726" s="26">
        <v>0.21</v>
      </c>
      <c r="Q1726" s="26">
        <v>0.21</v>
      </c>
      <c r="R1726" s="26">
        <v>0</v>
      </c>
      <c r="S1726" s="26"/>
      <c r="T1726" s="26">
        <v>0</v>
      </c>
      <c r="U1726" s="26">
        <v>0</v>
      </c>
      <c r="V1726" s="26">
        <v>0</v>
      </c>
      <c r="W1726" s="28">
        <v>0</v>
      </c>
      <c r="X1726" s="26">
        <v>0</v>
      </c>
      <c r="Y1726" s="26">
        <v>0</v>
      </c>
      <c r="Z1726" s="26">
        <v>0</v>
      </c>
      <c r="AA1726" s="26">
        <v>0</v>
      </c>
    </row>
    <row r="1727" spans="1:27" x14ac:dyDescent="0.2">
      <c r="A1727">
        <f t="shared" si="54"/>
        <v>4</v>
      </c>
      <c r="B1727">
        <f t="shared" si="55"/>
        <v>14</v>
      </c>
      <c r="C1727" s="27">
        <v>46115</v>
      </c>
      <c r="D1727" s="27">
        <v>46115</v>
      </c>
      <c r="E1727" s="26" t="s">
        <v>26</v>
      </c>
      <c r="F1727" s="26" t="s">
        <v>27</v>
      </c>
      <c r="G1727" s="26" t="s">
        <v>28</v>
      </c>
      <c r="H1727" s="26" t="s">
        <v>29</v>
      </c>
      <c r="I1727" s="26" t="s">
        <v>30</v>
      </c>
      <c r="J1727" s="26" t="s">
        <v>50</v>
      </c>
      <c r="K1727" s="26" t="s">
        <v>32</v>
      </c>
      <c r="L1727" s="26" t="s">
        <v>133</v>
      </c>
      <c r="M1727" s="26">
        <v>1</v>
      </c>
      <c r="N1727" s="26">
        <v>1</v>
      </c>
      <c r="O1727" s="28">
        <v>1</v>
      </c>
      <c r="P1727" s="26">
        <v>0.21</v>
      </c>
      <c r="Q1727" s="26">
        <v>0.21</v>
      </c>
      <c r="R1727" s="26">
        <v>0</v>
      </c>
      <c r="S1727" s="26"/>
      <c r="T1727" s="26">
        <v>0</v>
      </c>
      <c r="U1727" s="26">
        <v>0</v>
      </c>
      <c r="V1727" s="26">
        <v>0</v>
      </c>
      <c r="W1727" s="28">
        <v>0</v>
      </c>
      <c r="X1727" s="26">
        <v>0</v>
      </c>
      <c r="Y1727" s="26">
        <v>0</v>
      </c>
      <c r="Z1727" s="26">
        <v>0</v>
      </c>
      <c r="AA1727" s="26">
        <v>0</v>
      </c>
    </row>
    <row r="1728" spans="1:27" x14ac:dyDescent="0.2">
      <c r="A1728">
        <f t="shared" si="54"/>
        <v>4</v>
      </c>
      <c r="B1728">
        <f t="shared" si="55"/>
        <v>16</v>
      </c>
      <c r="C1728" s="27">
        <v>46126</v>
      </c>
      <c r="D1728" s="27">
        <v>46126</v>
      </c>
      <c r="E1728" s="26" t="s">
        <v>26</v>
      </c>
      <c r="F1728" s="26" t="s">
        <v>27</v>
      </c>
      <c r="G1728" s="26" t="s">
        <v>124</v>
      </c>
      <c r="H1728" s="26" t="s">
        <v>29</v>
      </c>
      <c r="I1728" s="26" t="s">
        <v>30</v>
      </c>
      <c r="J1728" s="26" t="s">
        <v>133</v>
      </c>
      <c r="K1728" s="26" t="s">
        <v>87</v>
      </c>
      <c r="L1728" s="26" t="s">
        <v>133</v>
      </c>
      <c r="M1728" s="26">
        <v>6</v>
      </c>
      <c r="N1728" s="26">
        <v>1</v>
      </c>
      <c r="O1728" s="28">
        <v>0.16666700000000001</v>
      </c>
      <c r="P1728" s="26">
        <v>0.4</v>
      </c>
      <c r="Q1728" s="26">
        <v>0.4</v>
      </c>
      <c r="R1728" s="26">
        <v>0</v>
      </c>
      <c r="S1728" s="26"/>
      <c r="T1728" s="26">
        <v>0</v>
      </c>
      <c r="U1728" s="26">
        <v>0</v>
      </c>
      <c r="V1728" s="26">
        <v>0</v>
      </c>
      <c r="W1728" s="28">
        <v>0</v>
      </c>
      <c r="X1728" s="26">
        <v>0</v>
      </c>
      <c r="Y1728" s="26">
        <v>0</v>
      </c>
      <c r="Z1728" s="26">
        <v>0</v>
      </c>
      <c r="AA1728" s="26">
        <v>0</v>
      </c>
    </row>
    <row r="1729" spans="1:27" x14ac:dyDescent="0.2">
      <c r="A1729">
        <f t="shared" si="54"/>
        <v>4</v>
      </c>
      <c r="B1729">
        <f t="shared" si="55"/>
        <v>16</v>
      </c>
      <c r="C1729" s="27">
        <v>46129</v>
      </c>
      <c r="D1729" s="27">
        <v>46129</v>
      </c>
      <c r="E1729" s="26" t="s">
        <v>26</v>
      </c>
      <c r="F1729" s="26" t="s">
        <v>49</v>
      </c>
      <c r="G1729" s="26" t="s">
        <v>50</v>
      </c>
      <c r="H1729" s="26" t="s">
        <v>29</v>
      </c>
      <c r="I1729" s="26" t="s">
        <v>30</v>
      </c>
      <c r="J1729" s="26" t="s">
        <v>95</v>
      </c>
      <c r="K1729" s="26" t="s">
        <v>42</v>
      </c>
      <c r="L1729" s="26" t="s">
        <v>149</v>
      </c>
      <c r="M1729" s="26">
        <v>1</v>
      </c>
      <c r="N1729" s="26">
        <v>1</v>
      </c>
      <c r="O1729" s="28">
        <v>1</v>
      </c>
      <c r="P1729" s="26">
        <v>0.54</v>
      </c>
      <c r="Q1729" s="26">
        <v>0.54</v>
      </c>
      <c r="R1729" s="26">
        <v>0</v>
      </c>
      <c r="S1729" s="26"/>
      <c r="T1729" s="26">
        <v>0</v>
      </c>
      <c r="U1729" s="26">
        <v>0</v>
      </c>
      <c r="V1729" s="26">
        <v>0</v>
      </c>
      <c r="W1729" s="28">
        <v>0</v>
      </c>
      <c r="X1729" s="26">
        <v>0</v>
      </c>
      <c r="Y1729" s="26">
        <v>0</v>
      </c>
      <c r="Z1729" s="26">
        <v>0</v>
      </c>
      <c r="AA1729" s="26">
        <v>0</v>
      </c>
    </row>
    <row r="1730" spans="1:27" x14ac:dyDescent="0.2">
      <c r="A1730">
        <f t="shared" si="54"/>
        <v>4</v>
      </c>
      <c r="B1730">
        <f t="shared" si="55"/>
        <v>15</v>
      </c>
      <c r="C1730" s="27">
        <v>46122</v>
      </c>
      <c r="D1730" s="27">
        <v>46122</v>
      </c>
      <c r="E1730" s="26" t="s">
        <v>26</v>
      </c>
      <c r="F1730" s="26" t="s">
        <v>27</v>
      </c>
      <c r="G1730" s="26" t="s">
        <v>28</v>
      </c>
      <c r="H1730" s="26" t="s">
        <v>29</v>
      </c>
      <c r="I1730" s="26" t="s">
        <v>30</v>
      </c>
      <c r="J1730" s="26" t="s">
        <v>50</v>
      </c>
      <c r="K1730" s="26" t="s">
        <v>32</v>
      </c>
      <c r="L1730" s="26" t="s">
        <v>455</v>
      </c>
      <c r="M1730" s="26">
        <v>1</v>
      </c>
      <c r="N1730" s="26">
        <v>1</v>
      </c>
      <c r="O1730" s="28">
        <v>1</v>
      </c>
      <c r="P1730" s="26">
        <v>0.4</v>
      </c>
      <c r="Q1730" s="26">
        <v>0.4</v>
      </c>
      <c r="R1730" s="26">
        <v>0</v>
      </c>
      <c r="S1730" s="26"/>
      <c r="T1730" s="26">
        <v>0</v>
      </c>
      <c r="U1730" s="26">
        <v>0</v>
      </c>
      <c r="V1730" s="26">
        <v>0</v>
      </c>
      <c r="W1730" s="28">
        <v>0</v>
      </c>
      <c r="X1730" s="26">
        <v>0</v>
      </c>
      <c r="Y1730" s="26">
        <v>0</v>
      </c>
      <c r="Z1730" s="26">
        <v>0</v>
      </c>
      <c r="AA1730" s="26">
        <v>0</v>
      </c>
    </row>
    <row r="1731" spans="1:27" x14ac:dyDescent="0.2">
      <c r="A1731">
        <f t="shared" si="54"/>
        <v>4</v>
      </c>
      <c r="B1731">
        <f t="shared" si="55"/>
        <v>17</v>
      </c>
      <c r="C1731" s="27">
        <v>46132</v>
      </c>
      <c r="D1731" s="27">
        <v>46132</v>
      </c>
      <c r="E1731" s="26" t="s">
        <v>26</v>
      </c>
      <c r="F1731" s="26" t="s">
        <v>27</v>
      </c>
      <c r="G1731" s="26" t="s">
        <v>28</v>
      </c>
      <c r="H1731" s="26" t="s">
        <v>29</v>
      </c>
      <c r="I1731" s="26" t="s">
        <v>30</v>
      </c>
      <c r="J1731" s="26" t="s">
        <v>119</v>
      </c>
      <c r="K1731" s="26" t="s">
        <v>32</v>
      </c>
      <c r="L1731" s="26" t="s">
        <v>1190</v>
      </c>
      <c r="M1731" s="26">
        <v>1</v>
      </c>
      <c r="N1731" s="26">
        <v>1</v>
      </c>
      <c r="O1731" s="28">
        <v>1</v>
      </c>
      <c r="P1731" s="26">
        <v>0.16</v>
      </c>
      <c r="Q1731" s="26">
        <v>0.16</v>
      </c>
      <c r="R1731" s="26">
        <v>0</v>
      </c>
      <c r="S1731" s="26"/>
      <c r="T1731" s="26">
        <v>0</v>
      </c>
      <c r="U1731" s="26">
        <v>0</v>
      </c>
      <c r="V1731" s="26">
        <v>0</v>
      </c>
      <c r="W1731" s="28">
        <v>0</v>
      </c>
      <c r="X1731" s="26">
        <v>0</v>
      </c>
      <c r="Y1731" s="26">
        <v>0</v>
      </c>
      <c r="Z1731" s="26">
        <v>0</v>
      </c>
      <c r="AA1731" s="26">
        <v>0</v>
      </c>
    </row>
    <row r="1732" spans="1:27" x14ac:dyDescent="0.2">
      <c r="A1732">
        <f t="shared" si="54"/>
        <v>4</v>
      </c>
      <c r="B1732">
        <f t="shared" si="55"/>
        <v>18</v>
      </c>
      <c r="C1732" s="27">
        <v>46141</v>
      </c>
      <c r="D1732" s="27">
        <v>46141</v>
      </c>
      <c r="E1732" s="26" t="s">
        <v>26</v>
      </c>
      <c r="F1732" s="26" t="s">
        <v>61</v>
      </c>
      <c r="G1732" s="26" t="s">
        <v>62</v>
      </c>
      <c r="H1732" s="26" t="s">
        <v>29</v>
      </c>
      <c r="I1732" s="26" t="s">
        <v>30</v>
      </c>
      <c r="J1732" s="26" t="s">
        <v>47</v>
      </c>
      <c r="K1732" s="26" t="s">
        <v>42</v>
      </c>
      <c r="L1732" s="26" t="s">
        <v>1191</v>
      </c>
      <c r="M1732" s="26">
        <v>1</v>
      </c>
      <c r="N1732" s="26">
        <v>1</v>
      </c>
      <c r="O1732" s="28">
        <v>1</v>
      </c>
      <c r="P1732" s="26">
        <v>1.55</v>
      </c>
      <c r="Q1732" s="26">
        <v>1.55</v>
      </c>
      <c r="R1732" s="26">
        <v>0</v>
      </c>
      <c r="S1732" s="26"/>
      <c r="T1732" s="26">
        <v>0</v>
      </c>
      <c r="U1732" s="26">
        <v>0</v>
      </c>
      <c r="V1732" s="26">
        <v>0</v>
      </c>
      <c r="W1732" s="28">
        <v>0</v>
      </c>
      <c r="X1732" s="26">
        <v>0</v>
      </c>
      <c r="Y1732" s="26">
        <v>0</v>
      </c>
      <c r="Z1732" s="26">
        <v>0</v>
      </c>
      <c r="AA1732" s="26">
        <v>0</v>
      </c>
    </row>
    <row r="1733" spans="1:27" x14ac:dyDescent="0.2">
      <c r="A1733">
        <f t="shared" si="54"/>
        <v>4</v>
      </c>
      <c r="B1733">
        <f t="shared" si="55"/>
        <v>14</v>
      </c>
      <c r="C1733" s="27">
        <v>46113</v>
      </c>
      <c r="D1733" s="27">
        <v>46113</v>
      </c>
      <c r="E1733" s="26" t="s">
        <v>26</v>
      </c>
      <c r="F1733" s="26" t="s">
        <v>1130</v>
      </c>
      <c r="G1733" s="26" t="s">
        <v>54</v>
      </c>
      <c r="H1733" s="26" t="s">
        <v>29</v>
      </c>
      <c r="I1733" s="26" t="s">
        <v>30</v>
      </c>
      <c r="J1733" s="26" t="s">
        <v>47</v>
      </c>
      <c r="K1733" s="26" t="s">
        <v>42</v>
      </c>
      <c r="L1733" s="26" t="s">
        <v>1192</v>
      </c>
      <c r="M1733" s="26">
        <v>1</v>
      </c>
      <c r="N1733" s="26">
        <v>1</v>
      </c>
      <c r="O1733" s="28">
        <v>1</v>
      </c>
      <c r="P1733" s="26">
        <v>0.5</v>
      </c>
      <c r="Q1733" s="26">
        <v>0.5</v>
      </c>
      <c r="R1733" s="26">
        <v>0</v>
      </c>
      <c r="S1733" s="26"/>
      <c r="T1733" s="26">
        <v>0</v>
      </c>
      <c r="U1733" s="26">
        <v>0</v>
      </c>
      <c r="V1733" s="26">
        <v>0</v>
      </c>
      <c r="W1733" s="28">
        <v>0</v>
      </c>
      <c r="X1733" s="26">
        <v>0</v>
      </c>
      <c r="Y1733" s="26">
        <v>0</v>
      </c>
      <c r="Z1733" s="26">
        <v>0</v>
      </c>
      <c r="AA1733" s="26">
        <v>0</v>
      </c>
    </row>
    <row r="1734" spans="1:27" x14ac:dyDescent="0.2">
      <c r="A1734">
        <f t="shared" si="54"/>
        <v>4</v>
      </c>
      <c r="B1734">
        <f t="shared" si="55"/>
        <v>14</v>
      </c>
      <c r="C1734" s="27">
        <v>46116</v>
      </c>
      <c r="D1734" s="27">
        <v>46116</v>
      </c>
      <c r="E1734" s="26" t="s">
        <v>26</v>
      </c>
      <c r="F1734" s="26" t="s">
        <v>49</v>
      </c>
      <c r="G1734" s="26" t="s">
        <v>50</v>
      </c>
      <c r="H1734" s="26" t="s">
        <v>29</v>
      </c>
      <c r="I1734" s="26" t="s">
        <v>30</v>
      </c>
      <c r="J1734" s="26" t="s">
        <v>95</v>
      </c>
      <c r="K1734" s="26" t="s">
        <v>42</v>
      </c>
      <c r="L1734" s="26" t="s">
        <v>1193</v>
      </c>
      <c r="M1734" s="26">
        <v>1</v>
      </c>
      <c r="N1734" s="26">
        <v>1</v>
      </c>
      <c r="O1734" s="28">
        <v>1</v>
      </c>
      <c r="P1734" s="26">
        <v>0.54</v>
      </c>
      <c r="Q1734" s="26">
        <v>0.54</v>
      </c>
      <c r="R1734" s="26">
        <v>0</v>
      </c>
      <c r="S1734" s="26"/>
      <c r="T1734" s="26">
        <v>0</v>
      </c>
      <c r="U1734" s="26">
        <v>0</v>
      </c>
      <c r="V1734" s="26">
        <v>0</v>
      </c>
      <c r="W1734" s="28">
        <v>0</v>
      </c>
      <c r="X1734" s="26">
        <v>0</v>
      </c>
      <c r="Y1734" s="26">
        <v>0</v>
      </c>
      <c r="Z1734" s="26">
        <v>0</v>
      </c>
      <c r="AA1734" s="26">
        <v>0</v>
      </c>
    </row>
    <row r="1735" spans="1:27" x14ac:dyDescent="0.2">
      <c r="A1735">
        <f t="shared" si="54"/>
        <v>4</v>
      </c>
      <c r="B1735">
        <f t="shared" si="55"/>
        <v>17</v>
      </c>
      <c r="C1735" s="27">
        <v>46133</v>
      </c>
      <c r="D1735" s="27">
        <v>46133</v>
      </c>
      <c r="E1735" s="26" t="s">
        <v>26</v>
      </c>
      <c r="F1735" s="26" t="s">
        <v>27</v>
      </c>
      <c r="G1735" s="26" t="s">
        <v>28</v>
      </c>
      <c r="H1735" s="26" t="s">
        <v>29</v>
      </c>
      <c r="I1735" s="26" t="s">
        <v>30</v>
      </c>
      <c r="J1735" s="26" t="s">
        <v>31</v>
      </c>
      <c r="K1735" s="26" t="s">
        <v>32</v>
      </c>
      <c r="L1735" s="26" t="s">
        <v>1194</v>
      </c>
      <c r="M1735" s="26">
        <v>1</v>
      </c>
      <c r="N1735" s="26">
        <v>1</v>
      </c>
      <c r="O1735" s="28">
        <v>1</v>
      </c>
      <c r="P1735" s="26">
        <v>0.44</v>
      </c>
      <c r="Q1735" s="26">
        <v>0.44</v>
      </c>
      <c r="R1735" s="26">
        <v>0</v>
      </c>
      <c r="S1735" s="26"/>
      <c r="T1735" s="26">
        <v>0</v>
      </c>
      <c r="U1735" s="26">
        <v>0</v>
      </c>
      <c r="V1735" s="26">
        <v>0</v>
      </c>
      <c r="W1735" s="28">
        <v>0</v>
      </c>
      <c r="X1735" s="26">
        <v>0</v>
      </c>
      <c r="Y1735" s="26">
        <v>0</v>
      </c>
      <c r="Z1735" s="26">
        <v>0</v>
      </c>
      <c r="AA1735" s="26">
        <v>0</v>
      </c>
    </row>
    <row r="1736" spans="1:27" x14ac:dyDescent="0.2">
      <c r="A1736">
        <f t="shared" si="54"/>
        <v>4</v>
      </c>
      <c r="B1736">
        <f t="shared" si="55"/>
        <v>18</v>
      </c>
      <c r="C1736" s="27">
        <v>46139</v>
      </c>
      <c r="D1736" s="27">
        <v>46139</v>
      </c>
      <c r="E1736" s="26" t="s">
        <v>26</v>
      </c>
      <c r="F1736" s="26" t="s">
        <v>27</v>
      </c>
      <c r="G1736" s="26" t="s">
        <v>28</v>
      </c>
      <c r="H1736" s="26" t="s">
        <v>29</v>
      </c>
      <c r="I1736" s="26" t="s">
        <v>30</v>
      </c>
      <c r="J1736" s="26" t="s">
        <v>31</v>
      </c>
      <c r="K1736" s="26" t="s">
        <v>32</v>
      </c>
      <c r="L1736" s="26" t="s">
        <v>1195</v>
      </c>
      <c r="M1736" s="26">
        <v>1</v>
      </c>
      <c r="N1736" s="26">
        <v>1</v>
      </c>
      <c r="O1736" s="28">
        <v>1</v>
      </c>
      <c r="P1736" s="26">
        <v>0.4</v>
      </c>
      <c r="Q1736" s="26">
        <v>0.4</v>
      </c>
      <c r="R1736" s="26">
        <v>0</v>
      </c>
      <c r="S1736" s="26"/>
      <c r="T1736" s="26">
        <v>0</v>
      </c>
      <c r="U1736" s="26">
        <v>0</v>
      </c>
      <c r="V1736" s="26">
        <v>0</v>
      </c>
      <c r="W1736" s="28">
        <v>0</v>
      </c>
      <c r="X1736" s="26">
        <v>0</v>
      </c>
      <c r="Y1736" s="26">
        <v>0</v>
      </c>
      <c r="Z1736" s="26">
        <v>0</v>
      </c>
      <c r="AA1736" s="26">
        <v>0</v>
      </c>
    </row>
    <row r="1737" spans="1:27" x14ac:dyDescent="0.2">
      <c r="A1737">
        <f t="shared" si="54"/>
        <v>4</v>
      </c>
      <c r="B1737">
        <f t="shared" si="55"/>
        <v>15</v>
      </c>
      <c r="C1737" s="27">
        <v>46122</v>
      </c>
      <c r="D1737" s="27">
        <v>46122</v>
      </c>
      <c r="E1737" s="26" t="s">
        <v>26</v>
      </c>
      <c r="F1737" s="26" t="s">
        <v>27</v>
      </c>
      <c r="G1737" s="26" t="s">
        <v>28</v>
      </c>
      <c r="H1737" s="26" t="s">
        <v>29</v>
      </c>
      <c r="I1737" s="26" t="s">
        <v>30</v>
      </c>
      <c r="J1737" s="26" t="s">
        <v>31</v>
      </c>
      <c r="K1737" s="26" t="s">
        <v>32</v>
      </c>
      <c r="L1737" s="26" t="s">
        <v>152</v>
      </c>
      <c r="M1737" s="26">
        <v>1</v>
      </c>
      <c r="N1737" s="26">
        <v>1</v>
      </c>
      <c r="O1737" s="28">
        <v>1</v>
      </c>
      <c r="P1737" s="26">
        <v>0.23</v>
      </c>
      <c r="Q1737" s="26">
        <v>0.23</v>
      </c>
      <c r="R1737" s="26">
        <v>0</v>
      </c>
      <c r="S1737" s="26"/>
      <c r="T1737" s="26">
        <v>0</v>
      </c>
      <c r="U1737" s="26">
        <v>0</v>
      </c>
      <c r="V1737" s="26">
        <v>0</v>
      </c>
      <c r="W1737" s="28">
        <v>0</v>
      </c>
      <c r="X1737" s="26">
        <v>0</v>
      </c>
      <c r="Y1737" s="26">
        <v>0</v>
      </c>
      <c r="Z1737" s="26">
        <v>0</v>
      </c>
      <c r="AA1737" s="26">
        <v>0</v>
      </c>
    </row>
    <row r="1738" spans="1:27" x14ac:dyDescent="0.2">
      <c r="A1738">
        <f t="shared" si="54"/>
        <v>4</v>
      </c>
      <c r="B1738">
        <f t="shared" si="55"/>
        <v>15</v>
      </c>
      <c r="C1738" s="27">
        <v>46122</v>
      </c>
      <c r="D1738" s="27">
        <v>46122</v>
      </c>
      <c r="E1738" s="26" t="s">
        <v>26</v>
      </c>
      <c r="F1738" s="26" t="s">
        <v>27</v>
      </c>
      <c r="G1738" s="26" t="s">
        <v>28</v>
      </c>
      <c r="H1738" s="26" t="s">
        <v>29</v>
      </c>
      <c r="I1738" s="26" t="s">
        <v>30</v>
      </c>
      <c r="J1738" s="26" t="s">
        <v>31</v>
      </c>
      <c r="K1738" s="26" t="s">
        <v>32</v>
      </c>
      <c r="L1738" s="26" t="s">
        <v>1196</v>
      </c>
      <c r="M1738" s="26">
        <v>1</v>
      </c>
      <c r="N1738" s="26">
        <v>1</v>
      </c>
      <c r="O1738" s="28">
        <v>1</v>
      </c>
      <c r="P1738" s="26">
        <v>0.23</v>
      </c>
      <c r="Q1738" s="26">
        <v>0.23</v>
      </c>
      <c r="R1738" s="26">
        <v>0</v>
      </c>
      <c r="S1738" s="26"/>
      <c r="T1738" s="26">
        <v>0</v>
      </c>
      <c r="U1738" s="26">
        <v>0</v>
      </c>
      <c r="V1738" s="26">
        <v>0</v>
      </c>
      <c r="W1738" s="28">
        <v>0</v>
      </c>
      <c r="X1738" s="26">
        <v>0</v>
      </c>
      <c r="Y1738" s="26">
        <v>0</v>
      </c>
      <c r="Z1738" s="26">
        <v>0</v>
      </c>
      <c r="AA1738" s="26">
        <v>0</v>
      </c>
    </row>
    <row r="1739" spans="1:27" x14ac:dyDescent="0.2">
      <c r="A1739">
        <f t="shared" si="54"/>
        <v>4</v>
      </c>
      <c r="B1739">
        <f t="shared" si="55"/>
        <v>15</v>
      </c>
      <c r="C1739" s="27">
        <v>46118</v>
      </c>
      <c r="D1739" s="27">
        <v>46118</v>
      </c>
      <c r="E1739" s="26" t="s">
        <v>26</v>
      </c>
      <c r="F1739" s="26" t="s">
        <v>27</v>
      </c>
      <c r="G1739" s="26" t="s">
        <v>28</v>
      </c>
      <c r="H1739" s="26" t="s">
        <v>29</v>
      </c>
      <c r="I1739" s="26" t="s">
        <v>30</v>
      </c>
      <c r="J1739" s="26" t="s">
        <v>31</v>
      </c>
      <c r="K1739" s="26" t="s">
        <v>32</v>
      </c>
      <c r="L1739" s="26" t="s">
        <v>1197</v>
      </c>
      <c r="M1739" s="26">
        <v>2</v>
      </c>
      <c r="N1739" s="26">
        <v>1</v>
      </c>
      <c r="O1739" s="28">
        <v>0.5</v>
      </c>
      <c r="P1739" s="26">
        <v>0.21</v>
      </c>
      <c r="Q1739" s="26">
        <v>0.21</v>
      </c>
      <c r="R1739" s="26">
        <v>0</v>
      </c>
      <c r="S1739" s="26"/>
      <c r="T1739" s="26">
        <v>0</v>
      </c>
      <c r="U1739" s="26">
        <v>0</v>
      </c>
      <c r="V1739" s="26">
        <v>0</v>
      </c>
      <c r="W1739" s="28">
        <v>0</v>
      </c>
      <c r="X1739" s="26">
        <v>0</v>
      </c>
      <c r="Y1739" s="26">
        <v>0</v>
      </c>
      <c r="Z1739" s="26">
        <v>0</v>
      </c>
      <c r="AA1739" s="26">
        <v>0</v>
      </c>
    </row>
    <row r="1740" spans="1:27" x14ac:dyDescent="0.2">
      <c r="A1740">
        <f t="shared" si="54"/>
        <v>4</v>
      </c>
      <c r="B1740">
        <f t="shared" si="55"/>
        <v>16</v>
      </c>
      <c r="C1740" s="27">
        <v>46125</v>
      </c>
      <c r="D1740" s="27">
        <v>46125</v>
      </c>
      <c r="E1740" s="26" t="s">
        <v>26</v>
      </c>
      <c r="F1740" s="26" t="s">
        <v>49</v>
      </c>
      <c r="G1740" s="26" t="s">
        <v>50</v>
      </c>
      <c r="H1740" s="26" t="s">
        <v>29</v>
      </c>
      <c r="I1740" s="26" t="s">
        <v>30</v>
      </c>
      <c r="J1740" s="26" t="s">
        <v>47</v>
      </c>
      <c r="K1740" s="26" t="s">
        <v>42</v>
      </c>
      <c r="L1740" s="26" t="s">
        <v>156</v>
      </c>
      <c r="M1740" s="26">
        <v>1</v>
      </c>
      <c r="N1740" s="26">
        <v>1</v>
      </c>
      <c r="O1740" s="28">
        <v>1</v>
      </c>
      <c r="P1740" s="26">
        <v>0.77</v>
      </c>
      <c r="Q1740" s="26">
        <v>0.77</v>
      </c>
      <c r="R1740" s="26">
        <v>0</v>
      </c>
      <c r="S1740" s="26"/>
      <c r="T1740" s="26">
        <v>0</v>
      </c>
      <c r="U1740" s="26">
        <v>0</v>
      </c>
      <c r="V1740" s="26">
        <v>0</v>
      </c>
      <c r="W1740" s="28">
        <v>0</v>
      </c>
      <c r="X1740" s="26">
        <v>0</v>
      </c>
      <c r="Y1740" s="26">
        <v>0</v>
      </c>
      <c r="Z1740" s="26">
        <v>0</v>
      </c>
      <c r="AA1740" s="26">
        <v>0</v>
      </c>
    </row>
    <row r="1741" spans="1:27" x14ac:dyDescent="0.2">
      <c r="A1741">
        <f t="shared" si="54"/>
        <v>4</v>
      </c>
      <c r="B1741">
        <f t="shared" si="55"/>
        <v>16</v>
      </c>
      <c r="C1741" s="27">
        <v>46124</v>
      </c>
      <c r="D1741" s="27">
        <v>46124</v>
      </c>
      <c r="E1741" s="26" t="s">
        <v>26</v>
      </c>
      <c r="F1741" s="26" t="s">
        <v>27</v>
      </c>
      <c r="G1741" s="26" t="s">
        <v>28</v>
      </c>
      <c r="H1741" s="26" t="s">
        <v>29</v>
      </c>
      <c r="I1741" s="26" t="s">
        <v>30</v>
      </c>
      <c r="J1741" s="26" t="s">
        <v>156</v>
      </c>
      <c r="K1741" s="26" t="s">
        <v>32</v>
      </c>
      <c r="L1741" s="26" t="s">
        <v>156</v>
      </c>
      <c r="M1741" s="26">
        <v>1</v>
      </c>
      <c r="N1741" s="26">
        <v>1</v>
      </c>
      <c r="O1741" s="28">
        <v>1</v>
      </c>
      <c r="P1741" s="26">
        <v>0.4</v>
      </c>
      <c r="Q1741" s="26">
        <v>0.4</v>
      </c>
      <c r="R1741" s="26">
        <v>0</v>
      </c>
      <c r="S1741" s="26"/>
      <c r="T1741" s="26">
        <v>0</v>
      </c>
      <c r="U1741" s="26">
        <v>0</v>
      </c>
      <c r="V1741" s="26">
        <v>0</v>
      </c>
      <c r="W1741" s="28">
        <v>0</v>
      </c>
      <c r="X1741" s="26">
        <v>0</v>
      </c>
      <c r="Y1741" s="26">
        <v>0</v>
      </c>
      <c r="Z1741" s="26">
        <v>0</v>
      </c>
      <c r="AA1741" s="26">
        <v>0</v>
      </c>
    </row>
    <row r="1742" spans="1:27" x14ac:dyDescent="0.2">
      <c r="A1742">
        <f t="shared" si="54"/>
        <v>4</v>
      </c>
      <c r="B1742">
        <f t="shared" si="55"/>
        <v>17</v>
      </c>
      <c r="C1742" s="27">
        <v>46136</v>
      </c>
      <c r="D1742" s="27">
        <v>46136</v>
      </c>
      <c r="E1742" s="26" t="s">
        <v>26</v>
      </c>
      <c r="F1742" s="26" t="s">
        <v>49</v>
      </c>
      <c r="G1742" s="26" t="s">
        <v>50</v>
      </c>
      <c r="H1742" s="26" t="s">
        <v>29</v>
      </c>
      <c r="I1742" s="26" t="s">
        <v>30</v>
      </c>
      <c r="J1742" s="26" t="s">
        <v>47</v>
      </c>
      <c r="K1742" s="26" t="s">
        <v>42</v>
      </c>
      <c r="L1742" s="26" t="s">
        <v>1198</v>
      </c>
      <c r="M1742" s="26">
        <v>1</v>
      </c>
      <c r="N1742" s="26">
        <v>1</v>
      </c>
      <c r="O1742" s="28">
        <v>1</v>
      </c>
      <c r="P1742" s="26">
        <v>1</v>
      </c>
      <c r="Q1742" s="26">
        <v>1</v>
      </c>
      <c r="R1742" s="26">
        <v>0</v>
      </c>
      <c r="S1742" s="26"/>
      <c r="T1742" s="26">
        <v>0</v>
      </c>
      <c r="U1742" s="26">
        <v>0</v>
      </c>
      <c r="V1742" s="26">
        <v>0</v>
      </c>
      <c r="W1742" s="28">
        <v>0</v>
      </c>
      <c r="X1742" s="26">
        <v>0</v>
      </c>
      <c r="Y1742" s="26">
        <v>0</v>
      </c>
      <c r="Z1742" s="26">
        <v>0</v>
      </c>
      <c r="AA1742" s="26">
        <v>0</v>
      </c>
    </row>
    <row r="1743" spans="1:27" x14ac:dyDescent="0.2">
      <c r="A1743">
        <f t="shared" si="54"/>
        <v>4</v>
      </c>
      <c r="B1743">
        <f t="shared" si="55"/>
        <v>16</v>
      </c>
      <c r="C1743" s="27">
        <v>46130</v>
      </c>
      <c r="D1743" s="27">
        <v>46130</v>
      </c>
      <c r="E1743" s="26" t="s">
        <v>26</v>
      </c>
      <c r="F1743" s="26" t="s">
        <v>49</v>
      </c>
      <c r="G1743" s="26" t="s">
        <v>50</v>
      </c>
      <c r="H1743" s="26" t="s">
        <v>29</v>
      </c>
      <c r="I1743" s="26" t="s">
        <v>30</v>
      </c>
      <c r="J1743" s="26" t="s">
        <v>47</v>
      </c>
      <c r="K1743" s="26" t="s">
        <v>42</v>
      </c>
      <c r="L1743" s="26" t="s">
        <v>1199</v>
      </c>
      <c r="M1743" s="26">
        <v>4</v>
      </c>
      <c r="N1743" s="26">
        <v>1</v>
      </c>
      <c r="O1743" s="28">
        <v>0.25</v>
      </c>
      <c r="P1743" s="26">
        <v>0.72</v>
      </c>
      <c r="Q1743" s="26">
        <v>0.72</v>
      </c>
      <c r="R1743" s="26">
        <v>0</v>
      </c>
      <c r="S1743" s="26"/>
      <c r="T1743" s="26">
        <v>0</v>
      </c>
      <c r="U1743" s="26">
        <v>0</v>
      </c>
      <c r="V1743" s="26">
        <v>0</v>
      </c>
      <c r="W1743" s="28">
        <v>0</v>
      </c>
      <c r="X1743" s="26">
        <v>0</v>
      </c>
      <c r="Y1743" s="26">
        <v>0</v>
      </c>
      <c r="Z1743" s="26">
        <v>0</v>
      </c>
      <c r="AA1743" s="26">
        <v>0</v>
      </c>
    </row>
    <row r="1744" spans="1:27" x14ac:dyDescent="0.2">
      <c r="A1744">
        <f t="shared" si="54"/>
        <v>4</v>
      </c>
      <c r="B1744">
        <f t="shared" si="55"/>
        <v>16</v>
      </c>
      <c r="C1744" s="27">
        <v>46124</v>
      </c>
      <c r="D1744" s="27">
        <v>46124</v>
      </c>
      <c r="E1744" s="26" t="s">
        <v>26</v>
      </c>
      <c r="F1744" s="26" t="s">
        <v>27</v>
      </c>
      <c r="G1744" s="26" t="s">
        <v>124</v>
      </c>
      <c r="H1744" s="26" t="s">
        <v>29</v>
      </c>
      <c r="I1744" s="26" t="s">
        <v>30</v>
      </c>
      <c r="J1744" s="26" t="s">
        <v>144</v>
      </c>
      <c r="K1744" s="26" t="s">
        <v>87</v>
      </c>
      <c r="L1744" s="26" t="s">
        <v>1200</v>
      </c>
      <c r="M1744" s="26">
        <v>1</v>
      </c>
      <c r="N1744" s="26">
        <v>1</v>
      </c>
      <c r="O1744" s="28">
        <v>1</v>
      </c>
      <c r="P1744" s="26">
        <v>0.4</v>
      </c>
      <c r="Q1744" s="26">
        <v>0.4</v>
      </c>
      <c r="R1744" s="26">
        <v>0</v>
      </c>
      <c r="S1744" s="26"/>
      <c r="T1744" s="26">
        <v>0</v>
      </c>
      <c r="U1744" s="26">
        <v>0</v>
      </c>
      <c r="V1744" s="26">
        <v>0</v>
      </c>
      <c r="W1744" s="28">
        <v>0</v>
      </c>
      <c r="X1744" s="26">
        <v>0</v>
      </c>
      <c r="Y1744" s="26">
        <v>0</v>
      </c>
      <c r="Z1744" s="26">
        <v>0</v>
      </c>
      <c r="AA1744" s="26">
        <v>0</v>
      </c>
    </row>
    <row r="1745" spans="1:27" x14ac:dyDescent="0.2">
      <c r="A1745">
        <f t="shared" si="54"/>
        <v>4</v>
      </c>
      <c r="B1745">
        <f t="shared" si="55"/>
        <v>16</v>
      </c>
      <c r="C1745" s="27">
        <v>46128</v>
      </c>
      <c r="D1745" s="27">
        <v>46128</v>
      </c>
      <c r="E1745" s="26" t="s">
        <v>26</v>
      </c>
      <c r="F1745" s="26" t="s">
        <v>27</v>
      </c>
      <c r="G1745" s="26" t="s">
        <v>28</v>
      </c>
      <c r="H1745" s="26" t="s">
        <v>29</v>
      </c>
      <c r="I1745" s="26" t="s">
        <v>30</v>
      </c>
      <c r="J1745" s="26" t="s">
        <v>31</v>
      </c>
      <c r="K1745" s="26" t="s">
        <v>32</v>
      </c>
      <c r="L1745" s="26" t="s">
        <v>1201</v>
      </c>
      <c r="M1745" s="26">
        <v>3</v>
      </c>
      <c r="N1745" s="26">
        <v>1</v>
      </c>
      <c r="O1745" s="28">
        <v>0.33333299999999999</v>
      </c>
      <c r="P1745" s="26">
        <v>0.4</v>
      </c>
      <c r="Q1745" s="26">
        <v>0.4</v>
      </c>
      <c r="R1745" s="26">
        <v>34.18</v>
      </c>
      <c r="S1745" s="28">
        <v>1.1703E-2</v>
      </c>
      <c r="T1745" s="26">
        <v>85.45</v>
      </c>
      <c r="U1745" s="26">
        <v>1</v>
      </c>
      <c r="V1745" s="26">
        <v>2</v>
      </c>
      <c r="W1745" s="28">
        <v>1</v>
      </c>
      <c r="X1745" s="26">
        <v>0</v>
      </c>
      <c r="Y1745" s="26">
        <v>2</v>
      </c>
      <c r="Z1745" s="26">
        <v>0</v>
      </c>
      <c r="AA1745" s="26">
        <v>34.18</v>
      </c>
    </row>
    <row r="1746" spans="1:27" x14ac:dyDescent="0.2">
      <c r="A1746">
        <f t="shared" si="54"/>
        <v>4</v>
      </c>
      <c r="B1746">
        <f t="shared" si="55"/>
        <v>15</v>
      </c>
      <c r="C1746" s="27">
        <v>46118</v>
      </c>
      <c r="D1746" s="27">
        <v>46118</v>
      </c>
      <c r="E1746" s="26" t="s">
        <v>26</v>
      </c>
      <c r="F1746" s="26" t="s">
        <v>27</v>
      </c>
      <c r="G1746" s="26" t="s">
        <v>124</v>
      </c>
      <c r="H1746" s="26" t="s">
        <v>29</v>
      </c>
      <c r="I1746" s="26" t="s">
        <v>30</v>
      </c>
      <c r="J1746" s="26" t="s">
        <v>253</v>
      </c>
      <c r="K1746" s="26" t="s">
        <v>87</v>
      </c>
      <c r="L1746" s="26" t="s">
        <v>1202</v>
      </c>
      <c r="M1746" s="26">
        <v>1</v>
      </c>
      <c r="N1746" s="26">
        <v>1</v>
      </c>
      <c r="O1746" s="28">
        <v>1</v>
      </c>
      <c r="P1746" s="26">
        <v>0.4</v>
      </c>
      <c r="Q1746" s="26">
        <v>0.4</v>
      </c>
      <c r="R1746" s="26">
        <v>0</v>
      </c>
      <c r="S1746" s="26"/>
      <c r="T1746" s="26">
        <v>0</v>
      </c>
      <c r="U1746" s="26">
        <v>0</v>
      </c>
      <c r="V1746" s="26">
        <v>0</v>
      </c>
      <c r="W1746" s="28">
        <v>0</v>
      </c>
      <c r="X1746" s="26">
        <v>0</v>
      </c>
      <c r="Y1746" s="26">
        <v>0</v>
      </c>
      <c r="Z1746" s="26">
        <v>0</v>
      </c>
      <c r="AA1746" s="26">
        <v>0</v>
      </c>
    </row>
    <row r="1747" spans="1:27" x14ac:dyDescent="0.2">
      <c r="A1747">
        <f t="shared" si="54"/>
        <v>4</v>
      </c>
      <c r="B1747">
        <f t="shared" si="55"/>
        <v>14</v>
      </c>
      <c r="C1747" s="27">
        <v>46114</v>
      </c>
      <c r="D1747" s="27">
        <v>46114</v>
      </c>
      <c r="E1747" s="26" t="s">
        <v>26</v>
      </c>
      <c r="F1747" s="26" t="s">
        <v>27</v>
      </c>
      <c r="G1747" s="26" t="s">
        <v>28</v>
      </c>
      <c r="H1747" s="26" t="s">
        <v>29</v>
      </c>
      <c r="I1747" s="26" t="s">
        <v>30</v>
      </c>
      <c r="J1747" s="26" t="s">
        <v>154</v>
      </c>
      <c r="K1747" s="26" t="s">
        <v>32</v>
      </c>
      <c r="L1747" s="26" t="s">
        <v>1203</v>
      </c>
      <c r="M1747" s="26">
        <v>1</v>
      </c>
      <c r="N1747" s="26">
        <v>1</v>
      </c>
      <c r="O1747" s="28">
        <v>1</v>
      </c>
      <c r="P1747" s="26">
        <v>0.28999999999999998</v>
      </c>
      <c r="Q1747" s="26">
        <v>0.28999999999999998</v>
      </c>
      <c r="R1747" s="26">
        <v>0</v>
      </c>
      <c r="S1747" s="26"/>
      <c r="T1747" s="26">
        <v>0</v>
      </c>
      <c r="U1747" s="26">
        <v>0</v>
      </c>
      <c r="V1747" s="26">
        <v>0</v>
      </c>
      <c r="W1747" s="28">
        <v>0</v>
      </c>
      <c r="X1747" s="26">
        <v>0</v>
      </c>
      <c r="Y1747" s="26">
        <v>0</v>
      </c>
      <c r="Z1747" s="26">
        <v>0</v>
      </c>
      <c r="AA1747" s="26">
        <v>0</v>
      </c>
    </row>
    <row r="1748" spans="1:27" x14ac:dyDescent="0.2">
      <c r="A1748">
        <f t="shared" si="54"/>
        <v>4</v>
      </c>
      <c r="B1748">
        <f t="shared" si="55"/>
        <v>16</v>
      </c>
      <c r="C1748" s="27">
        <v>46128</v>
      </c>
      <c r="D1748" s="27">
        <v>46128</v>
      </c>
      <c r="E1748" s="26" t="s">
        <v>26</v>
      </c>
      <c r="F1748" s="26" t="s">
        <v>27</v>
      </c>
      <c r="G1748" s="26" t="s">
        <v>28</v>
      </c>
      <c r="H1748" s="26" t="s">
        <v>29</v>
      </c>
      <c r="I1748" s="26" t="s">
        <v>30</v>
      </c>
      <c r="J1748" s="26" t="s">
        <v>119</v>
      </c>
      <c r="K1748" s="26" t="s">
        <v>32</v>
      </c>
      <c r="L1748" s="26" t="s">
        <v>1204</v>
      </c>
      <c r="M1748" s="26">
        <v>2</v>
      </c>
      <c r="N1748" s="26">
        <v>1</v>
      </c>
      <c r="O1748" s="28">
        <v>0.5</v>
      </c>
      <c r="P1748" s="26">
        <v>0.16</v>
      </c>
      <c r="Q1748" s="26">
        <v>0.16</v>
      </c>
      <c r="R1748" s="26">
        <v>0</v>
      </c>
      <c r="S1748" s="26"/>
      <c r="T1748" s="26">
        <v>0</v>
      </c>
      <c r="U1748" s="26">
        <v>0</v>
      </c>
      <c r="V1748" s="26">
        <v>0</v>
      </c>
      <c r="W1748" s="28">
        <v>0</v>
      </c>
      <c r="X1748" s="26">
        <v>0</v>
      </c>
      <c r="Y1748" s="26">
        <v>0</v>
      </c>
      <c r="Z1748" s="26">
        <v>0</v>
      </c>
      <c r="AA1748" s="26">
        <v>0</v>
      </c>
    </row>
    <row r="1749" spans="1:27" x14ac:dyDescent="0.2">
      <c r="A1749">
        <f t="shared" si="54"/>
        <v>4</v>
      </c>
      <c r="B1749">
        <f t="shared" si="55"/>
        <v>16</v>
      </c>
      <c r="C1749" s="27">
        <v>46130</v>
      </c>
      <c r="D1749" s="27">
        <v>46130</v>
      </c>
      <c r="E1749" s="26" t="s">
        <v>26</v>
      </c>
      <c r="F1749" s="26" t="s">
        <v>1130</v>
      </c>
      <c r="G1749" s="26" t="s">
        <v>54</v>
      </c>
      <c r="H1749" s="26" t="s">
        <v>29</v>
      </c>
      <c r="I1749" s="26" t="s">
        <v>30</v>
      </c>
      <c r="J1749" s="26" t="s">
        <v>95</v>
      </c>
      <c r="K1749" s="26" t="s">
        <v>42</v>
      </c>
      <c r="L1749" s="26" t="s">
        <v>1205</v>
      </c>
      <c r="M1749" s="26">
        <v>1</v>
      </c>
      <c r="N1749" s="26">
        <v>1</v>
      </c>
      <c r="O1749" s="28">
        <v>1</v>
      </c>
      <c r="P1749" s="26">
        <v>0.11</v>
      </c>
      <c r="Q1749" s="26">
        <v>0.11</v>
      </c>
      <c r="R1749" s="26">
        <v>0</v>
      </c>
      <c r="S1749" s="26"/>
      <c r="T1749" s="26">
        <v>0</v>
      </c>
      <c r="U1749" s="26">
        <v>0</v>
      </c>
      <c r="V1749" s="26">
        <v>0</v>
      </c>
      <c r="W1749" s="28">
        <v>0</v>
      </c>
      <c r="X1749" s="26">
        <v>0</v>
      </c>
      <c r="Y1749" s="26">
        <v>0</v>
      </c>
      <c r="Z1749" s="26">
        <v>0</v>
      </c>
      <c r="AA1749" s="26">
        <v>0</v>
      </c>
    </row>
    <row r="1750" spans="1:27" x14ac:dyDescent="0.2">
      <c r="A1750">
        <f t="shared" si="54"/>
        <v>4</v>
      </c>
      <c r="B1750">
        <f t="shared" si="55"/>
        <v>15</v>
      </c>
      <c r="C1750" s="27">
        <v>46123</v>
      </c>
      <c r="D1750" s="27">
        <v>46129</v>
      </c>
      <c r="E1750" s="26" t="s">
        <v>26</v>
      </c>
      <c r="F1750" s="26" t="s">
        <v>27</v>
      </c>
      <c r="G1750" s="26" t="s">
        <v>28</v>
      </c>
      <c r="H1750" s="26" t="s">
        <v>29</v>
      </c>
      <c r="I1750" s="26" t="s">
        <v>30</v>
      </c>
      <c r="J1750" s="26" t="s">
        <v>119</v>
      </c>
      <c r="K1750" s="26" t="s">
        <v>32</v>
      </c>
      <c r="L1750" s="26" t="s">
        <v>1206</v>
      </c>
      <c r="M1750" s="26">
        <v>4</v>
      </c>
      <c r="N1750" s="26">
        <v>2</v>
      </c>
      <c r="O1750" s="28">
        <v>0.5</v>
      </c>
      <c r="P1750" s="26">
        <v>0.16</v>
      </c>
      <c r="Q1750" s="26">
        <v>0.31</v>
      </c>
      <c r="R1750" s="26">
        <v>0</v>
      </c>
      <c r="S1750" s="26"/>
      <c r="T1750" s="26">
        <v>0</v>
      </c>
      <c r="U1750" s="26">
        <v>0</v>
      </c>
      <c r="V1750" s="26">
        <v>0</v>
      </c>
      <c r="W1750" s="28">
        <v>0</v>
      </c>
      <c r="X1750" s="26">
        <v>0</v>
      </c>
      <c r="Y1750" s="26">
        <v>0</v>
      </c>
      <c r="Z1750" s="26">
        <v>0</v>
      </c>
      <c r="AA1750" s="26">
        <v>0</v>
      </c>
    </row>
    <row r="1751" spans="1:27" x14ac:dyDescent="0.2">
      <c r="A1751">
        <f t="shared" ref="A1751:A1814" si="56">MONTH(C1751)</f>
        <v>4</v>
      </c>
      <c r="B1751">
        <f t="shared" ref="B1751:B1814" si="57">WEEKNUM(C1751,1)</f>
        <v>15</v>
      </c>
      <c r="C1751" s="27">
        <v>46120</v>
      </c>
      <c r="D1751" s="27">
        <v>46120</v>
      </c>
      <c r="E1751" s="26" t="s">
        <v>26</v>
      </c>
      <c r="F1751" s="26" t="s">
        <v>61</v>
      </c>
      <c r="G1751" s="26" t="s">
        <v>62</v>
      </c>
      <c r="H1751" s="26" t="s">
        <v>29</v>
      </c>
      <c r="I1751" s="26" t="s">
        <v>30</v>
      </c>
      <c r="J1751" s="26" t="s">
        <v>95</v>
      </c>
      <c r="K1751" s="26" t="s">
        <v>42</v>
      </c>
      <c r="L1751" s="26" t="s">
        <v>1207</v>
      </c>
      <c r="M1751" s="26">
        <v>2</v>
      </c>
      <c r="N1751" s="26">
        <v>1</v>
      </c>
      <c r="O1751" s="28">
        <v>0.5</v>
      </c>
      <c r="P1751" s="26">
        <v>1.55</v>
      </c>
      <c r="Q1751" s="26">
        <v>1.55</v>
      </c>
      <c r="R1751" s="26">
        <v>0</v>
      </c>
      <c r="S1751" s="26"/>
      <c r="T1751" s="26">
        <v>0</v>
      </c>
      <c r="U1751" s="26">
        <v>0</v>
      </c>
      <c r="V1751" s="26">
        <v>0</v>
      </c>
      <c r="W1751" s="28">
        <v>0</v>
      </c>
      <c r="X1751" s="26">
        <v>0</v>
      </c>
      <c r="Y1751" s="26">
        <v>0</v>
      </c>
      <c r="Z1751" s="26">
        <v>0</v>
      </c>
      <c r="AA1751" s="26">
        <v>0</v>
      </c>
    </row>
    <row r="1752" spans="1:27" x14ac:dyDescent="0.2">
      <c r="A1752">
        <f t="shared" si="56"/>
        <v>4</v>
      </c>
      <c r="B1752">
        <f t="shared" si="57"/>
        <v>16</v>
      </c>
      <c r="C1752" s="27">
        <v>46124</v>
      </c>
      <c r="D1752" s="27">
        <v>46124</v>
      </c>
      <c r="E1752" s="26" t="s">
        <v>26</v>
      </c>
      <c r="F1752" s="26" t="s">
        <v>61</v>
      </c>
      <c r="G1752" s="26" t="s">
        <v>62</v>
      </c>
      <c r="H1752" s="26" t="s">
        <v>29</v>
      </c>
      <c r="I1752" s="26" t="s">
        <v>30</v>
      </c>
      <c r="J1752" s="26" t="s">
        <v>95</v>
      </c>
      <c r="K1752" s="26" t="s">
        <v>42</v>
      </c>
      <c r="L1752" s="26" t="s">
        <v>1208</v>
      </c>
      <c r="M1752" s="26">
        <v>3</v>
      </c>
      <c r="N1752" s="26">
        <v>1</v>
      </c>
      <c r="O1752" s="28">
        <v>0.33333299999999999</v>
      </c>
      <c r="P1752" s="26">
        <v>1.42</v>
      </c>
      <c r="Q1752" s="26">
        <v>1.42</v>
      </c>
      <c r="R1752" s="26">
        <v>0</v>
      </c>
      <c r="S1752" s="26"/>
      <c r="T1752" s="26">
        <v>0</v>
      </c>
      <c r="U1752" s="26">
        <v>0</v>
      </c>
      <c r="V1752" s="26">
        <v>0</v>
      </c>
      <c r="W1752" s="28">
        <v>0</v>
      </c>
      <c r="X1752" s="26">
        <v>0</v>
      </c>
      <c r="Y1752" s="26">
        <v>0</v>
      </c>
      <c r="Z1752" s="26">
        <v>0</v>
      </c>
      <c r="AA1752" s="26">
        <v>0</v>
      </c>
    </row>
    <row r="1753" spans="1:27" x14ac:dyDescent="0.2">
      <c r="A1753">
        <f t="shared" si="56"/>
        <v>4</v>
      </c>
      <c r="B1753">
        <f t="shared" si="57"/>
        <v>18</v>
      </c>
      <c r="C1753" s="27">
        <v>46141</v>
      </c>
      <c r="D1753" s="27">
        <v>46141</v>
      </c>
      <c r="E1753" s="26" t="s">
        <v>26</v>
      </c>
      <c r="F1753" s="26" t="s">
        <v>27</v>
      </c>
      <c r="G1753" s="26" t="s">
        <v>28</v>
      </c>
      <c r="H1753" s="26" t="s">
        <v>29</v>
      </c>
      <c r="I1753" s="26" t="s">
        <v>30</v>
      </c>
      <c r="J1753" s="26" t="s">
        <v>31</v>
      </c>
      <c r="K1753" s="26" t="s">
        <v>32</v>
      </c>
      <c r="L1753" s="26" t="s">
        <v>1209</v>
      </c>
      <c r="M1753" s="26">
        <v>4</v>
      </c>
      <c r="N1753" s="26">
        <v>1</v>
      </c>
      <c r="O1753" s="28">
        <v>0.25</v>
      </c>
      <c r="P1753" s="26">
        <v>0.21</v>
      </c>
      <c r="Q1753" s="26">
        <v>0.21</v>
      </c>
      <c r="R1753" s="26">
        <v>0</v>
      </c>
      <c r="S1753" s="26"/>
      <c r="T1753" s="26">
        <v>0</v>
      </c>
      <c r="U1753" s="26">
        <v>0</v>
      </c>
      <c r="V1753" s="26">
        <v>0</v>
      </c>
      <c r="W1753" s="28">
        <v>0</v>
      </c>
      <c r="X1753" s="26">
        <v>0</v>
      </c>
      <c r="Y1753" s="26">
        <v>0</v>
      </c>
      <c r="Z1753" s="26">
        <v>0</v>
      </c>
      <c r="AA1753" s="26">
        <v>0</v>
      </c>
    </row>
    <row r="1754" spans="1:27" x14ac:dyDescent="0.2">
      <c r="A1754">
        <f t="shared" si="56"/>
        <v>4</v>
      </c>
      <c r="B1754">
        <f t="shared" si="57"/>
        <v>16</v>
      </c>
      <c r="C1754" s="27">
        <v>46124</v>
      </c>
      <c r="D1754" s="27">
        <v>46133</v>
      </c>
      <c r="E1754" s="26" t="s">
        <v>26</v>
      </c>
      <c r="F1754" s="26" t="s">
        <v>27</v>
      </c>
      <c r="G1754" s="26" t="s">
        <v>28</v>
      </c>
      <c r="H1754" s="26" t="s">
        <v>29</v>
      </c>
      <c r="I1754" s="26" t="s">
        <v>30</v>
      </c>
      <c r="J1754" s="26" t="s">
        <v>31</v>
      </c>
      <c r="K1754" s="26" t="s">
        <v>32</v>
      </c>
      <c r="L1754" s="26" t="s">
        <v>1210</v>
      </c>
      <c r="M1754" s="26">
        <v>2</v>
      </c>
      <c r="N1754" s="26">
        <v>2</v>
      </c>
      <c r="O1754" s="28">
        <v>1</v>
      </c>
      <c r="P1754" s="26">
        <v>0.21</v>
      </c>
      <c r="Q1754" s="26">
        <v>0.41</v>
      </c>
      <c r="R1754" s="26">
        <v>0</v>
      </c>
      <c r="S1754" s="26"/>
      <c r="T1754" s="26">
        <v>0</v>
      </c>
      <c r="U1754" s="26">
        <v>0</v>
      </c>
      <c r="V1754" s="26">
        <v>0</v>
      </c>
      <c r="W1754" s="28">
        <v>0</v>
      </c>
      <c r="X1754" s="26">
        <v>0</v>
      </c>
      <c r="Y1754" s="26">
        <v>0</v>
      </c>
      <c r="Z1754" s="26">
        <v>0</v>
      </c>
      <c r="AA1754" s="26">
        <v>0</v>
      </c>
    </row>
    <row r="1755" spans="1:27" x14ac:dyDescent="0.2">
      <c r="A1755">
        <f t="shared" si="56"/>
        <v>4</v>
      </c>
      <c r="B1755">
        <f t="shared" si="57"/>
        <v>16</v>
      </c>
      <c r="C1755" s="27">
        <v>46125</v>
      </c>
      <c r="D1755" s="27">
        <v>46125</v>
      </c>
      <c r="E1755" s="26" t="s">
        <v>26</v>
      </c>
      <c r="F1755" s="26" t="s">
        <v>61</v>
      </c>
      <c r="G1755" s="26" t="s">
        <v>62</v>
      </c>
      <c r="H1755" s="26" t="s">
        <v>29</v>
      </c>
      <c r="I1755" s="26" t="s">
        <v>30</v>
      </c>
      <c r="J1755" s="26" t="s">
        <v>95</v>
      </c>
      <c r="K1755" s="26" t="s">
        <v>42</v>
      </c>
      <c r="L1755" s="26" t="s">
        <v>1211</v>
      </c>
      <c r="M1755" s="26">
        <v>1</v>
      </c>
      <c r="N1755" s="26">
        <v>1</v>
      </c>
      <c r="O1755" s="28">
        <v>1</v>
      </c>
      <c r="P1755" s="26">
        <v>1.67</v>
      </c>
      <c r="Q1755" s="26">
        <v>1.67</v>
      </c>
      <c r="R1755" s="26">
        <v>0</v>
      </c>
      <c r="S1755" s="26"/>
      <c r="T1755" s="26">
        <v>0</v>
      </c>
      <c r="U1755" s="26">
        <v>0</v>
      </c>
      <c r="V1755" s="26">
        <v>0</v>
      </c>
      <c r="W1755" s="28">
        <v>0</v>
      </c>
      <c r="X1755" s="26">
        <v>0</v>
      </c>
      <c r="Y1755" s="26">
        <v>0</v>
      </c>
      <c r="Z1755" s="26">
        <v>0</v>
      </c>
      <c r="AA1755" s="26">
        <v>0</v>
      </c>
    </row>
    <row r="1756" spans="1:27" x14ac:dyDescent="0.2">
      <c r="A1756">
        <f t="shared" si="56"/>
        <v>4</v>
      </c>
      <c r="B1756">
        <f t="shared" si="57"/>
        <v>14</v>
      </c>
      <c r="C1756" s="27">
        <v>46113</v>
      </c>
      <c r="D1756" s="27">
        <v>46141</v>
      </c>
      <c r="E1756" s="26" t="s">
        <v>26</v>
      </c>
      <c r="F1756" s="26" t="s">
        <v>27</v>
      </c>
      <c r="G1756" s="26" t="s">
        <v>28</v>
      </c>
      <c r="H1756" s="26" t="s">
        <v>29</v>
      </c>
      <c r="I1756" s="26" t="s">
        <v>30</v>
      </c>
      <c r="J1756" s="26" t="s">
        <v>119</v>
      </c>
      <c r="K1756" s="26" t="s">
        <v>32</v>
      </c>
      <c r="L1756" s="26" t="s">
        <v>165</v>
      </c>
      <c r="M1756" s="26">
        <v>3</v>
      </c>
      <c r="N1756" s="26">
        <v>2</v>
      </c>
      <c r="O1756" s="28">
        <v>0.66666700000000001</v>
      </c>
      <c r="P1756" s="26">
        <v>0.16</v>
      </c>
      <c r="Q1756" s="26">
        <v>0.32</v>
      </c>
      <c r="R1756" s="26">
        <v>0</v>
      </c>
      <c r="S1756" s="26"/>
      <c r="T1756" s="26">
        <v>0</v>
      </c>
      <c r="U1756" s="26">
        <v>0</v>
      </c>
      <c r="V1756" s="26">
        <v>0</v>
      </c>
      <c r="W1756" s="28">
        <v>0</v>
      </c>
      <c r="X1756" s="26">
        <v>0</v>
      </c>
      <c r="Y1756" s="26">
        <v>0</v>
      </c>
      <c r="Z1756" s="26">
        <v>0</v>
      </c>
      <c r="AA1756" s="26">
        <v>0</v>
      </c>
    </row>
    <row r="1757" spans="1:27" x14ac:dyDescent="0.2">
      <c r="A1757">
        <f t="shared" si="56"/>
        <v>4</v>
      </c>
      <c r="B1757">
        <f t="shared" si="57"/>
        <v>14</v>
      </c>
      <c r="C1757" s="27">
        <v>46116</v>
      </c>
      <c r="D1757" s="27">
        <v>46116</v>
      </c>
      <c r="E1757" s="26" t="s">
        <v>26</v>
      </c>
      <c r="F1757" s="26" t="s">
        <v>27</v>
      </c>
      <c r="G1757" s="26" t="s">
        <v>28</v>
      </c>
      <c r="H1757" s="26" t="s">
        <v>29</v>
      </c>
      <c r="I1757" s="26" t="s">
        <v>30</v>
      </c>
      <c r="J1757" s="26" t="s">
        <v>243</v>
      </c>
      <c r="K1757" s="26" t="s">
        <v>32</v>
      </c>
      <c r="L1757" s="26" t="s">
        <v>1212</v>
      </c>
      <c r="M1757" s="26">
        <v>1</v>
      </c>
      <c r="N1757" s="26">
        <v>1</v>
      </c>
      <c r="O1757" s="28">
        <v>1</v>
      </c>
      <c r="P1757" s="26">
        <v>0.2</v>
      </c>
      <c r="Q1757" s="26">
        <v>0.2</v>
      </c>
      <c r="R1757" s="26">
        <v>0</v>
      </c>
      <c r="S1757" s="26"/>
      <c r="T1757" s="26">
        <v>0</v>
      </c>
      <c r="U1757" s="26">
        <v>0</v>
      </c>
      <c r="V1757" s="26">
        <v>0</v>
      </c>
      <c r="W1757" s="28">
        <v>0</v>
      </c>
      <c r="X1757" s="26">
        <v>0</v>
      </c>
      <c r="Y1757" s="26">
        <v>0</v>
      </c>
      <c r="Z1757" s="26">
        <v>0</v>
      </c>
      <c r="AA1757" s="26">
        <v>0</v>
      </c>
    </row>
    <row r="1758" spans="1:27" x14ac:dyDescent="0.2">
      <c r="A1758">
        <f t="shared" si="56"/>
        <v>4</v>
      </c>
      <c r="B1758">
        <f t="shared" si="57"/>
        <v>17</v>
      </c>
      <c r="C1758" s="27">
        <v>46137</v>
      </c>
      <c r="D1758" s="27">
        <v>46137</v>
      </c>
      <c r="E1758" s="26" t="s">
        <v>26</v>
      </c>
      <c r="F1758" s="26" t="s">
        <v>27</v>
      </c>
      <c r="G1758" s="26" t="s">
        <v>124</v>
      </c>
      <c r="H1758" s="26" t="s">
        <v>29</v>
      </c>
      <c r="I1758" s="26" t="s">
        <v>30</v>
      </c>
      <c r="J1758" s="26" t="s">
        <v>101</v>
      </c>
      <c r="K1758" s="26" t="s">
        <v>87</v>
      </c>
      <c r="L1758" s="26" t="s">
        <v>1213</v>
      </c>
      <c r="M1758" s="26">
        <v>1</v>
      </c>
      <c r="N1758" s="26">
        <v>1</v>
      </c>
      <c r="O1758" s="28">
        <v>1</v>
      </c>
      <c r="P1758" s="26">
        <v>0.21</v>
      </c>
      <c r="Q1758" s="26">
        <v>0.21</v>
      </c>
      <c r="R1758" s="26">
        <v>0</v>
      </c>
      <c r="S1758" s="26"/>
      <c r="T1758" s="26">
        <v>0</v>
      </c>
      <c r="U1758" s="26">
        <v>0</v>
      </c>
      <c r="V1758" s="26">
        <v>0</v>
      </c>
      <c r="W1758" s="28">
        <v>0</v>
      </c>
      <c r="X1758" s="26">
        <v>0</v>
      </c>
      <c r="Y1758" s="26">
        <v>0</v>
      </c>
      <c r="Z1758" s="26">
        <v>0</v>
      </c>
      <c r="AA1758" s="26">
        <v>0</v>
      </c>
    </row>
    <row r="1759" spans="1:27" x14ac:dyDescent="0.2">
      <c r="A1759">
        <f t="shared" si="56"/>
        <v>4</v>
      </c>
      <c r="B1759">
        <f t="shared" si="57"/>
        <v>17</v>
      </c>
      <c r="C1759" s="27">
        <v>46134</v>
      </c>
      <c r="D1759" s="27">
        <v>46134</v>
      </c>
      <c r="E1759" s="26" t="s">
        <v>26</v>
      </c>
      <c r="F1759" s="26" t="s">
        <v>27</v>
      </c>
      <c r="G1759" s="26" t="s">
        <v>28</v>
      </c>
      <c r="H1759" s="26" t="s">
        <v>29</v>
      </c>
      <c r="I1759" s="26" t="s">
        <v>30</v>
      </c>
      <c r="J1759" s="26" t="s">
        <v>31</v>
      </c>
      <c r="K1759" s="26" t="s">
        <v>32</v>
      </c>
      <c r="L1759" s="26" t="s">
        <v>1214</v>
      </c>
      <c r="M1759" s="26">
        <v>1</v>
      </c>
      <c r="N1759" s="26">
        <v>1</v>
      </c>
      <c r="O1759" s="28">
        <v>1</v>
      </c>
      <c r="P1759" s="26">
        <v>0.21</v>
      </c>
      <c r="Q1759" s="26">
        <v>0.21</v>
      </c>
      <c r="R1759" s="26">
        <v>0</v>
      </c>
      <c r="S1759" s="26"/>
      <c r="T1759" s="26">
        <v>0</v>
      </c>
      <c r="U1759" s="26">
        <v>0</v>
      </c>
      <c r="V1759" s="26">
        <v>0</v>
      </c>
      <c r="W1759" s="28">
        <v>0</v>
      </c>
      <c r="X1759" s="26">
        <v>0</v>
      </c>
      <c r="Y1759" s="26">
        <v>0</v>
      </c>
      <c r="Z1759" s="26">
        <v>0</v>
      </c>
      <c r="AA1759" s="26">
        <v>0</v>
      </c>
    </row>
    <row r="1760" spans="1:27" x14ac:dyDescent="0.2">
      <c r="A1760">
        <f t="shared" si="56"/>
        <v>4</v>
      </c>
      <c r="B1760">
        <f t="shared" si="57"/>
        <v>17</v>
      </c>
      <c r="C1760" s="27">
        <v>46135</v>
      </c>
      <c r="D1760" s="27">
        <v>46135</v>
      </c>
      <c r="E1760" s="26" t="s">
        <v>26</v>
      </c>
      <c r="F1760" s="26" t="s">
        <v>49</v>
      </c>
      <c r="G1760" s="26" t="s">
        <v>50</v>
      </c>
      <c r="H1760" s="26" t="s">
        <v>29</v>
      </c>
      <c r="I1760" s="26" t="s">
        <v>30</v>
      </c>
      <c r="J1760" s="26" t="s">
        <v>95</v>
      </c>
      <c r="K1760" s="26" t="s">
        <v>42</v>
      </c>
      <c r="L1760" s="26" t="s">
        <v>911</v>
      </c>
      <c r="M1760" s="26">
        <v>1</v>
      </c>
      <c r="N1760" s="26">
        <v>1</v>
      </c>
      <c r="O1760" s="28">
        <v>1</v>
      </c>
      <c r="P1760" s="26">
        <v>0.51</v>
      </c>
      <c r="Q1760" s="26">
        <v>0.51</v>
      </c>
      <c r="R1760" s="26">
        <v>0</v>
      </c>
      <c r="S1760" s="26"/>
      <c r="T1760" s="26">
        <v>0</v>
      </c>
      <c r="U1760" s="26">
        <v>0</v>
      </c>
      <c r="V1760" s="26">
        <v>0</v>
      </c>
      <c r="W1760" s="28">
        <v>0</v>
      </c>
      <c r="X1760" s="26">
        <v>0</v>
      </c>
      <c r="Y1760" s="26">
        <v>0</v>
      </c>
      <c r="Z1760" s="26">
        <v>0</v>
      </c>
      <c r="AA1760" s="26">
        <v>0</v>
      </c>
    </row>
    <row r="1761" spans="1:27" x14ac:dyDescent="0.2">
      <c r="A1761">
        <f t="shared" si="56"/>
        <v>4</v>
      </c>
      <c r="B1761">
        <f t="shared" si="57"/>
        <v>16</v>
      </c>
      <c r="C1761" s="27">
        <v>46128</v>
      </c>
      <c r="D1761" s="27">
        <v>46131</v>
      </c>
      <c r="E1761" s="26" t="s">
        <v>26</v>
      </c>
      <c r="F1761" s="26" t="s">
        <v>27</v>
      </c>
      <c r="G1761" s="26" t="s">
        <v>28</v>
      </c>
      <c r="H1761" s="26" t="s">
        <v>29</v>
      </c>
      <c r="I1761" s="26" t="s">
        <v>30</v>
      </c>
      <c r="J1761" s="26" t="s">
        <v>119</v>
      </c>
      <c r="K1761" s="26" t="s">
        <v>32</v>
      </c>
      <c r="L1761" s="26" t="s">
        <v>474</v>
      </c>
      <c r="M1761" s="26">
        <v>4</v>
      </c>
      <c r="N1761" s="26">
        <v>2</v>
      </c>
      <c r="O1761" s="28">
        <v>0.5</v>
      </c>
      <c r="P1761" s="26">
        <v>0.16</v>
      </c>
      <c r="Q1761" s="26">
        <v>0.32</v>
      </c>
      <c r="R1761" s="26">
        <v>0</v>
      </c>
      <c r="S1761" s="26"/>
      <c r="T1761" s="26">
        <v>0</v>
      </c>
      <c r="U1761" s="26">
        <v>0</v>
      </c>
      <c r="V1761" s="26">
        <v>0</v>
      </c>
      <c r="W1761" s="28">
        <v>0</v>
      </c>
      <c r="X1761" s="26">
        <v>0</v>
      </c>
      <c r="Y1761" s="26">
        <v>0</v>
      </c>
      <c r="Z1761" s="26">
        <v>0</v>
      </c>
      <c r="AA1761" s="26">
        <v>0</v>
      </c>
    </row>
    <row r="1762" spans="1:27" x14ac:dyDescent="0.2">
      <c r="A1762">
        <f t="shared" si="56"/>
        <v>4</v>
      </c>
      <c r="B1762">
        <f t="shared" si="57"/>
        <v>15</v>
      </c>
      <c r="C1762" s="27">
        <v>46118</v>
      </c>
      <c r="D1762" s="27">
        <v>46118</v>
      </c>
      <c r="E1762" s="26" t="s">
        <v>26</v>
      </c>
      <c r="F1762" s="26" t="s">
        <v>27</v>
      </c>
      <c r="G1762" s="26" t="s">
        <v>124</v>
      </c>
      <c r="H1762" s="26" t="s">
        <v>29</v>
      </c>
      <c r="I1762" s="26" t="s">
        <v>30</v>
      </c>
      <c r="J1762" s="26" t="s">
        <v>253</v>
      </c>
      <c r="K1762" s="26" t="s">
        <v>87</v>
      </c>
      <c r="L1762" s="26" t="s">
        <v>1215</v>
      </c>
      <c r="M1762" s="26">
        <v>3</v>
      </c>
      <c r="N1762" s="26">
        <v>1</v>
      </c>
      <c r="O1762" s="28">
        <v>0.33333299999999999</v>
      </c>
      <c r="P1762" s="26">
        <v>0.2</v>
      </c>
      <c r="Q1762" s="26">
        <v>0.2</v>
      </c>
      <c r="R1762" s="26">
        <v>0</v>
      </c>
      <c r="S1762" s="26"/>
      <c r="T1762" s="26">
        <v>0</v>
      </c>
      <c r="U1762" s="26">
        <v>0</v>
      </c>
      <c r="V1762" s="26">
        <v>0</v>
      </c>
      <c r="W1762" s="28">
        <v>0</v>
      </c>
      <c r="X1762" s="26">
        <v>0</v>
      </c>
      <c r="Y1762" s="26">
        <v>0</v>
      </c>
      <c r="Z1762" s="26">
        <v>0</v>
      </c>
      <c r="AA1762" s="26">
        <v>0</v>
      </c>
    </row>
    <row r="1763" spans="1:27" x14ac:dyDescent="0.2">
      <c r="A1763">
        <f t="shared" si="56"/>
        <v>4</v>
      </c>
      <c r="B1763">
        <f t="shared" si="57"/>
        <v>16</v>
      </c>
      <c r="C1763" s="27">
        <v>46130</v>
      </c>
      <c r="D1763" s="27">
        <v>46130</v>
      </c>
      <c r="E1763" s="26" t="s">
        <v>26</v>
      </c>
      <c r="F1763" s="26" t="s">
        <v>27</v>
      </c>
      <c r="G1763" s="26" t="s">
        <v>28</v>
      </c>
      <c r="H1763" s="26" t="s">
        <v>29</v>
      </c>
      <c r="I1763" s="26" t="s">
        <v>30</v>
      </c>
      <c r="J1763" s="26" t="s">
        <v>50</v>
      </c>
      <c r="K1763" s="26" t="s">
        <v>32</v>
      </c>
      <c r="L1763" s="26" t="s">
        <v>1216</v>
      </c>
      <c r="M1763" s="26">
        <v>1</v>
      </c>
      <c r="N1763" s="26">
        <v>1</v>
      </c>
      <c r="O1763" s="28">
        <v>1</v>
      </c>
      <c r="P1763" s="26">
        <v>0.4</v>
      </c>
      <c r="Q1763" s="26">
        <v>0.4</v>
      </c>
      <c r="R1763" s="26">
        <v>0</v>
      </c>
      <c r="S1763" s="26"/>
      <c r="T1763" s="26">
        <v>0</v>
      </c>
      <c r="U1763" s="26">
        <v>0</v>
      </c>
      <c r="V1763" s="26">
        <v>0</v>
      </c>
      <c r="W1763" s="28">
        <v>0</v>
      </c>
      <c r="X1763" s="26">
        <v>0</v>
      </c>
      <c r="Y1763" s="26">
        <v>0</v>
      </c>
      <c r="Z1763" s="26">
        <v>0</v>
      </c>
      <c r="AA1763" s="26">
        <v>0</v>
      </c>
    </row>
    <row r="1764" spans="1:27" x14ac:dyDescent="0.2">
      <c r="A1764">
        <f t="shared" si="56"/>
        <v>4</v>
      </c>
      <c r="B1764">
        <f t="shared" si="57"/>
        <v>14</v>
      </c>
      <c r="C1764" s="27">
        <v>46116</v>
      </c>
      <c r="D1764" s="27">
        <v>46116</v>
      </c>
      <c r="E1764" s="26" t="s">
        <v>26</v>
      </c>
      <c r="F1764" s="26" t="s">
        <v>112</v>
      </c>
      <c r="G1764" s="26" t="s">
        <v>62</v>
      </c>
      <c r="H1764" s="26" t="s">
        <v>29</v>
      </c>
      <c r="I1764" s="26" t="s">
        <v>30</v>
      </c>
      <c r="J1764" s="26" t="s">
        <v>173</v>
      </c>
      <c r="K1764" s="26" t="s">
        <v>32</v>
      </c>
      <c r="L1764" s="26" t="s">
        <v>174</v>
      </c>
      <c r="M1764" s="26">
        <v>1</v>
      </c>
      <c r="N1764" s="26">
        <v>1</v>
      </c>
      <c r="O1764" s="28">
        <v>1</v>
      </c>
      <c r="P1764" s="26">
        <v>0.08</v>
      </c>
      <c r="Q1764" s="26">
        <v>0.08</v>
      </c>
      <c r="R1764" s="26">
        <v>0</v>
      </c>
      <c r="S1764" s="26"/>
      <c r="T1764" s="26">
        <v>0</v>
      </c>
      <c r="U1764" s="26">
        <v>0</v>
      </c>
      <c r="V1764" s="26">
        <v>0</v>
      </c>
      <c r="W1764" s="28">
        <v>0</v>
      </c>
      <c r="X1764" s="26">
        <v>0</v>
      </c>
      <c r="Y1764" s="26">
        <v>0</v>
      </c>
      <c r="Z1764" s="26">
        <v>0</v>
      </c>
      <c r="AA1764" s="26">
        <v>0</v>
      </c>
    </row>
    <row r="1765" spans="1:27" x14ac:dyDescent="0.2">
      <c r="A1765">
        <f t="shared" si="56"/>
        <v>4</v>
      </c>
      <c r="B1765">
        <f t="shared" si="57"/>
        <v>18</v>
      </c>
      <c r="C1765" s="27">
        <v>46139</v>
      </c>
      <c r="D1765" s="27">
        <v>46139</v>
      </c>
      <c r="E1765" s="26" t="s">
        <v>26</v>
      </c>
      <c r="F1765" s="26" t="s">
        <v>61</v>
      </c>
      <c r="G1765" s="26" t="s">
        <v>62</v>
      </c>
      <c r="H1765" s="26" t="s">
        <v>29</v>
      </c>
      <c r="I1765" s="26" t="s">
        <v>30</v>
      </c>
      <c r="J1765" s="26" t="s">
        <v>95</v>
      </c>
      <c r="K1765" s="26" t="s">
        <v>42</v>
      </c>
      <c r="L1765" s="26" t="s">
        <v>1217</v>
      </c>
      <c r="M1765" s="26">
        <v>2</v>
      </c>
      <c r="N1765" s="26">
        <v>1</v>
      </c>
      <c r="O1765" s="28">
        <v>0.5</v>
      </c>
      <c r="P1765" s="26">
        <v>1.56</v>
      </c>
      <c r="Q1765" s="26">
        <v>1.56</v>
      </c>
      <c r="R1765" s="26">
        <v>0</v>
      </c>
      <c r="S1765" s="26"/>
      <c r="T1765" s="26">
        <v>0</v>
      </c>
      <c r="U1765" s="26">
        <v>0</v>
      </c>
      <c r="V1765" s="26">
        <v>0</v>
      </c>
      <c r="W1765" s="28">
        <v>0</v>
      </c>
      <c r="X1765" s="26">
        <v>0</v>
      </c>
      <c r="Y1765" s="26">
        <v>0</v>
      </c>
      <c r="Z1765" s="26">
        <v>0</v>
      </c>
      <c r="AA1765" s="26">
        <v>0</v>
      </c>
    </row>
    <row r="1766" spans="1:27" x14ac:dyDescent="0.2">
      <c r="A1766">
        <f t="shared" si="56"/>
        <v>4</v>
      </c>
      <c r="B1766">
        <f t="shared" si="57"/>
        <v>16</v>
      </c>
      <c r="C1766" s="27">
        <v>46127</v>
      </c>
      <c r="D1766" s="27">
        <v>46127</v>
      </c>
      <c r="E1766" s="26" t="s">
        <v>26</v>
      </c>
      <c r="F1766" s="26" t="s">
        <v>61</v>
      </c>
      <c r="G1766" s="26" t="s">
        <v>62</v>
      </c>
      <c r="H1766" s="26" t="s">
        <v>29</v>
      </c>
      <c r="I1766" s="26" t="s">
        <v>30</v>
      </c>
      <c r="J1766" s="26" t="s">
        <v>47</v>
      </c>
      <c r="K1766" s="26" t="s">
        <v>42</v>
      </c>
      <c r="L1766" s="26" t="s">
        <v>1218</v>
      </c>
      <c r="M1766" s="26">
        <v>1</v>
      </c>
      <c r="N1766" s="26">
        <v>1</v>
      </c>
      <c r="O1766" s="28">
        <v>1</v>
      </c>
      <c r="P1766" s="26">
        <v>1.79</v>
      </c>
      <c r="Q1766" s="26">
        <v>1.79</v>
      </c>
      <c r="R1766" s="26">
        <v>0</v>
      </c>
      <c r="S1766" s="26"/>
      <c r="T1766" s="26">
        <v>0</v>
      </c>
      <c r="U1766" s="26">
        <v>0</v>
      </c>
      <c r="V1766" s="26">
        <v>0</v>
      </c>
      <c r="W1766" s="28">
        <v>0</v>
      </c>
      <c r="X1766" s="26">
        <v>0</v>
      </c>
      <c r="Y1766" s="26">
        <v>0</v>
      </c>
      <c r="Z1766" s="26">
        <v>0</v>
      </c>
      <c r="AA1766" s="26">
        <v>0</v>
      </c>
    </row>
    <row r="1767" spans="1:27" x14ac:dyDescent="0.2">
      <c r="A1767">
        <f t="shared" si="56"/>
        <v>4</v>
      </c>
      <c r="B1767">
        <f t="shared" si="57"/>
        <v>15</v>
      </c>
      <c r="C1767" s="27">
        <v>46121</v>
      </c>
      <c r="D1767" s="27">
        <v>46121</v>
      </c>
      <c r="E1767" s="26" t="s">
        <v>26</v>
      </c>
      <c r="F1767" s="26" t="s">
        <v>61</v>
      </c>
      <c r="G1767" s="26" t="s">
        <v>62</v>
      </c>
      <c r="H1767" s="26" t="s">
        <v>29</v>
      </c>
      <c r="I1767" s="26" t="s">
        <v>30</v>
      </c>
      <c r="J1767" s="26" t="s">
        <v>47</v>
      </c>
      <c r="K1767" s="26" t="s">
        <v>42</v>
      </c>
      <c r="L1767" s="26" t="s">
        <v>185</v>
      </c>
      <c r="M1767" s="26">
        <v>7</v>
      </c>
      <c r="N1767" s="26">
        <v>1</v>
      </c>
      <c r="O1767" s="28">
        <v>0.14285700000000001</v>
      </c>
      <c r="P1767" s="26">
        <v>1.81</v>
      </c>
      <c r="Q1767" s="26">
        <v>1.81</v>
      </c>
      <c r="R1767" s="26">
        <v>0</v>
      </c>
      <c r="S1767" s="26"/>
      <c r="T1767" s="26">
        <v>0</v>
      </c>
      <c r="U1767" s="26">
        <v>0</v>
      </c>
      <c r="V1767" s="26">
        <v>0</v>
      </c>
      <c r="W1767" s="28">
        <v>0</v>
      </c>
      <c r="X1767" s="26">
        <v>0</v>
      </c>
      <c r="Y1767" s="26">
        <v>0</v>
      </c>
      <c r="Z1767" s="26">
        <v>0</v>
      </c>
      <c r="AA1767" s="26">
        <v>0</v>
      </c>
    </row>
    <row r="1768" spans="1:27" x14ac:dyDescent="0.2">
      <c r="A1768">
        <f t="shared" si="56"/>
        <v>4</v>
      </c>
      <c r="B1768">
        <f t="shared" si="57"/>
        <v>15</v>
      </c>
      <c r="C1768" s="27">
        <v>46121</v>
      </c>
      <c r="D1768" s="27">
        <v>46121</v>
      </c>
      <c r="E1768" s="26" t="s">
        <v>26</v>
      </c>
      <c r="F1768" s="26" t="s">
        <v>61</v>
      </c>
      <c r="G1768" s="26" t="s">
        <v>62</v>
      </c>
      <c r="H1768" s="26" t="s">
        <v>29</v>
      </c>
      <c r="I1768" s="26" t="s">
        <v>30</v>
      </c>
      <c r="J1768" s="26" t="s">
        <v>95</v>
      </c>
      <c r="K1768" s="26" t="s">
        <v>42</v>
      </c>
      <c r="L1768" s="26" t="s">
        <v>1219</v>
      </c>
      <c r="M1768" s="26">
        <v>2</v>
      </c>
      <c r="N1768" s="26">
        <v>1</v>
      </c>
      <c r="O1768" s="28">
        <v>0.5</v>
      </c>
      <c r="P1768" s="26">
        <v>1.26</v>
      </c>
      <c r="Q1768" s="26">
        <v>1.26</v>
      </c>
      <c r="R1768" s="26">
        <v>0</v>
      </c>
      <c r="S1768" s="26"/>
      <c r="T1768" s="26">
        <v>0</v>
      </c>
      <c r="U1768" s="26">
        <v>0</v>
      </c>
      <c r="V1768" s="26">
        <v>0</v>
      </c>
      <c r="W1768" s="28">
        <v>0</v>
      </c>
      <c r="X1768" s="26">
        <v>0</v>
      </c>
      <c r="Y1768" s="26">
        <v>0</v>
      </c>
      <c r="Z1768" s="26">
        <v>0</v>
      </c>
      <c r="AA1768" s="26">
        <v>0</v>
      </c>
    </row>
    <row r="1769" spans="1:27" x14ac:dyDescent="0.2">
      <c r="A1769">
        <f t="shared" si="56"/>
        <v>4</v>
      </c>
      <c r="B1769">
        <f t="shared" si="57"/>
        <v>15</v>
      </c>
      <c r="C1769" s="27">
        <v>46118</v>
      </c>
      <c r="D1769" s="27">
        <v>46118</v>
      </c>
      <c r="E1769" s="26" t="s">
        <v>26</v>
      </c>
      <c r="F1769" s="26" t="s">
        <v>1130</v>
      </c>
      <c r="G1769" s="26" t="s">
        <v>54</v>
      </c>
      <c r="H1769" s="26" t="s">
        <v>29</v>
      </c>
      <c r="I1769" s="26" t="s">
        <v>30</v>
      </c>
      <c r="J1769" s="26" t="s">
        <v>47</v>
      </c>
      <c r="K1769" s="26" t="s">
        <v>42</v>
      </c>
      <c r="L1769" s="26" t="s">
        <v>1220</v>
      </c>
      <c r="M1769" s="26">
        <v>1</v>
      </c>
      <c r="N1769" s="26">
        <v>1</v>
      </c>
      <c r="O1769" s="28">
        <v>1</v>
      </c>
      <c r="P1769" s="26">
        <v>0.65</v>
      </c>
      <c r="Q1769" s="26">
        <v>0.65</v>
      </c>
      <c r="R1769" s="26">
        <v>0</v>
      </c>
      <c r="S1769" s="26"/>
      <c r="T1769" s="26">
        <v>0</v>
      </c>
      <c r="U1769" s="26">
        <v>0</v>
      </c>
      <c r="V1769" s="26">
        <v>0</v>
      </c>
      <c r="W1769" s="28">
        <v>0</v>
      </c>
      <c r="X1769" s="26">
        <v>0</v>
      </c>
      <c r="Y1769" s="26">
        <v>0</v>
      </c>
      <c r="Z1769" s="26">
        <v>0</v>
      </c>
      <c r="AA1769" s="26">
        <v>0</v>
      </c>
    </row>
    <row r="1770" spans="1:27" x14ac:dyDescent="0.2">
      <c r="A1770">
        <f t="shared" si="56"/>
        <v>4</v>
      </c>
      <c r="B1770">
        <f t="shared" si="57"/>
        <v>17</v>
      </c>
      <c r="C1770" s="27">
        <v>46136</v>
      </c>
      <c r="D1770" s="27">
        <v>46136</v>
      </c>
      <c r="E1770" s="26" t="s">
        <v>26</v>
      </c>
      <c r="F1770" s="26" t="s">
        <v>112</v>
      </c>
      <c r="G1770" s="26" t="s">
        <v>113</v>
      </c>
      <c r="H1770" s="26" t="s">
        <v>29</v>
      </c>
      <c r="I1770" s="26" t="s">
        <v>30</v>
      </c>
      <c r="J1770" s="26" t="s">
        <v>177</v>
      </c>
      <c r="K1770" s="26" t="s">
        <v>32</v>
      </c>
      <c r="L1770" s="26" t="s">
        <v>1221</v>
      </c>
      <c r="M1770" s="26">
        <v>1</v>
      </c>
      <c r="N1770" s="26">
        <v>1</v>
      </c>
      <c r="O1770" s="28">
        <v>1</v>
      </c>
      <c r="P1770" s="26">
        <v>2.34</v>
      </c>
      <c r="Q1770" s="26">
        <v>2.34</v>
      </c>
      <c r="R1770" s="26">
        <v>0</v>
      </c>
      <c r="S1770" s="26"/>
      <c r="T1770" s="26">
        <v>0</v>
      </c>
      <c r="U1770" s="26">
        <v>0</v>
      </c>
      <c r="V1770" s="26">
        <v>0</v>
      </c>
      <c r="W1770" s="28">
        <v>0</v>
      </c>
      <c r="X1770" s="26">
        <v>0</v>
      </c>
      <c r="Y1770" s="26">
        <v>0</v>
      </c>
      <c r="Z1770" s="26">
        <v>0</v>
      </c>
      <c r="AA1770" s="26">
        <v>0</v>
      </c>
    </row>
    <row r="1771" spans="1:27" x14ac:dyDescent="0.2">
      <c r="A1771">
        <f t="shared" si="56"/>
        <v>4</v>
      </c>
      <c r="B1771">
        <f t="shared" si="57"/>
        <v>17</v>
      </c>
      <c r="C1771" s="27">
        <v>46133</v>
      </c>
      <c r="D1771" s="27">
        <v>46133</v>
      </c>
      <c r="E1771" s="26" t="s">
        <v>26</v>
      </c>
      <c r="F1771" s="26" t="s">
        <v>112</v>
      </c>
      <c r="G1771" s="26" t="s">
        <v>113</v>
      </c>
      <c r="H1771" s="26" t="s">
        <v>29</v>
      </c>
      <c r="I1771" s="26" t="s">
        <v>30</v>
      </c>
      <c r="J1771" s="26" t="s">
        <v>177</v>
      </c>
      <c r="K1771" s="26" t="s">
        <v>32</v>
      </c>
      <c r="L1771" s="26" t="s">
        <v>1222</v>
      </c>
      <c r="M1771" s="26">
        <v>7</v>
      </c>
      <c r="N1771" s="26">
        <v>1</v>
      </c>
      <c r="O1771" s="28">
        <v>0.14285700000000001</v>
      </c>
      <c r="P1771" s="26">
        <v>2.0099999999999998</v>
      </c>
      <c r="Q1771" s="26">
        <v>2.0099999999999998</v>
      </c>
      <c r="R1771" s="26">
        <v>0</v>
      </c>
      <c r="S1771" s="26"/>
      <c r="T1771" s="26">
        <v>0</v>
      </c>
      <c r="U1771" s="26">
        <v>0</v>
      </c>
      <c r="V1771" s="26">
        <v>0</v>
      </c>
      <c r="W1771" s="28">
        <v>0</v>
      </c>
      <c r="X1771" s="26">
        <v>0</v>
      </c>
      <c r="Y1771" s="26">
        <v>0</v>
      </c>
      <c r="Z1771" s="26">
        <v>0</v>
      </c>
      <c r="AA1771" s="26">
        <v>0</v>
      </c>
    </row>
    <row r="1772" spans="1:27" x14ac:dyDescent="0.2">
      <c r="A1772">
        <f t="shared" si="56"/>
        <v>4</v>
      </c>
      <c r="B1772">
        <f t="shared" si="57"/>
        <v>14</v>
      </c>
      <c r="C1772" s="27">
        <v>46114</v>
      </c>
      <c r="D1772" s="27">
        <v>46114</v>
      </c>
      <c r="E1772" s="26" t="s">
        <v>26</v>
      </c>
      <c r="F1772" s="26" t="s">
        <v>1130</v>
      </c>
      <c r="G1772" s="26" t="s">
        <v>54</v>
      </c>
      <c r="H1772" s="26" t="s">
        <v>29</v>
      </c>
      <c r="I1772" s="26" t="s">
        <v>30</v>
      </c>
      <c r="J1772" s="26" t="s">
        <v>47</v>
      </c>
      <c r="K1772" s="26" t="s">
        <v>42</v>
      </c>
      <c r="L1772" s="26" t="s">
        <v>1223</v>
      </c>
      <c r="M1772" s="26">
        <v>1</v>
      </c>
      <c r="N1772" s="26">
        <v>1</v>
      </c>
      <c r="O1772" s="28">
        <v>1</v>
      </c>
      <c r="P1772" s="26">
        <v>0.9</v>
      </c>
      <c r="Q1772" s="26">
        <v>0.9</v>
      </c>
      <c r="R1772" s="26">
        <v>0</v>
      </c>
      <c r="S1772" s="26"/>
      <c r="T1772" s="26">
        <v>0</v>
      </c>
      <c r="U1772" s="26">
        <v>0</v>
      </c>
      <c r="V1772" s="26">
        <v>0</v>
      </c>
      <c r="W1772" s="28">
        <v>0</v>
      </c>
      <c r="X1772" s="26">
        <v>0</v>
      </c>
      <c r="Y1772" s="26">
        <v>0</v>
      </c>
      <c r="Z1772" s="26">
        <v>0</v>
      </c>
      <c r="AA1772" s="26">
        <v>0</v>
      </c>
    </row>
    <row r="1773" spans="1:27" x14ac:dyDescent="0.2">
      <c r="A1773">
        <f t="shared" si="56"/>
        <v>4</v>
      </c>
      <c r="B1773">
        <f t="shared" si="57"/>
        <v>17</v>
      </c>
      <c r="C1773" s="27">
        <v>46131</v>
      </c>
      <c r="D1773" s="27">
        <v>46131</v>
      </c>
      <c r="E1773" s="26" t="s">
        <v>26</v>
      </c>
      <c r="F1773" s="26" t="s">
        <v>1130</v>
      </c>
      <c r="G1773" s="26" t="s">
        <v>54</v>
      </c>
      <c r="H1773" s="26" t="s">
        <v>29</v>
      </c>
      <c r="I1773" s="26" t="s">
        <v>30</v>
      </c>
      <c r="J1773" s="26" t="s">
        <v>47</v>
      </c>
      <c r="K1773" s="26" t="s">
        <v>42</v>
      </c>
      <c r="L1773" s="26" t="s">
        <v>1224</v>
      </c>
      <c r="M1773" s="26">
        <v>1</v>
      </c>
      <c r="N1773" s="26">
        <v>1</v>
      </c>
      <c r="O1773" s="28">
        <v>1</v>
      </c>
      <c r="P1773" s="26">
        <v>0.65</v>
      </c>
      <c r="Q1773" s="26">
        <v>0.65</v>
      </c>
      <c r="R1773" s="26">
        <v>0</v>
      </c>
      <c r="S1773" s="26"/>
      <c r="T1773" s="26">
        <v>0</v>
      </c>
      <c r="U1773" s="26">
        <v>0</v>
      </c>
      <c r="V1773" s="26">
        <v>0</v>
      </c>
      <c r="W1773" s="28">
        <v>0</v>
      </c>
      <c r="X1773" s="26">
        <v>0</v>
      </c>
      <c r="Y1773" s="26">
        <v>0</v>
      </c>
      <c r="Z1773" s="26">
        <v>0</v>
      </c>
      <c r="AA1773" s="26">
        <v>0</v>
      </c>
    </row>
    <row r="1774" spans="1:27" x14ac:dyDescent="0.2">
      <c r="A1774">
        <f t="shared" si="56"/>
        <v>4</v>
      </c>
      <c r="B1774">
        <f t="shared" si="57"/>
        <v>17</v>
      </c>
      <c r="C1774" s="27">
        <v>46132</v>
      </c>
      <c r="D1774" s="27">
        <v>46132</v>
      </c>
      <c r="E1774" s="26" t="s">
        <v>26</v>
      </c>
      <c r="F1774" s="26" t="s">
        <v>61</v>
      </c>
      <c r="G1774" s="26" t="s">
        <v>62</v>
      </c>
      <c r="H1774" s="26" t="s">
        <v>29</v>
      </c>
      <c r="I1774" s="26" t="s">
        <v>30</v>
      </c>
      <c r="J1774" s="26" t="s">
        <v>47</v>
      </c>
      <c r="K1774" s="26" t="s">
        <v>42</v>
      </c>
      <c r="L1774" s="26" t="s">
        <v>1225</v>
      </c>
      <c r="M1774" s="26">
        <v>1</v>
      </c>
      <c r="N1774" s="26">
        <v>1</v>
      </c>
      <c r="O1774" s="28">
        <v>1</v>
      </c>
      <c r="P1774" s="26">
        <v>1.62</v>
      </c>
      <c r="Q1774" s="26">
        <v>1.62</v>
      </c>
      <c r="R1774" s="26">
        <v>0</v>
      </c>
      <c r="S1774" s="26"/>
      <c r="T1774" s="26">
        <v>0</v>
      </c>
      <c r="U1774" s="26">
        <v>0</v>
      </c>
      <c r="V1774" s="26">
        <v>0</v>
      </c>
      <c r="W1774" s="28">
        <v>0</v>
      </c>
      <c r="X1774" s="26">
        <v>0</v>
      </c>
      <c r="Y1774" s="26">
        <v>0</v>
      </c>
      <c r="Z1774" s="26">
        <v>0</v>
      </c>
      <c r="AA1774" s="26">
        <v>0</v>
      </c>
    </row>
    <row r="1775" spans="1:27" x14ac:dyDescent="0.2">
      <c r="A1775">
        <f t="shared" si="56"/>
        <v>4</v>
      </c>
      <c r="B1775">
        <f t="shared" si="57"/>
        <v>15</v>
      </c>
      <c r="C1775" s="27">
        <v>46122</v>
      </c>
      <c r="D1775" s="27">
        <v>46122</v>
      </c>
      <c r="E1775" s="26" t="s">
        <v>26</v>
      </c>
      <c r="F1775" s="26" t="s">
        <v>39</v>
      </c>
      <c r="G1775" s="26" t="s">
        <v>40</v>
      </c>
      <c r="H1775" s="26" t="s">
        <v>29</v>
      </c>
      <c r="I1775" s="26" t="s">
        <v>30</v>
      </c>
      <c r="J1775" s="26" t="s">
        <v>70</v>
      </c>
      <c r="K1775" s="26" t="s">
        <v>42</v>
      </c>
      <c r="L1775" s="26" t="s">
        <v>1226</v>
      </c>
      <c r="M1775" s="26">
        <v>1</v>
      </c>
      <c r="N1775" s="26">
        <v>1</v>
      </c>
      <c r="O1775" s="28">
        <v>1</v>
      </c>
      <c r="P1775" s="26">
        <v>0.67</v>
      </c>
      <c r="Q1775" s="26">
        <v>0.67</v>
      </c>
      <c r="R1775" s="26">
        <v>0</v>
      </c>
      <c r="S1775" s="26"/>
      <c r="T1775" s="26">
        <v>0</v>
      </c>
      <c r="U1775" s="26">
        <v>0</v>
      </c>
      <c r="V1775" s="26">
        <v>0</v>
      </c>
      <c r="W1775" s="28">
        <v>0</v>
      </c>
      <c r="X1775" s="26">
        <v>0</v>
      </c>
      <c r="Y1775" s="26">
        <v>0</v>
      </c>
      <c r="Z1775" s="26">
        <v>0</v>
      </c>
      <c r="AA1775" s="26">
        <v>0</v>
      </c>
    </row>
    <row r="1776" spans="1:27" x14ac:dyDescent="0.2">
      <c r="A1776">
        <f t="shared" si="56"/>
        <v>4</v>
      </c>
      <c r="B1776">
        <f t="shared" si="57"/>
        <v>18</v>
      </c>
      <c r="C1776" s="27">
        <v>46138</v>
      </c>
      <c r="D1776" s="27">
        <v>46138</v>
      </c>
      <c r="E1776" s="26" t="s">
        <v>26</v>
      </c>
      <c r="F1776" s="26" t="s">
        <v>61</v>
      </c>
      <c r="G1776" s="26" t="s">
        <v>62</v>
      </c>
      <c r="H1776" s="26" t="s">
        <v>29</v>
      </c>
      <c r="I1776" s="26" t="s">
        <v>30</v>
      </c>
      <c r="J1776" s="26" t="s">
        <v>47</v>
      </c>
      <c r="K1776" s="26" t="s">
        <v>42</v>
      </c>
      <c r="L1776" s="26" t="s">
        <v>1227</v>
      </c>
      <c r="M1776" s="26">
        <v>3</v>
      </c>
      <c r="N1776" s="26">
        <v>1</v>
      </c>
      <c r="O1776" s="28">
        <v>0.33333299999999999</v>
      </c>
      <c r="P1776" s="26">
        <v>1.55</v>
      </c>
      <c r="Q1776" s="26">
        <v>1.55</v>
      </c>
      <c r="R1776" s="26">
        <v>0</v>
      </c>
      <c r="S1776" s="26"/>
      <c r="T1776" s="26">
        <v>0</v>
      </c>
      <c r="U1776" s="26">
        <v>0</v>
      </c>
      <c r="V1776" s="26">
        <v>0</v>
      </c>
      <c r="W1776" s="28">
        <v>0</v>
      </c>
      <c r="X1776" s="26">
        <v>0</v>
      </c>
      <c r="Y1776" s="26">
        <v>0</v>
      </c>
      <c r="Z1776" s="26">
        <v>0</v>
      </c>
      <c r="AA1776" s="26">
        <v>0</v>
      </c>
    </row>
    <row r="1777" spans="1:27" x14ac:dyDescent="0.2">
      <c r="A1777">
        <f t="shared" si="56"/>
        <v>4</v>
      </c>
      <c r="B1777">
        <f t="shared" si="57"/>
        <v>14</v>
      </c>
      <c r="C1777" s="27">
        <v>46115</v>
      </c>
      <c r="D1777" s="27">
        <v>46115</v>
      </c>
      <c r="E1777" s="26" t="s">
        <v>26</v>
      </c>
      <c r="F1777" s="26" t="s">
        <v>27</v>
      </c>
      <c r="G1777" s="26" t="s">
        <v>28</v>
      </c>
      <c r="H1777" s="26" t="s">
        <v>29</v>
      </c>
      <c r="I1777" s="26" t="s">
        <v>30</v>
      </c>
      <c r="J1777" s="26" t="s">
        <v>50</v>
      </c>
      <c r="K1777" s="26" t="s">
        <v>32</v>
      </c>
      <c r="L1777" s="26" t="s">
        <v>1228</v>
      </c>
      <c r="M1777" s="26">
        <v>2</v>
      </c>
      <c r="N1777" s="26">
        <v>1</v>
      </c>
      <c r="O1777" s="28">
        <v>0.5</v>
      </c>
      <c r="P1777" s="26">
        <v>0.21</v>
      </c>
      <c r="Q1777" s="26">
        <v>0.21</v>
      </c>
      <c r="R1777" s="26">
        <v>0</v>
      </c>
      <c r="S1777" s="26"/>
      <c r="T1777" s="26">
        <v>0</v>
      </c>
      <c r="U1777" s="26">
        <v>0</v>
      </c>
      <c r="V1777" s="26">
        <v>0</v>
      </c>
      <c r="W1777" s="28">
        <v>0</v>
      </c>
      <c r="X1777" s="26">
        <v>0</v>
      </c>
      <c r="Y1777" s="26">
        <v>0</v>
      </c>
      <c r="Z1777" s="26">
        <v>0</v>
      </c>
      <c r="AA1777" s="26">
        <v>0</v>
      </c>
    </row>
    <row r="1778" spans="1:27" x14ac:dyDescent="0.2">
      <c r="A1778">
        <f t="shared" si="56"/>
        <v>4</v>
      </c>
      <c r="B1778">
        <f t="shared" si="57"/>
        <v>14</v>
      </c>
      <c r="C1778" s="27">
        <v>46116</v>
      </c>
      <c r="D1778" s="27">
        <v>46116</v>
      </c>
      <c r="E1778" s="26" t="s">
        <v>26</v>
      </c>
      <c r="F1778" s="26" t="s">
        <v>27</v>
      </c>
      <c r="G1778" s="26" t="s">
        <v>28</v>
      </c>
      <c r="H1778" s="26" t="s">
        <v>29</v>
      </c>
      <c r="I1778" s="26" t="s">
        <v>30</v>
      </c>
      <c r="J1778" s="26" t="s">
        <v>50</v>
      </c>
      <c r="K1778" s="26" t="s">
        <v>32</v>
      </c>
      <c r="L1778" s="26" t="s">
        <v>1229</v>
      </c>
      <c r="M1778" s="26">
        <v>1</v>
      </c>
      <c r="N1778" s="26">
        <v>1</v>
      </c>
      <c r="O1778" s="28">
        <v>1</v>
      </c>
      <c r="P1778" s="26">
        <v>0.21</v>
      </c>
      <c r="Q1778" s="26">
        <v>0.21</v>
      </c>
      <c r="R1778" s="26">
        <v>0</v>
      </c>
      <c r="S1778" s="26"/>
      <c r="T1778" s="26">
        <v>0</v>
      </c>
      <c r="U1778" s="26">
        <v>0</v>
      </c>
      <c r="V1778" s="26">
        <v>0</v>
      </c>
      <c r="W1778" s="28">
        <v>0</v>
      </c>
      <c r="X1778" s="26">
        <v>0</v>
      </c>
      <c r="Y1778" s="26">
        <v>0</v>
      </c>
      <c r="Z1778" s="26">
        <v>0</v>
      </c>
      <c r="AA1778" s="26">
        <v>0</v>
      </c>
    </row>
    <row r="1779" spans="1:27" x14ac:dyDescent="0.2">
      <c r="A1779">
        <f t="shared" si="56"/>
        <v>4</v>
      </c>
      <c r="B1779">
        <f t="shared" si="57"/>
        <v>16</v>
      </c>
      <c r="C1779" s="27">
        <v>46130</v>
      </c>
      <c r="D1779" s="27">
        <v>46130</v>
      </c>
      <c r="E1779" s="26" t="s">
        <v>26</v>
      </c>
      <c r="F1779" s="26" t="s">
        <v>27</v>
      </c>
      <c r="G1779" s="26" t="s">
        <v>28</v>
      </c>
      <c r="H1779" s="26" t="s">
        <v>29</v>
      </c>
      <c r="I1779" s="26" t="s">
        <v>30</v>
      </c>
      <c r="J1779" s="26" t="s">
        <v>44</v>
      </c>
      <c r="K1779" s="26" t="s">
        <v>32</v>
      </c>
      <c r="L1779" s="26" t="s">
        <v>1230</v>
      </c>
      <c r="M1779" s="26">
        <v>1</v>
      </c>
      <c r="N1779" s="26">
        <v>1</v>
      </c>
      <c r="O1779" s="28">
        <v>1</v>
      </c>
      <c r="P1779" s="26">
        <v>0.21</v>
      </c>
      <c r="Q1779" s="26">
        <v>0.21</v>
      </c>
      <c r="R1779" s="26">
        <v>0</v>
      </c>
      <c r="S1779" s="26"/>
      <c r="T1779" s="26">
        <v>0</v>
      </c>
      <c r="U1779" s="26">
        <v>0</v>
      </c>
      <c r="V1779" s="26">
        <v>0</v>
      </c>
      <c r="W1779" s="28">
        <v>0</v>
      </c>
      <c r="X1779" s="26">
        <v>0</v>
      </c>
      <c r="Y1779" s="26">
        <v>0</v>
      </c>
      <c r="Z1779" s="26">
        <v>0</v>
      </c>
      <c r="AA1779" s="26">
        <v>0</v>
      </c>
    </row>
    <row r="1780" spans="1:27" x14ac:dyDescent="0.2">
      <c r="A1780">
        <f t="shared" si="56"/>
        <v>4</v>
      </c>
      <c r="B1780">
        <f t="shared" si="57"/>
        <v>15</v>
      </c>
      <c r="C1780" s="27">
        <v>46123</v>
      </c>
      <c r="D1780" s="27">
        <v>46123</v>
      </c>
      <c r="E1780" s="26" t="s">
        <v>26</v>
      </c>
      <c r="F1780" s="26" t="s">
        <v>27</v>
      </c>
      <c r="G1780" s="26" t="s">
        <v>124</v>
      </c>
      <c r="H1780" s="26" t="s">
        <v>29</v>
      </c>
      <c r="I1780" s="26" t="s">
        <v>30</v>
      </c>
      <c r="J1780" s="26" t="s">
        <v>101</v>
      </c>
      <c r="K1780" s="26" t="s">
        <v>87</v>
      </c>
      <c r="L1780" s="26" t="s">
        <v>205</v>
      </c>
      <c r="M1780" s="26">
        <v>1</v>
      </c>
      <c r="N1780" s="26">
        <v>1</v>
      </c>
      <c r="O1780" s="28">
        <v>1</v>
      </c>
      <c r="P1780" s="26">
        <v>0.4</v>
      </c>
      <c r="Q1780" s="26">
        <v>0.4</v>
      </c>
      <c r="R1780" s="26">
        <v>0</v>
      </c>
      <c r="S1780" s="26"/>
      <c r="T1780" s="26">
        <v>0</v>
      </c>
      <c r="U1780" s="26">
        <v>0</v>
      </c>
      <c r="V1780" s="26">
        <v>0</v>
      </c>
      <c r="W1780" s="28">
        <v>0</v>
      </c>
      <c r="X1780" s="26">
        <v>0</v>
      </c>
      <c r="Y1780" s="26">
        <v>0</v>
      </c>
      <c r="Z1780" s="26">
        <v>0</v>
      </c>
      <c r="AA1780" s="26">
        <v>0</v>
      </c>
    </row>
    <row r="1781" spans="1:27" x14ac:dyDescent="0.2">
      <c r="A1781">
        <f t="shared" si="56"/>
        <v>4</v>
      </c>
      <c r="B1781">
        <f t="shared" si="57"/>
        <v>18</v>
      </c>
      <c r="C1781" s="27">
        <v>46142</v>
      </c>
      <c r="D1781" s="27">
        <v>46142</v>
      </c>
      <c r="E1781" s="26" t="s">
        <v>26</v>
      </c>
      <c r="F1781" s="26" t="s">
        <v>61</v>
      </c>
      <c r="G1781" s="26" t="s">
        <v>62</v>
      </c>
      <c r="H1781" s="26" t="s">
        <v>29</v>
      </c>
      <c r="I1781" s="26" t="s">
        <v>30</v>
      </c>
      <c r="J1781" s="26" t="s">
        <v>95</v>
      </c>
      <c r="K1781" s="26" t="s">
        <v>42</v>
      </c>
      <c r="L1781" s="26" t="s">
        <v>1231</v>
      </c>
      <c r="M1781" s="26">
        <v>37</v>
      </c>
      <c r="N1781" s="26">
        <v>1</v>
      </c>
      <c r="O1781" s="28">
        <v>2.7026999999999999E-2</v>
      </c>
      <c r="P1781" s="26">
        <v>1.51</v>
      </c>
      <c r="Q1781" s="26">
        <v>1.51</v>
      </c>
      <c r="R1781" s="26">
        <v>0</v>
      </c>
      <c r="S1781" s="26"/>
      <c r="T1781" s="26">
        <v>0</v>
      </c>
      <c r="U1781" s="26">
        <v>0</v>
      </c>
      <c r="V1781" s="26">
        <v>0</v>
      </c>
      <c r="W1781" s="28">
        <v>0</v>
      </c>
      <c r="X1781" s="26">
        <v>0</v>
      </c>
      <c r="Y1781" s="26">
        <v>0</v>
      </c>
      <c r="Z1781" s="26">
        <v>0</v>
      </c>
      <c r="AA1781" s="26">
        <v>0</v>
      </c>
    </row>
    <row r="1782" spans="1:27" x14ac:dyDescent="0.2">
      <c r="A1782">
        <f t="shared" si="56"/>
        <v>4</v>
      </c>
      <c r="B1782">
        <f t="shared" si="57"/>
        <v>18</v>
      </c>
      <c r="C1782" s="27">
        <v>46142</v>
      </c>
      <c r="D1782" s="27">
        <v>46142</v>
      </c>
      <c r="E1782" s="26" t="s">
        <v>26</v>
      </c>
      <c r="F1782" s="26" t="s">
        <v>27</v>
      </c>
      <c r="G1782" s="26" t="s">
        <v>28</v>
      </c>
      <c r="H1782" s="26" t="s">
        <v>29</v>
      </c>
      <c r="I1782" s="26" t="s">
        <v>30</v>
      </c>
      <c r="J1782" s="26" t="s">
        <v>119</v>
      </c>
      <c r="K1782" s="26" t="s">
        <v>32</v>
      </c>
      <c r="L1782" s="26" t="s">
        <v>1232</v>
      </c>
      <c r="M1782" s="26">
        <v>4</v>
      </c>
      <c r="N1782" s="26">
        <v>1</v>
      </c>
      <c r="O1782" s="28">
        <v>0.25</v>
      </c>
      <c r="P1782" s="26">
        <v>0.16</v>
      </c>
      <c r="Q1782" s="26">
        <v>0.16</v>
      </c>
      <c r="R1782" s="26">
        <v>0</v>
      </c>
      <c r="S1782" s="26"/>
      <c r="T1782" s="26">
        <v>0</v>
      </c>
      <c r="U1782" s="26">
        <v>0</v>
      </c>
      <c r="V1782" s="26">
        <v>0</v>
      </c>
      <c r="W1782" s="28">
        <v>0</v>
      </c>
      <c r="X1782" s="26">
        <v>0</v>
      </c>
      <c r="Y1782" s="26">
        <v>0</v>
      </c>
      <c r="Z1782" s="26">
        <v>0</v>
      </c>
      <c r="AA1782" s="26">
        <v>0</v>
      </c>
    </row>
    <row r="1783" spans="1:27" x14ac:dyDescent="0.2">
      <c r="A1783">
        <f t="shared" si="56"/>
        <v>4</v>
      </c>
      <c r="B1783">
        <f t="shared" si="57"/>
        <v>17</v>
      </c>
      <c r="C1783" s="27">
        <v>46137</v>
      </c>
      <c r="D1783" s="27">
        <v>46137</v>
      </c>
      <c r="E1783" s="26" t="s">
        <v>26</v>
      </c>
      <c r="F1783" s="26" t="s">
        <v>27</v>
      </c>
      <c r="G1783" s="26" t="s">
        <v>28</v>
      </c>
      <c r="H1783" s="26" t="s">
        <v>29</v>
      </c>
      <c r="I1783" s="26" t="s">
        <v>30</v>
      </c>
      <c r="J1783" s="26" t="s">
        <v>119</v>
      </c>
      <c r="K1783" s="26" t="s">
        <v>32</v>
      </c>
      <c r="L1783" s="26" t="s">
        <v>1233</v>
      </c>
      <c r="M1783" s="26">
        <v>2</v>
      </c>
      <c r="N1783" s="26">
        <v>1</v>
      </c>
      <c r="O1783" s="28">
        <v>0.5</v>
      </c>
      <c r="P1783" s="26">
        <v>0.16</v>
      </c>
      <c r="Q1783" s="26">
        <v>0.16</v>
      </c>
      <c r="R1783" s="26">
        <v>0</v>
      </c>
      <c r="S1783" s="26"/>
      <c r="T1783" s="26">
        <v>0</v>
      </c>
      <c r="U1783" s="26">
        <v>0</v>
      </c>
      <c r="V1783" s="26">
        <v>0</v>
      </c>
      <c r="W1783" s="28">
        <v>0</v>
      </c>
      <c r="X1783" s="26">
        <v>0</v>
      </c>
      <c r="Y1783" s="26">
        <v>0</v>
      </c>
      <c r="Z1783" s="26">
        <v>0</v>
      </c>
      <c r="AA1783" s="26">
        <v>0</v>
      </c>
    </row>
    <row r="1784" spans="1:27" x14ac:dyDescent="0.2">
      <c r="A1784">
        <f t="shared" si="56"/>
        <v>4</v>
      </c>
      <c r="B1784">
        <f t="shared" si="57"/>
        <v>17</v>
      </c>
      <c r="C1784" s="27">
        <v>46131</v>
      </c>
      <c r="D1784" s="27">
        <v>46131</v>
      </c>
      <c r="E1784" s="26" t="s">
        <v>26</v>
      </c>
      <c r="F1784" s="26" t="s">
        <v>27</v>
      </c>
      <c r="G1784" s="26" t="s">
        <v>28</v>
      </c>
      <c r="H1784" s="26" t="s">
        <v>29</v>
      </c>
      <c r="I1784" s="26" t="s">
        <v>30</v>
      </c>
      <c r="J1784" s="26" t="s">
        <v>101</v>
      </c>
      <c r="K1784" s="26" t="s">
        <v>32</v>
      </c>
      <c r="L1784" s="26" t="s">
        <v>1234</v>
      </c>
      <c r="M1784" s="26">
        <v>2</v>
      </c>
      <c r="N1784" s="26">
        <v>1</v>
      </c>
      <c r="O1784" s="28">
        <v>0.5</v>
      </c>
      <c r="P1784" s="26">
        <v>0.21</v>
      </c>
      <c r="Q1784" s="26">
        <v>0.21</v>
      </c>
      <c r="R1784" s="26">
        <v>0</v>
      </c>
      <c r="S1784" s="26"/>
      <c r="T1784" s="26">
        <v>0</v>
      </c>
      <c r="U1784" s="26">
        <v>0</v>
      </c>
      <c r="V1784" s="26">
        <v>0</v>
      </c>
      <c r="W1784" s="28">
        <v>0</v>
      </c>
      <c r="X1784" s="26">
        <v>0</v>
      </c>
      <c r="Y1784" s="26">
        <v>0</v>
      </c>
      <c r="Z1784" s="26">
        <v>0</v>
      </c>
      <c r="AA1784" s="26">
        <v>0</v>
      </c>
    </row>
    <row r="1785" spans="1:27" x14ac:dyDescent="0.2">
      <c r="A1785">
        <f t="shared" si="56"/>
        <v>4</v>
      </c>
      <c r="B1785">
        <f t="shared" si="57"/>
        <v>14</v>
      </c>
      <c r="C1785" s="27">
        <v>46116</v>
      </c>
      <c r="D1785" s="27">
        <v>46116</v>
      </c>
      <c r="E1785" s="26" t="s">
        <v>26</v>
      </c>
      <c r="F1785" s="26" t="s">
        <v>27</v>
      </c>
      <c r="G1785" s="26" t="s">
        <v>28</v>
      </c>
      <c r="H1785" s="26" t="s">
        <v>29</v>
      </c>
      <c r="I1785" s="26" t="s">
        <v>30</v>
      </c>
      <c r="J1785" s="26" t="s">
        <v>243</v>
      </c>
      <c r="K1785" s="26" t="s">
        <v>32</v>
      </c>
      <c r="L1785" s="26" t="s">
        <v>1235</v>
      </c>
      <c r="M1785" s="26">
        <v>2</v>
      </c>
      <c r="N1785" s="26">
        <v>1</v>
      </c>
      <c r="O1785" s="28">
        <v>0.5</v>
      </c>
      <c r="P1785" s="26">
        <v>0.21</v>
      </c>
      <c r="Q1785" s="26">
        <v>0.21</v>
      </c>
      <c r="R1785" s="26">
        <v>0</v>
      </c>
      <c r="S1785" s="26"/>
      <c r="T1785" s="26">
        <v>0</v>
      </c>
      <c r="U1785" s="26">
        <v>0</v>
      </c>
      <c r="V1785" s="26">
        <v>0</v>
      </c>
      <c r="W1785" s="28">
        <v>0</v>
      </c>
      <c r="X1785" s="26">
        <v>0</v>
      </c>
      <c r="Y1785" s="26">
        <v>0</v>
      </c>
      <c r="Z1785" s="26">
        <v>0</v>
      </c>
      <c r="AA1785" s="26">
        <v>0</v>
      </c>
    </row>
    <row r="1786" spans="1:27" x14ac:dyDescent="0.2">
      <c r="A1786">
        <f t="shared" si="56"/>
        <v>4</v>
      </c>
      <c r="B1786">
        <f t="shared" si="57"/>
        <v>15</v>
      </c>
      <c r="C1786" s="27">
        <v>46119</v>
      </c>
      <c r="D1786" s="27">
        <v>46119</v>
      </c>
      <c r="E1786" s="26" t="s">
        <v>26</v>
      </c>
      <c r="F1786" s="26" t="s">
        <v>27</v>
      </c>
      <c r="G1786" s="26" t="s">
        <v>124</v>
      </c>
      <c r="H1786" s="26" t="s">
        <v>29</v>
      </c>
      <c r="I1786" s="26" t="s">
        <v>30</v>
      </c>
      <c r="J1786" s="26" t="s">
        <v>31</v>
      </c>
      <c r="K1786" s="26" t="s">
        <v>87</v>
      </c>
      <c r="L1786" s="26" t="s">
        <v>1236</v>
      </c>
      <c r="M1786" s="26">
        <v>4</v>
      </c>
      <c r="N1786" s="26">
        <v>3</v>
      </c>
      <c r="O1786" s="28">
        <v>0.75</v>
      </c>
      <c r="P1786" s="26">
        <v>0.21</v>
      </c>
      <c r="Q1786" s="26">
        <v>0.63</v>
      </c>
      <c r="R1786" s="26">
        <v>0</v>
      </c>
      <c r="S1786" s="26"/>
      <c r="T1786" s="26">
        <v>0</v>
      </c>
      <c r="U1786" s="26">
        <v>0</v>
      </c>
      <c r="V1786" s="26">
        <v>0</v>
      </c>
      <c r="W1786" s="28">
        <v>0</v>
      </c>
      <c r="X1786" s="26">
        <v>0</v>
      </c>
      <c r="Y1786" s="26">
        <v>0</v>
      </c>
      <c r="Z1786" s="26">
        <v>0</v>
      </c>
      <c r="AA1786" s="26">
        <v>0</v>
      </c>
    </row>
    <row r="1787" spans="1:27" x14ac:dyDescent="0.2">
      <c r="A1787">
        <f t="shared" si="56"/>
        <v>4</v>
      </c>
      <c r="B1787">
        <f t="shared" si="57"/>
        <v>16</v>
      </c>
      <c r="C1787" s="27">
        <v>46129</v>
      </c>
      <c r="D1787" s="27">
        <v>46129</v>
      </c>
      <c r="E1787" s="26" t="s">
        <v>26</v>
      </c>
      <c r="F1787" s="26" t="s">
        <v>39</v>
      </c>
      <c r="G1787" s="26" t="s">
        <v>40</v>
      </c>
      <c r="H1787" s="26" t="s">
        <v>29</v>
      </c>
      <c r="I1787" s="26" t="s">
        <v>30</v>
      </c>
      <c r="J1787" s="26" t="s">
        <v>843</v>
      </c>
      <c r="K1787" s="26" t="s">
        <v>42</v>
      </c>
      <c r="L1787" s="26" t="s">
        <v>207</v>
      </c>
      <c r="M1787" s="26">
        <v>6</v>
      </c>
      <c r="N1787" s="26">
        <v>1</v>
      </c>
      <c r="O1787" s="28">
        <v>0.16666700000000001</v>
      </c>
      <c r="P1787" s="26">
        <v>0.82</v>
      </c>
      <c r="Q1787" s="26">
        <v>0.82</v>
      </c>
      <c r="R1787" s="26">
        <v>0</v>
      </c>
      <c r="S1787" s="26"/>
      <c r="T1787" s="26">
        <v>0</v>
      </c>
      <c r="U1787" s="26">
        <v>0</v>
      </c>
      <c r="V1787" s="26">
        <v>0</v>
      </c>
      <c r="W1787" s="28">
        <v>0</v>
      </c>
      <c r="X1787" s="26">
        <v>0</v>
      </c>
      <c r="Y1787" s="26">
        <v>0</v>
      </c>
      <c r="Z1787" s="26">
        <v>0</v>
      </c>
      <c r="AA1787" s="26">
        <v>0</v>
      </c>
    </row>
    <row r="1788" spans="1:27" x14ac:dyDescent="0.2">
      <c r="A1788">
        <f t="shared" si="56"/>
        <v>4</v>
      </c>
      <c r="B1788">
        <f t="shared" si="57"/>
        <v>18</v>
      </c>
      <c r="C1788" s="27">
        <v>46141</v>
      </c>
      <c r="D1788" s="27">
        <v>46141</v>
      </c>
      <c r="E1788" s="26" t="s">
        <v>26</v>
      </c>
      <c r="F1788" s="26" t="s">
        <v>27</v>
      </c>
      <c r="G1788" s="26" t="s">
        <v>28</v>
      </c>
      <c r="H1788" s="26" t="s">
        <v>29</v>
      </c>
      <c r="I1788" s="26" t="s">
        <v>30</v>
      </c>
      <c r="J1788" s="26" t="s">
        <v>50</v>
      </c>
      <c r="K1788" s="26" t="s">
        <v>32</v>
      </c>
      <c r="L1788" s="26" t="s">
        <v>1237</v>
      </c>
      <c r="M1788" s="26">
        <v>1</v>
      </c>
      <c r="N1788" s="26">
        <v>1</v>
      </c>
      <c r="O1788" s="28">
        <v>1</v>
      </c>
      <c r="P1788" s="26">
        <v>0.21</v>
      </c>
      <c r="Q1788" s="26">
        <v>0.21</v>
      </c>
      <c r="R1788" s="26">
        <v>0</v>
      </c>
      <c r="S1788" s="26"/>
      <c r="T1788" s="26">
        <v>0</v>
      </c>
      <c r="U1788" s="26">
        <v>0</v>
      </c>
      <c r="V1788" s="26">
        <v>0</v>
      </c>
      <c r="W1788" s="28">
        <v>0</v>
      </c>
      <c r="X1788" s="26">
        <v>0</v>
      </c>
      <c r="Y1788" s="26">
        <v>0</v>
      </c>
      <c r="Z1788" s="26">
        <v>0</v>
      </c>
      <c r="AA1788" s="26">
        <v>0</v>
      </c>
    </row>
    <row r="1789" spans="1:27" x14ac:dyDescent="0.2">
      <c r="A1789">
        <f t="shared" si="56"/>
        <v>4</v>
      </c>
      <c r="B1789">
        <f t="shared" si="57"/>
        <v>16</v>
      </c>
      <c r="C1789" s="27">
        <v>46130</v>
      </c>
      <c r="D1789" s="27">
        <v>46130</v>
      </c>
      <c r="E1789" s="26" t="s">
        <v>26</v>
      </c>
      <c r="F1789" s="26" t="s">
        <v>27</v>
      </c>
      <c r="G1789" s="26" t="s">
        <v>28</v>
      </c>
      <c r="H1789" s="26" t="s">
        <v>29</v>
      </c>
      <c r="I1789" s="26" t="s">
        <v>30</v>
      </c>
      <c r="J1789" s="26" t="s">
        <v>31</v>
      </c>
      <c r="K1789" s="26" t="s">
        <v>32</v>
      </c>
      <c r="L1789" s="26" t="s">
        <v>1238</v>
      </c>
      <c r="M1789" s="26">
        <v>2</v>
      </c>
      <c r="N1789" s="26">
        <v>1</v>
      </c>
      <c r="O1789" s="28">
        <v>0.5</v>
      </c>
      <c r="P1789" s="26">
        <v>0.21</v>
      </c>
      <c r="Q1789" s="26">
        <v>0.21</v>
      </c>
      <c r="R1789" s="26">
        <v>0</v>
      </c>
      <c r="S1789" s="26"/>
      <c r="T1789" s="26">
        <v>0</v>
      </c>
      <c r="U1789" s="26">
        <v>0</v>
      </c>
      <c r="V1789" s="26">
        <v>0</v>
      </c>
      <c r="W1789" s="28">
        <v>0</v>
      </c>
      <c r="X1789" s="26">
        <v>0</v>
      </c>
      <c r="Y1789" s="26">
        <v>0</v>
      </c>
      <c r="Z1789" s="26">
        <v>0</v>
      </c>
      <c r="AA1789" s="26">
        <v>0</v>
      </c>
    </row>
    <row r="1790" spans="1:27" x14ac:dyDescent="0.2">
      <c r="A1790">
        <f t="shared" si="56"/>
        <v>4</v>
      </c>
      <c r="B1790">
        <f t="shared" si="57"/>
        <v>15</v>
      </c>
      <c r="C1790" s="27">
        <v>46117</v>
      </c>
      <c r="D1790" s="27">
        <v>46117</v>
      </c>
      <c r="E1790" s="26" t="s">
        <v>26</v>
      </c>
      <c r="F1790" s="26" t="s">
        <v>27</v>
      </c>
      <c r="G1790" s="26" t="s">
        <v>28</v>
      </c>
      <c r="H1790" s="26" t="s">
        <v>29</v>
      </c>
      <c r="I1790" s="26" t="s">
        <v>30</v>
      </c>
      <c r="J1790" s="26" t="s">
        <v>31</v>
      </c>
      <c r="K1790" s="26" t="s">
        <v>32</v>
      </c>
      <c r="L1790" s="26" t="s">
        <v>1239</v>
      </c>
      <c r="M1790" s="26">
        <v>1</v>
      </c>
      <c r="N1790" s="26">
        <v>1</v>
      </c>
      <c r="O1790" s="28">
        <v>1</v>
      </c>
      <c r="P1790" s="26">
        <v>0.4</v>
      </c>
      <c r="Q1790" s="26">
        <v>0.4</v>
      </c>
      <c r="R1790" s="26">
        <v>0</v>
      </c>
      <c r="S1790" s="26"/>
      <c r="T1790" s="26">
        <v>0</v>
      </c>
      <c r="U1790" s="26">
        <v>0</v>
      </c>
      <c r="V1790" s="26">
        <v>0</v>
      </c>
      <c r="W1790" s="28">
        <v>0</v>
      </c>
      <c r="X1790" s="26">
        <v>0</v>
      </c>
      <c r="Y1790" s="26">
        <v>0</v>
      </c>
      <c r="Z1790" s="26">
        <v>0</v>
      </c>
      <c r="AA1790" s="26">
        <v>0</v>
      </c>
    </row>
    <row r="1791" spans="1:27" x14ac:dyDescent="0.2">
      <c r="A1791">
        <f t="shared" si="56"/>
        <v>4</v>
      </c>
      <c r="B1791">
        <f t="shared" si="57"/>
        <v>17</v>
      </c>
      <c r="C1791" s="27">
        <v>46135</v>
      </c>
      <c r="D1791" s="27">
        <v>46135</v>
      </c>
      <c r="E1791" s="26" t="s">
        <v>26</v>
      </c>
      <c r="F1791" s="26" t="s">
        <v>27</v>
      </c>
      <c r="G1791" s="26" t="s">
        <v>124</v>
      </c>
      <c r="H1791" s="26" t="s">
        <v>29</v>
      </c>
      <c r="I1791" s="26" t="s">
        <v>30</v>
      </c>
      <c r="J1791" s="26" t="s">
        <v>272</v>
      </c>
      <c r="K1791" s="26" t="s">
        <v>87</v>
      </c>
      <c r="L1791" s="26" t="s">
        <v>1240</v>
      </c>
      <c r="M1791" s="26">
        <v>1</v>
      </c>
      <c r="N1791" s="26">
        <v>1</v>
      </c>
      <c r="O1791" s="28">
        <v>1</v>
      </c>
      <c r="P1791" s="26">
        <v>0.4</v>
      </c>
      <c r="Q1791" s="26">
        <v>0.4</v>
      </c>
      <c r="R1791" s="26">
        <v>0</v>
      </c>
      <c r="S1791" s="26"/>
      <c r="T1791" s="26">
        <v>0</v>
      </c>
      <c r="U1791" s="26">
        <v>0</v>
      </c>
      <c r="V1791" s="26">
        <v>0</v>
      </c>
      <c r="W1791" s="28">
        <v>0</v>
      </c>
      <c r="X1791" s="26">
        <v>0</v>
      </c>
      <c r="Y1791" s="26">
        <v>0</v>
      </c>
      <c r="Z1791" s="26">
        <v>0</v>
      </c>
      <c r="AA1791" s="26">
        <v>0</v>
      </c>
    </row>
    <row r="1792" spans="1:27" x14ac:dyDescent="0.2">
      <c r="A1792">
        <f t="shared" si="56"/>
        <v>4</v>
      </c>
      <c r="B1792">
        <f t="shared" si="57"/>
        <v>15</v>
      </c>
      <c r="C1792" s="27">
        <v>46118</v>
      </c>
      <c r="D1792" s="27">
        <v>46118</v>
      </c>
      <c r="E1792" s="26" t="s">
        <v>26</v>
      </c>
      <c r="F1792" s="26" t="s">
        <v>27</v>
      </c>
      <c r="G1792" s="26" t="s">
        <v>28</v>
      </c>
      <c r="H1792" s="26" t="s">
        <v>29</v>
      </c>
      <c r="I1792" s="26" t="s">
        <v>30</v>
      </c>
      <c r="J1792" s="26" t="s">
        <v>50</v>
      </c>
      <c r="K1792" s="26" t="s">
        <v>32</v>
      </c>
      <c r="L1792" s="26" t="s">
        <v>1241</v>
      </c>
      <c r="M1792" s="26">
        <v>5</v>
      </c>
      <c r="N1792" s="26">
        <v>1</v>
      </c>
      <c r="O1792" s="28">
        <v>0.2</v>
      </c>
      <c r="P1792" s="26">
        <v>0.21</v>
      </c>
      <c r="Q1792" s="26">
        <v>0.21</v>
      </c>
      <c r="R1792" s="26">
        <v>0</v>
      </c>
      <c r="S1792" s="26"/>
      <c r="T1792" s="26">
        <v>0</v>
      </c>
      <c r="U1792" s="26">
        <v>0</v>
      </c>
      <c r="V1792" s="26">
        <v>0</v>
      </c>
      <c r="W1792" s="28">
        <v>0</v>
      </c>
      <c r="X1792" s="26">
        <v>0</v>
      </c>
      <c r="Y1792" s="26">
        <v>0</v>
      </c>
      <c r="Z1792" s="26">
        <v>0</v>
      </c>
      <c r="AA1792" s="26">
        <v>0</v>
      </c>
    </row>
    <row r="1793" spans="1:27" x14ac:dyDescent="0.2">
      <c r="A1793">
        <f t="shared" si="56"/>
        <v>4</v>
      </c>
      <c r="B1793">
        <f t="shared" si="57"/>
        <v>15</v>
      </c>
      <c r="C1793" s="27">
        <v>46120</v>
      </c>
      <c r="D1793" s="27">
        <v>46120</v>
      </c>
      <c r="E1793" s="26" t="s">
        <v>26</v>
      </c>
      <c r="F1793" s="26" t="s">
        <v>49</v>
      </c>
      <c r="G1793" s="26" t="s">
        <v>50</v>
      </c>
      <c r="H1793" s="26" t="s">
        <v>29</v>
      </c>
      <c r="I1793" s="26" t="s">
        <v>30</v>
      </c>
      <c r="J1793" s="26" t="s">
        <v>95</v>
      </c>
      <c r="K1793" s="26" t="s">
        <v>42</v>
      </c>
      <c r="L1793" s="26" t="s">
        <v>1242</v>
      </c>
      <c r="M1793" s="26">
        <v>1</v>
      </c>
      <c r="N1793" s="26">
        <v>1</v>
      </c>
      <c r="O1793" s="28">
        <v>1</v>
      </c>
      <c r="P1793" s="26">
        <v>0.5</v>
      </c>
      <c r="Q1793" s="26">
        <v>0.5</v>
      </c>
      <c r="R1793" s="26">
        <v>0</v>
      </c>
      <c r="S1793" s="26"/>
      <c r="T1793" s="26">
        <v>0</v>
      </c>
      <c r="U1793" s="26">
        <v>0</v>
      </c>
      <c r="V1793" s="26">
        <v>0</v>
      </c>
      <c r="W1793" s="28">
        <v>0</v>
      </c>
      <c r="X1793" s="26">
        <v>0</v>
      </c>
      <c r="Y1793" s="26">
        <v>0</v>
      </c>
      <c r="Z1793" s="26">
        <v>0</v>
      </c>
      <c r="AA1793" s="26">
        <v>0</v>
      </c>
    </row>
    <row r="1794" spans="1:27" x14ac:dyDescent="0.2">
      <c r="A1794">
        <f t="shared" si="56"/>
        <v>4</v>
      </c>
      <c r="B1794">
        <f t="shared" si="57"/>
        <v>17</v>
      </c>
      <c r="C1794" s="27">
        <v>46134</v>
      </c>
      <c r="D1794" s="27">
        <v>46134</v>
      </c>
      <c r="E1794" s="26" t="s">
        <v>26</v>
      </c>
      <c r="F1794" s="26" t="s">
        <v>27</v>
      </c>
      <c r="G1794" s="26" t="s">
        <v>28</v>
      </c>
      <c r="H1794" s="26" t="s">
        <v>29</v>
      </c>
      <c r="I1794" s="26" t="s">
        <v>30</v>
      </c>
      <c r="J1794" s="26" t="s">
        <v>50</v>
      </c>
      <c r="K1794" s="26" t="s">
        <v>32</v>
      </c>
      <c r="L1794" s="26" t="s">
        <v>1243</v>
      </c>
      <c r="M1794" s="26">
        <v>1</v>
      </c>
      <c r="N1794" s="26">
        <v>1</v>
      </c>
      <c r="O1794" s="28">
        <v>1</v>
      </c>
      <c r="P1794" s="26">
        <v>0.21</v>
      </c>
      <c r="Q1794" s="26">
        <v>0.21</v>
      </c>
      <c r="R1794" s="26">
        <v>0</v>
      </c>
      <c r="S1794" s="26"/>
      <c r="T1794" s="26">
        <v>0</v>
      </c>
      <c r="U1794" s="26">
        <v>0</v>
      </c>
      <c r="V1794" s="26">
        <v>0</v>
      </c>
      <c r="W1794" s="28">
        <v>0</v>
      </c>
      <c r="X1794" s="26">
        <v>0</v>
      </c>
      <c r="Y1794" s="26">
        <v>0</v>
      </c>
      <c r="Z1794" s="26">
        <v>0</v>
      </c>
      <c r="AA1794" s="26">
        <v>0</v>
      </c>
    </row>
    <row r="1795" spans="1:27" x14ac:dyDescent="0.2">
      <c r="A1795">
        <f t="shared" si="56"/>
        <v>4</v>
      </c>
      <c r="B1795">
        <f t="shared" si="57"/>
        <v>18</v>
      </c>
      <c r="C1795" s="27">
        <v>46142</v>
      </c>
      <c r="D1795" s="27">
        <v>46142</v>
      </c>
      <c r="E1795" s="26" t="s">
        <v>26</v>
      </c>
      <c r="F1795" s="26" t="s">
        <v>27</v>
      </c>
      <c r="G1795" s="26" t="s">
        <v>28</v>
      </c>
      <c r="H1795" s="26" t="s">
        <v>29</v>
      </c>
      <c r="I1795" s="26" t="s">
        <v>30</v>
      </c>
      <c r="J1795" s="26" t="s">
        <v>119</v>
      </c>
      <c r="K1795" s="26" t="s">
        <v>32</v>
      </c>
      <c r="L1795" s="26" t="s">
        <v>1244</v>
      </c>
      <c r="M1795" s="26">
        <v>3</v>
      </c>
      <c r="N1795" s="26">
        <v>1</v>
      </c>
      <c r="O1795" s="28">
        <v>0.33333299999999999</v>
      </c>
      <c r="P1795" s="26">
        <v>0.08</v>
      </c>
      <c r="Q1795" s="26">
        <v>0.08</v>
      </c>
      <c r="R1795" s="26">
        <v>0</v>
      </c>
      <c r="S1795" s="26"/>
      <c r="T1795" s="26">
        <v>0</v>
      </c>
      <c r="U1795" s="26">
        <v>0</v>
      </c>
      <c r="V1795" s="26">
        <v>0</v>
      </c>
      <c r="W1795" s="28">
        <v>0</v>
      </c>
      <c r="X1795" s="26">
        <v>0</v>
      </c>
      <c r="Y1795" s="26">
        <v>0</v>
      </c>
      <c r="Z1795" s="26">
        <v>0</v>
      </c>
      <c r="AA1795" s="26">
        <v>0</v>
      </c>
    </row>
    <row r="1796" spans="1:27" x14ac:dyDescent="0.2">
      <c r="A1796">
        <f t="shared" si="56"/>
        <v>4</v>
      </c>
      <c r="B1796">
        <f t="shared" si="57"/>
        <v>18</v>
      </c>
      <c r="C1796" s="27">
        <v>46141</v>
      </c>
      <c r="D1796" s="27">
        <v>46141</v>
      </c>
      <c r="E1796" s="26" t="s">
        <v>26</v>
      </c>
      <c r="F1796" s="26" t="s">
        <v>27</v>
      </c>
      <c r="G1796" s="26" t="s">
        <v>124</v>
      </c>
      <c r="H1796" s="26" t="s">
        <v>29</v>
      </c>
      <c r="I1796" s="26" t="s">
        <v>30</v>
      </c>
      <c r="J1796" s="26" t="s">
        <v>31</v>
      </c>
      <c r="K1796" s="26" t="s">
        <v>87</v>
      </c>
      <c r="L1796" s="26" t="s">
        <v>1245</v>
      </c>
      <c r="M1796" s="26">
        <v>2</v>
      </c>
      <c r="N1796" s="26">
        <v>1</v>
      </c>
      <c r="O1796" s="28">
        <v>0.5</v>
      </c>
      <c r="P1796" s="26">
        <v>0.23</v>
      </c>
      <c r="Q1796" s="26">
        <v>0.23</v>
      </c>
      <c r="R1796" s="26">
        <v>0</v>
      </c>
      <c r="S1796" s="26"/>
      <c r="T1796" s="26">
        <v>0</v>
      </c>
      <c r="U1796" s="26">
        <v>0</v>
      </c>
      <c r="V1796" s="26">
        <v>0</v>
      </c>
      <c r="W1796" s="28">
        <v>0</v>
      </c>
      <c r="X1796" s="26">
        <v>0</v>
      </c>
      <c r="Y1796" s="26">
        <v>0</v>
      </c>
      <c r="Z1796" s="26">
        <v>0</v>
      </c>
      <c r="AA1796" s="26">
        <v>0</v>
      </c>
    </row>
    <row r="1797" spans="1:27" x14ac:dyDescent="0.2">
      <c r="A1797">
        <f t="shared" si="56"/>
        <v>4</v>
      </c>
      <c r="B1797">
        <f t="shared" si="57"/>
        <v>18</v>
      </c>
      <c r="C1797" s="27">
        <v>46141</v>
      </c>
      <c r="D1797" s="27">
        <v>46141</v>
      </c>
      <c r="E1797" s="26" t="s">
        <v>26</v>
      </c>
      <c r="F1797" s="26" t="s">
        <v>27</v>
      </c>
      <c r="G1797" s="26" t="s">
        <v>124</v>
      </c>
      <c r="H1797" s="26" t="s">
        <v>29</v>
      </c>
      <c r="I1797" s="26" t="s">
        <v>30</v>
      </c>
      <c r="J1797" s="26" t="s">
        <v>31</v>
      </c>
      <c r="K1797" s="26" t="s">
        <v>87</v>
      </c>
      <c r="L1797" s="26" t="s">
        <v>1246</v>
      </c>
      <c r="M1797" s="26">
        <v>1</v>
      </c>
      <c r="N1797" s="26">
        <v>1</v>
      </c>
      <c r="O1797" s="28">
        <v>1</v>
      </c>
      <c r="P1797" s="26">
        <v>0.44</v>
      </c>
      <c r="Q1797" s="26">
        <v>0.44</v>
      </c>
      <c r="R1797" s="26">
        <v>17.47</v>
      </c>
      <c r="S1797" s="28">
        <v>2.5186E-2</v>
      </c>
      <c r="T1797" s="26">
        <v>39.700000000000003</v>
      </c>
      <c r="U1797" s="26">
        <v>1</v>
      </c>
      <c r="V1797" s="26">
        <v>1</v>
      </c>
      <c r="W1797" s="28">
        <v>1</v>
      </c>
      <c r="X1797" s="26">
        <v>1</v>
      </c>
      <c r="Y1797" s="26">
        <v>0</v>
      </c>
      <c r="Z1797" s="26">
        <v>17.47</v>
      </c>
      <c r="AA1797" s="26">
        <v>0</v>
      </c>
    </row>
    <row r="1798" spans="1:27" x14ac:dyDescent="0.2">
      <c r="A1798">
        <f t="shared" si="56"/>
        <v>4</v>
      </c>
      <c r="B1798">
        <f t="shared" si="57"/>
        <v>15</v>
      </c>
      <c r="C1798" s="27">
        <v>46121</v>
      </c>
      <c r="D1798" s="27">
        <v>46121</v>
      </c>
      <c r="E1798" s="26" t="s">
        <v>26</v>
      </c>
      <c r="F1798" s="26" t="s">
        <v>27</v>
      </c>
      <c r="G1798" s="26" t="s">
        <v>28</v>
      </c>
      <c r="H1798" s="26" t="s">
        <v>29</v>
      </c>
      <c r="I1798" s="26" t="s">
        <v>30</v>
      </c>
      <c r="J1798" s="26" t="s">
        <v>99</v>
      </c>
      <c r="K1798" s="26" t="s">
        <v>32</v>
      </c>
      <c r="L1798" s="26" t="s">
        <v>1247</v>
      </c>
      <c r="M1798" s="26">
        <v>1</v>
      </c>
      <c r="N1798" s="26">
        <v>1</v>
      </c>
      <c r="O1798" s="28">
        <v>1</v>
      </c>
      <c r="P1798" s="26">
        <v>0.21</v>
      </c>
      <c r="Q1798" s="26">
        <v>0.21</v>
      </c>
      <c r="R1798" s="26">
        <v>0</v>
      </c>
      <c r="S1798" s="26"/>
      <c r="T1798" s="26">
        <v>0</v>
      </c>
      <c r="U1798" s="26">
        <v>0</v>
      </c>
      <c r="V1798" s="26">
        <v>0</v>
      </c>
      <c r="W1798" s="28">
        <v>0</v>
      </c>
      <c r="X1798" s="26">
        <v>0</v>
      </c>
      <c r="Y1798" s="26">
        <v>0</v>
      </c>
      <c r="Z1798" s="26">
        <v>0</v>
      </c>
      <c r="AA1798" s="26">
        <v>0</v>
      </c>
    </row>
    <row r="1799" spans="1:27" x14ac:dyDescent="0.2">
      <c r="A1799">
        <f t="shared" si="56"/>
        <v>4</v>
      </c>
      <c r="B1799">
        <f t="shared" si="57"/>
        <v>16</v>
      </c>
      <c r="C1799" s="27">
        <v>46127</v>
      </c>
      <c r="D1799" s="27">
        <v>46127</v>
      </c>
      <c r="E1799" s="26" t="s">
        <v>26</v>
      </c>
      <c r="F1799" s="26" t="s">
        <v>27</v>
      </c>
      <c r="G1799" s="26" t="s">
        <v>124</v>
      </c>
      <c r="H1799" s="26" t="s">
        <v>29</v>
      </c>
      <c r="I1799" s="26" t="s">
        <v>30</v>
      </c>
      <c r="J1799" s="26" t="s">
        <v>101</v>
      </c>
      <c r="K1799" s="26" t="s">
        <v>87</v>
      </c>
      <c r="L1799" s="26" t="s">
        <v>774</v>
      </c>
      <c r="M1799" s="26">
        <v>1</v>
      </c>
      <c r="N1799" s="26">
        <v>1</v>
      </c>
      <c r="O1799" s="28">
        <v>1</v>
      </c>
      <c r="P1799" s="26">
        <v>0.4</v>
      </c>
      <c r="Q1799" s="26">
        <v>0.4</v>
      </c>
      <c r="R1799" s="26">
        <v>0</v>
      </c>
      <c r="S1799" s="26"/>
      <c r="T1799" s="26">
        <v>0</v>
      </c>
      <c r="U1799" s="26">
        <v>0</v>
      </c>
      <c r="V1799" s="26">
        <v>0</v>
      </c>
      <c r="W1799" s="28">
        <v>0</v>
      </c>
      <c r="X1799" s="26">
        <v>0</v>
      </c>
      <c r="Y1799" s="26">
        <v>0</v>
      </c>
      <c r="Z1799" s="26">
        <v>0</v>
      </c>
      <c r="AA1799" s="26">
        <v>0</v>
      </c>
    </row>
    <row r="1800" spans="1:27" x14ac:dyDescent="0.2">
      <c r="A1800">
        <f t="shared" si="56"/>
        <v>4</v>
      </c>
      <c r="B1800">
        <f t="shared" si="57"/>
        <v>17</v>
      </c>
      <c r="C1800" s="27">
        <v>46131</v>
      </c>
      <c r="D1800" s="27">
        <v>46131</v>
      </c>
      <c r="E1800" s="26" t="s">
        <v>26</v>
      </c>
      <c r="F1800" s="26" t="s">
        <v>27</v>
      </c>
      <c r="G1800" s="26" t="s">
        <v>28</v>
      </c>
      <c r="H1800" s="26" t="s">
        <v>29</v>
      </c>
      <c r="I1800" s="26" t="s">
        <v>30</v>
      </c>
      <c r="J1800" s="26" t="s">
        <v>50</v>
      </c>
      <c r="K1800" s="26" t="s">
        <v>32</v>
      </c>
      <c r="L1800" s="26" t="s">
        <v>1248</v>
      </c>
      <c r="M1800" s="26">
        <v>2</v>
      </c>
      <c r="N1800" s="26">
        <v>2</v>
      </c>
      <c r="O1800" s="28">
        <v>1</v>
      </c>
      <c r="P1800" s="26">
        <v>0.22</v>
      </c>
      <c r="Q1800" s="26">
        <v>0.44</v>
      </c>
      <c r="R1800" s="26">
        <v>0</v>
      </c>
      <c r="S1800" s="26"/>
      <c r="T1800" s="26">
        <v>0</v>
      </c>
      <c r="U1800" s="26">
        <v>0</v>
      </c>
      <c r="V1800" s="26">
        <v>0</v>
      </c>
      <c r="W1800" s="28">
        <v>0</v>
      </c>
      <c r="X1800" s="26">
        <v>0</v>
      </c>
      <c r="Y1800" s="26">
        <v>0</v>
      </c>
      <c r="Z1800" s="26">
        <v>0</v>
      </c>
      <c r="AA1800" s="26">
        <v>0</v>
      </c>
    </row>
    <row r="1801" spans="1:27" x14ac:dyDescent="0.2">
      <c r="A1801">
        <f t="shared" si="56"/>
        <v>4</v>
      </c>
      <c r="B1801">
        <f t="shared" si="57"/>
        <v>14</v>
      </c>
      <c r="C1801" s="27">
        <v>46113</v>
      </c>
      <c r="D1801" s="27">
        <v>46113</v>
      </c>
      <c r="E1801" s="26" t="s">
        <v>26</v>
      </c>
      <c r="F1801" s="26" t="s">
        <v>27</v>
      </c>
      <c r="G1801" s="26" t="s">
        <v>28</v>
      </c>
      <c r="H1801" s="26" t="s">
        <v>29</v>
      </c>
      <c r="I1801" s="26" t="s">
        <v>30</v>
      </c>
      <c r="J1801" s="26" t="s">
        <v>31</v>
      </c>
      <c r="K1801" s="26" t="s">
        <v>32</v>
      </c>
      <c r="L1801" s="26" t="s">
        <v>1249</v>
      </c>
      <c r="M1801" s="26">
        <v>2</v>
      </c>
      <c r="N1801" s="26">
        <v>1</v>
      </c>
      <c r="O1801" s="28">
        <v>0.5</v>
      </c>
      <c r="P1801" s="26">
        <v>0.21</v>
      </c>
      <c r="Q1801" s="26">
        <v>0.21</v>
      </c>
      <c r="R1801" s="26">
        <v>0</v>
      </c>
      <c r="S1801" s="26"/>
      <c r="T1801" s="26">
        <v>0</v>
      </c>
      <c r="U1801" s="26">
        <v>0</v>
      </c>
      <c r="V1801" s="26">
        <v>0</v>
      </c>
      <c r="W1801" s="28">
        <v>0</v>
      </c>
      <c r="X1801" s="26">
        <v>0</v>
      </c>
      <c r="Y1801" s="26">
        <v>0</v>
      </c>
      <c r="Z1801" s="26">
        <v>0</v>
      </c>
      <c r="AA1801" s="26">
        <v>0</v>
      </c>
    </row>
    <row r="1802" spans="1:27" x14ac:dyDescent="0.2">
      <c r="A1802">
        <f t="shared" si="56"/>
        <v>4</v>
      </c>
      <c r="B1802">
        <f t="shared" si="57"/>
        <v>14</v>
      </c>
      <c r="C1802" s="27">
        <v>46115</v>
      </c>
      <c r="D1802" s="27">
        <v>46115</v>
      </c>
      <c r="E1802" s="26" t="s">
        <v>26</v>
      </c>
      <c r="F1802" s="26" t="s">
        <v>27</v>
      </c>
      <c r="G1802" s="26" t="s">
        <v>28</v>
      </c>
      <c r="H1802" s="26" t="s">
        <v>29</v>
      </c>
      <c r="I1802" s="26" t="s">
        <v>30</v>
      </c>
      <c r="J1802" s="26" t="s">
        <v>50</v>
      </c>
      <c r="K1802" s="26" t="s">
        <v>32</v>
      </c>
      <c r="L1802" s="26" t="s">
        <v>1250</v>
      </c>
      <c r="M1802" s="26">
        <v>1</v>
      </c>
      <c r="N1802" s="26">
        <v>1</v>
      </c>
      <c r="O1802" s="28">
        <v>1</v>
      </c>
      <c r="P1802" s="26">
        <v>0.08</v>
      </c>
      <c r="Q1802" s="26">
        <v>0.08</v>
      </c>
      <c r="R1802" s="26">
        <v>0</v>
      </c>
      <c r="S1802" s="26"/>
      <c r="T1802" s="26">
        <v>0</v>
      </c>
      <c r="U1802" s="26">
        <v>0</v>
      </c>
      <c r="V1802" s="26">
        <v>0</v>
      </c>
      <c r="W1802" s="28">
        <v>0</v>
      </c>
      <c r="X1802" s="26">
        <v>0</v>
      </c>
      <c r="Y1802" s="26">
        <v>0</v>
      </c>
      <c r="Z1802" s="26">
        <v>0</v>
      </c>
      <c r="AA1802" s="26">
        <v>0</v>
      </c>
    </row>
    <row r="1803" spans="1:27" x14ac:dyDescent="0.2">
      <c r="A1803">
        <f t="shared" si="56"/>
        <v>4</v>
      </c>
      <c r="B1803">
        <f t="shared" si="57"/>
        <v>16</v>
      </c>
      <c r="C1803" s="27">
        <v>46128</v>
      </c>
      <c r="D1803" s="27">
        <v>46128</v>
      </c>
      <c r="E1803" s="26" t="s">
        <v>26</v>
      </c>
      <c r="F1803" s="26" t="s">
        <v>49</v>
      </c>
      <c r="G1803" s="26" t="s">
        <v>50</v>
      </c>
      <c r="H1803" s="26" t="s">
        <v>29</v>
      </c>
      <c r="I1803" s="26" t="s">
        <v>30</v>
      </c>
      <c r="J1803" s="26" t="s">
        <v>95</v>
      </c>
      <c r="K1803" s="26" t="s">
        <v>42</v>
      </c>
      <c r="L1803" s="26" t="s">
        <v>494</v>
      </c>
      <c r="M1803" s="26">
        <v>3</v>
      </c>
      <c r="N1803" s="26">
        <v>1</v>
      </c>
      <c r="O1803" s="28">
        <v>0.33333299999999999</v>
      </c>
      <c r="P1803" s="26">
        <v>0.53</v>
      </c>
      <c r="Q1803" s="26">
        <v>0.53</v>
      </c>
      <c r="R1803" s="26">
        <v>0</v>
      </c>
      <c r="S1803" s="26"/>
      <c r="T1803" s="26">
        <v>0</v>
      </c>
      <c r="U1803" s="26">
        <v>0</v>
      </c>
      <c r="V1803" s="26">
        <v>0</v>
      </c>
      <c r="W1803" s="28">
        <v>0</v>
      </c>
      <c r="X1803" s="26">
        <v>0</v>
      </c>
      <c r="Y1803" s="26">
        <v>0</v>
      </c>
      <c r="Z1803" s="26">
        <v>0</v>
      </c>
      <c r="AA1803" s="26">
        <v>0</v>
      </c>
    </row>
    <row r="1804" spans="1:27" x14ac:dyDescent="0.2">
      <c r="A1804">
        <f t="shared" si="56"/>
        <v>4</v>
      </c>
      <c r="B1804">
        <f t="shared" si="57"/>
        <v>16</v>
      </c>
      <c r="C1804" s="27">
        <v>46129</v>
      </c>
      <c r="D1804" s="27">
        <v>46129</v>
      </c>
      <c r="E1804" s="26" t="s">
        <v>26</v>
      </c>
      <c r="F1804" s="26" t="s">
        <v>27</v>
      </c>
      <c r="G1804" s="26" t="s">
        <v>28</v>
      </c>
      <c r="H1804" s="26" t="s">
        <v>29</v>
      </c>
      <c r="I1804" s="26" t="s">
        <v>30</v>
      </c>
      <c r="J1804" s="26" t="s">
        <v>99</v>
      </c>
      <c r="K1804" s="26" t="s">
        <v>32</v>
      </c>
      <c r="L1804" s="26" t="s">
        <v>1251</v>
      </c>
      <c r="M1804" s="26">
        <v>1</v>
      </c>
      <c r="N1804" s="26">
        <v>1</v>
      </c>
      <c r="O1804" s="28">
        <v>1</v>
      </c>
      <c r="P1804" s="26">
        <v>0.21</v>
      </c>
      <c r="Q1804" s="26">
        <v>0.21</v>
      </c>
      <c r="R1804" s="26">
        <v>0</v>
      </c>
      <c r="S1804" s="26"/>
      <c r="T1804" s="26">
        <v>0</v>
      </c>
      <c r="U1804" s="26">
        <v>0</v>
      </c>
      <c r="V1804" s="26">
        <v>0</v>
      </c>
      <c r="W1804" s="28">
        <v>0</v>
      </c>
      <c r="X1804" s="26">
        <v>0</v>
      </c>
      <c r="Y1804" s="26">
        <v>0</v>
      </c>
      <c r="Z1804" s="26">
        <v>0</v>
      </c>
      <c r="AA1804" s="26">
        <v>0</v>
      </c>
    </row>
    <row r="1805" spans="1:27" x14ac:dyDescent="0.2">
      <c r="A1805">
        <f t="shared" si="56"/>
        <v>4</v>
      </c>
      <c r="B1805">
        <f t="shared" si="57"/>
        <v>15</v>
      </c>
      <c r="C1805" s="27">
        <v>46117</v>
      </c>
      <c r="D1805" s="27">
        <v>46117</v>
      </c>
      <c r="E1805" s="26" t="s">
        <v>26</v>
      </c>
      <c r="F1805" s="26" t="s">
        <v>27</v>
      </c>
      <c r="G1805" s="26" t="s">
        <v>28</v>
      </c>
      <c r="H1805" s="26" t="s">
        <v>29</v>
      </c>
      <c r="I1805" s="26" t="s">
        <v>30</v>
      </c>
      <c r="J1805" s="26" t="s">
        <v>243</v>
      </c>
      <c r="K1805" s="26" t="s">
        <v>32</v>
      </c>
      <c r="L1805" s="26" t="s">
        <v>213</v>
      </c>
      <c r="M1805" s="26">
        <v>1</v>
      </c>
      <c r="N1805" s="26">
        <v>1</v>
      </c>
      <c r="O1805" s="28">
        <v>1</v>
      </c>
      <c r="P1805" s="26">
        <v>0.21</v>
      </c>
      <c r="Q1805" s="26">
        <v>0.21</v>
      </c>
      <c r="R1805" s="26">
        <v>0</v>
      </c>
      <c r="S1805" s="26"/>
      <c r="T1805" s="26">
        <v>0</v>
      </c>
      <c r="U1805" s="26">
        <v>0</v>
      </c>
      <c r="V1805" s="26">
        <v>0</v>
      </c>
      <c r="W1805" s="28">
        <v>0</v>
      </c>
      <c r="X1805" s="26">
        <v>0</v>
      </c>
      <c r="Y1805" s="26">
        <v>0</v>
      </c>
      <c r="Z1805" s="26">
        <v>0</v>
      </c>
      <c r="AA1805" s="26">
        <v>0</v>
      </c>
    </row>
    <row r="1806" spans="1:27" x14ac:dyDescent="0.2">
      <c r="A1806">
        <f t="shared" si="56"/>
        <v>4</v>
      </c>
      <c r="B1806">
        <f t="shared" si="57"/>
        <v>18</v>
      </c>
      <c r="C1806" s="27">
        <v>46140</v>
      </c>
      <c r="D1806" s="27">
        <v>46140</v>
      </c>
      <c r="E1806" s="26" t="s">
        <v>26</v>
      </c>
      <c r="F1806" s="26" t="s">
        <v>27</v>
      </c>
      <c r="G1806" s="26" t="s">
        <v>28</v>
      </c>
      <c r="H1806" s="26" t="s">
        <v>29</v>
      </c>
      <c r="I1806" s="26" t="s">
        <v>30</v>
      </c>
      <c r="J1806" s="26" t="s">
        <v>119</v>
      </c>
      <c r="K1806" s="26" t="s">
        <v>32</v>
      </c>
      <c r="L1806" s="26" t="s">
        <v>1252</v>
      </c>
      <c r="M1806" s="26">
        <v>3</v>
      </c>
      <c r="N1806" s="26">
        <v>1</v>
      </c>
      <c r="O1806" s="28">
        <v>0.33333299999999999</v>
      </c>
      <c r="P1806" s="26">
        <v>0.16</v>
      </c>
      <c r="Q1806" s="26">
        <v>0.16</v>
      </c>
      <c r="R1806" s="26">
        <v>0</v>
      </c>
      <c r="S1806" s="26"/>
      <c r="T1806" s="26">
        <v>0</v>
      </c>
      <c r="U1806" s="26">
        <v>0</v>
      </c>
      <c r="V1806" s="26">
        <v>0</v>
      </c>
      <c r="W1806" s="28">
        <v>0</v>
      </c>
      <c r="X1806" s="26">
        <v>0</v>
      </c>
      <c r="Y1806" s="26">
        <v>0</v>
      </c>
      <c r="Z1806" s="26">
        <v>0</v>
      </c>
      <c r="AA1806" s="26">
        <v>0</v>
      </c>
    </row>
    <row r="1807" spans="1:27" x14ac:dyDescent="0.2">
      <c r="A1807">
        <f t="shared" si="56"/>
        <v>4</v>
      </c>
      <c r="B1807">
        <f t="shared" si="57"/>
        <v>17</v>
      </c>
      <c r="C1807" s="27">
        <v>46131</v>
      </c>
      <c r="D1807" s="27">
        <v>46131</v>
      </c>
      <c r="E1807" s="26" t="s">
        <v>26</v>
      </c>
      <c r="F1807" s="26" t="s">
        <v>27</v>
      </c>
      <c r="G1807" s="26" t="s">
        <v>28</v>
      </c>
      <c r="H1807" s="26" t="s">
        <v>29</v>
      </c>
      <c r="I1807" s="26" t="s">
        <v>30</v>
      </c>
      <c r="J1807" s="26" t="s">
        <v>31</v>
      </c>
      <c r="K1807" s="26" t="s">
        <v>32</v>
      </c>
      <c r="L1807" s="26" t="s">
        <v>1253</v>
      </c>
      <c r="M1807" s="26">
        <v>2</v>
      </c>
      <c r="N1807" s="26">
        <v>1</v>
      </c>
      <c r="O1807" s="28">
        <v>0.5</v>
      </c>
      <c r="P1807" s="26">
        <v>0.21</v>
      </c>
      <c r="Q1807" s="26">
        <v>0.21</v>
      </c>
      <c r="R1807" s="26">
        <v>0</v>
      </c>
      <c r="S1807" s="26"/>
      <c r="T1807" s="26">
        <v>0</v>
      </c>
      <c r="U1807" s="26">
        <v>0</v>
      </c>
      <c r="V1807" s="26">
        <v>0</v>
      </c>
      <c r="W1807" s="28">
        <v>0</v>
      </c>
      <c r="X1807" s="26">
        <v>0</v>
      </c>
      <c r="Y1807" s="26">
        <v>0</v>
      </c>
      <c r="Z1807" s="26">
        <v>0</v>
      </c>
      <c r="AA1807" s="26">
        <v>0</v>
      </c>
    </row>
    <row r="1808" spans="1:27" x14ac:dyDescent="0.2">
      <c r="A1808">
        <f t="shared" si="56"/>
        <v>4</v>
      </c>
      <c r="B1808">
        <f t="shared" si="57"/>
        <v>14</v>
      </c>
      <c r="C1808" s="27">
        <v>46113</v>
      </c>
      <c r="D1808" s="27">
        <v>46113</v>
      </c>
      <c r="E1808" s="26" t="s">
        <v>26</v>
      </c>
      <c r="F1808" s="26" t="s">
        <v>27</v>
      </c>
      <c r="G1808" s="26" t="s">
        <v>28</v>
      </c>
      <c r="H1808" s="26" t="s">
        <v>29</v>
      </c>
      <c r="I1808" s="26" t="s">
        <v>30</v>
      </c>
      <c r="J1808" s="26" t="s">
        <v>50</v>
      </c>
      <c r="K1808" s="26" t="s">
        <v>32</v>
      </c>
      <c r="L1808" s="26" t="s">
        <v>1254</v>
      </c>
      <c r="M1808" s="26">
        <v>1</v>
      </c>
      <c r="N1808" s="26">
        <v>1</v>
      </c>
      <c r="O1808" s="28">
        <v>1</v>
      </c>
      <c r="P1808" s="26">
        <v>0.2</v>
      </c>
      <c r="Q1808" s="26">
        <v>0.2</v>
      </c>
      <c r="R1808" s="26">
        <v>0</v>
      </c>
      <c r="S1808" s="26"/>
      <c r="T1808" s="26">
        <v>0</v>
      </c>
      <c r="U1808" s="26">
        <v>0</v>
      </c>
      <c r="V1808" s="26">
        <v>0</v>
      </c>
      <c r="W1808" s="28">
        <v>0</v>
      </c>
      <c r="X1808" s="26">
        <v>0</v>
      </c>
      <c r="Y1808" s="26">
        <v>0</v>
      </c>
      <c r="Z1808" s="26">
        <v>0</v>
      </c>
      <c r="AA1808" s="26">
        <v>0</v>
      </c>
    </row>
    <row r="1809" spans="1:27" x14ac:dyDescent="0.2">
      <c r="A1809">
        <f t="shared" si="56"/>
        <v>4</v>
      </c>
      <c r="B1809">
        <f t="shared" si="57"/>
        <v>14</v>
      </c>
      <c r="C1809" s="27">
        <v>46116</v>
      </c>
      <c r="D1809" s="27">
        <v>46116</v>
      </c>
      <c r="E1809" s="26" t="s">
        <v>26</v>
      </c>
      <c r="F1809" s="26" t="s">
        <v>27</v>
      </c>
      <c r="G1809" s="26" t="s">
        <v>124</v>
      </c>
      <c r="H1809" s="26" t="s">
        <v>29</v>
      </c>
      <c r="I1809" s="26" t="s">
        <v>30</v>
      </c>
      <c r="J1809" s="26" t="s">
        <v>31</v>
      </c>
      <c r="K1809" s="26" t="s">
        <v>87</v>
      </c>
      <c r="L1809" s="26" t="s">
        <v>1255</v>
      </c>
      <c r="M1809" s="26">
        <v>14</v>
      </c>
      <c r="N1809" s="26">
        <v>1</v>
      </c>
      <c r="O1809" s="28">
        <v>7.1429000000000006E-2</v>
      </c>
      <c r="P1809" s="26">
        <v>0.2</v>
      </c>
      <c r="Q1809" s="26">
        <v>0.2</v>
      </c>
      <c r="R1809" s="26">
        <v>0</v>
      </c>
      <c r="S1809" s="26"/>
      <c r="T1809" s="26">
        <v>0</v>
      </c>
      <c r="U1809" s="26">
        <v>0</v>
      </c>
      <c r="V1809" s="26">
        <v>0</v>
      </c>
      <c r="W1809" s="28">
        <v>0</v>
      </c>
      <c r="X1809" s="26">
        <v>0</v>
      </c>
      <c r="Y1809" s="26">
        <v>0</v>
      </c>
      <c r="Z1809" s="26">
        <v>0</v>
      </c>
      <c r="AA1809" s="26">
        <v>0</v>
      </c>
    </row>
    <row r="1810" spans="1:27" x14ac:dyDescent="0.2">
      <c r="A1810">
        <f t="shared" si="56"/>
        <v>4</v>
      </c>
      <c r="B1810">
        <f t="shared" si="57"/>
        <v>14</v>
      </c>
      <c r="C1810" s="27">
        <v>46113</v>
      </c>
      <c r="D1810" s="27">
        <v>46141</v>
      </c>
      <c r="E1810" s="26" t="s">
        <v>26</v>
      </c>
      <c r="F1810" s="26" t="s">
        <v>27</v>
      </c>
      <c r="G1810" s="26" t="s">
        <v>124</v>
      </c>
      <c r="H1810" s="26" t="s">
        <v>29</v>
      </c>
      <c r="I1810" s="26" t="s">
        <v>30</v>
      </c>
      <c r="J1810" s="26" t="s">
        <v>101</v>
      </c>
      <c r="K1810" s="26" t="s">
        <v>87</v>
      </c>
      <c r="L1810" s="26" t="s">
        <v>215</v>
      </c>
      <c r="M1810" s="26">
        <v>21</v>
      </c>
      <c r="N1810" s="26">
        <v>3</v>
      </c>
      <c r="O1810" s="28">
        <v>0.14285700000000001</v>
      </c>
      <c r="P1810" s="26">
        <v>0.22</v>
      </c>
      <c r="Q1810" s="26">
        <v>0.66</v>
      </c>
      <c r="R1810" s="26">
        <v>0</v>
      </c>
      <c r="S1810" s="26"/>
      <c r="T1810" s="26">
        <v>0</v>
      </c>
      <c r="U1810" s="26">
        <v>0</v>
      </c>
      <c r="V1810" s="26">
        <v>0</v>
      </c>
      <c r="W1810" s="28">
        <v>0</v>
      </c>
      <c r="X1810" s="26">
        <v>0</v>
      </c>
      <c r="Y1810" s="26">
        <v>0</v>
      </c>
      <c r="Z1810" s="26">
        <v>0</v>
      </c>
      <c r="AA1810" s="26">
        <v>0</v>
      </c>
    </row>
    <row r="1811" spans="1:27" x14ac:dyDescent="0.2">
      <c r="A1811">
        <f t="shared" si="56"/>
        <v>4</v>
      </c>
      <c r="B1811">
        <f t="shared" si="57"/>
        <v>18</v>
      </c>
      <c r="C1811" s="27">
        <v>46139</v>
      </c>
      <c r="D1811" s="27">
        <v>46139</v>
      </c>
      <c r="E1811" s="26" t="s">
        <v>26</v>
      </c>
      <c r="F1811" s="26" t="s">
        <v>27</v>
      </c>
      <c r="G1811" s="26" t="s">
        <v>28</v>
      </c>
      <c r="H1811" s="26" t="s">
        <v>29</v>
      </c>
      <c r="I1811" s="26" t="s">
        <v>30</v>
      </c>
      <c r="J1811" s="26" t="s">
        <v>101</v>
      </c>
      <c r="K1811" s="26" t="s">
        <v>32</v>
      </c>
      <c r="L1811" s="26" t="s">
        <v>1256</v>
      </c>
      <c r="M1811" s="26">
        <v>4</v>
      </c>
      <c r="N1811" s="26">
        <v>1</v>
      </c>
      <c r="O1811" s="28">
        <v>0.25</v>
      </c>
      <c r="P1811" s="26">
        <v>0.21</v>
      </c>
      <c r="Q1811" s="26">
        <v>0.21</v>
      </c>
      <c r="R1811" s="26">
        <v>0</v>
      </c>
      <c r="S1811" s="26"/>
      <c r="T1811" s="26">
        <v>0</v>
      </c>
      <c r="U1811" s="26">
        <v>0</v>
      </c>
      <c r="V1811" s="26">
        <v>0</v>
      </c>
      <c r="W1811" s="28">
        <v>0</v>
      </c>
      <c r="X1811" s="26">
        <v>0</v>
      </c>
      <c r="Y1811" s="26">
        <v>0</v>
      </c>
      <c r="Z1811" s="26">
        <v>0</v>
      </c>
      <c r="AA1811" s="26">
        <v>0</v>
      </c>
    </row>
    <row r="1812" spans="1:27" x14ac:dyDescent="0.2">
      <c r="A1812">
        <f t="shared" si="56"/>
        <v>4</v>
      </c>
      <c r="B1812">
        <f t="shared" si="57"/>
        <v>18</v>
      </c>
      <c r="C1812" s="27">
        <v>46140</v>
      </c>
      <c r="D1812" s="27">
        <v>46140</v>
      </c>
      <c r="E1812" s="26" t="s">
        <v>26</v>
      </c>
      <c r="F1812" s="26" t="s">
        <v>27</v>
      </c>
      <c r="G1812" s="26" t="s">
        <v>28</v>
      </c>
      <c r="H1812" s="26" t="s">
        <v>29</v>
      </c>
      <c r="I1812" s="26" t="s">
        <v>30</v>
      </c>
      <c r="J1812" s="26" t="s">
        <v>101</v>
      </c>
      <c r="K1812" s="26" t="s">
        <v>32</v>
      </c>
      <c r="L1812" s="26" t="s">
        <v>1257</v>
      </c>
      <c r="M1812" s="26">
        <v>1</v>
      </c>
      <c r="N1812" s="26">
        <v>1</v>
      </c>
      <c r="O1812" s="28">
        <v>1</v>
      </c>
      <c r="P1812" s="26">
        <v>0.21</v>
      </c>
      <c r="Q1812" s="26">
        <v>0.21</v>
      </c>
      <c r="R1812" s="26">
        <v>0</v>
      </c>
      <c r="S1812" s="26"/>
      <c r="T1812" s="26">
        <v>0</v>
      </c>
      <c r="U1812" s="26">
        <v>0</v>
      </c>
      <c r="V1812" s="26">
        <v>0</v>
      </c>
      <c r="W1812" s="28">
        <v>0</v>
      </c>
      <c r="X1812" s="26">
        <v>0</v>
      </c>
      <c r="Y1812" s="26">
        <v>0</v>
      </c>
      <c r="Z1812" s="26">
        <v>0</v>
      </c>
      <c r="AA1812" s="26">
        <v>0</v>
      </c>
    </row>
    <row r="1813" spans="1:27" x14ac:dyDescent="0.2">
      <c r="A1813">
        <f t="shared" si="56"/>
        <v>4</v>
      </c>
      <c r="B1813">
        <f t="shared" si="57"/>
        <v>17</v>
      </c>
      <c r="C1813" s="27">
        <v>46133</v>
      </c>
      <c r="D1813" s="27">
        <v>46133</v>
      </c>
      <c r="E1813" s="26" t="s">
        <v>26</v>
      </c>
      <c r="F1813" s="26" t="s">
        <v>27</v>
      </c>
      <c r="G1813" s="26" t="s">
        <v>28</v>
      </c>
      <c r="H1813" s="26" t="s">
        <v>29</v>
      </c>
      <c r="I1813" s="26" t="s">
        <v>30</v>
      </c>
      <c r="J1813" s="26" t="s">
        <v>101</v>
      </c>
      <c r="K1813" s="26" t="s">
        <v>32</v>
      </c>
      <c r="L1813" s="26" t="s">
        <v>1258</v>
      </c>
      <c r="M1813" s="26">
        <v>1</v>
      </c>
      <c r="N1813" s="26">
        <v>1</v>
      </c>
      <c r="O1813" s="28">
        <v>1</v>
      </c>
      <c r="P1813" s="26">
        <v>0.21</v>
      </c>
      <c r="Q1813" s="26">
        <v>0.21</v>
      </c>
      <c r="R1813" s="26">
        <v>0</v>
      </c>
      <c r="S1813" s="26"/>
      <c r="T1813" s="26">
        <v>0</v>
      </c>
      <c r="U1813" s="26">
        <v>0</v>
      </c>
      <c r="V1813" s="26">
        <v>0</v>
      </c>
      <c r="W1813" s="28">
        <v>0</v>
      </c>
      <c r="X1813" s="26">
        <v>0</v>
      </c>
      <c r="Y1813" s="26">
        <v>0</v>
      </c>
      <c r="Z1813" s="26">
        <v>0</v>
      </c>
      <c r="AA1813" s="26">
        <v>0</v>
      </c>
    </row>
    <row r="1814" spans="1:27" x14ac:dyDescent="0.2">
      <c r="A1814">
        <f t="shared" si="56"/>
        <v>4</v>
      </c>
      <c r="B1814">
        <f t="shared" si="57"/>
        <v>15</v>
      </c>
      <c r="C1814" s="27">
        <v>46118</v>
      </c>
      <c r="D1814" s="27">
        <v>46118</v>
      </c>
      <c r="E1814" s="26" t="s">
        <v>26</v>
      </c>
      <c r="F1814" s="26" t="s">
        <v>49</v>
      </c>
      <c r="G1814" s="26" t="s">
        <v>50</v>
      </c>
      <c r="H1814" s="26" t="s">
        <v>29</v>
      </c>
      <c r="I1814" s="26" t="s">
        <v>30</v>
      </c>
      <c r="J1814" s="26" t="s">
        <v>47</v>
      </c>
      <c r="K1814" s="26" t="s">
        <v>42</v>
      </c>
      <c r="L1814" s="26" t="s">
        <v>1259</v>
      </c>
      <c r="M1814" s="26">
        <v>2</v>
      </c>
      <c r="N1814" s="26">
        <v>1</v>
      </c>
      <c r="O1814" s="28">
        <v>0.5</v>
      </c>
      <c r="P1814" s="26">
        <v>0.78</v>
      </c>
      <c r="Q1814" s="26">
        <v>0.78</v>
      </c>
      <c r="R1814" s="26">
        <v>37.979999999999997</v>
      </c>
      <c r="S1814" s="28">
        <v>2.0537E-2</v>
      </c>
      <c r="T1814" s="26">
        <v>48.69</v>
      </c>
      <c r="U1814" s="26">
        <v>1</v>
      </c>
      <c r="V1814" s="26">
        <v>2</v>
      </c>
      <c r="W1814" s="28">
        <v>1</v>
      </c>
      <c r="X1814" s="26">
        <v>0</v>
      </c>
      <c r="Y1814" s="26">
        <v>2</v>
      </c>
      <c r="Z1814" s="26">
        <v>0</v>
      </c>
      <c r="AA1814" s="26">
        <v>37.979999999999997</v>
      </c>
    </row>
    <row r="1815" spans="1:27" x14ac:dyDescent="0.2">
      <c r="A1815">
        <f t="shared" ref="A1815:A1878" si="58">MONTH(C1815)</f>
        <v>4</v>
      </c>
      <c r="B1815">
        <f t="shared" ref="B1815:B1878" si="59">WEEKNUM(C1815,1)</f>
        <v>16</v>
      </c>
      <c r="C1815" s="27">
        <v>46127</v>
      </c>
      <c r="D1815" s="27">
        <v>46127</v>
      </c>
      <c r="E1815" s="26" t="s">
        <v>26</v>
      </c>
      <c r="F1815" s="26" t="s">
        <v>1130</v>
      </c>
      <c r="G1815" s="26" t="s">
        <v>54</v>
      </c>
      <c r="H1815" s="26" t="s">
        <v>29</v>
      </c>
      <c r="I1815" s="26" t="s">
        <v>30</v>
      </c>
      <c r="J1815" s="26" t="s">
        <v>47</v>
      </c>
      <c r="K1815" s="26" t="s">
        <v>42</v>
      </c>
      <c r="L1815" s="26" t="s">
        <v>1260</v>
      </c>
      <c r="M1815" s="26">
        <v>9</v>
      </c>
      <c r="N1815" s="26">
        <v>1</v>
      </c>
      <c r="O1815" s="28">
        <v>0.111111</v>
      </c>
      <c r="P1815" s="26">
        <v>0.5</v>
      </c>
      <c r="Q1815" s="26">
        <v>0.5</v>
      </c>
      <c r="R1815" s="26">
        <v>0</v>
      </c>
      <c r="S1815" s="26"/>
      <c r="T1815" s="26">
        <v>0</v>
      </c>
      <c r="U1815" s="26">
        <v>0</v>
      </c>
      <c r="V1815" s="26">
        <v>0</v>
      </c>
      <c r="W1815" s="28">
        <v>0</v>
      </c>
      <c r="X1815" s="26">
        <v>0</v>
      </c>
      <c r="Y1815" s="26">
        <v>0</v>
      </c>
      <c r="Z1815" s="26">
        <v>0</v>
      </c>
      <c r="AA1815" s="26">
        <v>0</v>
      </c>
    </row>
    <row r="1816" spans="1:27" x14ac:dyDescent="0.2">
      <c r="A1816">
        <f t="shared" si="58"/>
        <v>4</v>
      </c>
      <c r="B1816">
        <f t="shared" si="59"/>
        <v>16</v>
      </c>
      <c r="C1816" s="27">
        <v>46130</v>
      </c>
      <c r="D1816" s="27">
        <v>46130</v>
      </c>
      <c r="E1816" s="26" t="s">
        <v>26</v>
      </c>
      <c r="F1816" s="26" t="s">
        <v>61</v>
      </c>
      <c r="G1816" s="26" t="s">
        <v>62</v>
      </c>
      <c r="H1816" s="26" t="s">
        <v>29</v>
      </c>
      <c r="I1816" s="26" t="s">
        <v>30</v>
      </c>
      <c r="J1816" s="26" t="s">
        <v>95</v>
      </c>
      <c r="K1816" s="26" t="s">
        <v>42</v>
      </c>
      <c r="L1816" s="26" t="s">
        <v>1261</v>
      </c>
      <c r="M1816" s="26">
        <v>1</v>
      </c>
      <c r="N1816" s="26">
        <v>1</v>
      </c>
      <c r="O1816" s="28">
        <v>1</v>
      </c>
      <c r="P1816" s="26">
        <v>1.5</v>
      </c>
      <c r="Q1816" s="26">
        <v>1.5</v>
      </c>
      <c r="R1816" s="26">
        <v>0</v>
      </c>
      <c r="S1816" s="26"/>
      <c r="T1816" s="26">
        <v>0</v>
      </c>
      <c r="U1816" s="26">
        <v>0</v>
      </c>
      <c r="V1816" s="26">
        <v>0</v>
      </c>
      <c r="W1816" s="28">
        <v>0</v>
      </c>
      <c r="X1816" s="26">
        <v>0</v>
      </c>
      <c r="Y1816" s="26">
        <v>0</v>
      </c>
      <c r="Z1816" s="26">
        <v>0</v>
      </c>
      <c r="AA1816" s="26">
        <v>0</v>
      </c>
    </row>
    <row r="1817" spans="1:27" x14ac:dyDescent="0.2">
      <c r="A1817">
        <f t="shared" si="58"/>
        <v>4</v>
      </c>
      <c r="B1817">
        <f t="shared" si="59"/>
        <v>17</v>
      </c>
      <c r="C1817" s="27">
        <v>46135</v>
      </c>
      <c r="D1817" s="27">
        <v>46135</v>
      </c>
      <c r="E1817" s="26" t="s">
        <v>26</v>
      </c>
      <c r="F1817" s="26" t="s">
        <v>27</v>
      </c>
      <c r="G1817" s="26" t="s">
        <v>124</v>
      </c>
      <c r="H1817" s="26" t="s">
        <v>29</v>
      </c>
      <c r="I1817" s="26" t="s">
        <v>30</v>
      </c>
      <c r="J1817" s="26" t="s">
        <v>101</v>
      </c>
      <c r="K1817" s="26" t="s">
        <v>87</v>
      </c>
      <c r="L1817" s="26" t="s">
        <v>1262</v>
      </c>
      <c r="M1817" s="26">
        <v>1</v>
      </c>
      <c r="N1817" s="26">
        <v>1</v>
      </c>
      <c r="O1817" s="28">
        <v>1</v>
      </c>
      <c r="P1817" s="26">
        <v>0.44</v>
      </c>
      <c r="Q1817" s="26">
        <v>0.44</v>
      </c>
      <c r="R1817" s="26">
        <v>0</v>
      </c>
      <c r="S1817" s="26"/>
      <c r="T1817" s="26">
        <v>0</v>
      </c>
      <c r="U1817" s="26">
        <v>0</v>
      </c>
      <c r="V1817" s="26">
        <v>0</v>
      </c>
      <c r="W1817" s="28">
        <v>0</v>
      </c>
      <c r="X1817" s="26">
        <v>0</v>
      </c>
      <c r="Y1817" s="26">
        <v>0</v>
      </c>
      <c r="Z1817" s="26">
        <v>0</v>
      </c>
      <c r="AA1817" s="26">
        <v>0</v>
      </c>
    </row>
    <row r="1818" spans="1:27" x14ac:dyDescent="0.2">
      <c r="A1818">
        <f t="shared" si="58"/>
        <v>4</v>
      </c>
      <c r="B1818">
        <f t="shared" si="59"/>
        <v>16</v>
      </c>
      <c r="C1818" s="27">
        <v>46124</v>
      </c>
      <c r="D1818" s="27">
        <v>46124</v>
      </c>
      <c r="E1818" s="26" t="s">
        <v>26</v>
      </c>
      <c r="F1818" s="26" t="s">
        <v>49</v>
      </c>
      <c r="G1818" s="26" t="s">
        <v>50</v>
      </c>
      <c r="H1818" s="26" t="s">
        <v>29</v>
      </c>
      <c r="I1818" s="26" t="s">
        <v>30</v>
      </c>
      <c r="J1818" s="26" t="s">
        <v>95</v>
      </c>
      <c r="K1818" s="26" t="s">
        <v>42</v>
      </c>
      <c r="L1818" s="26" t="s">
        <v>1263</v>
      </c>
      <c r="M1818" s="26">
        <v>2</v>
      </c>
      <c r="N1818" s="26">
        <v>1</v>
      </c>
      <c r="O1818" s="28">
        <v>0.5</v>
      </c>
      <c r="P1818" s="26">
        <v>0.52</v>
      </c>
      <c r="Q1818" s="26">
        <v>0.52</v>
      </c>
      <c r="R1818" s="26">
        <v>0</v>
      </c>
      <c r="S1818" s="26"/>
      <c r="T1818" s="26">
        <v>0</v>
      </c>
      <c r="U1818" s="26">
        <v>0</v>
      </c>
      <c r="V1818" s="26">
        <v>0</v>
      </c>
      <c r="W1818" s="28">
        <v>0</v>
      </c>
      <c r="X1818" s="26">
        <v>0</v>
      </c>
      <c r="Y1818" s="26">
        <v>0</v>
      </c>
      <c r="Z1818" s="26">
        <v>0</v>
      </c>
      <c r="AA1818" s="26">
        <v>0</v>
      </c>
    </row>
    <row r="1819" spans="1:27" x14ac:dyDescent="0.2">
      <c r="A1819">
        <f t="shared" si="58"/>
        <v>4</v>
      </c>
      <c r="B1819">
        <f t="shared" si="59"/>
        <v>14</v>
      </c>
      <c r="C1819" s="27">
        <v>46113</v>
      </c>
      <c r="D1819" s="27">
        <v>46113</v>
      </c>
      <c r="E1819" s="26" t="s">
        <v>26</v>
      </c>
      <c r="F1819" s="26" t="s">
        <v>27</v>
      </c>
      <c r="G1819" s="26" t="s">
        <v>28</v>
      </c>
      <c r="H1819" s="26" t="s">
        <v>29</v>
      </c>
      <c r="I1819" s="26" t="s">
        <v>30</v>
      </c>
      <c r="J1819" s="26" t="s">
        <v>50</v>
      </c>
      <c r="K1819" s="26" t="s">
        <v>32</v>
      </c>
      <c r="L1819" s="26" t="s">
        <v>1264</v>
      </c>
      <c r="M1819" s="26">
        <v>1</v>
      </c>
      <c r="N1819" s="26">
        <v>1</v>
      </c>
      <c r="O1819" s="28">
        <v>1</v>
      </c>
      <c r="P1819" s="26">
        <v>0.08</v>
      </c>
      <c r="Q1819" s="26">
        <v>0.08</v>
      </c>
      <c r="R1819" s="26">
        <v>0</v>
      </c>
      <c r="S1819" s="26"/>
      <c r="T1819" s="26">
        <v>0</v>
      </c>
      <c r="U1819" s="26">
        <v>0</v>
      </c>
      <c r="V1819" s="26">
        <v>0</v>
      </c>
      <c r="W1819" s="28">
        <v>0</v>
      </c>
      <c r="X1819" s="26">
        <v>0</v>
      </c>
      <c r="Y1819" s="26">
        <v>0</v>
      </c>
      <c r="Z1819" s="26">
        <v>0</v>
      </c>
      <c r="AA1819" s="26">
        <v>0</v>
      </c>
    </row>
    <row r="1820" spans="1:27" x14ac:dyDescent="0.2">
      <c r="A1820">
        <f t="shared" si="58"/>
        <v>4</v>
      </c>
      <c r="B1820">
        <f t="shared" si="59"/>
        <v>15</v>
      </c>
      <c r="C1820" s="27">
        <v>46123</v>
      </c>
      <c r="D1820" s="27">
        <v>46123</v>
      </c>
      <c r="E1820" s="26" t="s">
        <v>26</v>
      </c>
      <c r="F1820" s="26" t="s">
        <v>61</v>
      </c>
      <c r="G1820" s="26" t="s">
        <v>62</v>
      </c>
      <c r="H1820" s="26" t="s">
        <v>29</v>
      </c>
      <c r="I1820" s="26" t="s">
        <v>30</v>
      </c>
      <c r="J1820" s="26" t="s">
        <v>95</v>
      </c>
      <c r="K1820" s="26" t="s">
        <v>42</v>
      </c>
      <c r="L1820" s="26" t="s">
        <v>1265</v>
      </c>
      <c r="M1820" s="26">
        <v>2</v>
      </c>
      <c r="N1820" s="26">
        <v>1</v>
      </c>
      <c r="O1820" s="28">
        <v>0.5</v>
      </c>
      <c r="P1820" s="26">
        <v>1.6</v>
      </c>
      <c r="Q1820" s="26">
        <v>1.6</v>
      </c>
      <c r="R1820" s="26">
        <v>0</v>
      </c>
      <c r="S1820" s="26"/>
      <c r="T1820" s="26">
        <v>0</v>
      </c>
      <c r="U1820" s="26">
        <v>0</v>
      </c>
      <c r="V1820" s="26">
        <v>0</v>
      </c>
      <c r="W1820" s="28">
        <v>0</v>
      </c>
      <c r="X1820" s="26">
        <v>0</v>
      </c>
      <c r="Y1820" s="26">
        <v>0</v>
      </c>
      <c r="Z1820" s="26">
        <v>0</v>
      </c>
      <c r="AA1820" s="26">
        <v>0</v>
      </c>
    </row>
    <row r="1821" spans="1:27" x14ac:dyDescent="0.2">
      <c r="A1821">
        <f t="shared" si="58"/>
        <v>4</v>
      </c>
      <c r="B1821">
        <f t="shared" si="59"/>
        <v>16</v>
      </c>
      <c r="C1821" s="27">
        <v>46125</v>
      </c>
      <c r="D1821" s="27">
        <v>46139</v>
      </c>
      <c r="E1821" s="26" t="s">
        <v>26</v>
      </c>
      <c r="F1821" s="26" t="s">
        <v>27</v>
      </c>
      <c r="G1821" s="26" t="s">
        <v>124</v>
      </c>
      <c r="H1821" s="26" t="s">
        <v>29</v>
      </c>
      <c r="I1821" s="26" t="s">
        <v>30</v>
      </c>
      <c r="J1821" s="26" t="s">
        <v>44</v>
      </c>
      <c r="K1821" s="26" t="s">
        <v>87</v>
      </c>
      <c r="L1821" s="26" t="s">
        <v>1266</v>
      </c>
      <c r="M1821" s="26">
        <v>27</v>
      </c>
      <c r="N1821" s="26">
        <v>4</v>
      </c>
      <c r="O1821" s="28">
        <v>0.148148</v>
      </c>
      <c r="P1821" s="26">
        <v>0.2</v>
      </c>
      <c r="Q1821" s="26">
        <v>0.8</v>
      </c>
      <c r="R1821" s="26">
        <v>0</v>
      </c>
      <c r="S1821" s="26"/>
      <c r="T1821" s="26">
        <v>0</v>
      </c>
      <c r="U1821" s="26">
        <v>0</v>
      </c>
      <c r="V1821" s="26">
        <v>0</v>
      </c>
      <c r="W1821" s="28">
        <v>0</v>
      </c>
      <c r="X1821" s="26">
        <v>0</v>
      </c>
      <c r="Y1821" s="26">
        <v>0</v>
      </c>
      <c r="Z1821" s="26">
        <v>0</v>
      </c>
      <c r="AA1821" s="26">
        <v>0</v>
      </c>
    </row>
    <row r="1822" spans="1:27" x14ac:dyDescent="0.2">
      <c r="A1822">
        <f t="shared" si="58"/>
        <v>4</v>
      </c>
      <c r="B1822">
        <f t="shared" si="59"/>
        <v>17</v>
      </c>
      <c r="C1822" s="27">
        <v>46131</v>
      </c>
      <c r="D1822" s="27">
        <v>46131</v>
      </c>
      <c r="E1822" s="26" t="s">
        <v>26</v>
      </c>
      <c r="F1822" s="26" t="s">
        <v>27</v>
      </c>
      <c r="G1822" s="26" t="s">
        <v>28</v>
      </c>
      <c r="H1822" s="26" t="s">
        <v>29</v>
      </c>
      <c r="I1822" s="26" t="s">
        <v>30</v>
      </c>
      <c r="J1822" s="26" t="s">
        <v>782</v>
      </c>
      <c r="K1822" s="26" t="s">
        <v>32</v>
      </c>
      <c r="L1822" s="26" t="s">
        <v>782</v>
      </c>
      <c r="M1822" s="26">
        <v>1</v>
      </c>
      <c r="N1822" s="26">
        <v>1</v>
      </c>
      <c r="O1822" s="28">
        <v>1</v>
      </c>
      <c r="P1822" s="26">
        <v>0.21</v>
      </c>
      <c r="Q1822" s="26">
        <v>0.21</v>
      </c>
      <c r="R1822" s="26">
        <v>0</v>
      </c>
      <c r="S1822" s="26"/>
      <c r="T1822" s="26">
        <v>0</v>
      </c>
      <c r="U1822" s="26">
        <v>0</v>
      </c>
      <c r="V1822" s="26">
        <v>0</v>
      </c>
      <c r="W1822" s="28">
        <v>0</v>
      </c>
      <c r="X1822" s="26">
        <v>0</v>
      </c>
      <c r="Y1822" s="26">
        <v>0</v>
      </c>
      <c r="Z1822" s="26">
        <v>0</v>
      </c>
      <c r="AA1822" s="26">
        <v>0</v>
      </c>
    </row>
    <row r="1823" spans="1:27" x14ac:dyDescent="0.2">
      <c r="A1823">
        <f t="shared" si="58"/>
        <v>4</v>
      </c>
      <c r="B1823">
        <f t="shared" si="59"/>
        <v>17</v>
      </c>
      <c r="C1823" s="27">
        <v>46132</v>
      </c>
      <c r="D1823" s="27">
        <v>46132</v>
      </c>
      <c r="E1823" s="26" t="s">
        <v>26</v>
      </c>
      <c r="F1823" s="26" t="s">
        <v>1130</v>
      </c>
      <c r="G1823" s="26" t="s">
        <v>54</v>
      </c>
      <c r="H1823" s="26" t="s">
        <v>29</v>
      </c>
      <c r="I1823" s="26" t="s">
        <v>30</v>
      </c>
      <c r="J1823" s="26" t="s">
        <v>95</v>
      </c>
      <c r="K1823" s="26" t="s">
        <v>42</v>
      </c>
      <c r="L1823" s="26" t="s">
        <v>1267</v>
      </c>
      <c r="M1823" s="26">
        <v>1</v>
      </c>
      <c r="N1823" s="26">
        <v>1</v>
      </c>
      <c r="O1823" s="28">
        <v>1</v>
      </c>
      <c r="P1823" s="26">
        <v>0.63</v>
      </c>
      <c r="Q1823" s="26">
        <v>0.63</v>
      </c>
      <c r="R1823" s="26">
        <v>0</v>
      </c>
      <c r="S1823" s="26"/>
      <c r="T1823" s="26">
        <v>0</v>
      </c>
      <c r="U1823" s="26">
        <v>0</v>
      </c>
      <c r="V1823" s="26">
        <v>0</v>
      </c>
      <c r="W1823" s="28">
        <v>0</v>
      </c>
      <c r="X1823" s="26">
        <v>0</v>
      </c>
      <c r="Y1823" s="26">
        <v>0</v>
      </c>
      <c r="Z1823" s="26">
        <v>0</v>
      </c>
      <c r="AA1823" s="26">
        <v>0</v>
      </c>
    </row>
    <row r="1824" spans="1:27" x14ac:dyDescent="0.2">
      <c r="A1824">
        <f t="shared" si="58"/>
        <v>4</v>
      </c>
      <c r="B1824">
        <f t="shared" si="59"/>
        <v>16</v>
      </c>
      <c r="C1824" s="27">
        <v>46129</v>
      </c>
      <c r="D1824" s="27">
        <v>46129</v>
      </c>
      <c r="E1824" s="26" t="s">
        <v>26</v>
      </c>
      <c r="F1824" s="26" t="s">
        <v>61</v>
      </c>
      <c r="G1824" s="26" t="s">
        <v>62</v>
      </c>
      <c r="H1824" s="26" t="s">
        <v>29</v>
      </c>
      <c r="I1824" s="26" t="s">
        <v>30</v>
      </c>
      <c r="J1824" s="26" t="s">
        <v>95</v>
      </c>
      <c r="K1824" s="26" t="s">
        <v>42</v>
      </c>
      <c r="L1824" s="26" t="s">
        <v>1268</v>
      </c>
      <c r="M1824" s="26">
        <v>1</v>
      </c>
      <c r="N1824" s="26">
        <v>1</v>
      </c>
      <c r="O1824" s="28">
        <v>1</v>
      </c>
      <c r="P1824" s="26">
        <v>1.62</v>
      </c>
      <c r="Q1824" s="26">
        <v>1.62</v>
      </c>
      <c r="R1824" s="26">
        <v>0</v>
      </c>
      <c r="S1824" s="26"/>
      <c r="T1824" s="26">
        <v>0</v>
      </c>
      <c r="U1824" s="26">
        <v>0</v>
      </c>
      <c r="V1824" s="26">
        <v>0</v>
      </c>
      <c r="W1824" s="28">
        <v>0</v>
      </c>
      <c r="X1824" s="26">
        <v>0</v>
      </c>
      <c r="Y1824" s="26">
        <v>0</v>
      </c>
      <c r="Z1824" s="26">
        <v>0</v>
      </c>
      <c r="AA1824" s="26">
        <v>0</v>
      </c>
    </row>
    <row r="1825" spans="1:27" x14ac:dyDescent="0.2">
      <c r="A1825">
        <f t="shared" si="58"/>
        <v>4</v>
      </c>
      <c r="B1825">
        <f t="shared" si="59"/>
        <v>16</v>
      </c>
      <c r="C1825" s="27">
        <v>46129</v>
      </c>
      <c r="D1825" s="27">
        <v>46129</v>
      </c>
      <c r="E1825" s="26" t="s">
        <v>26</v>
      </c>
      <c r="F1825" s="26" t="s">
        <v>27</v>
      </c>
      <c r="G1825" s="26" t="s">
        <v>28</v>
      </c>
      <c r="H1825" s="26" t="s">
        <v>29</v>
      </c>
      <c r="I1825" s="26" t="s">
        <v>30</v>
      </c>
      <c r="J1825" s="26" t="s">
        <v>101</v>
      </c>
      <c r="K1825" s="26" t="s">
        <v>32</v>
      </c>
      <c r="L1825" s="26" t="s">
        <v>1269</v>
      </c>
      <c r="M1825" s="26">
        <v>1</v>
      </c>
      <c r="N1825" s="26">
        <v>1</v>
      </c>
      <c r="O1825" s="28">
        <v>1</v>
      </c>
      <c r="P1825" s="26">
        <v>0.4</v>
      </c>
      <c r="Q1825" s="26">
        <v>0.4</v>
      </c>
      <c r="R1825" s="26">
        <v>0</v>
      </c>
      <c r="S1825" s="26"/>
      <c r="T1825" s="26">
        <v>0</v>
      </c>
      <c r="U1825" s="26">
        <v>0</v>
      </c>
      <c r="V1825" s="26">
        <v>0</v>
      </c>
      <c r="W1825" s="28">
        <v>0</v>
      </c>
      <c r="X1825" s="26">
        <v>0</v>
      </c>
      <c r="Y1825" s="26">
        <v>0</v>
      </c>
      <c r="Z1825" s="26">
        <v>0</v>
      </c>
      <c r="AA1825" s="26">
        <v>0</v>
      </c>
    </row>
    <row r="1826" spans="1:27" x14ac:dyDescent="0.2">
      <c r="A1826">
        <f t="shared" si="58"/>
        <v>4</v>
      </c>
      <c r="B1826">
        <f t="shared" si="59"/>
        <v>17</v>
      </c>
      <c r="C1826" s="27">
        <v>46133</v>
      </c>
      <c r="D1826" s="27">
        <v>46133</v>
      </c>
      <c r="E1826" s="26" t="s">
        <v>26</v>
      </c>
      <c r="F1826" s="26" t="s">
        <v>49</v>
      </c>
      <c r="G1826" s="26" t="s">
        <v>50</v>
      </c>
      <c r="H1826" s="26" t="s">
        <v>29</v>
      </c>
      <c r="I1826" s="26" t="s">
        <v>30</v>
      </c>
      <c r="J1826" s="26" t="s">
        <v>95</v>
      </c>
      <c r="K1826" s="26" t="s">
        <v>42</v>
      </c>
      <c r="L1826" s="26" t="s">
        <v>1270</v>
      </c>
      <c r="M1826" s="26">
        <v>2</v>
      </c>
      <c r="N1826" s="26">
        <v>1</v>
      </c>
      <c r="O1826" s="28">
        <v>0.5</v>
      </c>
      <c r="P1826" s="26">
        <v>0.52</v>
      </c>
      <c r="Q1826" s="26">
        <v>0.52</v>
      </c>
      <c r="R1826" s="26">
        <v>0</v>
      </c>
      <c r="S1826" s="26"/>
      <c r="T1826" s="26">
        <v>0</v>
      </c>
      <c r="U1826" s="26">
        <v>0</v>
      </c>
      <c r="V1826" s="26">
        <v>0</v>
      </c>
      <c r="W1826" s="28">
        <v>0</v>
      </c>
      <c r="X1826" s="26">
        <v>0</v>
      </c>
      <c r="Y1826" s="26">
        <v>0</v>
      </c>
      <c r="Z1826" s="26">
        <v>0</v>
      </c>
      <c r="AA1826" s="26">
        <v>0</v>
      </c>
    </row>
    <row r="1827" spans="1:27" x14ac:dyDescent="0.2">
      <c r="A1827">
        <f t="shared" si="58"/>
        <v>4</v>
      </c>
      <c r="B1827">
        <f t="shared" si="59"/>
        <v>15</v>
      </c>
      <c r="C1827" s="27">
        <v>46117</v>
      </c>
      <c r="D1827" s="27">
        <v>46117</v>
      </c>
      <c r="E1827" s="26" t="s">
        <v>26</v>
      </c>
      <c r="F1827" s="26" t="s">
        <v>27</v>
      </c>
      <c r="G1827" s="26" t="s">
        <v>28</v>
      </c>
      <c r="H1827" s="26" t="s">
        <v>29</v>
      </c>
      <c r="I1827" s="26" t="s">
        <v>30</v>
      </c>
      <c r="J1827" s="26" t="s">
        <v>119</v>
      </c>
      <c r="K1827" s="26" t="s">
        <v>32</v>
      </c>
      <c r="L1827" s="26" t="s">
        <v>1271</v>
      </c>
      <c r="M1827" s="26">
        <v>1</v>
      </c>
      <c r="N1827" s="26">
        <v>1</v>
      </c>
      <c r="O1827" s="28">
        <v>1</v>
      </c>
      <c r="P1827" s="26">
        <v>0.3</v>
      </c>
      <c r="Q1827" s="26">
        <v>0.3</v>
      </c>
      <c r="R1827" s="26">
        <v>0</v>
      </c>
      <c r="S1827" s="26"/>
      <c r="T1827" s="26">
        <v>0</v>
      </c>
      <c r="U1827" s="26">
        <v>0</v>
      </c>
      <c r="V1827" s="26">
        <v>0</v>
      </c>
      <c r="W1827" s="28">
        <v>0</v>
      </c>
      <c r="X1827" s="26">
        <v>0</v>
      </c>
      <c r="Y1827" s="26">
        <v>0</v>
      </c>
      <c r="Z1827" s="26">
        <v>0</v>
      </c>
      <c r="AA1827" s="26">
        <v>0</v>
      </c>
    </row>
    <row r="1828" spans="1:27" x14ac:dyDescent="0.2">
      <c r="A1828">
        <f t="shared" si="58"/>
        <v>4</v>
      </c>
      <c r="B1828">
        <f t="shared" si="59"/>
        <v>15</v>
      </c>
      <c r="C1828" s="27">
        <v>46119</v>
      </c>
      <c r="D1828" s="27">
        <v>46119</v>
      </c>
      <c r="E1828" s="26" t="s">
        <v>26</v>
      </c>
      <c r="F1828" s="26" t="s">
        <v>61</v>
      </c>
      <c r="G1828" s="26" t="s">
        <v>62</v>
      </c>
      <c r="H1828" s="26" t="s">
        <v>29</v>
      </c>
      <c r="I1828" s="26" t="s">
        <v>30</v>
      </c>
      <c r="J1828" s="26" t="s">
        <v>95</v>
      </c>
      <c r="K1828" s="26" t="s">
        <v>42</v>
      </c>
      <c r="L1828" s="26" t="s">
        <v>1272</v>
      </c>
      <c r="M1828" s="26">
        <v>3</v>
      </c>
      <c r="N1828" s="26">
        <v>1</v>
      </c>
      <c r="O1828" s="28">
        <v>0.33333299999999999</v>
      </c>
      <c r="P1828" s="26">
        <v>1.69</v>
      </c>
      <c r="Q1828" s="26">
        <v>1.69</v>
      </c>
      <c r="R1828" s="26">
        <v>0</v>
      </c>
      <c r="S1828" s="26"/>
      <c r="T1828" s="26">
        <v>0</v>
      </c>
      <c r="U1828" s="26">
        <v>0</v>
      </c>
      <c r="V1828" s="26">
        <v>0</v>
      </c>
      <c r="W1828" s="28">
        <v>0</v>
      </c>
      <c r="X1828" s="26">
        <v>0</v>
      </c>
      <c r="Y1828" s="26">
        <v>0</v>
      </c>
      <c r="Z1828" s="26">
        <v>0</v>
      </c>
      <c r="AA1828" s="26">
        <v>0</v>
      </c>
    </row>
    <row r="1829" spans="1:27" x14ac:dyDescent="0.2">
      <c r="A1829">
        <f t="shared" si="58"/>
        <v>4</v>
      </c>
      <c r="B1829">
        <f t="shared" si="59"/>
        <v>17</v>
      </c>
      <c r="C1829" s="27">
        <v>46132</v>
      </c>
      <c r="D1829" s="27">
        <v>46132</v>
      </c>
      <c r="E1829" s="26" t="s">
        <v>26</v>
      </c>
      <c r="F1829" s="26" t="s">
        <v>27</v>
      </c>
      <c r="G1829" s="26" t="s">
        <v>28</v>
      </c>
      <c r="H1829" s="26" t="s">
        <v>29</v>
      </c>
      <c r="I1829" s="26" t="s">
        <v>30</v>
      </c>
      <c r="J1829" s="26" t="s">
        <v>31</v>
      </c>
      <c r="K1829" s="26" t="s">
        <v>32</v>
      </c>
      <c r="L1829" s="26" t="s">
        <v>1273</v>
      </c>
      <c r="M1829" s="26">
        <v>1</v>
      </c>
      <c r="N1829" s="26">
        <v>1</v>
      </c>
      <c r="O1829" s="28">
        <v>1</v>
      </c>
      <c r="P1829" s="26">
        <v>0.21</v>
      </c>
      <c r="Q1829" s="26">
        <v>0.21</v>
      </c>
      <c r="R1829" s="26">
        <v>0</v>
      </c>
      <c r="S1829" s="26"/>
      <c r="T1829" s="26">
        <v>0</v>
      </c>
      <c r="U1829" s="26">
        <v>0</v>
      </c>
      <c r="V1829" s="26">
        <v>0</v>
      </c>
      <c r="W1829" s="28">
        <v>0</v>
      </c>
      <c r="X1829" s="26">
        <v>0</v>
      </c>
      <c r="Y1829" s="26">
        <v>0</v>
      </c>
      <c r="Z1829" s="26">
        <v>0</v>
      </c>
      <c r="AA1829" s="26">
        <v>0</v>
      </c>
    </row>
    <row r="1830" spans="1:27" x14ac:dyDescent="0.2">
      <c r="A1830">
        <f t="shared" si="58"/>
        <v>4</v>
      </c>
      <c r="B1830">
        <f t="shared" si="59"/>
        <v>15</v>
      </c>
      <c r="C1830" s="27">
        <v>46121</v>
      </c>
      <c r="D1830" s="27">
        <v>46121</v>
      </c>
      <c r="E1830" s="26" t="s">
        <v>26</v>
      </c>
      <c r="F1830" s="26" t="s">
        <v>45</v>
      </c>
      <c r="G1830" s="26" t="s">
        <v>46</v>
      </c>
      <c r="H1830" s="26" t="s">
        <v>29</v>
      </c>
      <c r="I1830" s="26" t="s">
        <v>30</v>
      </c>
      <c r="J1830" s="26" t="s">
        <v>95</v>
      </c>
      <c r="K1830" s="26" t="s">
        <v>42</v>
      </c>
      <c r="L1830" s="26" t="s">
        <v>929</v>
      </c>
      <c r="M1830" s="26">
        <v>1</v>
      </c>
      <c r="N1830" s="26">
        <v>1</v>
      </c>
      <c r="O1830" s="28">
        <v>1</v>
      </c>
      <c r="P1830" s="26">
        <v>0.62</v>
      </c>
      <c r="Q1830" s="26">
        <v>0.62</v>
      </c>
      <c r="R1830" s="26">
        <v>0</v>
      </c>
      <c r="S1830" s="26"/>
      <c r="T1830" s="26">
        <v>0</v>
      </c>
      <c r="U1830" s="26">
        <v>0</v>
      </c>
      <c r="V1830" s="26">
        <v>0</v>
      </c>
      <c r="W1830" s="28">
        <v>0</v>
      </c>
      <c r="X1830" s="26">
        <v>0</v>
      </c>
      <c r="Y1830" s="26">
        <v>0</v>
      </c>
      <c r="Z1830" s="26">
        <v>0</v>
      </c>
      <c r="AA1830" s="26">
        <v>0</v>
      </c>
    </row>
    <row r="1831" spans="1:27" x14ac:dyDescent="0.2">
      <c r="A1831">
        <f t="shared" si="58"/>
        <v>4</v>
      </c>
      <c r="B1831">
        <f t="shared" si="59"/>
        <v>15</v>
      </c>
      <c r="C1831" s="27">
        <v>46122</v>
      </c>
      <c r="D1831" s="27">
        <v>46122</v>
      </c>
      <c r="E1831" s="26" t="s">
        <v>26</v>
      </c>
      <c r="F1831" s="26" t="s">
        <v>1130</v>
      </c>
      <c r="G1831" s="26" t="s">
        <v>54</v>
      </c>
      <c r="H1831" s="26" t="s">
        <v>29</v>
      </c>
      <c r="I1831" s="26" t="s">
        <v>30</v>
      </c>
      <c r="J1831" s="26" t="s">
        <v>95</v>
      </c>
      <c r="K1831" s="26" t="s">
        <v>42</v>
      </c>
      <c r="L1831" s="26" t="s">
        <v>229</v>
      </c>
      <c r="M1831" s="26">
        <v>1</v>
      </c>
      <c r="N1831" s="26">
        <v>1</v>
      </c>
      <c r="O1831" s="28">
        <v>1</v>
      </c>
      <c r="P1831" s="26">
        <v>0.63</v>
      </c>
      <c r="Q1831" s="26">
        <v>0.63</v>
      </c>
      <c r="R1831" s="26">
        <v>0</v>
      </c>
      <c r="S1831" s="26"/>
      <c r="T1831" s="26">
        <v>0</v>
      </c>
      <c r="U1831" s="26">
        <v>0</v>
      </c>
      <c r="V1831" s="26">
        <v>0</v>
      </c>
      <c r="W1831" s="28">
        <v>0</v>
      </c>
      <c r="X1831" s="26">
        <v>0</v>
      </c>
      <c r="Y1831" s="26">
        <v>0</v>
      </c>
      <c r="Z1831" s="26">
        <v>0</v>
      </c>
      <c r="AA1831" s="26">
        <v>0</v>
      </c>
    </row>
    <row r="1832" spans="1:27" x14ac:dyDescent="0.2">
      <c r="A1832">
        <f t="shared" si="58"/>
        <v>4</v>
      </c>
      <c r="B1832">
        <f t="shared" si="59"/>
        <v>15</v>
      </c>
      <c r="C1832" s="27">
        <v>46121</v>
      </c>
      <c r="D1832" s="27">
        <v>46121</v>
      </c>
      <c r="E1832" s="26" t="s">
        <v>26</v>
      </c>
      <c r="F1832" s="26" t="s">
        <v>1130</v>
      </c>
      <c r="G1832" s="26" t="s">
        <v>54</v>
      </c>
      <c r="H1832" s="26" t="s">
        <v>29</v>
      </c>
      <c r="I1832" s="26" t="s">
        <v>30</v>
      </c>
      <c r="J1832" s="26" t="s">
        <v>47</v>
      </c>
      <c r="K1832" s="26" t="s">
        <v>42</v>
      </c>
      <c r="L1832" s="26" t="s">
        <v>785</v>
      </c>
      <c r="M1832" s="26">
        <v>2</v>
      </c>
      <c r="N1832" s="26">
        <v>1</v>
      </c>
      <c r="O1832" s="28">
        <v>0.5</v>
      </c>
      <c r="P1832" s="26">
        <v>0.5</v>
      </c>
      <c r="Q1832" s="26">
        <v>0.5</v>
      </c>
      <c r="R1832" s="26">
        <v>0</v>
      </c>
      <c r="S1832" s="26"/>
      <c r="T1832" s="26">
        <v>0</v>
      </c>
      <c r="U1832" s="26">
        <v>0</v>
      </c>
      <c r="V1832" s="26">
        <v>0</v>
      </c>
      <c r="W1832" s="28">
        <v>0</v>
      </c>
      <c r="X1832" s="26">
        <v>0</v>
      </c>
      <c r="Y1832" s="26">
        <v>0</v>
      </c>
      <c r="Z1832" s="26">
        <v>0</v>
      </c>
      <c r="AA1832" s="26">
        <v>0</v>
      </c>
    </row>
    <row r="1833" spans="1:27" x14ac:dyDescent="0.2">
      <c r="A1833">
        <f t="shared" si="58"/>
        <v>4</v>
      </c>
      <c r="B1833">
        <f t="shared" si="59"/>
        <v>14</v>
      </c>
      <c r="C1833" s="27">
        <v>46114</v>
      </c>
      <c r="D1833" s="27">
        <v>46114</v>
      </c>
      <c r="E1833" s="26" t="s">
        <v>26</v>
      </c>
      <c r="F1833" s="26" t="s">
        <v>61</v>
      </c>
      <c r="G1833" s="26" t="s">
        <v>62</v>
      </c>
      <c r="H1833" s="26" t="s">
        <v>29</v>
      </c>
      <c r="I1833" s="26" t="s">
        <v>30</v>
      </c>
      <c r="J1833" s="26" t="s">
        <v>47</v>
      </c>
      <c r="K1833" s="26" t="s">
        <v>42</v>
      </c>
      <c r="L1833" s="26" t="s">
        <v>1274</v>
      </c>
      <c r="M1833" s="26">
        <v>2</v>
      </c>
      <c r="N1833" s="26">
        <v>1</v>
      </c>
      <c r="O1833" s="28">
        <v>0.5</v>
      </c>
      <c r="P1833" s="26">
        <v>2.04</v>
      </c>
      <c r="Q1833" s="26">
        <v>2.04</v>
      </c>
      <c r="R1833" s="26">
        <v>0</v>
      </c>
      <c r="S1833" s="26"/>
      <c r="T1833" s="26">
        <v>0</v>
      </c>
      <c r="U1833" s="26">
        <v>0</v>
      </c>
      <c r="V1833" s="26">
        <v>0</v>
      </c>
      <c r="W1833" s="28">
        <v>0</v>
      </c>
      <c r="X1833" s="26">
        <v>0</v>
      </c>
      <c r="Y1833" s="26">
        <v>0</v>
      </c>
      <c r="Z1833" s="26">
        <v>0</v>
      </c>
      <c r="AA1833" s="26">
        <v>0</v>
      </c>
    </row>
    <row r="1834" spans="1:27" x14ac:dyDescent="0.2">
      <c r="A1834">
        <f t="shared" si="58"/>
        <v>4</v>
      </c>
      <c r="B1834">
        <f t="shared" si="59"/>
        <v>14</v>
      </c>
      <c r="C1834" s="27">
        <v>46115</v>
      </c>
      <c r="D1834" s="27">
        <v>46115</v>
      </c>
      <c r="E1834" s="26" t="s">
        <v>26</v>
      </c>
      <c r="F1834" s="26" t="s">
        <v>61</v>
      </c>
      <c r="G1834" s="26" t="s">
        <v>62</v>
      </c>
      <c r="H1834" s="26" t="s">
        <v>29</v>
      </c>
      <c r="I1834" s="26" t="s">
        <v>30</v>
      </c>
      <c r="J1834" s="26" t="s">
        <v>47</v>
      </c>
      <c r="K1834" s="26" t="s">
        <v>42</v>
      </c>
      <c r="L1834" s="26" t="s">
        <v>1275</v>
      </c>
      <c r="M1834" s="26">
        <v>8</v>
      </c>
      <c r="N1834" s="26">
        <v>1</v>
      </c>
      <c r="O1834" s="28">
        <v>0.125</v>
      </c>
      <c r="P1834" s="26">
        <v>1.94</v>
      </c>
      <c r="Q1834" s="26">
        <v>1.94</v>
      </c>
      <c r="R1834" s="26">
        <v>0</v>
      </c>
      <c r="S1834" s="26"/>
      <c r="T1834" s="26">
        <v>0</v>
      </c>
      <c r="U1834" s="26">
        <v>0</v>
      </c>
      <c r="V1834" s="26">
        <v>0</v>
      </c>
      <c r="W1834" s="28">
        <v>0</v>
      </c>
      <c r="X1834" s="26">
        <v>0</v>
      </c>
      <c r="Y1834" s="26">
        <v>0</v>
      </c>
      <c r="Z1834" s="26">
        <v>0</v>
      </c>
      <c r="AA1834" s="26">
        <v>0</v>
      </c>
    </row>
    <row r="1835" spans="1:27" x14ac:dyDescent="0.2">
      <c r="A1835">
        <f t="shared" si="58"/>
        <v>4</v>
      </c>
      <c r="B1835">
        <f t="shared" si="59"/>
        <v>16</v>
      </c>
      <c r="C1835" s="27">
        <v>46130</v>
      </c>
      <c r="D1835" s="27">
        <v>46130</v>
      </c>
      <c r="E1835" s="26" t="s">
        <v>26</v>
      </c>
      <c r="F1835" s="26" t="s">
        <v>1130</v>
      </c>
      <c r="G1835" s="26" t="s">
        <v>54</v>
      </c>
      <c r="H1835" s="26" t="s">
        <v>29</v>
      </c>
      <c r="I1835" s="26" t="s">
        <v>30</v>
      </c>
      <c r="J1835" s="26" t="s">
        <v>47</v>
      </c>
      <c r="K1835" s="26" t="s">
        <v>42</v>
      </c>
      <c r="L1835" s="26" t="s">
        <v>1275</v>
      </c>
      <c r="M1835" s="26">
        <v>1</v>
      </c>
      <c r="N1835" s="26">
        <v>1</v>
      </c>
      <c r="O1835" s="28">
        <v>1</v>
      </c>
      <c r="P1835" s="26">
        <v>0.65</v>
      </c>
      <c r="Q1835" s="26">
        <v>0.65</v>
      </c>
      <c r="R1835" s="26">
        <v>0</v>
      </c>
      <c r="S1835" s="26"/>
      <c r="T1835" s="26">
        <v>0</v>
      </c>
      <c r="U1835" s="26">
        <v>0</v>
      </c>
      <c r="V1835" s="26">
        <v>0</v>
      </c>
      <c r="W1835" s="28">
        <v>0</v>
      </c>
      <c r="X1835" s="26">
        <v>0</v>
      </c>
      <c r="Y1835" s="26">
        <v>0</v>
      </c>
      <c r="Z1835" s="26">
        <v>0</v>
      </c>
      <c r="AA1835" s="26">
        <v>0</v>
      </c>
    </row>
    <row r="1836" spans="1:27" x14ac:dyDescent="0.2">
      <c r="A1836">
        <f t="shared" si="58"/>
        <v>4</v>
      </c>
      <c r="B1836">
        <f t="shared" si="59"/>
        <v>15</v>
      </c>
      <c r="C1836" s="27">
        <v>46117</v>
      </c>
      <c r="D1836" s="27">
        <v>46122</v>
      </c>
      <c r="E1836" s="26" t="s">
        <v>26</v>
      </c>
      <c r="F1836" s="26" t="s">
        <v>61</v>
      </c>
      <c r="G1836" s="26" t="s">
        <v>62</v>
      </c>
      <c r="H1836" s="26" t="s">
        <v>29</v>
      </c>
      <c r="I1836" s="26" t="s">
        <v>30</v>
      </c>
      <c r="J1836" s="26" t="s">
        <v>47</v>
      </c>
      <c r="K1836" s="26" t="s">
        <v>42</v>
      </c>
      <c r="L1836" s="26" t="s">
        <v>232</v>
      </c>
      <c r="M1836" s="26">
        <v>94</v>
      </c>
      <c r="N1836" s="26">
        <v>3</v>
      </c>
      <c r="O1836" s="28">
        <v>3.1914999999999999E-2</v>
      </c>
      <c r="P1836" s="26">
        <v>1.76</v>
      </c>
      <c r="Q1836" s="26">
        <v>5.27</v>
      </c>
      <c r="R1836" s="26">
        <v>0</v>
      </c>
      <c r="S1836" s="26"/>
      <c r="T1836" s="26">
        <v>0</v>
      </c>
      <c r="U1836" s="26">
        <v>0</v>
      </c>
      <c r="V1836" s="26">
        <v>0</v>
      </c>
      <c r="W1836" s="28">
        <v>0</v>
      </c>
      <c r="X1836" s="26">
        <v>0</v>
      </c>
      <c r="Y1836" s="26">
        <v>0</v>
      </c>
      <c r="Z1836" s="26">
        <v>0</v>
      </c>
      <c r="AA1836" s="26">
        <v>0</v>
      </c>
    </row>
    <row r="1837" spans="1:27" x14ac:dyDescent="0.2">
      <c r="A1837">
        <f t="shared" si="58"/>
        <v>4</v>
      </c>
      <c r="B1837">
        <f t="shared" si="59"/>
        <v>18</v>
      </c>
      <c r="C1837" s="27">
        <v>46138</v>
      </c>
      <c r="D1837" s="27">
        <v>46139</v>
      </c>
      <c r="E1837" s="26" t="s">
        <v>26</v>
      </c>
      <c r="F1837" s="26" t="s">
        <v>61</v>
      </c>
      <c r="G1837" s="26" t="s">
        <v>62</v>
      </c>
      <c r="H1837" s="26" t="s">
        <v>29</v>
      </c>
      <c r="I1837" s="26" t="s">
        <v>30</v>
      </c>
      <c r="J1837" s="26" t="s">
        <v>95</v>
      </c>
      <c r="K1837" s="26" t="s">
        <v>42</v>
      </c>
      <c r="L1837" s="26" t="s">
        <v>232</v>
      </c>
      <c r="M1837" s="26">
        <v>269</v>
      </c>
      <c r="N1837" s="26">
        <v>2</v>
      </c>
      <c r="O1837" s="28">
        <v>7.4349999999999998E-3</v>
      </c>
      <c r="P1837" s="26">
        <v>1.43</v>
      </c>
      <c r="Q1837" s="26">
        <v>2.86</v>
      </c>
      <c r="R1837" s="26">
        <v>0</v>
      </c>
      <c r="S1837" s="26"/>
      <c r="T1837" s="26">
        <v>0</v>
      </c>
      <c r="U1837" s="26">
        <v>0</v>
      </c>
      <c r="V1837" s="26">
        <v>0</v>
      </c>
      <c r="W1837" s="28">
        <v>0</v>
      </c>
      <c r="X1837" s="26">
        <v>0</v>
      </c>
      <c r="Y1837" s="26">
        <v>0</v>
      </c>
      <c r="Z1837" s="26">
        <v>0</v>
      </c>
      <c r="AA1837" s="26">
        <v>0</v>
      </c>
    </row>
    <row r="1838" spans="1:27" x14ac:dyDescent="0.2">
      <c r="A1838">
        <f t="shared" si="58"/>
        <v>4</v>
      </c>
      <c r="B1838">
        <f t="shared" si="59"/>
        <v>18</v>
      </c>
      <c r="C1838" s="27">
        <v>46138</v>
      </c>
      <c r="D1838" s="27">
        <v>46139</v>
      </c>
      <c r="E1838" s="26" t="s">
        <v>26</v>
      </c>
      <c r="F1838" s="26" t="s">
        <v>45</v>
      </c>
      <c r="G1838" s="26" t="s">
        <v>46</v>
      </c>
      <c r="H1838" s="26" t="s">
        <v>29</v>
      </c>
      <c r="I1838" s="26" t="s">
        <v>30</v>
      </c>
      <c r="J1838" s="26" t="s">
        <v>47</v>
      </c>
      <c r="K1838" s="26" t="s">
        <v>42</v>
      </c>
      <c r="L1838" s="26" t="s">
        <v>232</v>
      </c>
      <c r="M1838" s="26">
        <v>258</v>
      </c>
      <c r="N1838" s="26">
        <v>2</v>
      </c>
      <c r="O1838" s="28">
        <v>7.7520000000000002E-3</v>
      </c>
      <c r="P1838" s="26">
        <v>0.34</v>
      </c>
      <c r="Q1838" s="26">
        <v>0.68</v>
      </c>
      <c r="R1838" s="26">
        <v>0</v>
      </c>
      <c r="S1838" s="26"/>
      <c r="T1838" s="26">
        <v>0</v>
      </c>
      <c r="U1838" s="26">
        <v>0</v>
      </c>
      <c r="V1838" s="26">
        <v>0</v>
      </c>
      <c r="W1838" s="28">
        <v>0</v>
      </c>
      <c r="X1838" s="26">
        <v>0</v>
      </c>
      <c r="Y1838" s="26">
        <v>0</v>
      </c>
      <c r="Z1838" s="26">
        <v>0</v>
      </c>
      <c r="AA1838" s="26">
        <v>0</v>
      </c>
    </row>
    <row r="1839" spans="1:27" x14ac:dyDescent="0.2">
      <c r="A1839">
        <f t="shared" si="58"/>
        <v>4</v>
      </c>
      <c r="B1839">
        <f t="shared" si="59"/>
        <v>18</v>
      </c>
      <c r="C1839" s="27">
        <v>46140</v>
      </c>
      <c r="D1839" s="27">
        <v>46141</v>
      </c>
      <c r="E1839" s="26" t="s">
        <v>26</v>
      </c>
      <c r="F1839" s="26" t="s">
        <v>112</v>
      </c>
      <c r="G1839" s="26" t="s">
        <v>113</v>
      </c>
      <c r="H1839" s="26" t="s">
        <v>29</v>
      </c>
      <c r="I1839" s="26" t="s">
        <v>30</v>
      </c>
      <c r="J1839" s="26" t="s">
        <v>238</v>
      </c>
      <c r="K1839" s="26" t="s">
        <v>32</v>
      </c>
      <c r="L1839" s="26" t="s">
        <v>1276</v>
      </c>
      <c r="M1839" s="26">
        <v>44</v>
      </c>
      <c r="N1839" s="26">
        <v>2</v>
      </c>
      <c r="O1839" s="28">
        <v>4.5455000000000002E-2</v>
      </c>
      <c r="P1839" s="26">
        <v>2.21</v>
      </c>
      <c r="Q1839" s="26">
        <v>4.42</v>
      </c>
      <c r="R1839" s="26">
        <v>0</v>
      </c>
      <c r="S1839" s="26"/>
      <c r="T1839" s="26">
        <v>0</v>
      </c>
      <c r="U1839" s="26">
        <v>0</v>
      </c>
      <c r="V1839" s="26">
        <v>0</v>
      </c>
      <c r="W1839" s="28">
        <v>0</v>
      </c>
      <c r="X1839" s="26">
        <v>0</v>
      </c>
      <c r="Y1839" s="26">
        <v>0</v>
      </c>
      <c r="Z1839" s="26">
        <v>0</v>
      </c>
      <c r="AA1839" s="26">
        <v>0</v>
      </c>
    </row>
    <row r="1840" spans="1:27" x14ac:dyDescent="0.2">
      <c r="A1840">
        <f t="shared" si="58"/>
        <v>4</v>
      </c>
      <c r="B1840">
        <f t="shared" si="59"/>
        <v>17</v>
      </c>
      <c r="C1840" s="27">
        <v>46136</v>
      </c>
      <c r="D1840" s="27">
        <v>46136</v>
      </c>
      <c r="E1840" s="26" t="s">
        <v>26</v>
      </c>
      <c r="F1840" s="26" t="s">
        <v>112</v>
      </c>
      <c r="G1840" s="26" t="s">
        <v>113</v>
      </c>
      <c r="H1840" s="26" t="s">
        <v>29</v>
      </c>
      <c r="I1840" s="26" t="s">
        <v>30</v>
      </c>
      <c r="J1840" s="26" t="s">
        <v>109</v>
      </c>
      <c r="K1840" s="26" t="s">
        <v>32</v>
      </c>
      <c r="L1840" s="26" t="s">
        <v>1277</v>
      </c>
      <c r="M1840" s="26">
        <v>2</v>
      </c>
      <c r="N1840" s="26">
        <v>1</v>
      </c>
      <c r="O1840" s="28">
        <v>0.5</v>
      </c>
      <c r="P1840" s="26">
        <v>3.45</v>
      </c>
      <c r="Q1840" s="26">
        <v>3.45</v>
      </c>
      <c r="R1840" s="26">
        <v>0</v>
      </c>
      <c r="S1840" s="26"/>
      <c r="T1840" s="26">
        <v>0</v>
      </c>
      <c r="U1840" s="26">
        <v>0</v>
      </c>
      <c r="V1840" s="26">
        <v>0</v>
      </c>
      <c r="W1840" s="28">
        <v>0</v>
      </c>
      <c r="X1840" s="26">
        <v>0</v>
      </c>
      <c r="Y1840" s="26">
        <v>0</v>
      </c>
      <c r="Z1840" s="26">
        <v>0</v>
      </c>
      <c r="AA1840" s="26">
        <v>0</v>
      </c>
    </row>
    <row r="1841" spans="1:27" x14ac:dyDescent="0.2">
      <c r="A1841">
        <f t="shared" si="58"/>
        <v>4</v>
      </c>
      <c r="B1841">
        <f t="shared" si="59"/>
        <v>16</v>
      </c>
      <c r="C1841" s="27">
        <v>46129</v>
      </c>
      <c r="D1841" s="27">
        <v>46129</v>
      </c>
      <c r="E1841" s="26" t="s">
        <v>26</v>
      </c>
      <c r="F1841" s="26" t="s">
        <v>45</v>
      </c>
      <c r="G1841" s="26" t="s">
        <v>46</v>
      </c>
      <c r="H1841" s="26" t="s">
        <v>29</v>
      </c>
      <c r="I1841" s="26" t="s">
        <v>30</v>
      </c>
      <c r="J1841" s="26" t="s">
        <v>95</v>
      </c>
      <c r="K1841" s="26" t="s">
        <v>42</v>
      </c>
      <c r="L1841" s="26" t="s">
        <v>1278</v>
      </c>
      <c r="M1841" s="26">
        <v>1</v>
      </c>
      <c r="N1841" s="26">
        <v>1</v>
      </c>
      <c r="O1841" s="28">
        <v>1</v>
      </c>
      <c r="P1841" s="26">
        <v>0.46</v>
      </c>
      <c r="Q1841" s="26">
        <v>0.46</v>
      </c>
      <c r="R1841" s="26">
        <v>0</v>
      </c>
      <c r="S1841" s="26"/>
      <c r="T1841" s="26">
        <v>0</v>
      </c>
      <c r="U1841" s="26">
        <v>0</v>
      </c>
      <c r="V1841" s="26">
        <v>0</v>
      </c>
      <c r="W1841" s="28">
        <v>0</v>
      </c>
      <c r="X1841" s="26">
        <v>0</v>
      </c>
      <c r="Y1841" s="26">
        <v>0</v>
      </c>
      <c r="Z1841" s="26">
        <v>0</v>
      </c>
      <c r="AA1841" s="26">
        <v>0</v>
      </c>
    </row>
    <row r="1842" spans="1:27" x14ac:dyDescent="0.2">
      <c r="A1842">
        <f t="shared" si="58"/>
        <v>4</v>
      </c>
      <c r="B1842">
        <f t="shared" si="59"/>
        <v>16</v>
      </c>
      <c r="C1842" s="27">
        <v>46124</v>
      </c>
      <c r="D1842" s="27">
        <v>46124</v>
      </c>
      <c r="E1842" s="26" t="s">
        <v>26</v>
      </c>
      <c r="F1842" s="26" t="s">
        <v>61</v>
      </c>
      <c r="G1842" s="26" t="s">
        <v>62</v>
      </c>
      <c r="H1842" s="26" t="s">
        <v>29</v>
      </c>
      <c r="I1842" s="26" t="s">
        <v>30</v>
      </c>
      <c r="J1842" s="26" t="s">
        <v>95</v>
      </c>
      <c r="K1842" s="26" t="s">
        <v>42</v>
      </c>
      <c r="L1842" s="26" t="s">
        <v>1279</v>
      </c>
      <c r="M1842" s="26">
        <v>8</v>
      </c>
      <c r="N1842" s="26">
        <v>1</v>
      </c>
      <c r="O1842" s="28">
        <v>0.125</v>
      </c>
      <c r="P1842" s="26">
        <v>1.21</v>
      </c>
      <c r="Q1842" s="26">
        <v>1.21</v>
      </c>
      <c r="R1842" s="26">
        <v>0</v>
      </c>
      <c r="S1842" s="26"/>
      <c r="T1842" s="26">
        <v>0</v>
      </c>
      <c r="U1842" s="26">
        <v>0</v>
      </c>
      <c r="V1842" s="26">
        <v>0</v>
      </c>
      <c r="W1842" s="28">
        <v>0</v>
      </c>
      <c r="X1842" s="26">
        <v>0</v>
      </c>
      <c r="Y1842" s="26">
        <v>0</v>
      </c>
      <c r="Z1842" s="26">
        <v>0</v>
      </c>
      <c r="AA1842" s="26">
        <v>0</v>
      </c>
    </row>
    <row r="1843" spans="1:27" x14ac:dyDescent="0.2">
      <c r="A1843">
        <f t="shared" si="58"/>
        <v>4</v>
      </c>
      <c r="B1843">
        <f t="shared" si="59"/>
        <v>18</v>
      </c>
      <c r="C1843" s="27">
        <v>46142</v>
      </c>
      <c r="D1843" s="27">
        <v>46142</v>
      </c>
      <c r="E1843" s="26" t="s">
        <v>26</v>
      </c>
      <c r="F1843" s="26" t="s">
        <v>112</v>
      </c>
      <c r="G1843" s="26" t="s">
        <v>113</v>
      </c>
      <c r="H1843" s="26" t="s">
        <v>29</v>
      </c>
      <c r="I1843" s="26" t="s">
        <v>30</v>
      </c>
      <c r="J1843" s="26" t="s">
        <v>109</v>
      </c>
      <c r="K1843" s="26" t="s">
        <v>32</v>
      </c>
      <c r="L1843" s="26" t="s">
        <v>1280</v>
      </c>
      <c r="M1843" s="26">
        <v>1</v>
      </c>
      <c r="N1843" s="26">
        <v>1</v>
      </c>
      <c r="O1843" s="28">
        <v>1</v>
      </c>
      <c r="P1843" s="26">
        <v>3.12</v>
      </c>
      <c r="Q1843" s="26">
        <v>3.12</v>
      </c>
      <c r="R1843" s="26">
        <v>0</v>
      </c>
      <c r="S1843" s="26"/>
      <c r="T1843" s="26">
        <v>0</v>
      </c>
      <c r="U1843" s="26">
        <v>0</v>
      </c>
      <c r="V1843" s="26">
        <v>0</v>
      </c>
      <c r="W1843" s="28">
        <v>0</v>
      </c>
      <c r="X1843" s="26">
        <v>0</v>
      </c>
      <c r="Y1843" s="26">
        <v>0</v>
      </c>
      <c r="Z1843" s="26">
        <v>0</v>
      </c>
      <c r="AA1843" s="26">
        <v>0</v>
      </c>
    </row>
    <row r="1844" spans="1:27" x14ac:dyDescent="0.2">
      <c r="A1844">
        <f t="shared" si="58"/>
        <v>4</v>
      </c>
      <c r="B1844">
        <f t="shared" si="59"/>
        <v>14</v>
      </c>
      <c r="C1844" s="27">
        <v>46114</v>
      </c>
      <c r="D1844" s="27">
        <v>46114</v>
      </c>
      <c r="E1844" s="26" t="s">
        <v>26</v>
      </c>
      <c r="F1844" s="26" t="s">
        <v>1130</v>
      </c>
      <c r="G1844" s="26" t="s">
        <v>54</v>
      </c>
      <c r="H1844" s="26" t="s">
        <v>29</v>
      </c>
      <c r="I1844" s="26" t="s">
        <v>30</v>
      </c>
      <c r="J1844" s="26" t="s">
        <v>95</v>
      </c>
      <c r="K1844" s="26" t="s">
        <v>42</v>
      </c>
      <c r="L1844" s="26" t="s">
        <v>1281</v>
      </c>
      <c r="M1844" s="26">
        <v>1</v>
      </c>
      <c r="N1844" s="26">
        <v>1</v>
      </c>
      <c r="O1844" s="28">
        <v>1</v>
      </c>
      <c r="P1844" s="26">
        <v>0.35</v>
      </c>
      <c r="Q1844" s="26">
        <v>0.35</v>
      </c>
      <c r="R1844" s="26">
        <v>0</v>
      </c>
      <c r="S1844" s="26"/>
      <c r="T1844" s="26">
        <v>0</v>
      </c>
      <c r="U1844" s="26">
        <v>0</v>
      </c>
      <c r="V1844" s="26">
        <v>0</v>
      </c>
      <c r="W1844" s="28">
        <v>0</v>
      </c>
      <c r="X1844" s="26">
        <v>0</v>
      </c>
      <c r="Y1844" s="26">
        <v>0</v>
      </c>
      <c r="Z1844" s="26">
        <v>0</v>
      </c>
      <c r="AA1844" s="26">
        <v>0</v>
      </c>
    </row>
    <row r="1845" spans="1:27" x14ac:dyDescent="0.2">
      <c r="A1845">
        <f t="shared" si="58"/>
        <v>4</v>
      </c>
      <c r="B1845">
        <f t="shared" si="59"/>
        <v>14</v>
      </c>
      <c r="C1845" s="27">
        <v>46113</v>
      </c>
      <c r="D1845" s="27">
        <v>46131</v>
      </c>
      <c r="E1845" s="26" t="s">
        <v>26</v>
      </c>
      <c r="F1845" s="26" t="s">
        <v>61</v>
      </c>
      <c r="G1845" s="26" t="s">
        <v>62</v>
      </c>
      <c r="H1845" s="26" t="s">
        <v>29</v>
      </c>
      <c r="I1845" s="26" t="s">
        <v>30</v>
      </c>
      <c r="J1845" s="26" t="s">
        <v>95</v>
      </c>
      <c r="K1845" s="26" t="s">
        <v>42</v>
      </c>
      <c r="L1845" s="26" t="s">
        <v>932</v>
      </c>
      <c r="M1845" s="26">
        <v>378</v>
      </c>
      <c r="N1845" s="26">
        <v>4</v>
      </c>
      <c r="O1845" s="28">
        <v>1.0581999999999999E-2</v>
      </c>
      <c r="P1845" s="26">
        <v>1.39</v>
      </c>
      <c r="Q1845" s="26">
        <v>5.54</v>
      </c>
      <c r="R1845" s="26">
        <v>0</v>
      </c>
      <c r="S1845" s="26"/>
      <c r="T1845" s="26">
        <v>0</v>
      </c>
      <c r="U1845" s="26">
        <v>0</v>
      </c>
      <c r="V1845" s="26">
        <v>0</v>
      </c>
      <c r="W1845" s="28">
        <v>0</v>
      </c>
      <c r="X1845" s="26">
        <v>0</v>
      </c>
      <c r="Y1845" s="26">
        <v>0</v>
      </c>
      <c r="Z1845" s="26">
        <v>0</v>
      </c>
      <c r="AA1845" s="26">
        <v>0</v>
      </c>
    </row>
    <row r="1846" spans="1:27" x14ac:dyDescent="0.2">
      <c r="A1846">
        <f t="shared" si="58"/>
        <v>4</v>
      </c>
      <c r="B1846">
        <f t="shared" si="59"/>
        <v>16</v>
      </c>
      <c r="C1846" s="27">
        <v>46129</v>
      </c>
      <c r="D1846" s="27">
        <v>46131</v>
      </c>
      <c r="E1846" s="26" t="s">
        <v>26</v>
      </c>
      <c r="F1846" s="26" t="s">
        <v>45</v>
      </c>
      <c r="G1846" s="26" t="s">
        <v>46</v>
      </c>
      <c r="H1846" s="26" t="s">
        <v>29</v>
      </c>
      <c r="I1846" s="26" t="s">
        <v>30</v>
      </c>
      <c r="J1846" s="26" t="s">
        <v>47</v>
      </c>
      <c r="K1846" s="26" t="s">
        <v>42</v>
      </c>
      <c r="L1846" s="26" t="s">
        <v>932</v>
      </c>
      <c r="M1846" s="26">
        <v>526</v>
      </c>
      <c r="N1846" s="26">
        <v>3</v>
      </c>
      <c r="O1846" s="28">
        <v>5.7029999999999997E-3</v>
      </c>
      <c r="P1846" s="26">
        <v>0.34</v>
      </c>
      <c r="Q1846" s="26">
        <v>1.02</v>
      </c>
      <c r="R1846" s="26">
        <v>0</v>
      </c>
      <c r="S1846" s="26"/>
      <c r="T1846" s="26">
        <v>0</v>
      </c>
      <c r="U1846" s="26">
        <v>0</v>
      </c>
      <c r="V1846" s="26">
        <v>0</v>
      </c>
      <c r="W1846" s="28">
        <v>0</v>
      </c>
      <c r="X1846" s="26">
        <v>0</v>
      </c>
      <c r="Y1846" s="26">
        <v>0</v>
      </c>
      <c r="Z1846" s="26">
        <v>0</v>
      </c>
      <c r="AA1846" s="26">
        <v>0</v>
      </c>
    </row>
    <row r="1847" spans="1:27" x14ac:dyDescent="0.2">
      <c r="A1847">
        <f t="shared" si="58"/>
        <v>4</v>
      </c>
      <c r="B1847">
        <f t="shared" si="59"/>
        <v>15</v>
      </c>
      <c r="C1847" s="27">
        <v>46119</v>
      </c>
      <c r="D1847" s="27">
        <v>46126</v>
      </c>
      <c r="E1847" s="26" t="s">
        <v>26</v>
      </c>
      <c r="F1847" s="26" t="s">
        <v>61</v>
      </c>
      <c r="G1847" s="26" t="s">
        <v>62</v>
      </c>
      <c r="H1847" s="26" t="s">
        <v>29</v>
      </c>
      <c r="I1847" s="26" t="s">
        <v>30</v>
      </c>
      <c r="J1847" s="26" t="s">
        <v>95</v>
      </c>
      <c r="K1847" s="26" t="s">
        <v>42</v>
      </c>
      <c r="L1847" s="26" t="s">
        <v>236</v>
      </c>
      <c r="M1847" s="26">
        <v>66</v>
      </c>
      <c r="N1847" s="26">
        <v>2</v>
      </c>
      <c r="O1847" s="28">
        <v>3.0303E-2</v>
      </c>
      <c r="P1847" s="26">
        <v>1.76</v>
      </c>
      <c r="Q1847" s="26">
        <v>3.51</v>
      </c>
      <c r="R1847" s="26">
        <v>0</v>
      </c>
      <c r="S1847" s="26"/>
      <c r="T1847" s="26">
        <v>0</v>
      </c>
      <c r="U1847" s="26">
        <v>0</v>
      </c>
      <c r="V1847" s="26">
        <v>0</v>
      </c>
      <c r="W1847" s="28">
        <v>0</v>
      </c>
      <c r="X1847" s="26">
        <v>0</v>
      </c>
      <c r="Y1847" s="26">
        <v>0</v>
      </c>
      <c r="Z1847" s="26">
        <v>0</v>
      </c>
      <c r="AA1847" s="26">
        <v>0</v>
      </c>
    </row>
    <row r="1848" spans="1:27" x14ac:dyDescent="0.2">
      <c r="A1848">
        <f t="shared" si="58"/>
        <v>4</v>
      </c>
      <c r="B1848">
        <f t="shared" si="59"/>
        <v>18</v>
      </c>
      <c r="C1848" s="27">
        <v>46141</v>
      </c>
      <c r="D1848" s="27">
        <v>46141</v>
      </c>
      <c r="E1848" s="26" t="s">
        <v>26</v>
      </c>
      <c r="F1848" s="26" t="s">
        <v>112</v>
      </c>
      <c r="G1848" s="26" t="s">
        <v>113</v>
      </c>
      <c r="H1848" s="26" t="s">
        <v>29</v>
      </c>
      <c r="I1848" s="26" t="s">
        <v>30</v>
      </c>
      <c r="J1848" s="26" t="s">
        <v>238</v>
      </c>
      <c r="K1848" s="26" t="s">
        <v>32</v>
      </c>
      <c r="L1848" s="26" t="s">
        <v>512</v>
      </c>
      <c r="M1848" s="26">
        <v>19</v>
      </c>
      <c r="N1848" s="26">
        <v>1</v>
      </c>
      <c r="O1848" s="28">
        <v>5.2631999999999998E-2</v>
      </c>
      <c r="P1848" s="26">
        <v>2.21</v>
      </c>
      <c r="Q1848" s="26">
        <v>2.21</v>
      </c>
      <c r="R1848" s="26">
        <v>0</v>
      </c>
      <c r="S1848" s="26"/>
      <c r="T1848" s="26">
        <v>0</v>
      </c>
      <c r="U1848" s="26">
        <v>0</v>
      </c>
      <c r="V1848" s="26">
        <v>0</v>
      </c>
      <c r="W1848" s="28">
        <v>0</v>
      </c>
      <c r="X1848" s="26">
        <v>0</v>
      </c>
      <c r="Y1848" s="26">
        <v>0</v>
      </c>
      <c r="Z1848" s="26">
        <v>0</v>
      </c>
      <c r="AA1848" s="26">
        <v>0</v>
      </c>
    </row>
    <row r="1849" spans="1:27" x14ac:dyDescent="0.2">
      <c r="A1849">
        <f t="shared" si="58"/>
        <v>4</v>
      </c>
      <c r="B1849">
        <f t="shared" si="59"/>
        <v>15</v>
      </c>
      <c r="C1849" s="27">
        <v>46122</v>
      </c>
      <c r="D1849" s="27">
        <v>46122</v>
      </c>
      <c r="E1849" s="26" t="s">
        <v>26</v>
      </c>
      <c r="F1849" s="26" t="s">
        <v>49</v>
      </c>
      <c r="G1849" s="26" t="s">
        <v>50</v>
      </c>
      <c r="H1849" s="26" t="s">
        <v>29</v>
      </c>
      <c r="I1849" s="26" t="s">
        <v>30</v>
      </c>
      <c r="J1849" s="26" t="s">
        <v>95</v>
      </c>
      <c r="K1849" s="26" t="s">
        <v>42</v>
      </c>
      <c r="L1849" s="26" t="s">
        <v>1282</v>
      </c>
      <c r="M1849" s="26">
        <v>1</v>
      </c>
      <c r="N1849" s="26">
        <v>1</v>
      </c>
      <c r="O1849" s="28">
        <v>1</v>
      </c>
      <c r="P1849" s="26">
        <v>0.61</v>
      </c>
      <c r="Q1849" s="26">
        <v>0.61</v>
      </c>
      <c r="R1849" s="26">
        <v>17.09</v>
      </c>
      <c r="S1849" s="28">
        <v>3.5693000000000003E-2</v>
      </c>
      <c r="T1849" s="26">
        <v>28.02</v>
      </c>
      <c r="U1849" s="26">
        <v>1</v>
      </c>
      <c r="V1849" s="26">
        <v>1</v>
      </c>
      <c r="W1849" s="28">
        <v>1</v>
      </c>
      <c r="X1849" s="26">
        <v>0</v>
      </c>
      <c r="Y1849" s="26">
        <v>1</v>
      </c>
      <c r="Z1849" s="26">
        <v>0</v>
      </c>
      <c r="AA1849" s="26">
        <v>17.09</v>
      </c>
    </row>
    <row r="1850" spans="1:27" x14ac:dyDescent="0.2">
      <c r="A1850">
        <f t="shared" si="58"/>
        <v>4</v>
      </c>
      <c r="B1850">
        <f t="shared" si="59"/>
        <v>14</v>
      </c>
      <c r="C1850" s="27">
        <v>46113</v>
      </c>
      <c r="D1850" s="27">
        <v>46113</v>
      </c>
      <c r="E1850" s="26" t="s">
        <v>26</v>
      </c>
      <c r="F1850" s="26" t="s">
        <v>27</v>
      </c>
      <c r="G1850" s="26" t="s">
        <v>28</v>
      </c>
      <c r="H1850" s="26" t="s">
        <v>29</v>
      </c>
      <c r="I1850" s="26" t="s">
        <v>30</v>
      </c>
      <c r="J1850" s="26" t="s">
        <v>242</v>
      </c>
      <c r="K1850" s="26" t="s">
        <v>32</v>
      </c>
      <c r="L1850" s="26" t="s">
        <v>242</v>
      </c>
      <c r="M1850" s="26">
        <v>2</v>
      </c>
      <c r="N1850" s="26">
        <v>1</v>
      </c>
      <c r="O1850" s="28">
        <v>0.5</v>
      </c>
      <c r="P1850" s="26">
        <v>0.2</v>
      </c>
      <c r="Q1850" s="26">
        <v>0.2</v>
      </c>
      <c r="R1850" s="26">
        <v>0</v>
      </c>
      <c r="S1850" s="26"/>
      <c r="T1850" s="26">
        <v>0</v>
      </c>
      <c r="U1850" s="26">
        <v>0</v>
      </c>
      <c r="V1850" s="26">
        <v>0</v>
      </c>
      <c r="W1850" s="28">
        <v>0</v>
      </c>
      <c r="X1850" s="26">
        <v>0</v>
      </c>
      <c r="Y1850" s="26">
        <v>0</v>
      </c>
      <c r="Z1850" s="26">
        <v>0</v>
      </c>
      <c r="AA1850" s="26">
        <v>0</v>
      </c>
    </row>
    <row r="1851" spans="1:27" x14ac:dyDescent="0.2">
      <c r="A1851">
        <f t="shared" si="58"/>
        <v>4</v>
      </c>
      <c r="B1851">
        <f t="shared" si="59"/>
        <v>16</v>
      </c>
      <c r="C1851" s="27">
        <v>46127</v>
      </c>
      <c r="D1851" s="27">
        <v>46127</v>
      </c>
      <c r="E1851" s="26" t="s">
        <v>26</v>
      </c>
      <c r="F1851" s="26" t="s">
        <v>27</v>
      </c>
      <c r="G1851" s="26" t="s">
        <v>28</v>
      </c>
      <c r="H1851" s="26" t="s">
        <v>29</v>
      </c>
      <c r="I1851" s="26" t="s">
        <v>30</v>
      </c>
      <c r="J1851" s="26" t="s">
        <v>50</v>
      </c>
      <c r="K1851" s="26" t="s">
        <v>32</v>
      </c>
      <c r="L1851" s="26" t="s">
        <v>1283</v>
      </c>
      <c r="M1851" s="26">
        <v>1</v>
      </c>
      <c r="N1851" s="26">
        <v>1</v>
      </c>
      <c r="O1851" s="28">
        <v>1</v>
      </c>
      <c r="P1851" s="26">
        <v>0.21</v>
      </c>
      <c r="Q1851" s="26">
        <v>0.21</v>
      </c>
      <c r="R1851" s="26">
        <v>0</v>
      </c>
      <c r="S1851" s="26"/>
      <c r="T1851" s="26">
        <v>0</v>
      </c>
      <c r="U1851" s="26">
        <v>0</v>
      </c>
      <c r="V1851" s="26">
        <v>0</v>
      </c>
      <c r="W1851" s="28">
        <v>0</v>
      </c>
      <c r="X1851" s="26">
        <v>0</v>
      </c>
      <c r="Y1851" s="26">
        <v>0</v>
      </c>
      <c r="Z1851" s="26">
        <v>0</v>
      </c>
      <c r="AA1851" s="26">
        <v>0</v>
      </c>
    </row>
    <row r="1852" spans="1:27" x14ac:dyDescent="0.2">
      <c r="A1852">
        <f t="shared" si="58"/>
        <v>4</v>
      </c>
      <c r="B1852">
        <f t="shared" si="59"/>
        <v>15</v>
      </c>
      <c r="C1852" s="27">
        <v>46122</v>
      </c>
      <c r="D1852" s="27">
        <v>46122</v>
      </c>
      <c r="E1852" s="26" t="s">
        <v>26</v>
      </c>
      <c r="F1852" s="26" t="s">
        <v>39</v>
      </c>
      <c r="G1852" s="26" t="s">
        <v>40</v>
      </c>
      <c r="H1852" s="26" t="s">
        <v>29</v>
      </c>
      <c r="I1852" s="26" t="s">
        <v>30</v>
      </c>
      <c r="J1852" s="26" t="s">
        <v>78</v>
      </c>
      <c r="K1852" s="26" t="s">
        <v>42</v>
      </c>
      <c r="L1852" s="26" t="s">
        <v>1284</v>
      </c>
      <c r="M1852" s="26">
        <v>2</v>
      </c>
      <c r="N1852" s="26">
        <v>1</v>
      </c>
      <c r="O1852" s="28">
        <v>0.5</v>
      </c>
      <c r="P1852" s="26">
        <v>0.52</v>
      </c>
      <c r="Q1852" s="26">
        <v>0.52</v>
      </c>
      <c r="R1852" s="26">
        <v>0</v>
      </c>
      <c r="S1852" s="26"/>
      <c r="T1852" s="26">
        <v>0</v>
      </c>
      <c r="U1852" s="26">
        <v>0</v>
      </c>
      <c r="V1852" s="26">
        <v>0</v>
      </c>
      <c r="W1852" s="28">
        <v>0</v>
      </c>
      <c r="X1852" s="26">
        <v>0</v>
      </c>
      <c r="Y1852" s="26">
        <v>0</v>
      </c>
      <c r="Z1852" s="26">
        <v>0</v>
      </c>
      <c r="AA1852" s="26">
        <v>0</v>
      </c>
    </row>
    <row r="1853" spans="1:27" x14ac:dyDescent="0.2">
      <c r="A1853">
        <f t="shared" si="58"/>
        <v>4</v>
      </c>
      <c r="B1853">
        <f t="shared" si="59"/>
        <v>15</v>
      </c>
      <c r="C1853" s="27">
        <v>46122</v>
      </c>
      <c r="D1853" s="27">
        <v>46122</v>
      </c>
      <c r="E1853" s="26" t="s">
        <v>26</v>
      </c>
      <c r="F1853" s="26" t="s">
        <v>27</v>
      </c>
      <c r="G1853" s="26" t="s">
        <v>28</v>
      </c>
      <c r="H1853" s="26" t="s">
        <v>29</v>
      </c>
      <c r="I1853" s="26" t="s">
        <v>30</v>
      </c>
      <c r="J1853" s="26" t="s">
        <v>44</v>
      </c>
      <c r="K1853" s="26" t="s">
        <v>32</v>
      </c>
      <c r="L1853" s="26" t="s">
        <v>1285</v>
      </c>
      <c r="M1853" s="26">
        <v>1</v>
      </c>
      <c r="N1853" s="26">
        <v>1</v>
      </c>
      <c r="O1853" s="28">
        <v>1</v>
      </c>
      <c r="P1853" s="26">
        <v>0.22</v>
      </c>
      <c r="Q1853" s="26">
        <v>0.22</v>
      </c>
      <c r="R1853" s="26">
        <v>0</v>
      </c>
      <c r="S1853" s="26"/>
      <c r="T1853" s="26">
        <v>0</v>
      </c>
      <c r="U1853" s="26">
        <v>0</v>
      </c>
      <c r="V1853" s="26">
        <v>0</v>
      </c>
      <c r="W1853" s="28">
        <v>0</v>
      </c>
      <c r="X1853" s="26">
        <v>0</v>
      </c>
      <c r="Y1853" s="26">
        <v>0</v>
      </c>
      <c r="Z1853" s="26">
        <v>0</v>
      </c>
      <c r="AA1853" s="26">
        <v>0</v>
      </c>
    </row>
    <row r="1854" spans="1:27" x14ac:dyDescent="0.2">
      <c r="A1854">
        <f t="shared" si="58"/>
        <v>4</v>
      </c>
      <c r="B1854">
        <f t="shared" si="59"/>
        <v>16</v>
      </c>
      <c r="C1854" s="27">
        <v>46127</v>
      </c>
      <c r="D1854" s="27">
        <v>46127</v>
      </c>
      <c r="E1854" s="26" t="s">
        <v>26</v>
      </c>
      <c r="F1854" s="26" t="s">
        <v>61</v>
      </c>
      <c r="G1854" s="26" t="s">
        <v>62</v>
      </c>
      <c r="H1854" s="26" t="s">
        <v>29</v>
      </c>
      <c r="I1854" s="26" t="s">
        <v>30</v>
      </c>
      <c r="J1854" s="26" t="s">
        <v>95</v>
      </c>
      <c r="K1854" s="26" t="s">
        <v>42</v>
      </c>
      <c r="L1854" s="26" t="s">
        <v>1286</v>
      </c>
      <c r="M1854" s="26">
        <v>1</v>
      </c>
      <c r="N1854" s="26">
        <v>1</v>
      </c>
      <c r="O1854" s="28">
        <v>1</v>
      </c>
      <c r="P1854" s="26">
        <v>1.67</v>
      </c>
      <c r="Q1854" s="26">
        <v>1.67</v>
      </c>
      <c r="R1854" s="26">
        <v>0</v>
      </c>
      <c r="S1854" s="26"/>
      <c r="T1854" s="26">
        <v>0</v>
      </c>
      <c r="U1854" s="26">
        <v>0</v>
      </c>
      <c r="V1854" s="26">
        <v>0</v>
      </c>
      <c r="W1854" s="28">
        <v>0</v>
      </c>
      <c r="X1854" s="26">
        <v>0</v>
      </c>
      <c r="Y1854" s="26">
        <v>0</v>
      </c>
      <c r="Z1854" s="26">
        <v>0</v>
      </c>
      <c r="AA1854" s="26">
        <v>0</v>
      </c>
    </row>
    <row r="1855" spans="1:27" x14ac:dyDescent="0.2">
      <c r="A1855">
        <f t="shared" si="58"/>
        <v>4</v>
      </c>
      <c r="B1855">
        <f t="shared" si="59"/>
        <v>18</v>
      </c>
      <c r="C1855" s="27">
        <v>46141</v>
      </c>
      <c r="D1855" s="27">
        <v>46141</v>
      </c>
      <c r="E1855" s="26" t="s">
        <v>26</v>
      </c>
      <c r="F1855" s="26" t="s">
        <v>27</v>
      </c>
      <c r="G1855" s="26" t="s">
        <v>28</v>
      </c>
      <c r="H1855" s="26" t="s">
        <v>29</v>
      </c>
      <c r="I1855" s="26" t="s">
        <v>30</v>
      </c>
      <c r="J1855" s="26" t="s">
        <v>31</v>
      </c>
      <c r="K1855" s="26" t="s">
        <v>32</v>
      </c>
      <c r="L1855" s="26" t="s">
        <v>1287</v>
      </c>
      <c r="M1855" s="26">
        <v>2</v>
      </c>
      <c r="N1855" s="26">
        <v>1</v>
      </c>
      <c r="O1855" s="28">
        <v>0.5</v>
      </c>
      <c r="P1855" s="26">
        <v>0.21</v>
      </c>
      <c r="Q1855" s="26">
        <v>0.21</v>
      </c>
      <c r="R1855" s="26">
        <v>0</v>
      </c>
      <c r="S1855" s="26"/>
      <c r="T1855" s="26">
        <v>0</v>
      </c>
      <c r="U1855" s="26">
        <v>0</v>
      </c>
      <c r="V1855" s="26">
        <v>0</v>
      </c>
      <c r="W1855" s="28">
        <v>0</v>
      </c>
      <c r="X1855" s="26">
        <v>0</v>
      </c>
      <c r="Y1855" s="26">
        <v>0</v>
      </c>
      <c r="Z1855" s="26">
        <v>0</v>
      </c>
      <c r="AA1855" s="26">
        <v>0</v>
      </c>
    </row>
    <row r="1856" spans="1:27" x14ac:dyDescent="0.2">
      <c r="A1856">
        <f t="shared" si="58"/>
        <v>4</v>
      </c>
      <c r="B1856">
        <f t="shared" si="59"/>
        <v>16</v>
      </c>
      <c r="C1856" s="27">
        <v>46130</v>
      </c>
      <c r="D1856" s="27">
        <v>46130</v>
      </c>
      <c r="E1856" s="26" t="s">
        <v>26</v>
      </c>
      <c r="F1856" s="26" t="s">
        <v>49</v>
      </c>
      <c r="G1856" s="26" t="s">
        <v>50</v>
      </c>
      <c r="H1856" s="26" t="s">
        <v>29</v>
      </c>
      <c r="I1856" s="26" t="s">
        <v>30</v>
      </c>
      <c r="J1856" s="26" t="s">
        <v>95</v>
      </c>
      <c r="K1856" s="26" t="s">
        <v>42</v>
      </c>
      <c r="L1856" s="26" t="s">
        <v>1288</v>
      </c>
      <c r="M1856" s="26">
        <v>2</v>
      </c>
      <c r="N1856" s="26">
        <v>1</v>
      </c>
      <c r="O1856" s="28">
        <v>0.5</v>
      </c>
      <c r="P1856" s="26">
        <v>0.54</v>
      </c>
      <c r="Q1856" s="26">
        <v>0.54</v>
      </c>
      <c r="R1856" s="26">
        <v>0</v>
      </c>
      <c r="S1856" s="26"/>
      <c r="T1856" s="26">
        <v>0</v>
      </c>
      <c r="U1856" s="26">
        <v>0</v>
      </c>
      <c r="V1856" s="26">
        <v>0</v>
      </c>
      <c r="W1856" s="28">
        <v>0</v>
      </c>
      <c r="X1856" s="26">
        <v>0</v>
      </c>
      <c r="Y1856" s="26">
        <v>0</v>
      </c>
      <c r="Z1856" s="26">
        <v>0</v>
      </c>
      <c r="AA1856" s="26">
        <v>0</v>
      </c>
    </row>
    <row r="1857" spans="1:27" x14ac:dyDescent="0.2">
      <c r="A1857">
        <f t="shared" si="58"/>
        <v>4</v>
      </c>
      <c r="B1857">
        <f t="shared" si="59"/>
        <v>16</v>
      </c>
      <c r="C1857" s="27">
        <v>46128</v>
      </c>
      <c r="D1857" s="27">
        <v>46128</v>
      </c>
      <c r="E1857" s="26" t="s">
        <v>26</v>
      </c>
      <c r="F1857" s="26" t="s">
        <v>27</v>
      </c>
      <c r="G1857" s="26" t="s">
        <v>28</v>
      </c>
      <c r="H1857" s="26" t="s">
        <v>29</v>
      </c>
      <c r="I1857" s="26" t="s">
        <v>30</v>
      </c>
      <c r="J1857" s="26" t="s">
        <v>31</v>
      </c>
      <c r="K1857" s="26" t="s">
        <v>32</v>
      </c>
      <c r="L1857" s="26" t="s">
        <v>1289</v>
      </c>
      <c r="M1857" s="26">
        <v>3</v>
      </c>
      <c r="N1857" s="26">
        <v>1</v>
      </c>
      <c r="O1857" s="28">
        <v>0.33333299999999999</v>
      </c>
      <c r="P1857" s="26">
        <v>0.2</v>
      </c>
      <c r="Q1857" s="26">
        <v>0.2</v>
      </c>
      <c r="R1857" s="26">
        <v>0</v>
      </c>
      <c r="S1857" s="26"/>
      <c r="T1857" s="26">
        <v>0</v>
      </c>
      <c r="U1857" s="26">
        <v>0</v>
      </c>
      <c r="V1857" s="26">
        <v>0</v>
      </c>
      <c r="W1857" s="28">
        <v>0</v>
      </c>
      <c r="X1857" s="26">
        <v>0</v>
      </c>
      <c r="Y1857" s="26">
        <v>0</v>
      </c>
      <c r="Z1857" s="26">
        <v>0</v>
      </c>
      <c r="AA1857" s="26">
        <v>0</v>
      </c>
    </row>
    <row r="1858" spans="1:27" x14ac:dyDescent="0.2">
      <c r="A1858">
        <f t="shared" si="58"/>
        <v>4</v>
      </c>
      <c r="B1858">
        <f t="shared" si="59"/>
        <v>17</v>
      </c>
      <c r="C1858" s="27">
        <v>46137</v>
      </c>
      <c r="D1858" s="27">
        <v>46137</v>
      </c>
      <c r="E1858" s="26" t="s">
        <v>26</v>
      </c>
      <c r="F1858" s="26" t="s">
        <v>61</v>
      </c>
      <c r="G1858" s="26" t="s">
        <v>62</v>
      </c>
      <c r="H1858" s="26" t="s">
        <v>29</v>
      </c>
      <c r="I1858" s="26" t="s">
        <v>30</v>
      </c>
      <c r="J1858" s="26" t="s">
        <v>47</v>
      </c>
      <c r="K1858" s="26" t="s">
        <v>42</v>
      </c>
      <c r="L1858" s="26" t="s">
        <v>1290</v>
      </c>
      <c r="M1858" s="26">
        <v>1</v>
      </c>
      <c r="N1858" s="26">
        <v>1</v>
      </c>
      <c r="O1858" s="28">
        <v>1</v>
      </c>
      <c r="P1858" s="26">
        <v>1.63</v>
      </c>
      <c r="Q1858" s="26">
        <v>1.63</v>
      </c>
      <c r="R1858" s="26">
        <v>0</v>
      </c>
      <c r="S1858" s="26"/>
      <c r="T1858" s="26">
        <v>0</v>
      </c>
      <c r="U1858" s="26">
        <v>0</v>
      </c>
      <c r="V1858" s="26">
        <v>0</v>
      </c>
      <c r="W1858" s="28">
        <v>0</v>
      </c>
      <c r="X1858" s="26">
        <v>0</v>
      </c>
      <c r="Y1858" s="26">
        <v>0</v>
      </c>
      <c r="Z1858" s="26">
        <v>0</v>
      </c>
      <c r="AA1858" s="26">
        <v>0</v>
      </c>
    </row>
    <row r="1859" spans="1:27" x14ac:dyDescent="0.2">
      <c r="A1859">
        <f t="shared" si="58"/>
        <v>4</v>
      </c>
      <c r="B1859">
        <f t="shared" si="59"/>
        <v>18</v>
      </c>
      <c r="C1859" s="27">
        <v>46138</v>
      </c>
      <c r="D1859" s="27">
        <v>46138</v>
      </c>
      <c r="E1859" s="26" t="s">
        <v>26</v>
      </c>
      <c r="F1859" s="26" t="s">
        <v>27</v>
      </c>
      <c r="G1859" s="26" t="s">
        <v>28</v>
      </c>
      <c r="H1859" s="26" t="s">
        <v>29</v>
      </c>
      <c r="I1859" s="26" t="s">
        <v>30</v>
      </c>
      <c r="J1859" s="26" t="s">
        <v>133</v>
      </c>
      <c r="K1859" s="26" t="s">
        <v>32</v>
      </c>
      <c r="L1859" s="26" t="s">
        <v>1291</v>
      </c>
      <c r="M1859" s="26">
        <v>1</v>
      </c>
      <c r="N1859" s="26">
        <v>1</v>
      </c>
      <c r="O1859" s="28">
        <v>1</v>
      </c>
      <c r="P1859" s="26">
        <v>0.21</v>
      </c>
      <c r="Q1859" s="26">
        <v>0.21</v>
      </c>
      <c r="R1859" s="26">
        <v>0</v>
      </c>
      <c r="S1859" s="26"/>
      <c r="T1859" s="26">
        <v>0</v>
      </c>
      <c r="U1859" s="26">
        <v>0</v>
      </c>
      <c r="V1859" s="26">
        <v>0</v>
      </c>
      <c r="W1859" s="28">
        <v>0</v>
      </c>
      <c r="X1859" s="26">
        <v>0</v>
      </c>
      <c r="Y1859" s="26">
        <v>0</v>
      </c>
      <c r="Z1859" s="26">
        <v>0</v>
      </c>
      <c r="AA1859" s="26">
        <v>0</v>
      </c>
    </row>
    <row r="1860" spans="1:27" x14ac:dyDescent="0.2">
      <c r="A1860">
        <f t="shared" si="58"/>
        <v>4</v>
      </c>
      <c r="B1860">
        <f t="shared" si="59"/>
        <v>18</v>
      </c>
      <c r="C1860" s="27">
        <v>46142</v>
      </c>
      <c r="D1860" s="27">
        <v>46142</v>
      </c>
      <c r="E1860" s="26" t="s">
        <v>26</v>
      </c>
      <c r="F1860" s="26" t="s">
        <v>61</v>
      </c>
      <c r="G1860" s="26" t="s">
        <v>62</v>
      </c>
      <c r="H1860" s="26" t="s">
        <v>29</v>
      </c>
      <c r="I1860" s="26" t="s">
        <v>30</v>
      </c>
      <c r="J1860" s="26" t="s">
        <v>95</v>
      </c>
      <c r="K1860" s="26" t="s">
        <v>42</v>
      </c>
      <c r="L1860" s="26" t="s">
        <v>1292</v>
      </c>
      <c r="M1860" s="26">
        <v>3</v>
      </c>
      <c r="N1860" s="26">
        <v>1</v>
      </c>
      <c r="O1860" s="28">
        <v>0.33333299999999999</v>
      </c>
      <c r="P1860" s="26">
        <v>1.51</v>
      </c>
      <c r="Q1860" s="26">
        <v>1.51</v>
      </c>
      <c r="R1860" s="26">
        <v>0</v>
      </c>
      <c r="S1860" s="26"/>
      <c r="T1860" s="26">
        <v>0</v>
      </c>
      <c r="U1860" s="26">
        <v>0</v>
      </c>
      <c r="V1860" s="26">
        <v>0</v>
      </c>
      <c r="W1860" s="28">
        <v>0</v>
      </c>
      <c r="X1860" s="26">
        <v>0</v>
      </c>
      <c r="Y1860" s="26">
        <v>0</v>
      </c>
      <c r="Z1860" s="26">
        <v>0</v>
      </c>
      <c r="AA1860" s="26">
        <v>0</v>
      </c>
    </row>
    <row r="1861" spans="1:27" x14ac:dyDescent="0.2">
      <c r="A1861">
        <f t="shared" si="58"/>
        <v>4</v>
      </c>
      <c r="B1861">
        <f t="shared" si="59"/>
        <v>17</v>
      </c>
      <c r="C1861" s="27">
        <v>46132</v>
      </c>
      <c r="D1861" s="27">
        <v>46132</v>
      </c>
      <c r="E1861" s="26" t="s">
        <v>26</v>
      </c>
      <c r="F1861" s="26" t="s">
        <v>112</v>
      </c>
      <c r="G1861" s="26" t="s">
        <v>113</v>
      </c>
      <c r="H1861" s="26" t="s">
        <v>29</v>
      </c>
      <c r="I1861" s="26" t="s">
        <v>30</v>
      </c>
      <c r="J1861" s="26" t="s">
        <v>177</v>
      </c>
      <c r="K1861" s="26" t="s">
        <v>32</v>
      </c>
      <c r="L1861" s="26" t="s">
        <v>1293</v>
      </c>
      <c r="M1861" s="26">
        <v>1</v>
      </c>
      <c r="N1861" s="26">
        <v>1</v>
      </c>
      <c r="O1861" s="28">
        <v>1</v>
      </c>
      <c r="P1861" s="26">
        <v>2.23</v>
      </c>
      <c r="Q1861" s="26">
        <v>2.23</v>
      </c>
      <c r="R1861" s="26">
        <v>0</v>
      </c>
      <c r="S1861" s="26"/>
      <c r="T1861" s="26">
        <v>0</v>
      </c>
      <c r="U1861" s="26">
        <v>0</v>
      </c>
      <c r="V1861" s="26">
        <v>0</v>
      </c>
      <c r="W1861" s="28">
        <v>0</v>
      </c>
      <c r="X1861" s="26">
        <v>0</v>
      </c>
      <c r="Y1861" s="26">
        <v>0</v>
      </c>
      <c r="Z1861" s="26">
        <v>0</v>
      </c>
      <c r="AA1861" s="26">
        <v>0</v>
      </c>
    </row>
    <row r="1862" spans="1:27" x14ac:dyDescent="0.2">
      <c r="A1862">
        <f t="shared" si="58"/>
        <v>4</v>
      </c>
      <c r="B1862">
        <f t="shared" si="59"/>
        <v>17</v>
      </c>
      <c r="C1862" s="27">
        <v>46137</v>
      </c>
      <c r="D1862" s="27">
        <v>46137</v>
      </c>
      <c r="E1862" s="26" t="s">
        <v>26</v>
      </c>
      <c r="F1862" s="26" t="s">
        <v>27</v>
      </c>
      <c r="G1862" s="26" t="s">
        <v>28</v>
      </c>
      <c r="H1862" s="26" t="s">
        <v>29</v>
      </c>
      <c r="I1862" s="26" t="s">
        <v>30</v>
      </c>
      <c r="J1862" s="26" t="s">
        <v>37</v>
      </c>
      <c r="K1862" s="26" t="s">
        <v>32</v>
      </c>
      <c r="L1862" s="26" t="s">
        <v>1294</v>
      </c>
      <c r="M1862" s="26">
        <v>2</v>
      </c>
      <c r="N1862" s="26">
        <v>1</v>
      </c>
      <c r="O1862" s="28">
        <v>0.5</v>
      </c>
      <c r="P1862" s="26">
        <v>0.21</v>
      </c>
      <c r="Q1862" s="26">
        <v>0.21</v>
      </c>
      <c r="R1862" s="26">
        <v>0</v>
      </c>
      <c r="S1862" s="26"/>
      <c r="T1862" s="26">
        <v>0</v>
      </c>
      <c r="U1862" s="26">
        <v>0</v>
      </c>
      <c r="V1862" s="26">
        <v>0</v>
      </c>
      <c r="W1862" s="28">
        <v>0</v>
      </c>
      <c r="X1862" s="26">
        <v>0</v>
      </c>
      <c r="Y1862" s="26">
        <v>0</v>
      </c>
      <c r="Z1862" s="26">
        <v>0</v>
      </c>
      <c r="AA1862" s="26">
        <v>0</v>
      </c>
    </row>
    <row r="1863" spans="1:27" x14ac:dyDescent="0.2">
      <c r="A1863">
        <f t="shared" si="58"/>
        <v>4</v>
      </c>
      <c r="B1863">
        <f t="shared" si="59"/>
        <v>18</v>
      </c>
      <c r="C1863" s="27">
        <v>46139</v>
      </c>
      <c r="D1863" s="27">
        <v>46139</v>
      </c>
      <c r="E1863" s="26" t="s">
        <v>26</v>
      </c>
      <c r="F1863" s="26" t="s">
        <v>27</v>
      </c>
      <c r="G1863" s="26" t="s">
        <v>28</v>
      </c>
      <c r="H1863" s="26" t="s">
        <v>29</v>
      </c>
      <c r="I1863" s="26" t="s">
        <v>30</v>
      </c>
      <c r="J1863" s="26" t="s">
        <v>133</v>
      </c>
      <c r="K1863" s="26" t="s">
        <v>32</v>
      </c>
      <c r="L1863" s="26" t="s">
        <v>1295</v>
      </c>
      <c r="M1863" s="26">
        <v>2</v>
      </c>
      <c r="N1863" s="26">
        <v>1</v>
      </c>
      <c r="O1863" s="28">
        <v>0.5</v>
      </c>
      <c r="P1863" s="26">
        <v>0.4</v>
      </c>
      <c r="Q1863" s="26">
        <v>0.4</v>
      </c>
      <c r="R1863" s="26">
        <v>0</v>
      </c>
      <c r="S1863" s="26"/>
      <c r="T1863" s="26">
        <v>0</v>
      </c>
      <c r="U1863" s="26">
        <v>0</v>
      </c>
      <c r="V1863" s="26">
        <v>0</v>
      </c>
      <c r="W1863" s="28">
        <v>0</v>
      </c>
      <c r="X1863" s="26">
        <v>0</v>
      </c>
      <c r="Y1863" s="26">
        <v>0</v>
      </c>
      <c r="Z1863" s="26">
        <v>0</v>
      </c>
      <c r="AA1863" s="26">
        <v>0</v>
      </c>
    </row>
    <row r="1864" spans="1:27" x14ac:dyDescent="0.2">
      <c r="A1864">
        <f t="shared" si="58"/>
        <v>4</v>
      </c>
      <c r="B1864">
        <f t="shared" si="59"/>
        <v>17</v>
      </c>
      <c r="C1864" s="27">
        <v>46133</v>
      </c>
      <c r="D1864" s="27">
        <v>46133</v>
      </c>
      <c r="E1864" s="26" t="s">
        <v>26</v>
      </c>
      <c r="F1864" s="26" t="s">
        <v>27</v>
      </c>
      <c r="G1864" s="26" t="s">
        <v>28</v>
      </c>
      <c r="H1864" s="26" t="s">
        <v>29</v>
      </c>
      <c r="I1864" s="26" t="s">
        <v>30</v>
      </c>
      <c r="J1864" s="26" t="s">
        <v>50</v>
      </c>
      <c r="K1864" s="26" t="s">
        <v>32</v>
      </c>
      <c r="L1864" s="26" t="s">
        <v>1296</v>
      </c>
      <c r="M1864" s="26">
        <v>1</v>
      </c>
      <c r="N1864" s="26">
        <v>1</v>
      </c>
      <c r="O1864" s="28">
        <v>1</v>
      </c>
      <c r="P1864" s="26">
        <v>0.21</v>
      </c>
      <c r="Q1864" s="26">
        <v>0.21</v>
      </c>
      <c r="R1864" s="26">
        <v>0</v>
      </c>
      <c r="S1864" s="26"/>
      <c r="T1864" s="26">
        <v>0</v>
      </c>
      <c r="U1864" s="26">
        <v>0</v>
      </c>
      <c r="V1864" s="26">
        <v>0</v>
      </c>
      <c r="W1864" s="28">
        <v>0</v>
      </c>
      <c r="X1864" s="26">
        <v>0</v>
      </c>
      <c r="Y1864" s="26">
        <v>0</v>
      </c>
      <c r="Z1864" s="26">
        <v>0</v>
      </c>
      <c r="AA1864" s="26">
        <v>0</v>
      </c>
    </row>
    <row r="1865" spans="1:27" x14ac:dyDescent="0.2">
      <c r="A1865">
        <f t="shared" si="58"/>
        <v>4</v>
      </c>
      <c r="B1865">
        <f t="shared" si="59"/>
        <v>16</v>
      </c>
      <c r="C1865" s="27">
        <v>46126</v>
      </c>
      <c r="D1865" s="27">
        <v>46126</v>
      </c>
      <c r="E1865" s="26" t="s">
        <v>26</v>
      </c>
      <c r="F1865" s="26" t="s">
        <v>39</v>
      </c>
      <c r="G1865" s="26" t="s">
        <v>40</v>
      </c>
      <c r="H1865" s="26" t="s">
        <v>29</v>
      </c>
      <c r="I1865" s="26" t="s">
        <v>30</v>
      </c>
      <c r="J1865" s="26" t="s">
        <v>70</v>
      </c>
      <c r="K1865" s="26" t="s">
        <v>42</v>
      </c>
      <c r="L1865" s="26" t="s">
        <v>1297</v>
      </c>
      <c r="M1865" s="26">
        <v>2</v>
      </c>
      <c r="N1865" s="26">
        <v>1</v>
      </c>
      <c r="O1865" s="28">
        <v>0.5</v>
      </c>
      <c r="P1865" s="26">
        <v>0.67</v>
      </c>
      <c r="Q1865" s="26">
        <v>0.67</v>
      </c>
      <c r="R1865" s="26">
        <v>0</v>
      </c>
      <c r="S1865" s="26"/>
      <c r="T1865" s="26">
        <v>0</v>
      </c>
      <c r="U1865" s="26">
        <v>0</v>
      </c>
      <c r="V1865" s="26">
        <v>0</v>
      </c>
      <c r="W1865" s="28">
        <v>0</v>
      </c>
      <c r="X1865" s="26">
        <v>0</v>
      </c>
      <c r="Y1865" s="26">
        <v>0</v>
      </c>
      <c r="Z1865" s="26">
        <v>0</v>
      </c>
      <c r="AA1865" s="26">
        <v>0</v>
      </c>
    </row>
    <row r="1866" spans="1:27" x14ac:dyDescent="0.2">
      <c r="A1866">
        <f t="shared" si="58"/>
        <v>4</v>
      </c>
      <c r="B1866">
        <f t="shared" si="59"/>
        <v>18</v>
      </c>
      <c r="C1866" s="27">
        <v>46140</v>
      </c>
      <c r="D1866" s="27">
        <v>46140</v>
      </c>
      <c r="E1866" s="26" t="s">
        <v>26</v>
      </c>
      <c r="F1866" s="26" t="s">
        <v>45</v>
      </c>
      <c r="G1866" s="26" t="s">
        <v>46</v>
      </c>
      <c r="H1866" s="26" t="s">
        <v>29</v>
      </c>
      <c r="I1866" s="26" t="s">
        <v>30</v>
      </c>
      <c r="J1866" s="26" t="s">
        <v>95</v>
      </c>
      <c r="K1866" s="26" t="s">
        <v>42</v>
      </c>
      <c r="L1866" s="26" t="s">
        <v>1298</v>
      </c>
      <c r="M1866" s="26">
        <v>1</v>
      </c>
      <c r="N1866" s="26">
        <v>1</v>
      </c>
      <c r="O1866" s="28">
        <v>1</v>
      </c>
      <c r="P1866" s="26">
        <v>0.36</v>
      </c>
      <c r="Q1866" s="26">
        <v>0.36</v>
      </c>
      <c r="R1866" s="26">
        <v>0</v>
      </c>
      <c r="S1866" s="26"/>
      <c r="T1866" s="26">
        <v>0</v>
      </c>
      <c r="U1866" s="26">
        <v>0</v>
      </c>
      <c r="V1866" s="26">
        <v>0</v>
      </c>
      <c r="W1866" s="28">
        <v>0</v>
      </c>
      <c r="X1866" s="26">
        <v>0</v>
      </c>
      <c r="Y1866" s="26">
        <v>0</v>
      </c>
      <c r="Z1866" s="26">
        <v>0</v>
      </c>
      <c r="AA1866" s="26">
        <v>0</v>
      </c>
    </row>
    <row r="1867" spans="1:27" x14ac:dyDescent="0.2">
      <c r="A1867">
        <f t="shared" si="58"/>
        <v>4</v>
      </c>
      <c r="B1867">
        <f t="shared" si="59"/>
        <v>16</v>
      </c>
      <c r="C1867" s="27">
        <v>46126</v>
      </c>
      <c r="D1867" s="27">
        <v>46126</v>
      </c>
      <c r="E1867" s="26" t="s">
        <v>26</v>
      </c>
      <c r="F1867" s="26" t="s">
        <v>27</v>
      </c>
      <c r="G1867" s="26" t="s">
        <v>28</v>
      </c>
      <c r="H1867" s="26" t="s">
        <v>29</v>
      </c>
      <c r="I1867" s="26" t="s">
        <v>30</v>
      </c>
      <c r="J1867" s="26" t="s">
        <v>50</v>
      </c>
      <c r="K1867" s="26" t="s">
        <v>32</v>
      </c>
      <c r="L1867" s="26" t="s">
        <v>1299</v>
      </c>
      <c r="M1867" s="26">
        <v>1</v>
      </c>
      <c r="N1867" s="26">
        <v>1</v>
      </c>
      <c r="O1867" s="28">
        <v>1</v>
      </c>
      <c r="P1867" s="26">
        <v>0.21</v>
      </c>
      <c r="Q1867" s="26">
        <v>0.21</v>
      </c>
      <c r="R1867" s="26">
        <v>0</v>
      </c>
      <c r="S1867" s="26"/>
      <c r="T1867" s="26">
        <v>0</v>
      </c>
      <c r="U1867" s="26">
        <v>0</v>
      </c>
      <c r="V1867" s="26">
        <v>0</v>
      </c>
      <c r="W1867" s="28">
        <v>0</v>
      </c>
      <c r="X1867" s="26">
        <v>0</v>
      </c>
      <c r="Y1867" s="26">
        <v>0</v>
      </c>
      <c r="Z1867" s="26">
        <v>0</v>
      </c>
      <c r="AA1867" s="26">
        <v>0</v>
      </c>
    </row>
    <row r="1868" spans="1:27" x14ac:dyDescent="0.2">
      <c r="A1868">
        <f t="shared" si="58"/>
        <v>4</v>
      </c>
      <c r="B1868">
        <f t="shared" si="59"/>
        <v>18</v>
      </c>
      <c r="C1868" s="27">
        <v>46138</v>
      </c>
      <c r="D1868" s="27">
        <v>46138</v>
      </c>
      <c r="E1868" s="26" t="s">
        <v>26</v>
      </c>
      <c r="F1868" s="26" t="s">
        <v>27</v>
      </c>
      <c r="G1868" s="26" t="s">
        <v>28</v>
      </c>
      <c r="H1868" s="26" t="s">
        <v>29</v>
      </c>
      <c r="I1868" s="26" t="s">
        <v>30</v>
      </c>
      <c r="J1868" s="26" t="s">
        <v>44</v>
      </c>
      <c r="K1868" s="26" t="s">
        <v>32</v>
      </c>
      <c r="L1868" s="26" t="s">
        <v>1300</v>
      </c>
      <c r="M1868" s="26">
        <v>2</v>
      </c>
      <c r="N1868" s="26">
        <v>1</v>
      </c>
      <c r="O1868" s="28">
        <v>0.5</v>
      </c>
      <c r="P1868" s="26">
        <v>0.21</v>
      </c>
      <c r="Q1868" s="26">
        <v>0.21</v>
      </c>
      <c r="R1868" s="26">
        <v>17.47</v>
      </c>
      <c r="S1868" s="28">
        <v>1.2021E-2</v>
      </c>
      <c r="T1868" s="26">
        <v>83.19</v>
      </c>
      <c r="U1868" s="26">
        <v>1</v>
      </c>
      <c r="V1868" s="26">
        <v>1</v>
      </c>
      <c r="W1868" s="28">
        <v>1</v>
      </c>
      <c r="X1868" s="26">
        <v>1</v>
      </c>
      <c r="Y1868" s="26">
        <v>0</v>
      </c>
      <c r="Z1868" s="26">
        <v>17.47</v>
      </c>
      <c r="AA1868" s="26">
        <v>0</v>
      </c>
    </row>
    <row r="1869" spans="1:27" x14ac:dyDescent="0.2">
      <c r="A1869">
        <f t="shared" si="58"/>
        <v>4</v>
      </c>
      <c r="B1869">
        <f t="shared" si="59"/>
        <v>18</v>
      </c>
      <c r="C1869" s="27">
        <v>46139</v>
      </c>
      <c r="D1869" s="27">
        <v>46139</v>
      </c>
      <c r="E1869" s="26" t="s">
        <v>26</v>
      </c>
      <c r="F1869" s="26" t="s">
        <v>27</v>
      </c>
      <c r="G1869" s="26" t="s">
        <v>28</v>
      </c>
      <c r="H1869" s="26" t="s">
        <v>29</v>
      </c>
      <c r="I1869" s="26" t="s">
        <v>30</v>
      </c>
      <c r="J1869" s="26" t="s">
        <v>253</v>
      </c>
      <c r="K1869" s="26" t="s">
        <v>32</v>
      </c>
      <c r="L1869" s="26" t="s">
        <v>1301</v>
      </c>
      <c r="M1869" s="26">
        <v>5</v>
      </c>
      <c r="N1869" s="26">
        <v>1</v>
      </c>
      <c r="O1869" s="28">
        <v>0.2</v>
      </c>
      <c r="P1869" s="26">
        <v>0.2</v>
      </c>
      <c r="Q1869" s="26">
        <v>0.2</v>
      </c>
      <c r="R1869" s="26">
        <v>0</v>
      </c>
      <c r="S1869" s="26"/>
      <c r="T1869" s="26">
        <v>0</v>
      </c>
      <c r="U1869" s="26">
        <v>0</v>
      </c>
      <c r="V1869" s="26">
        <v>0</v>
      </c>
      <c r="W1869" s="28">
        <v>0</v>
      </c>
      <c r="X1869" s="26">
        <v>0</v>
      </c>
      <c r="Y1869" s="26">
        <v>0</v>
      </c>
      <c r="Z1869" s="26">
        <v>0</v>
      </c>
      <c r="AA1869" s="26">
        <v>0</v>
      </c>
    </row>
    <row r="1870" spans="1:27" x14ac:dyDescent="0.2">
      <c r="A1870">
        <f t="shared" si="58"/>
        <v>4</v>
      </c>
      <c r="B1870">
        <f t="shared" si="59"/>
        <v>18</v>
      </c>
      <c r="C1870" s="27">
        <v>46139</v>
      </c>
      <c r="D1870" s="27">
        <v>46139</v>
      </c>
      <c r="E1870" s="26" t="s">
        <v>26</v>
      </c>
      <c r="F1870" s="26" t="s">
        <v>27</v>
      </c>
      <c r="G1870" s="26" t="s">
        <v>28</v>
      </c>
      <c r="H1870" s="26" t="s">
        <v>29</v>
      </c>
      <c r="I1870" s="26" t="s">
        <v>30</v>
      </c>
      <c r="J1870" s="26" t="s">
        <v>31</v>
      </c>
      <c r="K1870" s="26" t="s">
        <v>32</v>
      </c>
      <c r="L1870" s="26" t="s">
        <v>1302</v>
      </c>
      <c r="M1870" s="26">
        <v>3</v>
      </c>
      <c r="N1870" s="26">
        <v>2</v>
      </c>
      <c r="O1870" s="28">
        <v>0.66666700000000001</v>
      </c>
      <c r="P1870" s="26">
        <v>0.31</v>
      </c>
      <c r="Q1870" s="26">
        <v>0.61</v>
      </c>
      <c r="R1870" s="26">
        <v>0</v>
      </c>
      <c r="S1870" s="26"/>
      <c r="T1870" s="26">
        <v>0</v>
      </c>
      <c r="U1870" s="26">
        <v>0</v>
      </c>
      <c r="V1870" s="26">
        <v>0</v>
      </c>
      <c r="W1870" s="28">
        <v>0</v>
      </c>
      <c r="X1870" s="26">
        <v>0</v>
      </c>
      <c r="Y1870" s="26">
        <v>0</v>
      </c>
      <c r="Z1870" s="26">
        <v>0</v>
      </c>
      <c r="AA1870" s="26">
        <v>0</v>
      </c>
    </row>
    <row r="1871" spans="1:27" x14ac:dyDescent="0.2">
      <c r="A1871">
        <f t="shared" si="58"/>
        <v>4</v>
      </c>
      <c r="B1871">
        <f t="shared" si="59"/>
        <v>17</v>
      </c>
      <c r="C1871" s="27">
        <v>46131</v>
      </c>
      <c r="D1871" s="27">
        <v>46131</v>
      </c>
      <c r="E1871" s="26" t="s">
        <v>26</v>
      </c>
      <c r="F1871" s="26" t="s">
        <v>27</v>
      </c>
      <c r="G1871" s="26" t="s">
        <v>28</v>
      </c>
      <c r="H1871" s="26" t="s">
        <v>29</v>
      </c>
      <c r="I1871" s="26" t="s">
        <v>30</v>
      </c>
      <c r="J1871" s="26" t="s">
        <v>243</v>
      </c>
      <c r="K1871" s="26" t="s">
        <v>32</v>
      </c>
      <c r="L1871" s="26" t="s">
        <v>523</v>
      </c>
      <c r="M1871" s="26">
        <v>1</v>
      </c>
      <c r="N1871" s="26">
        <v>1</v>
      </c>
      <c r="O1871" s="28">
        <v>1</v>
      </c>
      <c r="P1871" s="26">
        <v>0.21</v>
      </c>
      <c r="Q1871" s="26">
        <v>0.21</v>
      </c>
      <c r="R1871" s="26">
        <v>18.04</v>
      </c>
      <c r="S1871" s="28">
        <v>1.1641E-2</v>
      </c>
      <c r="T1871" s="26">
        <v>85.9</v>
      </c>
      <c r="U1871" s="26">
        <v>1</v>
      </c>
      <c r="V1871" s="26">
        <v>1</v>
      </c>
      <c r="W1871" s="28">
        <v>1</v>
      </c>
      <c r="X1871" s="26">
        <v>1</v>
      </c>
      <c r="Y1871" s="26">
        <v>0</v>
      </c>
      <c r="Z1871" s="26">
        <v>18.04</v>
      </c>
      <c r="AA1871" s="26">
        <v>0</v>
      </c>
    </row>
    <row r="1872" spans="1:27" x14ac:dyDescent="0.2">
      <c r="A1872">
        <f t="shared" si="58"/>
        <v>4</v>
      </c>
      <c r="B1872">
        <f t="shared" si="59"/>
        <v>16</v>
      </c>
      <c r="C1872" s="27">
        <v>46130</v>
      </c>
      <c r="D1872" s="27">
        <v>46130</v>
      </c>
      <c r="E1872" s="26" t="s">
        <v>26</v>
      </c>
      <c r="F1872" s="26" t="s">
        <v>27</v>
      </c>
      <c r="G1872" s="26" t="s">
        <v>28</v>
      </c>
      <c r="H1872" s="26" t="s">
        <v>29</v>
      </c>
      <c r="I1872" s="26" t="s">
        <v>30</v>
      </c>
      <c r="J1872" s="26" t="s">
        <v>257</v>
      </c>
      <c r="K1872" s="26" t="s">
        <v>32</v>
      </c>
      <c r="L1872" s="26" t="s">
        <v>1303</v>
      </c>
      <c r="M1872" s="26">
        <v>1</v>
      </c>
      <c r="N1872" s="26">
        <v>1</v>
      </c>
      <c r="O1872" s="28">
        <v>1</v>
      </c>
      <c r="P1872" s="26">
        <v>0.21</v>
      </c>
      <c r="Q1872" s="26">
        <v>0.21</v>
      </c>
      <c r="R1872" s="26">
        <v>0</v>
      </c>
      <c r="S1872" s="26"/>
      <c r="T1872" s="26">
        <v>0</v>
      </c>
      <c r="U1872" s="26">
        <v>0</v>
      </c>
      <c r="V1872" s="26">
        <v>0</v>
      </c>
      <c r="W1872" s="28">
        <v>0</v>
      </c>
      <c r="X1872" s="26">
        <v>0</v>
      </c>
      <c r="Y1872" s="26">
        <v>0</v>
      </c>
      <c r="Z1872" s="26">
        <v>0</v>
      </c>
      <c r="AA1872" s="26">
        <v>0</v>
      </c>
    </row>
    <row r="1873" spans="1:27" x14ac:dyDescent="0.2">
      <c r="A1873">
        <f t="shared" si="58"/>
        <v>4</v>
      </c>
      <c r="B1873">
        <f t="shared" si="59"/>
        <v>16</v>
      </c>
      <c r="C1873" s="27">
        <v>46126</v>
      </c>
      <c r="D1873" s="27">
        <v>46126</v>
      </c>
      <c r="E1873" s="26" t="s">
        <v>26</v>
      </c>
      <c r="F1873" s="26" t="s">
        <v>39</v>
      </c>
      <c r="G1873" s="26" t="s">
        <v>40</v>
      </c>
      <c r="H1873" s="26" t="s">
        <v>29</v>
      </c>
      <c r="I1873" s="26" t="s">
        <v>30</v>
      </c>
      <c r="J1873" s="26" t="s">
        <v>70</v>
      </c>
      <c r="K1873" s="26" t="s">
        <v>42</v>
      </c>
      <c r="L1873" s="26" t="s">
        <v>1304</v>
      </c>
      <c r="M1873" s="26">
        <v>2</v>
      </c>
      <c r="N1873" s="26">
        <v>1</v>
      </c>
      <c r="O1873" s="28">
        <v>0.5</v>
      </c>
      <c r="P1873" s="26">
        <v>0.67</v>
      </c>
      <c r="Q1873" s="26">
        <v>0.67</v>
      </c>
      <c r="R1873" s="26">
        <v>0</v>
      </c>
      <c r="S1873" s="26"/>
      <c r="T1873" s="26">
        <v>0</v>
      </c>
      <c r="U1873" s="26">
        <v>0</v>
      </c>
      <c r="V1873" s="26">
        <v>0</v>
      </c>
      <c r="W1873" s="28">
        <v>0</v>
      </c>
      <c r="X1873" s="26">
        <v>0</v>
      </c>
      <c r="Y1873" s="26">
        <v>0</v>
      </c>
      <c r="Z1873" s="26">
        <v>0</v>
      </c>
      <c r="AA1873" s="26">
        <v>0</v>
      </c>
    </row>
    <row r="1874" spans="1:27" x14ac:dyDescent="0.2">
      <c r="A1874">
        <f t="shared" si="58"/>
        <v>4</v>
      </c>
      <c r="B1874">
        <f t="shared" si="59"/>
        <v>16</v>
      </c>
      <c r="C1874" s="27">
        <v>46124</v>
      </c>
      <c r="D1874" s="27">
        <v>46124</v>
      </c>
      <c r="E1874" s="26" t="s">
        <v>26</v>
      </c>
      <c r="F1874" s="26" t="s">
        <v>27</v>
      </c>
      <c r="G1874" s="26" t="s">
        <v>28</v>
      </c>
      <c r="H1874" s="26" t="s">
        <v>29</v>
      </c>
      <c r="I1874" s="26" t="s">
        <v>30</v>
      </c>
      <c r="J1874" s="26" t="s">
        <v>133</v>
      </c>
      <c r="K1874" s="26" t="s">
        <v>32</v>
      </c>
      <c r="L1874" s="26" t="s">
        <v>1305</v>
      </c>
      <c r="M1874" s="26">
        <v>1</v>
      </c>
      <c r="N1874" s="26">
        <v>1</v>
      </c>
      <c r="O1874" s="28">
        <v>1</v>
      </c>
      <c r="P1874" s="26">
        <v>0.4</v>
      </c>
      <c r="Q1874" s="26">
        <v>0.4</v>
      </c>
      <c r="R1874" s="26">
        <v>0</v>
      </c>
      <c r="S1874" s="26"/>
      <c r="T1874" s="26">
        <v>0</v>
      </c>
      <c r="U1874" s="26">
        <v>0</v>
      </c>
      <c r="V1874" s="26">
        <v>0</v>
      </c>
      <c r="W1874" s="28">
        <v>0</v>
      </c>
      <c r="X1874" s="26">
        <v>0</v>
      </c>
      <c r="Y1874" s="26">
        <v>0</v>
      </c>
      <c r="Z1874" s="26">
        <v>0</v>
      </c>
      <c r="AA1874" s="26">
        <v>0</v>
      </c>
    </row>
    <row r="1875" spans="1:27" x14ac:dyDescent="0.2">
      <c r="A1875">
        <f t="shared" si="58"/>
        <v>4</v>
      </c>
      <c r="B1875">
        <f t="shared" si="59"/>
        <v>15</v>
      </c>
      <c r="C1875" s="27">
        <v>46122</v>
      </c>
      <c r="D1875" s="27">
        <v>46122</v>
      </c>
      <c r="E1875" s="26" t="s">
        <v>26</v>
      </c>
      <c r="F1875" s="26" t="s">
        <v>49</v>
      </c>
      <c r="G1875" s="26" t="s">
        <v>50</v>
      </c>
      <c r="H1875" s="26" t="s">
        <v>29</v>
      </c>
      <c r="I1875" s="26" t="s">
        <v>30</v>
      </c>
      <c r="J1875" s="26" t="s">
        <v>95</v>
      </c>
      <c r="K1875" s="26" t="s">
        <v>42</v>
      </c>
      <c r="L1875" s="26" t="s">
        <v>1306</v>
      </c>
      <c r="M1875" s="26">
        <v>2</v>
      </c>
      <c r="N1875" s="26">
        <v>1</v>
      </c>
      <c r="O1875" s="28">
        <v>0.5</v>
      </c>
      <c r="P1875" s="26">
        <v>0.61</v>
      </c>
      <c r="Q1875" s="26">
        <v>0.61</v>
      </c>
      <c r="R1875" s="26">
        <v>0</v>
      </c>
      <c r="S1875" s="26"/>
      <c r="T1875" s="26">
        <v>0</v>
      </c>
      <c r="U1875" s="26">
        <v>0</v>
      </c>
      <c r="V1875" s="26">
        <v>0</v>
      </c>
      <c r="W1875" s="28">
        <v>0</v>
      </c>
      <c r="X1875" s="26">
        <v>0</v>
      </c>
      <c r="Y1875" s="26">
        <v>0</v>
      </c>
      <c r="Z1875" s="26">
        <v>0</v>
      </c>
      <c r="AA1875" s="26">
        <v>0</v>
      </c>
    </row>
    <row r="1876" spans="1:27" x14ac:dyDescent="0.2">
      <c r="A1876">
        <f t="shared" si="58"/>
        <v>4</v>
      </c>
      <c r="B1876">
        <f t="shared" si="59"/>
        <v>16</v>
      </c>
      <c r="C1876" s="27">
        <v>46130</v>
      </c>
      <c r="D1876" s="27">
        <v>46130</v>
      </c>
      <c r="E1876" s="26" t="s">
        <v>26</v>
      </c>
      <c r="F1876" s="26" t="s">
        <v>27</v>
      </c>
      <c r="G1876" s="26" t="s">
        <v>28</v>
      </c>
      <c r="H1876" s="26" t="s">
        <v>29</v>
      </c>
      <c r="I1876" s="26" t="s">
        <v>30</v>
      </c>
      <c r="J1876" s="26" t="s">
        <v>37</v>
      </c>
      <c r="K1876" s="26" t="s">
        <v>32</v>
      </c>
      <c r="L1876" s="26" t="s">
        <v>1307</v>
      </c>
      <c r="M1876" s="26">
        <v>1</v>
      </c>
      <c r="N1876" s="26">
        <v>1</v>
      </c>
      <c r="O1876" s="28">
        <v>1</v>
      </c>
      <c r="P1876" s="26">
        <v>0.21</v>
      </c>
      <c r="Q1876" s="26">
        <v>0.21</v>
      </c>
      <c r="R1876" s="26">
        <v>0</v>
      </c>
      <c r="S1876" s="26"/>
      <c r="T1876" s="26">
        <v>0</v>
      </c>
      <c r="U1876" s="26">
        <v>0</v>
      </c>
      <c r="V1876" s="26">
        <v>0</v>
      </c>
      <c r="W1876" s="28">
        <v>0</v>
      </c>
      <c r="X1876" s="26">
        <v>0</v>
      </c>
      <c r="Y1876" s="26">
        <v>0</v>
      </c>
      <c r="Z1876" s="26">
        <v>0</v>
      </c>
      <c r="AA1876" s="26">
        <v>0</v>
      </c>
    </row>
    <row r="1877" spans="1:27" x14ac:dyDescent="0.2">
      <c r="A1877">
        <f t="shared" si="58"/>
        <v>4</v>
      </c>
      <c r="B1877">
        <f t="shared" si="59"/>
        <v>17</v>
      </c>
      <c r="C1877" s="27">
        <v>46132</v>
      </c>
      <c r="D1877" s="27">
        <v>46132</v>
      </c>
      <c r="E1877" s="26" t="s">
        <v>26</v>
      </c>
      <c r="F1877" s="26" t="s">
        <v>27</v>
      </c>
      <c r="G1877" s="26" t="s">
        <v>28</v>
      </c>
      <c r="H1877" s="26" t="s">
        <v>29</v>
      </c>
      <c r="I1877" s="26" t="s">
        <v>30</v>
      </c>
      <c r="J1877" s="26" t="s">
        <v>133</v>
      </c>
      <c r="K1877" s="26" t="s">
        <v>32</v>
      </c>
      <c r="L1877" s="26" t="s">
        <v>1308</v>
      </c>
      <c r="M1877" s="26">
        <v>1</v>
      </c>
      <c r="N1877" s="26">
        <v>1</v>
      </c>
      <c r="O1877" s="28">
        <v>1</v>
      </c>
      <c r="P1877" s="26">
        <v>0.21</v>
      </c>
      <c r="Q1877" s="26">
        <v>0.21</v>
      </c>
      <c r="R1877" s="26">
        <v>0</v>
      </c>
      <c r="S1877" s="26"/>
      <c r="T1877" s="26">
        <v>0</v>
      </c>
      <c r="U1877" s="26">
        <v>0</v>
      </c>
      <c r="V1877" s="26">
        <v>0</v>
      </c>
      <c r="W1877" s="28">
        <v>0</v>
      </c>
      <c r="X1877" s="26">
        <v>0</v>
      </c>
      <c r="Y1877" s="26">
        <v>0</v>
      </c>
      <c r="Z1877" s="26">
        <v>0</v>
      </c>
      <c r="AA1877" s="26">
        <v>0</v>
      </c>
    </row>
    <row r="1878" spans="1:27" x14ac:dyDescent="0.2">
      <c r="A1878">
        <f t="shared" si="58"/>
        <v>4</v>
      </c>
      <c r="B1878">
        <f t="shared" si="59"/>
        <v>14</v>
      </c>
      <c r="C1878" s="27">
        <v>46113</v>
      </c>
      <c r="D1878" s="27">
        <v>46113</v>
      </c>
      <c r="E1878" s="26" t="s">
        <v>26</v>
      </c>
      <c r="F1878" s="26" t="s">
        <v>27</v>
      </c>
      <c r="G1878" s="26" t="s">
        <v>28</v>
      </c>
      <c r="H1878" s="26" t="s">
        <v>29</v>
      </c>
      <c r="I1878" s="26" t="s">
        <v>30</v>
      </c>
      <c r="J1878" s="26" t="s">
        <v>133</v>
      </c>
      <c r="K1878" s="26" t="s">
        <v>32</v>
      </c>
      <c r="L1878" s="26" t="s">
        <v>1309</v>
      </c>
      <c r="M1878" s="26">
        <v>2</v>
      </c>
      <c r="N1878" s="26">
        <v>1</v>
      </c>
      <c r="O1878" s="28">
        <v>0.5</v>
      </c>
      <c r="P1878" s="26">
        <v>0.21</v>
      </c>
      <c r="Q1878" s="26">
        <v>0.21</v>
      </c>
      <c r="R1878" s="26">
        <v>37.979999999999997</v>
      </c>
      <c r="S1878" s="28">
        <v>5.5290000000000001E-3</v>
      </c>
      <c r="T1878" s="26">
        <v>180.86</v>
      </c>
      <c r="U1878" s="26">
        <v>1</v>
      </c>
      <c r="V1878" s="26">
        <v>2</v>
      </c>
      <c r="W1878" s="28">
        <v>1</v>
      </c>
      <c r="X1878" s="26">
        <v>2</v>
      </c>
      <c r="Y1878" s="26">
        <v>0</v>
      </c>
      <c r="Z1878" s="26">
        <v>37.979999999999997</v>
      </c>
      <c r="AA1878" s="26">
        <v>0</v>
      </c>
    </row>
    <row r="1879" spans="1:27" x14ac:dyDescent="0.2">
      <c r="A1879">
        <f t="shared" ref="A1879:A1942" si="60">MONTH(C1879)</f>
        <v>4</v>
      </c>
      <c r="B1879">
        <f t="shared" ref="B1879:B1942" si="61">WEEKNUM(C1879,1)</f>
        <v>18</v>
      </c>
      <c r="C1879" s="27">
        <v>46139</v>
      </c>
      <c r="D1879" s="27">
        <v>46139</v>
      </c>
      <c r="E1879" s="26" t="s">
        <v>26</v>
      </c>
      <c r="F1879" s="26" t="s">
        <v>27</v>
      </c>
      <c r="G1879" s="26" t="s">
        <v>28</v>
      </c>
      <c r="H1879" s="26" t="s">
        <v>29</v>
      </c>
      <c r="I1879" s="26" t="s">
        <v>30</v>
      </c>
      <c r="J1879" s="26" t="s">
        <v>133</v>
      </c>
      <c r="K1879" s="26" t="s">
        <v>32</v>
      </c>
      <c r="L1879" s="26" t="s">
        <v>1310</v>
      </c>
      <c r="M1879" s="26">
        <v>1</v>
      </c>
      <c r="N1879" s="26">
        <v>1</v>
      </c>
      <c r="O1879" s="28">
        <v>1</v>
      </c>
      <c r="P1879" s="26">
        <v>0.21</v>
      </c>
      <c r="Q1879" s="26">
        <v>0.21</v>
      </c>
      <c r="R1879" s="26">
        <v>0</v>
      </c>
      <c r="S1879" s="26"/>
      <c r="T1879" s="26">
        <v>0</v>
      </c>
      <c r="U1879" s="26">
        <v>0</v>
      </c>
      <c r="V1879" s="26">
        <v>0</v>
      </c>
      <c r="W1879" s="28">
        <v>0</v>
      </c>
      <c r="X1879" s="26">
        <v>0</v>
      </c>
      <c r="Y1879" s="26">
        <v>0</v>
      </c>
      <c r="Z1879" s="26">
        <v>0</v>
      </c>
      <c r="AA1879" s="26">
        <v>0</v>
      </c>
    </row>
    <row r="1880" spans="1:27" x14ac:dyDescent="0.2">
      <c r="A1880">
        <f t="shared" si="60"/>
        <v>4</v>
      </c>
      <c r="B1880">
        <f t="shared" si="61"/>
        <v>15</v>
      </c>
      <c r="C1880" s="27">
        <v>46118</v>
      </c>
      <c r="D1880" s="27">
        <v>46118</v>
      </c>
      <c r="E1880" s="26" t="s">
        <v>26</v>
      </c>
      <c r="F1880" s="26" t="s">
        <v>27</v>
      </c>
      <c r="G1880" s="26" t="s">
        <v>28</v>
      </c>
      <c r="H1880" s="26" t="s">
        <v>29</v>
      </c>
      <c r="I1880" s="26" t="s">
        <v>30</v>
      </c>
      <c r="J1880" s="26" t="s">
        <v>242</v>
      </c>
      <c r="K1880" s="26" t="s">
        <v>32</v>
      </c>
      <c r="L1880" s="26" t="s">
        <v>1311</v>
      </c>
      <c r="M1880" s="26">
        <v>3</v>
      </c>
      <c r="N1880" s="26">
        <v>1</v>
      </c>
      <c r="O1880" s="28">
        <v>0.33333299999999999</v>
      </c>
      <c r="P1880" s="26">
        <v>0.08</v>
      </c>
      <c r="Q1880" s="26">
        <v>0.08</v>
      </c>
      <c r="R1880" s="26">
        <v>0</v>
      </c>
      <c r="S1880" s="26"/>
      <c r="T1880" s="26">
        <v>0</v>
      </c>
      <c r="U1880" s="26">
        <v>0</v>
      </c>
      <c r="V1880" s="26">
        <v>0</v>
      </c>
      <c r="W1880" s="28">
        <v>0</v>
      </c>
      <c r="X1880" s="26">
        <v>0</v>
      </c>
      <c r="Y1880" s="26">
        <v>0</v>
      </c>
      <c r="Z1880" s="26">
        <v>0</v>
      </c>
      <c r="AA1880" s="26">
        <v>0</v>
      </c>
    </row>
    <row r="1881" spans="1:27" x14ac:dyDescent="0.2">
      <c r="A1881">
        <f t="shared" si="60"/>
        <v>4</v>
      </c>
      <c r="B1881">
        <f t="shared" si="61"/>
        <v>15</v>
      </c>
      <c r="C1881" s="27">
        <v>46117</v>
      </c>
      <c r="D1881" s="27">
        <v>46138</v>
      </c>
      <c r="E1881" s="26" t="s">
        <v>26</v>
      </c>
      <c r="F1881" s="26" t="s">
        <v>49</v>
      </c>
      <c r="G1881" s="26" t="s">
        <v>50</v>
      </c>
      <c r="H1881" s="26" t="s">
        <v>29</v>
      </c>
      <c r="I1881" s="26" t="s">
        <v>30</v>
      </c>
      <c r="J1881" s="26" t="s">
        <v>47</v>
      </c>
      <c r="K1881" s="26" t="s">
        <v>42</v>
      </c>
      <c r="L1881" s="26" t="s">
        <v>44</v>
      </c>
      <c r="M1881" s="26">
        <v>115</v>
      </c>
      <c r="N1881" s="26">
        <v>4</v>
      </c>
      <c r="O1881" s="28">
        <v>3.4783000000000001E-2</v>
      </c>
      <c r="P1881" s="26">
        <v>0.79</v>
      </c>
      <c r="Q1881" s="26">
        <v>3.15</v>
      </c>
      <c r="R1881" s="26">
        <v>36.08</v>
      </c>
      <c r="S1881" s="28">
        <v>8.7305999999999995E-2</v>
      </c>
      <c r="T1881" s="26">
        <v>11.45</v>
      </c>
      <c r="U1881" s="26">
        <v>1</v>
      </c>
      <c r="V1881" s="26">
        <v>2</v>
      </c>
      <c r="W1881" s="28">
        <v>0.25</v>
      </c>
      <c r="X1881" s="26">
        <v>2</v>
      </c>
      <c r="Y1881" s="26">
        <v>0</v>
      </c>
      <c r="Z1881" s="26">
        <v>36.08</v>
      </c>
      <c r="AA1881" s="26">
        <v>0</v>
      </c>
    </row>
    <row r="1882" spans="1:27" x14ac:dyDescent="0.2">
      <c r="A1882">
        <f t="shared" si="60"/>
        <v>4</v>
      </c>
      <c r="B1882">
        <f t="shared" si="61"/>
        <v>18</v>
      </c>
      <c r="C1882" s="27">
        <v>46139</v>
      </c>
      <c r="D1882" s="27">
        <v>46141</v>
      </c>
      <c r="E1882" s="26" t="s">
        <v>26</v>
      </c>
      <c r="F1882" s="26" t="s">
        <v>27</v>
      </c>
      <c r="G1882" s="26" t="s">
        <v>28</v>
      </c>
      <c r="H1882" s="26" t="s">
        <v>29</v>
      </c>
      <c r="I1882" s="26" t="s">
        <v>30</v>
      </c>
      <c r="J1882" s="26" t="s">
        <v>50</v>
      </c>
      <c r="K1882" s="26" t="s">
        <v>32</v>
      </c>
      <c r="L1882" s="26" t="s">
        <v>44</v>
      </c>
      <c r="M1882" s="26">
        <v>4</v>
      </c>
      <c r="N1882" s="26">
        <v>2</v>
      </c>
      <c r="O1882" s="28">
        <v>0.5</v>
      </c>
      <c r="P1882" s="26">
        <v>0.22</v>
      </c>
      <c r="Q1882" s="26">
        <v>0.44</v>
      </c>
      <c r="R1882" s="26">
        <v>0</v>
      </c>
      <c r="S1882" s="26"/>
      <c r="T1882" s="26">
        <v>0</v>
      </c>
      <c r="U1882" s="26">
        <v>0</v>
      </c>
      <c r="V1882" s="26">
        <v>0</v>
      </c>
      <c r="W1882" s="28">
        <v>0</v>
      </c>
      <c r="X1882" s="26">
        <v>0</v>
      </c>
      <c r="Y1882" s="26">
        <v>0</v>
      </c>
      <c r="Z1882" s="26">
        <v>0</v>
      </c>
      <c r="AA1882" s="26">
        <v>0</v>
      </c>
    </row>
    <row r="1883" spans="1:27" x14ac:dyDescent="0.2">
      <c r="A1883">
        <f t="shared" si="60"/>
        <v>4</v>
      </c>
      <c r="B1883">
        <f t="shared" si="61"/>
        <v>15</v>
      </c>
      <c r="C1883" s="27">
        <v>46118</v>
      </c>
      <c r="D1883" s="27">
        <v>46131</v>
      </c>
      <c r="E1883" s="26" t="s">
        <v>26</v>
      </c>
      <c r="F1883" s="26" t="s">
        <v>27</v>
      </c>
      <c r="G1883" s="26" t="s">
        <v>124</v>
      </c>
      <c r="H1883" s="26" t="s">
        <v>29</v>
      </c>
      <c r="I1883" s="26" t="s">
        <v>30</v>
      </c>
      <c r="J1883" s="26" t="s">
        <v>44</v>
      </c>
      <c r="K1883" s="26" t="s">
        <v>87</v>
      </c>
      <c r="L1883" s="26" t="s">
        <v>44</v>
      </c>
      <c r="M1883" s="26">
        <v>52</v>
      </c>
      <c r="N1883" s="26">
        <v>4</v>
      </c>
      <c r="O1883" s="28">
        <v>7.6923000000000005E-2</v>
      </c>
      <c r="P1883" s="26">
        <v>0.2</v>
      </c>
      <c r="Q1883" s="26">
        <v>0.8</v>
      </c>
      <c r="R1883" s="26">
        <v>0</v>
      </c>
      <c r="S1883" s="26"/>
      <c r="T1883" s="26">
        <v>0</v>
      </c>
      <c r="U1883" s="26">
        <v>0</v>
      </c>
      <c r="V1883" s="26">
        <v>0</v>
      </c>
      <c r="W1883" s="28">
        <v>0</v>
      </c>
      <c r="X1883" s="26">
        <v>0</v>
      </c>
      <c r="Y1883" s="26">
        <v>0</v>
      </c>
      <c r="Z1883" s="26">
        <v>0</v>
      </c>
      <c r="AA1883" s="26">
        <v>0</v>
      </c>
    </row>
    <row r="1884" spans="1:27" x14ac:dyDescent="0.2">
      <c r="A1884">
        <f t="shared" si="60"/>
        <v>4</v>
      </c>
      <c r="B1884">
        <f t="shared" si="61"/>
        <v>16</v>
      </c>
      <c r="C1884" s="27">
        <v>46127</v>
      </c>
      <c r="D1884" s="27">
        <v>46142</v>
      </c>
      <c r="E1884" s="26" t="s">
        <v>26</v>
      </c>
      <c r="F1884" s="26" t="s">
        <v>27</v>
      </c>
      <c r="G1884" s="26" t="s">
        <v>124</v>
      </c>
      <c r="H1884" s="26" t="s">
        <v>29</v>
      </c>
      <c r="I1884" s="26" t="s">
        <v>30</v>
      </c>
      <c r="J1884" s="26" t="s">
        <v>44</v>
      </c>
      <c r="K1884" s="26" t="s">
        <v>267</v>
      </c>
      <c r="L1884" s="26" t="s">
        <v>44</v>
      </c>
      <c r="M1884" s="26">
        <v>42</v>
      </c>
      <c r="N1884" s="26">
        <v>4</v>
      </c>
      <c r="O1884" s="28">
        <v>9.5238000000000003E-2</v>
      </c>
      <c r="P1884" s="26">
        <v>0.2</v>
      </c>
      <c r="Q1884" s="26">
        <v>0.8</v>
      </c>
      <c r="R1884" s="26">
        <v>0</v>
      </c>
      <c r="S1884" s="26"/>
      <c r="T1884" s="26">
        <v>0</v>
      </c>
      <c r="U1884" s="26">
        <v>0</v>
      </c>
      <c r="V1884" s="26">
        <v>0</v>
      </c>
      <c r="W1884" s="28">
        <v>0</v>
      </c>
      <c r="X1884" s="26">
        <v>0</v>
      </c>
      <c r="Y1884" s="26">
        <v>0</v>
      </c>
      <c r="Z1884" s="26">
        <v>0</v>
      </c>
      <c r="AA1884" s="26">
        <v>0</v>
      </c>
    </row>
    <row r="1885" spans="1:27" x14ac:dyDescent="0.2">
      <c r="A1885">
        <f t="shared" si="60"/>
        <v>4</v>
      </c>
      <c r="B1885">
        <f t="shared" si="61"/>
        <v>16</v>
      </c>
      <c r="C1885" s="27">
        <v>46127</v>
      </c>
      <c r="D1885" s="27">
        <v>46127</v>
      </c>
      <c r="E1885" s="26" t="s">
        <v>26</v>
      </c>
      <c r="F1885" s="26" t="s">
        <v>39</v>
      </c>
      <c r="G1885" s="26" t="s">
        <v>40</v>
      </c>
      <c r="H1885" s="26" t="s">
        <v>29</v>
      </c>
      <c r="I1885" s="26" t="s">
        <v>30</v>
      </c>
      <c r="J1885" s="26" t="s">
        <v>78</v>
      </c>
      <c r="K1885" s="26" t="s">
        <v>42</v>
      </c>
      <c r="L1885" s="26" t="s">
        <v>44</v>
      </c>
      <c r="M1885" s="26">
        <v>8</v>
      </c>
      <c r="N1885" s="26">
        <v>1</v>
      </c>
      <c r="O1885" s="28">
        <v>0.125</v>
      </c>
      <c r="P1885" s="26">
        <v>0.56999999999999995</v>
      </c>
      <c r="Q1885" s="26">
        <v>0.56999999999999995</v>
      </c>
      <c r="R1885" s="26">
        <v>0</v>
      </c>
      <c r="S1885" s="26"/>
      <c r="T1885" s="26">
        <v>0</v>
      </c>
      <c r="U1885" s="26">
        <v>0</v>
      </c>
      <c r="V1885" s="26">
        <v>0</v>
      </c>
      <c r="W1885" s="28">
        <v>0</v>
      </c>
      <c r="X1885" s="26">
        <v>0</v>
      </c>
      <c r="Y1885" s="26">
        <v>0</v>
      </c>
      <c r="Z1885" s="26">
        <v>0</v>
      </c>
      <c r="AA1885" s="26">
        <v>0</v>
      </c>
    </row>
    <row r="1886" spans="1:27" x14ac:dyDescent="0.2">
      <c r="A1886">
        <f t="shared" si="60"/>
        <v>4</v>
      </c>
      <c r="B1886">
        <f t="shared" si="61"/>
        <v>16</v>
      </c>
      <c r="C1886" s="27">
        <v>46130</v>
      </c>
      <c r="D1886" s="27">
        <v>46130</v>
      </c>
      <c r="E1886" s="26" t="s">
        <v>26</v>
      </c>
      <c r="F1886" s="26" t="s">
        <v>27</v>
      </c>
      <c r="G1886" s="26" t="s">
        <v>28</v>
      </c>
      <c r="H1886" s="26" t="s">
        <v>29</v>
      </c>
      <c r="I1886" s="26" t="s">
        <v>30</v>
      </c>
      <c r="J1886" s="26" t="s">
        <v>44</v>
      </c>
      <c r="K1886" s="26" t="s">
        <v>32</v>
      </c>
      <c r="L1886" s="26" t="s">
        <v>44</v>
      </c>
      <c r="M1886" s="26">
        <v>4</v>
      </c>
      <c r="N1886" s="26">
        <v>1</v>
      </c>
      <c r="O1886" s="28">
        <v>0.25</v>
      </c>
      <c r="P1886" s="26">
        <v>0.2</v>
      </c>
      <c r="Q1886" s="26">
        <v>0.2</v>
      </c>
      <c r="R1886" s="26">
        <v>0</v>
      </c>
      <c r="S1886" s="26"/>
      <c r="T1886" s="26">
        <v>0</v>
      </c>
      <c r="U1886" s="26">
        <v>0</v>
      </c>
      <c r="V1886" s="26">
        <v>0</v>
      </c>
      <c r="W1886" s="28">
        <v>0</v>
      </c>
      <c r="X1886" s="26">
        <v>0</v>
      </c>
      <c r="Y1886" s="26">
        <v>0</v>
      </c>
      <c r="Z1886" s="26">
        <v>0</v>
      </c>
      <c r="AA1886" s="26">
        <v>0</v>
      </c>
    </row>
    <row r="1887" spans="1:27" x14ac:dyDescent="0.2">
      <c r="A1887">
        <f t="shared" si="60"/>
        <v>4</v>
      </c>
      <c r="B1887">
        <f t="shared" si="61"/>
        <v>15</v>
      </c>
      <c r="C1887" s="27">
        <v>46122</v>
      </c>
      <c r="D1887" s="27">
        <v>46122</v>
      </c>
      <c r="E1887" s="26" t="s">
        <v>26</v>
      </c>
      <c r="F1887" s="26" t="s">
        <v>27</v>
      </c>
      <c r="G1887" s="26" t="s">
        <v>28</v>
      </c>
      <c r="H1887" s="26" t="s">
        <v>29</v>
      </c>
      <c r="I1887" s="26" t="s">
        <v>30</v>
      </c>
      <c r="J1887" s="26" t="s">
        <v>305</v>
      </c>
      <c r="K1887" s="26" t="s">
        <v>32</v>
      </c>
      <c r="L1887" s="26" t="s">
        <v>44</v>
      </c>
      <c r="M1887" s="26">
        <v>1</v>
      </c>
      <c r="N1887" s="26">
        <v>1</v>
      </c>
      <c r="O1887" s="28">
        <v>1</v>
      </c>
      <c r="P1887" s="26">
        <v>0.2</v>
      </c>
      <c r="Q1887" s="26">
        <v>0.2</v>
      </c>
      <c r="R1887" s="26">
        <v>0</v>
      </c>
      <c r="S1887" s="26"/>
      <c r="T1887" s="26">
        <v>0</v>
      </c>
      <c r="U1887" s="26">
        <v>0</v>
      </c>
      <c r="V1887" s="26">
        <v>0</v>
      </c>
      <c r="W1887" s="28">
        <v>0</v>
      </c>
      <c r="X1887" s="26">
        <v>0</v>
      </c>
      <c r="Y1887" s="26">
        <v>0</v>
      </c>
      <c r="Z1887" s="26">
        <v>0</v>
      </c>
      <c r="AA1887" s="26">
        <v>0</v>
      </c>
    </row>
    <row r="1888" spans="1:27" x14ac:dyDescent="0.2">
      <c r="A1888">
        <f t="shared" si="60"/>
        <v>4</v>
      </c>
      <c r="B1888">
        <f t="shared" si="61"/>
        <v>15</v>
      </c>
      <c r="C1888" s="27">
        <v>46118</v>
      </c>
      <c r="D1888" s="27">
        <v>46118</v>
      </c>
      <c r="E1888" s="26" t="s">
        <v>26</v>
      </c>
      <c r="F1888" s="26" t="s">
        <v>27</v>
      </c>
      <c r="G1888" s="26" t="s">
        <v>124</v>
      </c>
      <c r="H1888" s="26" t="s">
        <v>29</v>
      </c>
      <c r="I1888" s="26" t="s">
        <v>30</v>
      </c>
      <c r="J1888" s="26" t="s">
        <v>44</v>
      </c>
      <c r="K1888" s="26" t="s">
        <v>87</v>
      </c>
      <c r="L1888" s="26" t="s">
        <v>1312</v>
      </c>
      <c r="M1888" s="26">
        <v>3</v>
      </c>
      <c r="N1888" s="26">
        <v>1</v>
      </c>
      <c r="O1888" s="28">
        <v>0.33333299999999999</v>
      </c>
      <c r="P1888" s="26">
        <v>0.08</v>
      </c>
      <c r="Q1888" s="26">
        <v>0.08</v>
      </c>
      <c r="R1888" s="26">
        <v>0</v>
      </c>
      <c r="S1888" s="26"/>
      <c r="T1888" s="26">
        <v>0</v>
      </c>
      <c r="U1888" s="26">
        <v>0</v>
      </c>
      <c r="V1888" s="26">
        <v>0</v>
      </c>
      <c r="W1888" s="28">
        <v>0</v>
      </c>
      <c r="X1888" s="26">
        <v>0</v>
      </c>
      <c r="Y1888" s="26">
        <v>0</v>
      </c>
      <c r="Z1888" s="26">
        <v>0</v>
      </c>
      <c r="AA1888" s="26">
        <v>0</v>
      </c>
    </row>
    <row r="1889" spans="1:27" x14ac:dyDescent="0.2">
      <c r="A1889">
        <f t="shared" si="60"/>
        <v>4</v>
      </c>
      <c r="B1889">
        <f t="shared" si="61"/>
        <v>16</v>
      </c>
      <c r="C1889" s="27">
        <v>46128</v>
      </c>
      <c r="D1889" s="27">
        <v>46128</v>
      </c>
      <c r="E1889" s="26" t="s">
        <v>26</v>
      </c>
      <c r="F1889" s="26" t="s">
        <v>27</v>
      </c>
      <c r="G1889" s="26" t="s">
        <v>28</v>
      </c>
      <c r="H1889" s="26" t="s">
        <v>29</v>
      </c>
      <c r="I1889" s="26" t="s">
        <v>30</v>
      </c>
      <c r="J1889" s="26" t="s">
        <v>50</v>
      </c>
      <c r="K1889" s="26" t="s">
        <v>32</v>
      </c>
      <c r="L1889" s="26" t="s">
        <v>263</v>
      </c>
      <c r="M1889" s="26">
        <v>1</v>
      </c>
      <c r="N1889" s="26">
        <v>1</v>
      </c>
      <c r="O1889" s="28">
        <v>1</v>
      </c>
      <c r="P1889" s="26">
        <v>0.21</v>
      </c>
      <c r="Q1889" s="26">
        <v>0.21</v>
      </c>
      <c r="R1889" s="26">
        <v>0</v>
      </c>
      <c r="S1889" s="26"/>
      <c r="T1889" s="26">
        <v>0</v>
      </c>
      <c r="U1889" s="26">
        <v>0</v>
      </c>
      <c r="V1889" s="26">
        <v>0</v>
      </c>
      <c r="W1889" s="28">
        <v>0</v>
      </c>
      <c r="X1889" s="26">
        <v>0</v>
      </c>
      <c r="Y1889" s="26">
        <v>0</v>
      </c>
      <c r="Z1889" s="26">
        <v>0</v>
      </c>
      <c r="AA1889" s="26">
        <v>0</v>
      </c>
    </row>
    <row r="1890" spans="1:27" x14ac:dyDescent="0.2">
      <c r="A1890">
        <f t="shared" si="60"/>
        <v>4</v>
      </c>
      <c r="B1890">
        <f t="shared" si="61"/>
        <v>15</v>
      </c>
      <c r="C1890" s="27">
        <v>46120</v>
      </c>
      <c r="D1890" s="27">
        <v>46120</v>
      </c>
      <c r="E1890" s="26" t="s">
        <v>26</v>
      </c>
      <c r="F1890" s="26" t="s">
        <v>27</v>
      </c>
      <c r="G1890" s="26" t="s">
        <v>28</v>
      </c>
      <c r="H1890" s="26" t="s">
        <v>29</v>
      </c>
      <c r="I1890" s="26" t="s">
        <v>30</v>
      </c>
      <c r="J1890" s="26" t="s">
        <v>50</v>
      </c>
      <c r="K1890" s="26" t="s">
        <v>32</v>
      </c>
      <c r="L1890" s="26" t="s">
        <v>814</v>
      </c>
      <c r="M1890" s="26">
        <v>1</v>
      </c>
      <c r="N1890" s="26">
        <v>1</v>
      </c>
      <c r="O1890" s="28">
        <v>1</v>
      </c>
      <c r="P1890" s="26">
        <v>0.21</v>
      </c>
      <c r="Q1890" s="26">
        <v>0.21</v>
      </c>
      <c r="R1890" s="26">
        <v>0</v>
      </c>
      <c r="S1890" s="26"/>
      <c r="T1890" s="26">
        <v>0</v>
      </c>
      <c r="U1890" s="26">
        <v>0</v>
      </c>
      <c r="V1890" s="26">
        <v>0</v>
      </c>
      <c r="W1890" s="28">
        <v>0</v>
      </c>
      <c r="X1890" s="26">
        <v>0</v>
      </c>
      <c r="Y1890" s="26">
        <v>0</v>
      </c>
      <c r="Z1890" s="26">
        <v>0</v>
      </c>
      <c r="AA1890" s="26">
        <v>0</v>
      </c>
    </row>
    <row r="1891" spans="1:27" x14ac:dyDescent="0.2">
      <c r="A1891">
        <f t="shared" si="60"/>
        <v>4</v>
      </c>
      <c r="B1891">
        <f t="shared" si="61"/>
        <v>18</v>
      </c>
      <c r="C1891" s="27">
        <v>46140</v>
      </c>
      <c r="D1891" s="27">
        <v>46140</v>
      </c>
      <c r="E1891" s="26" t="s">
        <v>26</v>
      </c>
      <c r="F1891" s="26" t="s">
        <v>27</v>
      </c>
      <c r="G1891" s="26" t="s">
        <v>28</v>
      </c>
      <c r="H1891" s="26" t="s">
        <v>29</v>
      </c>
      <c r="I1891" s="26" t="s">
        <v>30</v>
      </c>
      <c r="J1891" s="26" t="s">
        <v>101</v>
      </c>
      <c r="K1891" s="26" t="s">
        <v>32</v>
      </c>
      <c r="L1891" s="26" t="s">
        <v>814</v>
      </c>
      <c r="M1891" s="26">
        <v>2</v>
      </c>
      <c r="N1891" s="26">
        <v>1</v>
      </c>
      <c r="O1891" s="28">
        <v>0.5</v>
      </c>
      <c r="P1891" s="26">
        <v>0.08</v>
      </c>
      <c r="Q1891" s="26">
        <v>0.08</v>
      </c>
      <c r="R1891" s="26">
        <v>0</v>
      </c>
      <c r="S1891" s="26"/>
      <c r="T1891" s="26">
        <v>0</v>
      </c>
      <c r="U1891" s="26">
        <v>0</v>
      </c>
      <c r="V1891" s="26">
        <v>0</v>
      </c>
      <c r="W1891" s="28">
        <v>0</v>
      </c>
      <c r="X1891" s="26">
        <v>0</v>
      </c>
      <c r="Y1891" s="26">
        <v>0</v>
      </c>
      <c r="Z1891" s="26">
        <v>0</v>
      </c>
      <c r="AA1891" s="26">
        <v>0</v>
      </c>
    </row>
    <row r="1892" spans="1:27" x14ac:dyDescent="0.2">
      <c r="A1892">
        <f t="shared" si="60"/>
        <v>4</v>
      </c>
      <c r="B1892">
        <f t="shared" si="61"/>
        <v>16</v>
      </c>
      <c r="C1892" s="27">
        <v>46127</v>
      </c>
      <c r="D1892" s="27">
        <v>46127</v>
      </c>
      <c r="E1892" s="26" t="s">
        <v>26</v>
      </c>
      <c r="F1892" s="26" t="s">
        <v>49</v>
      </c>
      <c r="G1892" s="26" t="s">
        <v>50</v>
      </c>
      <c r="H1892" s="26" t="s">
        <v>29</v>
      </c>
      <c r="I1892" s="26" t="s">
        <v>30</v>
      </c>
      <c r="J1892" s="26" t="s">
        <v>95</v>
      </c>
      <c r="K1892" s="26" t="s">
        <v>42</v>
      </c>
      <c r="L1892" s="26" t="s">
        <v>1313</v>
      </c>
      <c r="M1892" s="26">
        <v>1</v>
      </c>
      <c r="N1892" s="26">
        <v>1</v>
      </c>
      <c r="O1892" s="28">
        <v>1</v>
      </c>
      <c r="P1892" s="26">
        <v>0.53</v>
      </c>
      <c r="Q1892" s="26">
        <v>0.53</v>
      </c>
      <c r="R1892" s="26">
        <v>0</v>
      </c>
      <c r="S1892" s="26"/>
      <c r="T1892" s="26">
        <v>0</v>
      </c>
      <c r="U1892" s="26">
        <v>0</v>
      </c>
      <c r="V1892" s="26">
        <v>0</v>
      </c>
      <c r="W1892" s="28">
        <v>0</v>
      </c>
      <c r="X1892" s="26">
        <v>0</v>
      </c>
      <c r="Y1892" s="26">
        <v>0</v>
      </c>
      <c r="Z1892" s="26">
        <v>0</v>
      </c>
      <c r="AA1892" s="26">
        <v>0</v>
      </c>
    </row>
    <row r="1893" spans="1:27" x14ac:dyDescent="0.2">
      <c r="A1893">
        <f t="shared" si="60"/>
        <v>4</v>
      </c>
      <c r="B1893">
        <f t="shared" si="61"/>
        <v>18</v>
      </c>
      <c r="C1893" s="27">
        <v>46142</v>
      </c>
      <c r="D1893" s="27">
        <v>46142</v>
      </c>
      <c r="E1893" s="26" t="s">
        <v>26</v>
      </c>
      <c r="F1893" s="26" t="s">
        <v>27</v>
      </c>
      <c r="G1893" s="26" t="s">
        <v>28</v>
      </c>
      <c r="H1893" s="26" t="s">
        <v>29</v>
      </c>
      <c r="I1893" s="26" t="s">
        <v>30</v>
      </c>
      <c r="J1893" s="26" t="s">
        <v>44</v>
      </c>
      <c r="K1893" s="26" t="s">
        <v>32</v>
      </c>
      <c r="L1893" s="26" t="s">
        <v>941</v>
      </c>
      <c r="M1893" s="26">
        <v>3</v>
      </c>
      <c r="N1893" s="26">
        <v>1</v>
      </c>
      <c r="O1893" s="28">
        <v>0.33333299999999999</v>
      </c>
      <c r="P1893" s="26">
        <v>0.21</v>
      </c>
      <c r="Q1893" s="26">
        <v>0.21</v>
      </c>
      <c r="R1893" s="26">
        <v>0</v>
      </c>
      <c r="S1893" s="26"/>
      <c r="T1893" s="26">
        <v>0</v>
      </c>
      <c r="U1893" s="26">
        <v>0</v>
      </c>
      <c r="V1893" s="26">
        <v>0</v>
      </c>
      <c r="W1893" s="28">
        <v>0</v>
      </c>
      <c r="X1893" s="26">
        <v>0</v>
      </c>
      <c r="Y1893" s="26">
        <v>0</v>
      </c>
      <c r="Z1893" s="26">
        <v>0</v>
      </c>
      <c r="AA1893" s="26">
        <v>0</v>
      </c>
    </row>
    <row r="1894" spans="1:27" x14ac:dyDescent="0.2">
      <c r="A1894">
        <f t="shared" si="60"/>
        <v>4</v>
      </c>
      <c r="B1894">
        <f t="shared" si="61"/>
        <v>17</v>
      </c>
      <c r="C1894" s="27">
        <v>46133</v>
      </c>
      <c r="D1894" s="27">
        <v>46133</v>
      </c>
      <c r="E1894" s="26" t="s">
        <v>26</v>
      </c>
      <c r="F1894" s="26" t="s">
        <v>39</v>
      </c>
      <c r="G1894" s="26" t="s">
        <v>40</v>
      </c>
      <c r="H1894" s="26" t="s">
        <v>29</v>
      </c>
      <c r="I1894" s="26" t="s">
        <v>30</v>
      </c>
      <c r="J1894" s="26" t="s">
        <v>70</v>
      </c>
      <c r="K1894" s="26" t="s">
        <v>42</v>
      </c>
      <c r="L1894" s="26" t="s">
        <v>1314</v>
      </c>
      <c r="M1894" s="26">
        <v>1</v>
      </c>
      <c r="N1894" s="26">
        <v>1</v>
      </c>
      <c r="O1894" s="28">
        <v>1</v>
      </c>
      <c r="P1894" s="26">
        <v>0.42</v>
      </c>
      <c r="Q1894" s="26">
        <v>0.42</v>
      </c>
      <c r="R1894" s="26">
        <v>0</v>
      </c>
      <c r="S1894" s="26"/>
      <c r="T1894" s="26">
        <v>0</v>
      </c>
      <c r="U1894" s="26">
        <v>0</v>
      </c>
      <c r="V1894" s="26">
        <v>0</v>
      </c>
      <c r="W1894" s="28">
        <v>0</v>
      </c>
      <c r="X1894" s="26">
        <v>0</v>
      </c>
      <c r="Y1894" s="26">
        <v>0</v>
      </c>
      <c r="Z1894" s="26">
        <v>0</v>
      </c>
      <c r="AA1894" s="26">
        <v>0</v>
      </c>
    </row>
    <row r="1895" spans="1:27" x14ac:dyDescent="0.2">
      <c r="A1895">
        <f t="shared" si="60"/>
        <v>4</v>
      </c>
      <c r="B1895">
        <f t="shared" si="61"/>
        <v>18</v>
      </c>
      <c r="C1895" s="27">
        <v>46138</v>
      </c>
      <c r="D1895" s="27">
        <v>46138</v>
      </c>
      <c r="E1895" s="26" t="s">
        <v>26</v>
      </c>
      <c r="F1895" s="26" t="s">
        <v>27</v>
      </c>
      <c r="G1895" s="26" t="s">
        <v>28</v>
      </c>
      <c r="H1895" s="26" t="s">
        <v>29</v>
      </c>
      <c r="I1895" s="26" t="s">
        <v>30</v>
      </c>
      <c r="J1895" s="26" t="s">
        <v>253</v>
      </c>
      <c r="K1895" s="26" t="s">
        <v>32</v>
      </c>
      <c r="L1895" s="26" t="s">
        <v>1315</v>
      </c>
      <c r="M1895" s="26">
        <v>1</v>
      </c>
      <c r="N1895" s="26">
        <v>1</v>
      </c>
      <c r="O1895" s="28">
        <v>1</v>
      </c>
      <c r="P1895" s="26">
        <v>0.21</v>
      </c>
      <c r="Q1895" s="26">
        <v>0.21</v>
      </c>
      <c r="R1895" s="26">
        <v>0</v>
      </c>
      <c r="S1895" s="26"/>
      <c r="T1895" s="26">
        <v>0</v>
      </c>
      <c r="U1895" s="26">
        <v>0</v>
      </c>
      <c r="V1895" s="26">
        <v>0</v>
      </c>
      <c r="W1895" s="28">
        <v>0</v>
      </c>
      <c r="X1895" s="26">
        <v>0</v>
      </c>
      <c r="Y1895" s="26">
        <v>0</v>
      </c>
      <c r="Z1895" s="26">
        <v>0</v>
      </c>
      <c r="AA1895" s="26">
        <v>0</v>
      </c>
    </row>
    <row r="1896" spans="1:27" x14ac:dyDescent="0.2">
      <c r="A1896">
        <f t="shared" si="60"/>
        <v>4</v>
      </c>
      <c r="B1896">
        <f t="shared" si="61"/>
        <v>17</v>
      </c>
      <c r="C1896" s="27">
        <v>46133</v>
      </c>
      <c r="D1896" s="27">
        <v>46133</v>
      </c>
      <c r="E1896" s="26" t="s">
        <v>26</v>
      </c>
      <c r="F1896" s="26" t="s">
        <v>49</v>
      </c>
      <c r="G1896" s="26" t="s">
        <v>50</v>
      </c>
      <c r="H1896" s="26" t="s">
        <v>29</v>
      </c>
      <c r="I1896" s="26" t="s">
        <v>30</v>
      </c>
      <c r="J1896" s="26" t="s">
        <v>95</v>
      </c>
      <c r="K1896" s="26" t="s">
        <v>42</v>
      </c>
      <c r="L1896" s="26" t="s">
        <v>1316</v>
      </c>
      <c r="M1896" s="26">
        <v>1</v>
      </c>
      <c r="N1896" s="26">
        <v>1</v>
      </c>
      <c r="O1896" s="28">
        <v>1</v>
      </c>
      <c r="P1896" s="26">
        <v>0.52</v>
      </c>
      <c r="Q1896" s="26">
        <v>0.52</v>
      </c>
      <c r="R1896" s="26">
        <v>0</v>
      </c>
      <c r="S1896" s="26"/>
      <c r="T1896" s="26">
        <v>0</v>
      </c>
      <c r="U1896" s="26">
        <v>0</v>
      </c>
      <c r="V1896" s="26">
        <v>0</v>
      </c>
      <c r="W1896" s="28">
        <v>0</v>
      </c>
      <c r="X1896" s="26">
        <v>0</v>
      </c>
      <c r="Y1896" s="26">
        <v>0</v>
      </c>
      <c r="Z1896" s="26">
        <v>0</v>
      </c>
      <c r="AA1896" s="26">
        <v>0</v>
      </c>
    </row>
    <row r="1897" spans="1:27" x14ac:dyDescent="0.2">
      <c r="A1897">
        <f t="shared" si="60"/>
        <v>4</v>
      </c>
      <c r="B1897">
        <f t="shared" si="61"/>
        <v>17</v>
      </c>
      <c r="C1897" s="27">
        <v>46137</v>
      </c>
      <c r="D1897" s="27">
        <v>46137</v>
      </c>
      <c r="E1897" s="26" t="s">
        <v>26</v>
      </c>
      <c r="F1897" s="26" t="s">
        <v>27</v>
      </c>
      <c r="G1897" s="26" t="s">
        <v>28</v>
      </c>
      <c r="H1897" s="26" t="s">
        <v>29</v>
      </c>
      <c r="I1897" s="26" t="s">
        <v>30</v>
      </c>
      <c r="J1897" s="26" t="s">
        <v>44</v>
      </c>
      <c r="K1897" s="26" t="s">
        <v>32</v>
      </c>
      <c r="L1897" s="26" t="s">
        <v>1317</v>
      </c>
      <c r="M1897" s="26">
        <v>1</v>
      </c>
      <c r="N1897" s="26">
        <v>1</v>
      </c>
      <c r="O1897" s="28">
        <v>1</v>
      </c>
      <c r="P1897" s="26">
        <v>0.4</v>
      </c>
      <c r="Q1897" s="26">
        <v>0.4</v>
      </c>
      <c r="R1897" s="26">
        <v>0</v>
      </c>
      <c r="S1897" s="26"/>
      <c r="T1897" s="26">
        <v>0</v>
      </c>
      <c r="U1897" s="26">
        <v>0</v>
      </c>
      <c r="V1897" s="26">
        <v>0</v>
      </c>
      <c r="W1897" s="28">
        <v>0</v>
      </c>
      <c r="X1897" s="26">
        <v>0</v>
      </c>
      <c r="Y1897" s="26">
        <v>0</v>
      </c>
      <c r="Z1897" s="26">
        <v>0</v>
      </c>
      <c r="AA1897" s="26">
        <v>0</v>
      </c>
    </row>
    <row r="1898" spans="1:27" x14ac:dyDescent="0.2">
      <c r="A1898">
        <f t="shared" si="60"/>
        <v>4</v>
      </c>
      <c r="B1898">
        <f t="shared" si="61"/>
        <v>14</v>
      </c>
      <c r="C1898" s="27">
        <v>46116</v>
      </c>
      <c r="D1898" s="27">
        <v>46128</v>
      </c>
      <c r="E1898" s="26" t="s">
        <v>26</v>
      </c>
      <c r="F1898" s="26" t="s">
        <v>27</v>
      </c>
      <c r="G1898" s="26" t="s">
        <v>124</v>
      </c>
      <c r="H1898" s="26" t="s">
        <v>29</v>
      </c>
      <c r="I1898" s="26" t="s">
        <v>30</v>
      </c>
      <c r="J1898" s="26" t="s">
        <v>119</v>
      </c>
      <c r="K1898" s="26" t="s">
        <v>267</v>
      </c>
      <c r="L1898" s="26" t="s">
        <v>119</v>
      </c>
      <c r="M1898" s="26">
        <v>26</v>
      </c>
      <c r="N1898" s="26">
        <v>4</v>
      </c>
      <c r="O1898" s="28">
        <v>0.15384600000000001</v>
      </c>
      <c r="P1898" s="26">
        <v>0.26</v>
      </c>
      <c r="Q1898" s="26">
        <v>1.03</v>
      </c>
      <c r="R1898" s="26">
        <v>18.989999999999998</v>
      </c>
      <c r="S1898" s="28">
        <v>5.4239000000000002E-2</v>
      </c>
      <c r="T1898" s="26">
        <v>18.440000000000001</v>
      </c>
      <c r="U1898" s="26">
        <v>1</v>
      </c>
      <c r="V1898" s="26">
        <v>1</v>
      </c>
      <c r="W1898" s="28">
        <v>0.25</v>
      </c>
      <c r="X1898" s="26">
        <v>1</v>
      </c>
      <c r="Y1898" s="26">
        <v>0</v>
      </c>
      <c r="Z1898" s="26">
        <v>18.989999999999998</v>
      </c>
      <c r="AA1898" s="26">
        <v>0</v>
      </c>
    </row>
    <row r="1899" spans="1:27" x14ac:dyDescent="0.2">
      <c r="A1899">
        <f t="shared" si="60"/>
        <v>4</v>
      </c>
      <c r="B1899">
        <f t="shared" si="61"/>
        <v>14</v>
      </c>
      <c r="C1899" s="27">
        <v>46114</v>
      </c>
      <c r="D1899" s="27">
        <v>46114</v>
      </c>
      <c r="E1899" s="26" t="s">
        <v>26</v>
      </c>
      <c r="F1899" s="26" t="s">
        <v>27</v>
      </c>
      <c r="G1899" s="26" t="s">
        <v>28</v>
      </c>
      <c r="H1899" s="26" t="s">
        <v>29</v>
      </c>
      <c r="I1899" s="26" t="s">
        <v>30</v>
      </c>
      <c r="J1899" s="26" t="s">
        <v>243</v>
      </c>
      <c r="K1899" s="26" t="s">
        <v>32</v>
      </c>
      <c r="L1899" s="26" t="s">
        <v>1318</v>
      </c>
      <c r="M1899" s="26">
        <v>3</v>
      </c>
      <c r="N1899" s="26">
        <v>1</v>
      </c>
      <c r="O1899" s="28">
        <v>0.33333299999999999</v>
      </c>
      <c r="P1899" s="26">
        <v>0.4</v>
      </c>
      <c r="Q1899" s="26">
        <v>0.4</v>
      </c>
      <c r="R1899" s="26">
        <v>0</v>
      </c>
      <c r="S1899" s="26"/>
      <c r="T1899" s="26">
        <v>0</v>
      </c>
      <c r="U1899" s="26">
        <v>0</v>
      </c>
      <c r="V1899" s="26">
        <v>0</v>
      </c>
      <c r="W1899" s="28">
        <v>0</v>
      </c>
      <c r="X1899" s="26">
        <v>0</v>
      </c>
      <c r="Y1899" s="26">
        <v>0</v>
      </c>
      <c r="Z1899" s="26">
        <v>0</v>
      </c>
      <c r="AA1899" s="26">
        <v>0</v>
      </c>
    </row>
    <row r="1900" spans="1:27" x14ac:dyDescent="0.2">
      <c r="A1900">
        <f t="shared" si="60"/>
        <v>4</v>
      </c>
      <c r="B1900">
        <f t="shared" si="61"/>
        <v>18</v>
      </c>
      <c r="C1900" s="27">
        <v>46141</v>
      </c>
      <c r="D1900" s="27">
        <v>46141</v>
      </c>
      <c r="E1900" s="26" t="s">
        <v>26</v>
      </c>
      <c r="F1900" s="26" t="s">
        <v>27</v>
      </c>
      <c r="G1900" s="26" t="s">
        <v>28</v>
      </c>
      <c r="H1900" s="26" t="s">
        <v>29</v>
      </c>
      <c r="I1900" s="26" t="s">
        <v>30</v>
      </c>
      <c r="J1900" s="26" t="s">
        <v>253</v>
      </c>
      <c r="K1900" s="26" t="s">
        <v>32</v>
      </c>
      <c r="L1900" s="26" t="s">
        <v>1319</v>
      </c>
      <c r="M1900" s="26">
        <v>1</v>
      </c>
      <c r="N1900" s="26">
        <v>1</v>
      </c>
      <c r="O1900" s="28">
        <v>1</v>
      </c>
      <c r="P1900" s="26">
        <v>0.21</v>
      </c>
      <c r="Q1900" s="26">
        <v>0.21</v>
      </c>
      <c r="R1900" s="26">
        <v>0</v>
      </c>
      <c r="S1900" s="26"/>
      <c r="T1900" s="26">
        <v>0</v>
      </c>
      <c r="U1900" s="26">
        <v>0</v>
      </c>
      <c r="V1900" s="26">
        <v>0</v>
      </c>
      <c r="W1900" s="28">
        <v>0</v>
      </c>
      <c r="X1900" s="26">
        <v>0</v>
      </c>
      <c r="Y1900" s="26">
        <v>0</v>
      </c>
      <c r="Z1900" s="26">
        <v>0</v>
      </c>
      <c r="AA1900" s="26">
        <v>0</v>
      </c>
    </row>
    <row r="1901" spans="1:27" x14ac:dyDescent="0.2">
      <c r="A1901">
        <f t="shared" si="60"/>
        <v>4</v>
      </c>
      <c r="B1901">
        <f t="shared" si="61"/>
        <v>14</v>
      </c>
      <c r="C1901" s="27">
        <v>46114</v>
      </c>
      <c r="D1901" s="27">
        <v>46114</v>
      </c>
      <c r="E1901" s="26" t="s">
        <v>26</v>
      </c>
      <c r="F1901" s="26" t="s">
        <v>27</v>
      </c>
      <c r="G1901" s="26" t="s">
        <v>28</v>
      </c>
      <c r="H1901" s="26" t="s">
        <v>29</v>
      </c>
      <c r="I1901" s="26" t="s">
        <v>30</v>
      </c>
      <c r="J1901" s="26" t="s">
        <v>243</v>
      </c>
      <c r="K1901" s="26" t="s">
        <v>32</v>
      </c>
      <c r="L1901" s="26" t="s">
        <v>1320</v>
      </c>
      <c r="M1901" s="26">
        <v>1</v>
      </c>
      <c r="N1901" s="26">
        <v>1</v>
      </c>
      <c r="O1901" s="28">
        <v>1</v>
      </c>
      <c r="P1901" s="26">
        <v>0.2</v>
      </c>
      <c r="Q1901" s="26">
        <v>0.2</v>
      </c>
      <c r="R1901" s="26">
        <v>0</v>
      </c>
      <c r="S1901" s="26"/>
      <c r="T1901" s="26">
        <v>0</v>
      </c>
      <c r="U1901" s="26">
        <v>0</v>
      </c>
      <c r="V1901" s="26">
        <v>0</v>
      </c>
      <c r="W1901" s="28">
        <v>0</v>
      </c>
      <c r="X1901" s="26">
        <v>0</v>
      </c>
      <c r="Y1901" s="26">
        <v>0</v>
      </c>
      <c r="Z1901" s="26">
        <v>0</v>
      </c>
      <c r="AA1901" s="26">
        <v>0</v>
      </c>
    </row>
    <row r="1902" spans="1:27" x14ac:dyDescent="0.2">
      <c r="A1902">
        <f t="shared" si="60"/>
        <v>4</v>
      </c>
      <c r="B1902">
        <f t="shared" si="61"/>
        <v>16</v>
      </c>
      <c r="C1902" s="27">
        <v>46128</v>
      </c>
      <c r="D1902" s="27">
        <v>46128</v>
      </c>
      <c r="E1902" s="26" t="s">
        <v>26</v>
      </c>
      <c r="F1902" s="26" t="s">
        <v>49</v>
      </c>
      <c r="G1902" s="26" t="s">
        <v>50</v>
      </c>
      <c r="H1902" s="26" t="s">
        <v>29</v>
      </c>
      <c r="I1902" s="26" t="s">
        <v>30</v>
      </c>
      <c r="J1902" s="26" t="s">
        <v>95</v>
      </c>
      <c r="K1902" s="26" t="s">
        <v>42</v>
      </c>
      <c r="L1902" s="26" t="s">
        <v>1321</v>
      </c>
      <c r="M1902" s="26">
        <v>2</v>
      </c>
      <c r="N1902" s="26">
        <v>1</v>
      </c>
      <c r="O1902" s="28">
        <v>0.5</v>
      </c>
      <c r="P1902" s="26">
        <v>0.53</v>
      </c>
      <c r="Q1902" s="26">
        <v>0.53</v>
      </c>
      <c r="R1902" s="26">
        <v>0</v>
      </c>
      <c r="S1902" s="26"/>
      <c r="T1902" s="26">
        <v>0</v>
      </c>
      <c r="U1902" s="26">
        <v>0</v>
      </c>
      <c r="V1902" s="26">
        <v>0</v>
      </c>
      <c r="W1902" s="28">
        <v>0</v>
      </c>
      <c r="X1902" s="26">
        <v>0</v>
      </c>
      <c r="Y1902" s="26">
        <v>0</v>
      </c>
      <c r="Z1902" s="26">
        <v>0</v>
      </c>
      <c r="AA1902" s="26">
        <v>0</v>
      </c>
    </row>
    <row r="1903" spans="1:27" x14ac:dyDescent="0.2">
      <c r="A1903">
        <f t="shared" si="60"/>
        <v>4</v>
      </c>
      <c r="B1903">
        <f t="shared" si="61"/>
        <v>18</v>
      </c>
      <c r="C1903" s="27">
        <v>46139</v>
      </c>
      <c r="D1903" s="27">
        <v>46139</v>
      </c>
      <c r="E1903" s="26" t="s">
        <v>26</v>
      </c>
      <c r="F1903" s="26" t="s">
        <v>27</v>
      </c>
      <c r="G1903" s="26" t="s">
        <v>28</v>
      </c>
      <c r="H1903" s="26" t="s">
        <v>29</v>
      </c>
      <c r="I1903" s="26" t="s">
        <v>30</v>
      </c>
      <c r="J1903" s="26" t="s">
        <v>156</v>
      </c>
      <c r="K1903" s="26" t="s">
        <v>32</v>
      </c>
      <c r="L1903" s="26" t="s">
        <v>372</v>
      </c>
      <c r="M1903" s="26">
        <v>2</v>
      </c>
      <c r="N1903" s="26">
        <v>1</v>
      </c>
      <c r="O1903" s="28">
        <v>0.5</v>
      </c>
      <c r="P1903" s="26">
        <v>0.21</v>
      </c>
      <c r="Q1903" s="26">
        <v>0.21</v>
      </c>
      <c r="R1903" s="26">
        <v>0</v>
      </c>
      <c r="S1903" s="26"/>
      <c r="T1903" s="26">
        <v>0</v>
      </c>
      <c r="U1903" s="26">
        <v>0</v>
      </c>
      <c r="V1903" s="26">
        <v>0</v>
      </c>
      <c r="W1903" s="28">
        <v>0</v>
      </c>
      <c r="X1903" s="26">
        <v>0</v>
      </c>
      <c r="Y1903" s="26">
        <v>0</v>
      </c>
      <c r="Z1903" s="26">
        <v>0</v>
      </c>
      <c r="AA1903" s="26">
        <v>0</v>
      </c>
    </row>
    <row r="1904" spans="1:27" x14ac:dyDescent="0.2">
      <c r="A1904">
        <f t="shared" si="60"/>
        <v>4</v>
      </c>
      <c r="B1904">
        <f t="shared" si="61"/>
        <v>15</v>
      </c>
      <c r="C1904" s="27">
        <v>46120</v>
      </c>
      <c r="D1904" s="27">
        <v>46120</v>
      </c>
      <c r="E1904" s="26" t="s">
        <v>26</v>
      </c>
      <c r="F1904" s="26" t="s">
        <v>27</v>
      </c>
      <c r="G1904" s="26" t="s">
        <v>28</v>
      </c>
      <c r="H1904" s="26" t="s">
        <v>29</v>
      </c>
      <c r="I1904" s="26" t="s">
        <v>30</v>
      </c>
      <c r="J1904" s="26" t="s">
        <v>31</v>
      </c>
      <c r="K1904" s="26" t="s">
        <v>32</v>
      </c>
      <c r="L1904" s="26" t="s">
        <v>1322</v>
      </c>
      <c r="M1904" s="26">
        <v>6</v>
      </c>
      <c r="N1904" s="26">
        <v>1</v>
      </c>
      <c r="O1904" s="28">
        <v>0.16666700000000001</v>
      </c>
      <c r="P1904" s="26">
        <v>0.21</v>
      </c>
      <c r="Q1904" s="26">
        <v>0.21</v>
      </c>
      <c r="R1904" s="26">
        <v>0</v>
      </c>
      <c r="S1904" s="26"/>
      <c r="T1904" s="26">
        <v>0</v>
      </c>
      <c r="U1904" s="26">
        <v>0</v>
      </c>
      <c r="V1904" s="26">
        <v>0</v>
      </c>
      <c r="W1904" s="28">
        <v>0</v>
      </c>
      <c r="X1904" s="26">
        <v>0</v>
      </c>
      <c r="Y1904" s="26">
        <v>0</v>
      </c>
      <c r="Z1904" s="26">
        <v>0</v>
      </c>
      <c r="AA1904" s="26">
        <v>0</v>
      </c>
    </row>
    <row r="1905" spans="1:27" x14ac:dyDescent="0.2">
      <c r="A1905">
        <f t="shared" si="60"/>
        <v>4</v>
      </c>
      <c r="B1905">
        <f t="shared" si="61"/>
        <v>16</v>
      </c>
      <c r="C1905" s="27">
        <v>46124</v>
      </c>
      <c r="D1905" s="27">
        <v>46124</v>
      </c>
      <c r="E1905" s="26" t="s">
        <v>26</v>
      </c>
      <c r="F1905" s="26" t="s">
        <v>27</v>
      </c>
      <c r="G1905" s="26" t="s">
        <v>28</v>
      </c>
      <c r="H1905" s="26" t="s">
        <v>29</v>
      </c>
      <c r="I1905" s="26" t="s">
        <v>30</v>
      </c>
      <c r="J1905" s="26" t="s">
        <v>50</v>
      </c>
      <c r="K1905" s="26" t="s">
        <v>32</v>
      </c>
      <c r="L1905" s="26" t="s">
        <v>1323</v>
      </c>
      <c r="M1905" s="26">
        <v>1</v>
      </c>
      <c r="N1905" s="26">
        <v>1</v>
      </c>
      <c r="O1905" s="28">
        <v>1</v>
      </c>
      <c r="P1905" s="26">
        <v>0.21</v>
      </c>
      <c r="Q1905" s="26">
        <v>0.21</v>
      </c>
      <c r="R1905" s="26">
        <v>0</v>
      </c>
      <c r="S1905" s="26"/>
      <c r="T1905" s="26">
        <v>0</v>
      </c>
      <c r="U1905" s="26">
        <v>0</v>
      </c>
      <c r="V1905" s="26">
        <v>0</v>
      </c>
      <c r="W1905" s="28">
        <v>0</v>
      </c>
      <c r="X1905" s="26">
        <v>0</v>
      </c>
      <c r="Y1905" s="26">
        <v>0</v>
      </c>
      <c r="Z1905" s="26">
        <v>0</v>
      </c>
      <c r="AA1905" s="26">
        <v>0</v>
      </c>
    </row>
    <row r="1906" spans="1:27" x14ac:dyDescent="0.2">
      <c r="A1906">
        <f t="shared" si="60"/>
        <v>4</v>
      </c>
      <c r="B1906">
        <f t="shared" si="61"/>
        <v>14</v>
      </c>
      <c r="C1906" s="27">
        <v>46116</v>
      </c>
      <c r="D1906" s="27">
        <v>46116</v>
      </c>
      <c r="E1906" s="26" t="s">
        <v>26</v>
      </c>
      <c r="F1906" s="26" t="s">
        <v>27</v>
      </c>
      <c r="G1906" s="26" t="s">
        <v>28</v>
      </c>
      <c r="H1906" s="26" t="s">
        <v>29</v>
      </c>
      <c r="I1906" s="26" t="s">
        <v>30</v>
      </c>
      <c r="J1906" s="26" t="s">
        <v>31</v>
      </c>
      <c r="K1906" s="26" t="s">
        <v>32</v>
      </c>
      <c r="L1906" s="26" t="s">
        <v>1324</v>
      </c>
      <c r="M1906" s="26">
        <v>1</v>
      </c>
      <c r="N1906" s="26">
        <v>1</v>
      </c>
      <c r="O1906" s="28">
        <v>1</v>
      </c>
      <c r="P1906" s="26">
        <v>0.21</v>
      </c>
      <c r="Q1906" s="26">
        <v>0.21</v>
      </c>
      <c r="R1906" s="26">
        <v>18.989999999999998</v>
      </c>
      <c r="S1906" s="28">
        <v>1.1058E-2</v>
      </c>
      <c r="T1906" s="26">
        <v>90.43</v>
      </c>
      <c r="U1906" s="26">
        <v>1</v>
      </c>
      <c r="V1906" s="26">
        <v>1</v>
      </c>
      <c r="W1906" s="28">
        <v>1</v>
      </c>
      <c r="X1906" s="26">
        <v>1</v>
      </c>
      <c r="Y1906" s="26">
        <v>0</v>
      </c>
      <c r="Z1906" s="26">
        <v>18.989999999999998</v>
      </c>
      <c r="AA1906" s="26">
        <v>0</v>
      </c>
    </row>
    <row r="1907" spans="1:27" x14ac:dyDescent="0.2">
      <c r="A1907">
        <f t="shared" si="60"/>
        <v>4</v>
      </c>
      <c r="B1907">
        <f t="shared" si="61"/>
        <v>18</v>
      </c>
      <c r="C1907" s="27">
        <v>46140</v>
      </c>
      <c r="D1907" s="27">
        <v>46140</v>
      </c>
      <c r="E1907" s="26" t="s">
        <v>26</v>
      </c>
      <c r="F1907" s="26" t="s">
        <v>39</v>
      </c>
      <c r="G1907" s="26" t="s">
        <v>40</v>
      </c>
      <c r="H1907" s="26" t="s">
        <v>29</v>
      </c>
      <c r="I1907" s="26" t="s">
        <v>30</v>
      </c>
      <c r="J1907" s="26" t="s">
        <v>1134</v>
      </c>
      <c r="K1907" s="26" t="s">
        <v>42</v>
      </c>
      <c r="L1907" s="26" t="s">
        <v>542</v>
      </c>
      <c r="M1907" s="26">
        <v>2</v>
      </c>
      <c r="N1907" s="26">
        <v>1</v>
      </c>
      <c r="O1907" s="28">
        <v>0.5</v>
      </c>
      <c r="P1907" s="26">
        <v>0.64</v>
      </c>
      <c r="Q1907" s="26">
        <v>0.64</v>
      </c>
      <c r="R1907" s="26">
        <v>0</v>
      </c>
      <c r="S1907" s="26"/>
      <c r="T1907" s="26">
        <v>0</v>
      </c>
      <c r="U1907" s="26">
        <v>0</v>
      </c>
      <c r="V1907" s="26">
        <v>0</v>
      </c>
      <c r="W1907" s="28">
        <v>0</v>
      </c>
      <c r="X1907" s="26">
        <v>0</v>
      </c>
      <c r="Y1907" s="26">
        <v>0</v>
      </c>
      <c r="Z1907" s="26">
        <v>0</v>
      </c>
      <c r="AA1907" s="26">
        <v>0</v>
      </c>
    </row>
    <row r="1908" spans="1:27" x14ac:dyDescent="0.2">
      <c r="A1908">
        <f t="shared" si="60"/>
        <v>4</v>
      </c>
      <c r="B1908">
        <f t="shared" si="61"/>
        <v>17</v>
      </c>
      <c r="C1908" s="27">
        <v>46137</v>
      </c>
      <c r="D1908" s="27">
        <v>46137</v>
      </c>
      <c r="E1908" s="26" t="s">
        <v>26</v>
      </c>
      <c r="F1908" s="26" t="s">
        <v>27</v>
      </c>
      <c r="G1908" s="26" t="s">
        <v>28</v>
      </c>
      <c r="H1908" s="26" t="s">
        <v>29</v>
      </c>
      <c r="I1908" s="26" t="s">
        <v>30</v>
      </c>
      <c r="J1908" s="26" t="s">
        <v>50</v>
      </c>
      <c r="K1908" s="26" t="s">
        <v>32</v>
      </c>
      <c r="L1908" s="26" t="s">
        <v>1325</v>
      </c>
      <c r="M1908" s="26">
        <v>1</v>
      </c>
      <c r="N1908" s="26">
        <v>1</v>
      </c>
      <c r="O1908" s="28">
        <v>1</v>
      </c>
      <c r="P1908" s="26">
        <v>0.4</v>
      </c>
      <c r="Q1908" s="26">
        <v>0.4</v>
      </c>
      <c r="R1908" s="26">
        <v>0</v>
      </c>
      <c r="S1908" s="26"/>
      <c r="T1908" s="26">
        <v>0</v>
      </c>
      <c r="U1908" s="26">
        <v>0</v>
      </c>
      <c r="V1908" s="26">
        <v>0</v>
      </c>
      <c r="W1908" s="28">
        <v>0</v>
      </c>
      <c r="X1908" s="26">
        <v>0</v>
      </c>
      <c r="Y1908" s="26">
        <v>0</v>
      </c>
      <c r="Z1908" s="26">
        <v>0</v>
      </c>
      <c r="AA1908" s="26">
        <v>0</v>
      </c>
    </row>
    <row r="1909" spans="1:27" x14ac:dyDescent="0.2">
      <c r="A1909">
        <f t="shared" si="60"/>
        <v>4</v>
      </c>
      <c r="B1909">
        <f t="shared" si="61"/>
        <v>14</v>
      </c>
      <c r="C1909" s="27">
        <v>46114</v>
      </c>
      <c r="D1909" s="27">
        <v>46123</v>
      </c>
      <c r="E1909" s="26" t="s">
        <v>26</v>
      </c>
      <c r="F1909" s="26" t="s">
        <v>49</v>
      </c>
      <c r="G1909" s="26" t="s">
        <v>50</v>
      </c>
      <c r="H1909" s="26" t="s">
        <v>29</v>
      </c>
      <c r="I1909" s="26" t="s">
        <v>30</v>
      </c>
      <c r="J1909" s="26" t="s">
        <v>47</v>
      </c>
      <c r="K1909" s="26" t="s">
        <v>42</v>
      </c>
      <c r="L1909" s="26" t="s">
        <v>31</v>
      </c>
      <c r="M1909" s="26">
        <v>97</v>
      </c>
      <c r="N1909" s="26">
        <v>4</v>
      </c>
      <c r="O1909" s="28">
        <v>4.1237000000000003E-2</v>
      </c>
      <c r="P1909" s="26">
        <v>0.78</v>
      </c>
      <c r="Q1909" s="26">
        <v>3.13</v>
      </c>
      <c r="R1909" s="26">
        <v>0</v>
      </c>
      <c r="S1909" s="26"/>
      <c r="T1909" s="26">
        <v>0</v>
      </c>
      <c r="U1909" s="26">
        <v>0</v>
      </c>
      <c r="V1909" s="26">
        <v>0</v>
      </c>
      <c r="W1909" s="28">
        <v>0</v>
      </c>
      <c r="X1909" s="26">
        <v>0</v>
      </c>
      <c r="Y1909" s="26">
        <v>0</v>
      </c>
      <c r="Z1909" s="26">
        <v>0</v>
      </c>
      <c r="AA1909" s="26">
        <v>0</v>
      </c>
    </row>
    <row r="1910" spans="1:27" x14ac:dyDescent="0.2">
      <c r="A1910">
        <f t="shared" si="60"/>
        <v>4</v>
      </c>
      <c r="B1910">
        <f t="shared" si="61"/>
        <v>16</v>
      </c>
      <c r="C1910" s="27">
        <v>46127</v>
      </c>
      <c r="D1910" s="27">
        <v>46127</v>
      </c>
      <c r="E1910" s="26" t="s">
        <v>26</v>
      </c>
      <c r="F1910" s="26" t="s">
        <v>49</v>
      </c>
      <c r="G1910" s="26" t="s">
        <v>50</v>
      </c>
      <c r="H1910" s="26" t="s">
        <v>29</v>
      </c>
      <c r="I1910" s="26" t="s">
        <v>30</v>
      </c>
      <c r="J1910" s="26" t="s">
        <v>95</v>
      </c>
      <c r="K1910" s="26" t="s">
        <v>42</v>
      </c>
      <c r="L1910" s="26" t="s">
        <v>31</v>
      </c>
      <c r="M1910" s="26">
        <v>2</v>
      </c>
      <c r="N1910" s="26">
        <v>1</v>
      </c>
      <c r="O1910" s="28">
        <v>0.5</v>
      </c>
      <c r="P1910" s="26">
        <v>0.53</v>
      </c>
      <c r="Q1910" s="26">
        <v>0.53</v>
      </c>
      <c r="R1910" s="26">
        <v>0</v>
      </c>
      <c r="S1910" s="26"/>
      <c r="T1910" s="26">
        <v>0</v>
      </c>
      <c r="U1910" s="26">
        <v>0</v>
      </c>
      <c r="V1910" s="26">
        <v>0</v>
      </c>
      <c r="W1910" s="28">
        <v>0</v>
      </c>
      <c r="X1910" s="26">
        <v>0</v>
      </c>
      <c r="Y1910" s="26">
        <v>0</v>
      </c>
      <c r="Z1910" s="26">
        <v>0</v>
      </c>
      <c r="AA1910" s="26">
        <v>0</v>
      </c>
    </row>
    <row r="1911" spans="1:27" x14ac:dyDescent="0.2">
      <c r="A1911">
        <f t="shared" si="60"/>
        <v>4</v>
      </c>
      <c r="B1911">
        <f t="shared" si="61"/>
        <v>16</v>
      </c>
      <c r="C1911" s="27">
        <v>46130</v>
      </c>
      <c r="D1911" s="27">
        <v>46130</v>
      </c>
      <c r="E1911" s="26" t="s">
        <v>26</v>
      </c>
      <c r="F1911" s="26" t="s">
        <v>27</v>
      </c>
      <c r="G1911" s="26" t="s">
        <v>28</v>
      </c>
      <c r="H1911" s="26" t="s">
        <v>29</v>
      </c>
      <c r="I1911" s="26" t="s">
        <v>30</v>
      </c>
      <c r="J1911" s="26" t="s">
        <v>31</v>
      </c>
      <c r="K1911" s="26" t="s">
        <v>32</v>
      </c>
      <c r="L1911" s="26" t="s">
        <v>31</v>
      </c>
      <c r="M1911" s="26">
        <v>10</v>
      </c>
      <c r="N1911" s="26">
        <v>2</v>
      </c>
      <c r="O1911" s="28">
        <v>0.2</v>
      </c>
      <c r="P1911" s="26">
        <v>0.21</v>
      </c>
      <c r="Q1911" s="26">
        <v>0.42</v>
      </c>
      <c r="R1911" s="26">
        <v>0</v>
      </c>
      <c r="S1911" s="26"/>
      <c r="T1911" s="26">
        <v>0</v>
      </c>
      <c r="U1911" s="26">
        <v>0</v>
      </c>
      <c r="V1911" s="26">
        <v>0</v>
      </c>
      <c r="W1911" s="28">
        <v>0</v>
      </c>
      <c r="X1911" s="26">
        <v>0</v>
      </c>
      <c r="Y1911" s="26">
        <v>0</v>
      </c>
      <c r="Z1911" s="26">
        <v>0</v>
      </c>
      <c r="AA1911" s="26">
        <v>0</v>
      </c>
    </row>
    <row r="1912" spans="1:27" x14ac:dyDescent="0.2">
      <c r="A1912">
        <f t="shared" si="60"/>
        <v>4</v>
      </c>
      <c r="B1912">
        <f t="shared" si="61"/>
        <v>14</v>
      </c>
      <c r="C1912" s="27">
        <v>46113</v>
      </c>
      <c r="D1912" s="27">
        <v>46142</v>
      </c>
      <c r="E1912" s="26" t="s">
        <v>26</v>
      </c>
      <c r="F1912" s="26" t="s">
        <v>27</v>
      </c>
      <c r="G1912" s="26" t="s">
        <v>124</v>
      </c>
      <c r="H1912" s="26" t="s">
        <v>29</v>
      </c>
      <c r="I1912" s="26" t="s">
        <v>30</v>
      </c>
      <c r="J1912" s="26" t="s">
        <v>31</v>
      </c>
      <c r="K1912" s="26" t="s">
        <v>87</v>
      </c>
      <c r="L1912" s="26" t="s">
        <v>31</v>
      </c>
      <c r="M1912" s="26">
        <v>104</v>
      </c>
      <c r="N1912" s="26">
        <v>7</v>
      </c>
      <c r="O1912" s="28">
        <v>6.7308000000000007E-2</v>
      </c>
      <c r="P1912" s="26">
        <v>0.2</v>
      </c>
      <c r="Q1912" s="26">
        <v>1.42</v>
      </c>
      <c r="R1912" s="26">
        <v>18.989999999999998</v>
      </c>
      <c r="S1912" s="28">
        <v>7.4775999999999995E-2</v>
      </c>
      <c r="T1912" s="26">
        <v>13.37</v>
      </c>
      <c r="U1912" s="26">
        <v>1</v>
      </c>
      <c r="V1912" s="26">
        <v>1</v>
      </c>
      <c r="W1912" s="28">
        <v>0.14285700000000001</v>
      </c>
      <c r="X1912" s="26">
        <v>1</v>
      </c>
      <c r="Y1912" s="26">
        <v>0</v>
      </c>
      <c r="Z1912" s="26">
        <v>18.989999999999998</v>
      </c>
      <c r="AA1912" s="26">
        <v>0</v>
      </c>
    </row>
    <row r="1913" spans="1:27" x14ac:dyDescent="0.2">
      <c r="A1913">
        <f t="shared" si="60"/>
        <v>4</v>
      </c>
      <c r="B1913">
        <f t="shared" si="61"/>
        <v>18</v>
      </c>
      <c r="C1913" s="27">
        <v>46140</v>
      </c>
      <c r="D1913" s="27">
        <v>46140</v>
      </c>
      <c r="E1913" s="26" t="s">
        <v>26</v>
      </c>
      <c r="F1913" s="26" t="s">
        <v>27</v>
      </c>
      <c r="G1913" s="26" t="s">
        <v>28</v>
      </c>
      <c r="H1913" s="26" t="s">
        <v>29</v>
      </c>
      <c r="I1913" s="26" t="s">
        <v>30</v>
      </c>
      <c r="J1913" s="26" t="s">
        <v>156</v>
      </c>
      <c r="K1913" s="26" t="s">
        <v>32</v>
      </c>
      <c r="L1913" s="26" t="s">
        <v>31</v>
      </c>
      <c r="M1913" s="26">
        <v>5</v>
      </c>
      <c r="N1913" s="26">
        <v>1</v>
      </c>
      <c r="O1913" s="28">
        <v>0.2</v>
      </c>
      <c r="P1913" s="26">
        <v>0.21</v>
      </c>
      <c r="Q1913" s="26">
        <v>0.21</v>
      </c>
      <c r="R1913" s="26">
        <v>0</v>
      </c>
      <c r="S1913" s="26"/>
      <c r="T1913" s="26">
        <v>0</v>
      </c>
      <c r="U1913" s="26">
        <v>0</v>
      </c>
      <c r="V1913" s="26">
        <v>0</v>
      </c>
      <c r="W1913" s="28">
        <v>0</v>
      </c>
      <c r="X1913" s="26">
        <v>0</v>
      </c>
      <c r="Y1913" s="26">
        <v>0</v>
      </c>
      <c r="Z1913" s="26">
        <v>0</v>
      </c>
      <c r="AA1913" s="26">
        <v>0</v>
      </c>
    </row>
    <row r="1914" spans="1:27" x14ac:dyDescent="0.2">
      <c r="A1914">
        <f t="shared" si="60"/>
        <v>4</v>
      </c>
      <c r="B1914">
        <f t="shared" si="61"/>
        <v>15</v>
      </c>
      <c r="C1914" s="27">
        <v>46118</v>
      </c>
      <c r="D1914" s="27">
        <v>46118</v>
      </c>
      <c r="E1914" s="26" t="s">
        <v>26</v>
      </c>
      <c r="F1914" s="26" t="s">
        <v>27</v>
      </c>
      <c r="G1914" s="26" t="s">
        <v>28</v>
      </c>
      <c r="H1914" s="26" t="s">
        <v>29</v>
      </c>
      <c r="I1914" s="26" t="s">
        <v>30</v>
      </c>
      <c r="J1914" s="26" t="s">
        <v>272</v>
      </c>
      <c r="K1914" s="26" t="s">
        <v>32</v>
      </c>
      <c r="L1914" s="26" t="s">
        <v>31</v>
      </c>
      <c r="M1914" s="26">
        <v>2</v>
      </c>
      <c r="N1914" s="26">
        <v>1</v>
      </c>
      <c r="O1914" s="28">
        <v>0.5</v>
      </c>
      <c r="P1914" s="26">
        <v>0.21</v>
      </c>
      <c r="Q1914" s="26">
        <v>0.21</v>
      </c>
      <c r="R1914" s="26">
        <v>0</v>
      </c>
      <c r="S1914" s="26"/>
      <c r="T1914" s="26">
        <v>0</v>
      </c>
      <c r="U1914" s="26">
        <v>0</v>
      </c>
      <c r="V1914" s="26">
        <v>0</v>
      </c>
      <c r="W1914" s="28">
        <v>0</v>
      </c>
      <c r="X1914" s="26">
        <v>0</v>
      </c>
      <c r="Y1914" s="26">
        <v>0</v>
      </c>
      <c r="Z1914" s="26">
        <v>0</v>
      </c>
      <c r="AA1914" s="26">
        <v>0</v>
      </c>
    </row>
    <row r="1915" spans="1:27" x14ac:dyDescent="0.2">
      <c r="A1915">
        <f t="shared" si="60"/>
        <v>4</v>
      </c>
      <c r="B1915">
        <f t="shared" si="61"/>
        <v>16</v>
      </c>
      <c r="C1915" s="27">
        <v>46128</v>
      </c>
      <c r="D1915" s="27">
        <v>46128</v>
      </c>
      <c r="E1915" s="26" t="s">
        <v>26</v>
      </c>
      <c r="F1915" s="26" t="s">
        <v>27</v>
      </c>
      <c r="G1915" s="26" t="s">
        <v>28</v>
      </c>
      <c r="H1915" s="26" t="s">
        <v>29</v>
      </c>
      <c r="I1915" s="26" t="s">
        <v>30</v>
      </c>
      <c r="J1915" s="26" t="s">
        <v>239</v>
      </c>
      <c r="K1915" s="26" t="s">
        <v>32</v>
      </c>
      <c r="L1915" s="26" t="s">
        <v>31</v>
      </c>
      <c r="M1915" s="26">
        <v>1</v>
      </c>
      <c r="N1915" s="26">
        <v>1</v>
      </c>
      <c r="O1915" s="28">
        <v>1</v>
      </c>
      <c r="P1915" s="26">
        <v>0.2</v>
      </c>
      <c r="Q1915" s="26">
        <v>0.2</v>
      </c>
      <c r="R1915" s="26">
        <v>0</v>
      </c>
      <c r="S1915" s="26"/>
      <c r="T1915" s="26">
        <v>0</v>
      </c>
      <c r="U1915" s="26">
        <v>0</v>
      </c>
      <c r="V1915" s="26">
        <v>0</v>
      </c>
      <c r="W1915" s="28">
        <v>0</v>
      </c>
      <c r="X1915" s="26">
        <v>0</v>
      </c>
      <c r="Y1915" s="26">
        <v>0</v>
      </c>
      <c r="Z1915" s="26">
        <v>0</v>
      </c>
      <c r="AA1915" s="26">
        <v>0</v>
      </c>
    </row>
    <row r="1916" spans="1:27" x14ac:dyDescent="0.2">
      <c r="A1916">
        <f t="shared" si="60"/>
        <v>4</v>
      </c>
      <c r="B1916">
        <f t="shared" si="61"/>
        <v>15</v>
      </c>
      <c r="C1916" s="27">
        <v>46118</v>
      </c>
      <c r="D1916" s="27">
        <v>46118</v>
      </c>
      <c r="E1916" s="26" t="s">
        <v>26</v>
      </c>
      <c r="F1916" s="26" t="s">
        <v>27</v>
      </c>
      <c r="G1916" s="26" t="s">
        <v>124</v>
      </c>
      <c r="H1916" s="26" t="s">
        <v>29</v>
      </c>
      <c r="I1916" s="26" t="s">
        <v>30</v>
      </c>
      <c r="J1916" s="26" t="s">
        <v>31</v>
      </c>
      <c r="K1916" s="26" t="s">
        <v>87</v>
      </c>
      <c r="L1916" s="26" t="s">
        <v>1326</v>
      </c>
      <c r="M1916" s="26">
        <v>1</v>
      </c>
      <c r="N1916" s="26">
        <v>1</v>
      </c>
      <c r="O1916" s="28">
        <v>1</v>
      </c>
      <c r="P1916" s="26">
        <v>0.44</v>
      </c>
      <c r="Q1916" s="26">
        <v>0.44</v>
      </c>
      <c r="R1916" s="26">
        <v>0</v>
      </c>
      <c r="S1916" s="26"/>
      <c r="T1916" s="26">
        <v>0</v>
      </c>
      <c r="U1916" s="26">
        <v>0</v>
      </c>
      <c r="V1916" s="26">
        <v>0</v>
      </c>
      <c r="W1916" s="28">
        <v>0</v>
      </c>
      <c r="X1916" s="26">
        <v>0</v>
      </c>
      <c r="Y1916" s="26">
        <v>0</v>
      </c>
      <c r="Z1916" s="26">
        <v>0</v>
      </c>
      <c r="AA1916" s="26">
        <v>0</v>
      </c>
    </row>
    <row r="1917" spans="1:27" x14ac:dyDescent="0.2">
      <c r="A1917">
        <f t="shared" si="60"/>
        <v>4</v>
      </c>
      <c r="B1917">
        <f t="shared" si="61"/>
        <v>14</v>
      </c>
      <c r="C1917" s="27">
        <v>46116</v>
      </c>
      <c r="D1917" s="27">
        <v>46131</v>
      </c>
      <c r="E1917" s="26" t="s">
        <v>26</v>
      </c>
      <c r="F1917" s="26" t="s">
        <v>49</v>
      </c>
      <c r="G1917" s="26" t="s">
        <v>50</v>
      </c>
      <c r="H1917" s="26" t="s">
        <v>29</v>
      </c>
      <c r="I1917" s="26" t="s">
        <v>30</v>
      </c>
      <c r="J1917" s="26" t="s">
        <v>47</v>
      </c>
      <c r="K1917" s="26" t="s">
        <v>42</v>
      </c>
      <c r="L1917" s="26" t="s">
        <v>272</v>
      </c>
      <c r="M1917" s="26">
        <v>107</v>
      </c>
      <c r="N1917" s="26">
        <v>4</v>
      </c>
      <c r="O1917" s="28">
        <v>3.7383E-2</v>
      </c>
      <c r="P1917" s="26">
        <v>0.81</v>
      </c>
      <c r="Q1917" s="26">
        <v>3.25</v>
      </c>
      <c r="R1917" s="26">
        <v>18.04</v>
      </c>
      <c r="S1917" s="28">
        <v>0.18015500000000001</v>
      </c>
      <c r="T1917" s="26">
        <v>5.55</v>
      </c>
      <c r="U1917" s="26">
        <v>1</v>
      </c>
      <c r="V1917" s="26">
        <v>1</v>
      </c>
      <c r="W1917" s="28">
        <v>0.25</v>
      </c>
      <c r="X1917" s="26">
        <v>1</v>
      </c>
      <c r="Y1917" s="26">
        <v>0</v>
      </c>
      <c r="Z1917" s="26">
        <v>18.04</v>
      </c>
      <c r="AA1917" s="26">
        <v>0</v>
      </c>
    </row>
    <row r="1918" spans="1:27" x14ac:dyDescent="0.2">
      <c r="A1918">
        <f t="shared" si="60"/>
        <v>4</v>
      </c>
      <c r="B1918">
        <f t="shared" si="61"/>
        <v>18</v>
      </c>
      <c r="C1918" s="27">
        <v>46142</v>
      </c>
      <c r="D1918" s="27">
        <v>46142</v>
      </c>
      <c r="E1918" s="26" t="s">
        <v>26</v>
      </c>
      <c r="F1918" s="26" t="s">
        <v>27</v>
      </c>
      <c r="G1918" s="26" t="s">
        <v>28</v>
      </c>
      <c r="H1918" s="26" t="s">
        <v>29</v>
      </c>
      <c r="I1918" s="26" t="s">
        <v>30</v>
      </c>
      <c r="J1918" s="26" t="s">
        <v>31</v>
      </c>
      <c r="K1918" s="26" t="s">
        <v>32</v>
      </c>
      <c r="L1918" s="26" t="s">
        <v>272</v>
      </c>
      <c r="M1918" s="26">
        <v>1</v>
      </c>
      <c r="N1918" s="26">
        <v>1</v>
      </c>
      <c r="O1918" s="28">
        <v>1</v>
      </c>
      <c r="P1918" s="26">
        <v>0.21</v>
      </c>
      <c r="Q1918" s="26">
        <v>0.21</v>
      </c>
      <c r="R1918" s="26">
        <v>0</v>
      </c>
      <c r="S1918" s="26"/>
      <c r="T1918" s="26">
        <v>0</v>
      </c>
      <c r="U1918" s="26">
        <v>0</v>
      </c>
      <c r="V1918" s="26">
        <v>0</v>
      </c>
      <c r="W1918" s="28">
        <v>0</v>
      </c>
      <c r="X1918" s="26">
        <v>0</v>
      </c>
      <c r="Y1918" s="26">
        <v>0</v>
      </c>
      <c r="Z1918" s="26">
        <v>0</v>
      </c>
      <c r="AA1918" s="26">
        <v>0</v>
      </c>
    </row>
    <row r="1919" spans="1:27" x14ac:dyDescent="0.2">
      <c r="A1919">
        <f t="shared" si="60"/>
        <v>4</v>
      </c>
      <c r="B1919">
        <f t="shared" si="61"/>
        <v>16</v>
      </c>
      <c r="C1919" s="27">
        <v>46129</v>
      </c>
      <c r="D1919" s="27">
        <v>46133</v>
      </c>
      <c r="E1919" s="26" t="s">
        <v>26</v>
      </c>
      <c r="F1919" s="26" t="s">
        <v>27</v>
      </c>
      <c r="G1919" s="26" t="s">
        <v>28</v>
      </c>
      <c r="H1919" s="26" t="s">
        <v>29</v>
      </c>
      <c r="I1919" s="26" t="s">
        <v>30</v>
      </c>
      <c r="J1919" s="26" t="s">
        <v>272</v>
      </c>
      <c r="K1919" s="26" t="s">
        <v>32</v>
      </c>
      <c r="L1919" s="26" t="s">
        <v>272</v>
      </c>
      <c r="M1919" s="26">
        <v>7</v>
      </c>
      <c r="N1919" s="26">
        <v>2</v>
      </c>
      <c r="O1919" s="28">
        <v>0.28571400000000002</v>
      </c>
      <c r="P1919" s="26">
        <v>0.21</v>
      </c>
      <c r="Q1919" s="26">
        <v>0.41</v>
      </c>
      <c r="R1919" s="26">
        <v>0</v>
      </c>
      <c r="S1919" s="26"/>
      <c r="T1919" s="26">
        <v>0</v>
      </c>
      <c r="U1919" s="26">
        <v>0</v>
      </c>
      <c r="V1919" s="26">
        <v>0</v>
      </c>
      <c r="W1919" s="28">
        <v>0</v>
      </c>
      <c r="X1919" s="26">
        <v>0</v>
      </c>
      <c r="Y1919" s="26">
        <v>0</v>
      </c>
      <c r="Z1919" s="26">
        <v>0</v>
      </c>
      <c r="AA1919" s="26">
        <v>0</v>
      </c>
    </row>
    <row r="1920" spans="1:27" x14ac:dyDescent="0.2">
      <c r="A1920">
        <f t="shared" si="60"/>
        <v>4</v>
      </c>
      <c r="B1920">
        <f t="shared" si="61"/>
        <v>15</v>
      </c>
      <c r="C1920" s="27">
        <v>46123</v>
      </c>
      <c r="D1920" s="27">
        <v>46123</v>
      </c>
      <c r="E1920" s="26" t="s">
        <v>26</v>
      </c>
      <c r="F1920" s="26" t="s">
        <v>27</v>
      </c>
      <c r="G1920" s="26" t="s">
        <v>28</v>
      </c>
      <c r="H1920" s="26" t="s">
        <v>29</v>
      </c>
      <c r="I1920" s="26" t="s">
        <v>30</v>
      </c>
      <c r="J1920" s="26" t="s">
        <v>144</v>
      </c>
      <c r="K1920" s="26" t="s">
        <v>32</v>
      </c>
      <c r="L1920" s="26" t="s">
        <v>272</v>
      </c>
      <c r="M1920" s="26">
        <v>2</v>
      </c>
      <c r="N1920" s="26">
        <v>1</v>
      </c>
      <c r="O1920" s="28">
        <v>0.5</v>
      </c>
      <c r="P1920" s="26">
        <v>0.2</v>
      </c>
      <c r="Q1920" s="26">
        <v>0.2</v>
      </c>
      <c r="R1920" s="26">
        <v>0</v>
      </c>
      <c r="S1920" s="26"/>
      <c r="T1920" s="26">
        <v>0</v>
      </c>
      <c r="U1920" s="26">
        <v>0</v>
      </c>
      <c r="V1920" s="26">
        <v>0</v>
      </c>
      <c r="W1920" s="28">
        <v>0</v>
      </c>
      <c r="X1920" s="26">
        <v>0</v>
      </c>
      <c r="Y1920" s="26">
        <v>0</v>
      </c>
      <c r="Z1920" s="26">
        <v>0</v>
      </c>
      <c r="AA1920" s="26">
        <v>0</v>
      </c>
    </row>
    <row r="1921" spans="1:27" x14ac:dyDescent="0.2">
      <c r="A1921">
        <f t="shared" si="60"/>
        <v>4</v>
      </c>
      <c r="B1921">
        <f t="shared" si="61"/>
        <v>16</v>
      </c>
      <c r="C1921" s="27">
        <v>46126</v>
      </c>
      <c r="D1921" s="27">
        <v>46126</v>
      </c>
      <c r="E1921" s="26" t="s">
        <v>26</v>
      </c>
      <c r="F1921" s="26" t="s">
        <v>27</v>
      </c>
      <c r="G1921" s="26" t="s">
        <v>28</v>
      </c>
      <c r="H1921" s="26" t="s">
        <v>29</v>
      </c>
      <c r="I1921" s="26" t="s">
        <v>30</v>
      </c>
      <c r="J1921" s="26" t="s">
        <v>272</v>
      </c>
      <c r="K1921" s="26" t="s">
        <v>32</v>
      </c>
      <c r="L1921" s="26" t="s">
        <v>1327</v>
      </c>
      <c r="M1921" s="26">
        <v>1</v>
      </c>
      <c r="N1921" s="26">
        <v>1</v>
      </c>
      <c r="O1921" s="28">
        <v>1</v>
      </c>
      <c r="P1921" s="26">
        <v>0.2</v>
      </c>
      <c r="Q1921" s="26">
        <v>0.2</v>
      </c>
      <c r="R1921" s="26">
        <v>0</v>
      </c>
      <c r="S1921" s="26"/>
      <c r="T1921" s="26">
        <v>0</v>
      </c>
      <c r="U1921" s="26">
        <v>0</v>
      </c>
      <c r="V1921" s="26">
        <v>0</v>
      </c>
      <c r="W1921" s="28">
        <v>0</v>
      </c>
      <c r="X1921" s="26">
        <v>0</v>
      </c>
      <c r="Y1921" s="26">
        <v>0</v>
      </c>
      <c r="Z1921" s="26">
        <v>0</v>
      </c>
      <c r="AA1921" s="26">
        <v>0</v>
      </c>
    </row>
    <row r="1922" spans="1:27" x14ac:dyDescent="0.2">
      <c r="A1922">
        <f t="shared" si="60"/>
        <v>4</v>
      </c>
      <c r="B1922">
        <f t="shared" si="61"/>
        <v>15</v>
      </c>
      <c r="C1922" s="27">
        <v>46121</v>
      </c>
      <c r="D1922" s="27">
        <v>46121</v>
      </c>
      <c r="E1922" s="26" t="s">
        <v>26</v>
      </c>
      <c r="F1922" s="26" t="s">
        <v>27</v>
      </c>
      <c r="G1922" s="26" t="s">
        <v>124</v>
      </c>
      <c r="H1922" s="26" t="s">
        <v>29</v>
      </c>
      <c r="I1922" s="26" t="s">
        <v>30</v>
      </c>
      <c r="J1922" s="26" t="s">
        <v>31</v>
      </c>
      <c r="K1922" s="26" t="s">
        <v>87</v>
      </c>
      <c r="L1922" s="26" t="s">
        <v>1328</v>
      </c>
      <c r="M1922" s="26">
        <v>1</v>
      </c>
      <c r="N1922" s="26">
        <v>1</v>
      </c>
      <c r="O1922" s="28">
        <v>1</v>
      </c>
      <c r="P1922" s="26">
        <v>0.39</v>
      </c>
      <c r="Q1922" s="26">
        <v>0.39</v>
      </c>
      <c r="R1922" s="26">
        <v>0</v>
      </c>
      <c r="S1922" s="26"/>
      <c r="T1922" s="26">
        <v>0</v>
      </c>
      <c r="U1922" s="26">
        <v>0</v>
      </c>
      <c r="V1922" s="26">
        <v>0</v>
      </c>
      <c r="W1922" s="28">
        <v>0</v>
      </c>
      <c r="X1922" s="26">
        <v>0</v>
      </c>
      <c r="Y1922" s="26">
        <v>0</v>
      </c>
      <c r="Z1922" s="26">
        <v>0</v>
      </c>
      <c r="AA1922" s="26">
        <v>0</v>
      </c>
    </row>
    <row r="1923" spans="1:27" x14ac:dyDescent="0.2">
      <c r="A1923">
        <f t="shared" si="60"/>
        <v>4</v>
      </c>
      <c r="B1923">
        <f t="shared" si="61"/>
        <v>16</v>
      </c>
      <c r="C1923" s="27">
        <v>46128</v>
      </c>
      <c r="D1923" s="27">
        <v>46128</v>
      </c>
      <c r="E1923" s="26" t="s">
        <v>26</v>
      </c>
      <c r="F1923" s="26" t="s">
        <v>27</v>
      </c>
      <c r="G1923" s="26" t="s">
        <v>124</v>
      </c>
      <c r="H1923" s="26" t="s">
        <v>29</v>
      </c>
      <c r="I1923" s="26" t="s">
        <v>30</v>
      </c>
      <c r="J1923" s="26" t="s">
        <v>31</v>
      </c>
      <c r="K1923" s="26" t="s">
        <v>87</v>
      </c>
      <c r="L1923" s="26" t="s">
        <v>1329</v>
      </c>
      <c r="M1923" s="26">
        <v>1</v>
      </c>
      <c r="N1923" s="26">
        <v>1</v>
      </c>
      <c r="O1923" s="28">
        <v>1</v>
      </c>
      <c r="P1923" s="26">
        <v>0.35</v>
      </c>
      <c r="Q1923" s="26">
        <v>0.35</v>
      </c>
      <c r="R1923" s="26">
        <v>0</v>
      </c>
      <c r="S1923" s="26"/>
      <c r="T1923" s="26">
        <v>0</v>
      </c>
      <c r="U1923" s="26">
        <v>0</v>
      </c>
      <c r="V1923" s="26">
        <v>0</v>
      </c>
      <c r="W1923" s="28">
        <v>0</v>
      </c>
      <c r="X1923" s="26">
        <v>0</v>
      </c>
      <c r="Y1923" s="26">
        <v>0</v>
      </c>
      <c r="Z1923" s="26">
        <v>0</v>
      </c>
      <c r="AA1923" s="26">
        <v>0</v>
      </c>
    </row>
    <row r="1924" spans="1:27" x14ac:dyDescent="0.2">
      <c r="A1924">
        <f t="shared" si="60"/>
        <v>4</v>
      </c>
      <c r="B1924">
        <f t="shared" si="61"/>
        <v>14</v>
      </c>
      <c r="C1924" s="27">
        <v>46115</v>
      </c>
      <c r="D1924" s="27">
        <v>46115</v>
      </c>
      <c r="E1924" s="26" t="s">
        <v>26</v>
      </c>
      <c r="F1924" s="26" t="s">
        <v>27</v>
      </c>
      <c r="G1924" s="26" t="s">
        <v>124</v>
      </c>
      <c r="H1924" s="26" t="s">
        <v>29</v>
      </c>
      <c r="I1924" s="26" t="s">
        <v>30</v>
      </c>
      <c r="J1924" s="26" t="s">
        <v>31</v>
      </c>
      <c r="K1924" s="26" t="s">
        <v>87</v>
      </c>
      <c r="L1924" s="26" t="s">
        <v>1330</v>
      </c>
      <c r="M1924" s="26">
        <v>2</v>
      </c>
      <c r="N1924" s="26">
        <v>1</v>
      </c>
      <c r="O1924" s="28">
        <v>0.5</v>
      </c>
      <c r="P1924" s="26">
        <v>0.4</v>
      </c>
      <c r="Q1924" s="26">
        <v>0.4</v>
      </c>
      <c r="R1924" s="26">
        <v>0</v>
      </c>
      <c r="S1924" s="26"/>
      <c r="T1924" s="26">
        <v>0</v>
      </c>
      <c r="U1924" s="26">
        <v>0</v>
      </c>
      <c r="V1924" s="26">
        <v>0</v>
      </c>
      <c r="W1924" s="28">
        <v>0</v>
      </c>
      <c r="X1924" s="26">
        <v>0</v>
      </c>
      <c r="Y1924" s="26">
        <v>0</v>
      </c>
      <c r="Z1924" s="26">
        <v>0</v>
      </c>
      <c r="AA1924" s="26">
        <v>0</v>
      </c>
    </row>
    <row r="1925" spans="1:27" x14ac:dyDescent="0.2">
      <c r="A1925">
        <f t="shared" si="60"/>
        <v>4</v>
      </c>
      <c r="B1925">
        <f t="shared" si="61"/>
        <v>18</v>
      </c>
      <c r="C1925" s="27">
        <v>46139</v>
      </c>
      <c r="D1925" s="27">
        <v>46139</v>
      </c>
      <c r="E1925" s="26" t="s">
        <v>26</v>
      </c>
      <c r="F1925" s="26" t="s">
        <v>27</v>
      </c>
      <c r="G1925" s="26" t="s">
        <v>124</v>
      </c>
      <c r="H1925" s="26" t="s">
        <v>29</v>
      </c>
      <c r="I1925" s="26" t="s">
        <v>30</v>
      </c>
      <c r="J1925" s="26" t="s">
        <v>31</v>
      </c>
      <c r="K1925" s="26" t="s">
        <v>87</v>
      </c>
      <c r="L1925" s="26" t="s">
        <v>1331</v>
      </c>
      <c r="M1925" s="26">
        <v>2</v>
      </c>
      <c r="N1925" s="26">
        <v>1</v>
      </c>
      <c r="O1925" s="28">
        <v>0.5</v>
      </c>
      <c r="P1925" s="26">
        <v>0.2</v>
      </c>
      <c r="Q1925" s="26">
        <v>0.2</v>
      </c>
      <c r="R1925" s="26">
        <v>0</v>
      </c>
      <c r="S1925" s="26"/>
      <c r="T1925" s="26">
        <v>0</v>
      </c>
      <c r="U1925" s="26">
        <v>0</v>
      </c>
      <c r="V1925" s="26">
        <v>0</v>
      </c>
      <c r="W1925" s="28">
        <v>0</v>
      </c>
      <c r="X1925" s="26">
        <v>0</v>
      </c>
      <c r="Y1925" s="26">
        <v>0</v>
      </c>
      <c r="Z1925" s="26">
        <v>0</v>
      </c>
      <c r="AA1925" s="26">
        <v>0</v>
      </c>
    </row>
    <row r="1926" spans="1:27" x14ac:dyDescent="0.2">
      <c r="A1926">
        <f t="shared" si="60"/>
        <v>4</v>
      </c>
      <c r="B1926">
        <f t="shared" si="61"/>
        <v>18</v>
      </c>
      <c r="C1926" s="27">
        <v>46141</v>
      </c>
      <c r="D1926" s="27">
        <v>46141</v>
      </c>
      <c r="E1926" s="26" t="s">
        <v>26</v>
      </c>
      <c r="F1926" s="26" t="s">
        <v>27</v>
      </c>
      <c r="G1926" s="26" t="s">
        <v>28</v>
      </c>
      <c r="H1926" s="26" t="s">
        <v>29</v>
      </c>
      <c r="I1926" s="26" t="s">
        <v>30</v>
      </c>
      <c r="J1926" s="26" t="s">
        <v>156</v>
      </c>
      <c r="K1926" s="26" t="s">
        <v>32</v>
      </c>
      <c r="L1926" s="26" t="s">
        <v>1332</v>
      </c>
      <c r="M1926" s="26">
        <v>1</v>
      </c>
      <c r="N1926" s="26">
        <v>1</v>
      </c>
      <c r="O1926" s="28">
        <v>1</v>
      </c>
      <c r="P1926" s="26">
        <v>0.21</v>
      </c>
      <c r="Q1926" s="26">
        <v>0.21</v>
      </c>
      <c r="R1926" s="26">
        <v>0</v>
      </c>
      <c r="S1926" s="26"/>
      <c r="T1926" s="26">
        <v>0</v>
      </c>
      <c r="U1926" s="26">
        <v>0</v>
      </c>
      <c r="V1926" s="26">
        <v>0</v>
      </c>
      <c r="W1926" s="28">
        <v>0</v>
      </c>
      <c r="X1926" s="26">
        <v>0</v>
      </c>
      <c r="Y1926" s="26">
        <v>0</v>
      </c>
      <c r="Z1926" s="26">
        <v>0</v>
      </c>
      <c r="AA1926" s="26">
        <v>0</v>
      </c>
    </row>
    <row r="1927" spans="1:27" x14ac:dyDescent="0.2">
      <c r="A1927">
        <f t="shared" si="60"/>
        <v>4</v>
      </c>
      <c r="B1927">
        <f t="shared" si="61"/>
        <v>16</v>
      </c>
      <c r="C1927" s="27">
        <v>46125</v>
      </c>
      <c r="D1927" s="27">
        <v>46125</v>
      </c>
      <c r="E1927" s="26" t="s">
        <v>26</v>
      </c>
      <c r="F1927" s="26" t="s">
        <v>27</v>
      </c>
      <c r="G1927" s="26" t="s">
        <v>28</v>
      </c>
      <c r="H1927" s="26" t="s">
        <v>29</v>
      </c>
      <c r="I1927" s="26" t="s">
        <v>30</v>
      </c>
      <c r="J1927" s="26" t="s">
        <v>243</v>
      </c>
      <c r="K1927" s="26" t="s">
        <v>32</v>
      </c>
      <c r="L1927" s="26" t="s">
        <v>1333</v>
      </c>
      <c r="M1927" s="26">
        <v>2</v>
      </c>
      <c r="N1927" s="26">
        <v>1</v>
      </c>
      <c r="O1927" s="28">
        <v>0.5</v>
      </c>
      <c r="P1927" s="26">
        <v>0.19</v>
      </c>
      <c r="Q1927" s="26">
        <v>0.19</v>
      </c>
      <c r="R1927" s="26">
        <v>0</v>
      </c>
      <c r="S1927" s="26"/>
      <c r="T1927" s="26">
        <v>0</v>
      </c>
      <c r="U1927" s="26">
        <v>0</v>
      </c>
      <c r="V1927" s="26">
        <v>0</v>
      </c>
      <c r="W1927" s="28">
        <v>0</v>
      </c>
      <c r="X1927" s="26">
        <v>0</v>
      </c>
      <c r="Y1927" s="26">
        <v>0</v>
      </c>
      <c r="Z1927" s="26">
        <v>0</v>
      </c>
      <c r="AA1927" s="26">
        <v>0</v>
      </c>
    </row>
    <row r="1928" spans="1:27" x14ac:dyDescent="0.2">
      <c r="A1928">
        <f t="shared" si="60"/>
        <v>4</v>
      </c>
      <c r="B1928">
        <f t="shared" si="61"/>
        <v>16</v>
      </c>
      <c r="C1928" s="27">
        <v>46126</v>
      </c>
      <c r="D1928" s="27">
        <v>46126</v>
      </c>
      <c r="E1928" s="26" t="s">
        <v>26</v>
      </c>
      <c r="F1928" s="26" t="s">
        <v>49</v>
      </c>
      <c r="G1928" s="26" t="s">
        <v>50</v>
      </c>
      <c r="H1928" s="26" t="s">
        <v>29</v>
      </c>
      <c r="I1928" s="26" t="s">
        <v>30</v>
      </c>
      <c r="J1928" s="26" t="s">
        <v>95</v>
      </c>
      <c r="K1928" s="26" t="s">
        <v>42</v>
      </c>
      <c r="L1928" s="26" t="s">
        <v>1334</v>
      </c>
      <c r="M1928" s="26">
        <v>2</v>
      </c>
      <c r="N1928" s="26">
        <v>1</v>
      </c>
      <c r="O1928" s="28">
        <v>0.5</v>
      </c>
      <c r="P1928" s="26">
        <v>0.53</v>
      </c>
      <c r="Q1928" s="26">
        <v>0.53</v>
      </c>
      <c r="R1928" s="26">
        <v>0</v>
      </c>
      <c r="S1928" s="26"/>
      <c r="T1928" s="26">
        <v>0</v>
      </c>
      <c r="U1928" s="26">
        <v>0</v>
      </c>
      <c r="V1928" s="26">
        <v>0</v>
      </c>
      <c r="W1928" s="28">
        <v>0</v>
      </c>
      <c r="X1928" s="26">
        <v>0</v>
      </c>
      <c r="Y1928" s="26">
        <v>0</v>
      </c>
      <c r="Z1928" s="26">
        <v>0</v>
      </c>
      <c r="AA1928" s="26">
        <v>0</v>
      </c>
    </row>
    <row r="1929" spans="1:27" x14ac:dyDescent="0.2">
      <c r="A1929">
        <f t="shared" si="60"/>
        <v>4</v>
      </c>
      <c r="B1929">
        <f t="shared" si="61"/>
        <v>15</v>
      </c>
      <c r="C1929" s="27">
        <v>46122</v>
      </c>
      <c r="D1929" s="27">
        <v>46122</v>
      </c>
      <c r="E1929" s="26" t="s">
        <v>26</v>
      </c>
      <c r="F1929" s="26" t="s">
        <v>27</v>
      </c>
      <c r="G1929" s="26" t="s">
        <v>28</v>
      </c>
      <c r="H1929" s="26" t="s">
        <v>29</v>
      </c>
      <c r="I1929" s="26" t="s">
        <v>30</v>
      </c>
      <c r="J1929" s="26" t="s">
        <v>50</v>
      </c>
      <c r="K1929" s="26" t="s">
        <v>32</v>
      </c>
      <c r="L1929" s="26" t="s">
        <v>277</v>
      </c>
      <c r="M1929" s="26">
        <v>2</v>
      </c>
      <c r="N1929" s="26">
        <v>1</v>
      </c>
      <c r="O1929" s="28">
        <v>0.5</v>
      </c>
      <c r="P1929" s="26">
        <v>0.4</v>
      </c>
      <c r="Q1929" s="26">
        <v>0.4</v>
      </c>
      <c r="R1929" s="26">
        <v>0</v>
      </c>
      <c r="S1929" s="26"/>
      <c r="T1929" s="26">
        <v>0</v>
      </c>
      <c r="U1929" s="26">
        <v>0</v>
      </c>
      <c r="V1929" s="26">
        <v>0</v>
      </c>
      <c r="W1929" s="28">
        <v>0</v>
      </c>
      <c r="X1929" s="26">
        <v>0</v>
      </c>
      <c r="Y1929" s="26">
        <v>0</v>
      </c>
      <c r="Z1929" s="26">
        <v>0</v>
      </c>
      <c r="AA1929" s="26">
        <v>0</v>
      </c>
    </row>
    <row r="1930" spans="1:27" x14ac:dyDescent="0.2">
      <c r="A1930">
        <f t="shared" si="60"/>
        <v>4</v>
      </c>
      <c r="B1930">
        <f t="shared" si="61"/>
        <v>16</v>
      </c>
      <c r="C1930" s="27">
        <v>46129</v>
      </c>
      <c r="D1930" s="27">
        <v>46129</v>
      </c>
      <c r="E1930" s="26" t="s">
        <v>26</v>
      </c>
      <c r="F1930" s="26" t="s">
        <v>27</v>
      </c>
      <c r="G1930" s="26" t="s">
        <v>28</v>
      </c>
      <c r="H1930" s="26" t="s">
        <v>29</v>
      </c>
      <c r="I1930" s="26" t="s">
        <v>30</v>
      </c>
      <c r="J1930" s="26" t="s">
        <v>253</v>
      </c>
      <c r="K1930" s="26" t="s">
        <v>32</v>
      </c>
      <c r="L1930" s="26" t="s">
        <v>549</v>
      </c>
      <c r="M1930" s="26">
        <v>1</v>
      </c>
      <c r="N1930" s="26">
        <v>1</v>
      </c>
      <c r="O1930" s="28">
        <v>1</v>
      </c>
      <c r="P1930" s="26">
        <v>0.4</v>
      </c>
      <c r="Q1930" s="26">
        <v>0.4</v>
      </c>
      <c r="R1930" s="26">
        <v>0</v>
      </c>
      <c r="S1930" s="26"/>
      <c r="T1930" s="26">
        <v>0</v>
      </c>
      <c r="U1930" s="26">
        <v>0</v>
      </c>
      <c r="V1930" s="26">
        <v>0</v>
      </c>
      <c r="W1930" s="28">
        <v>0</v>
      </c>
      <c r="X1930" s="26">
        <v>0</v>
      </c>
      <c r="Y1930" s="26">
        <v>0</v>
      </c>
      <c r="Z1930" s="26">
        <v>0</v>
      </c>
      <c r="AA1930" s="26">
        <v>0</v>
      </c>
    </row>
    <row r="1931" spans="1:27" x14ac:dyDescent="0.2">
      <c r="A1931">
        <f t="shared" si="60"/>
        <v>4</v>
      </c>
      <c r="B1931">
        <f t="shared" si="61"/>
        <v>18</v>
      </c>
      <c r="C1931" s="27">
        <v>46140</v>
      </c>
      <c r="D1931" s="27">
        <v>46140</v>
      </c>
      <c r="E1931" s="26" t="s">
        <v>26</v>
      </c>
      <c r="F1931" s="26" t="s">
        <v>39</v>
      </c>
      <c r="G1931" s="26" t="s">
        <v>40</v>
      </c>
      <c r="H1931" s="26" t="s">
        <v>29</v>
      </c>
      <c r="I1931" s="26" t="s">
        <v>30</v>
      </c>
      <c r="J1931" s="26" t="s">
        <v>1134</v>
      </c>
      <c r="K1931" s="26" t="s">
        <v>42</v>
      </c>
      <c r="L1931" s="26" t="s">
        <v>101</v>
      </c>
      <c r="M1931" s="26">
        <v>31</v>
      </c>
      <c r="N1931" s="26">
        <v>1</v>
      </c>
      <c r="O1931" s="28">
        <v>3.2258000000000002E-2</v>
      </c>
      <c r="P1931" s="26">
        <v>0.45</v>
      </c>
      <c r="Q1931" s="26">
        <v>0.45</v>
      </c>
      <c r="R1931" s="26">
        <v>0</v>
      </c>
      <c r="S1931" s="26"/>
      <c r="T1931" s="26">
        <v>0</v>
      </c>
      <c r="U1931" s="26">
        <v>0</v>
      </c>
      <c r="V1931" s="26">
        <v>0</v>
      </c>
      <c r="W1931" s="28">
        <v>0</v>
      </c>
      <c r="X1931" s="26">
        <v>0</v>
      </c>
      <c r="Y1931" s="26">
        <v>0</v>
      </c>
      <c r="Z1931" s="26">
        <v>0</v>
      </c>
      <c r="AA1931" s="26">
        <v>0</v>
      </c>
    </row>
    <row r="1932" spans="1:27" x14ac:dyDescent="0.2">
      <c r="A1932">
        <f t="shared" si="60"/>
        <v>4</v>
      </c>
      <c r="B1932">
        <f t="shared" si="61"/>
        <v>14</v>
      </c>
      <c r="C1932" s="27">
        <v>46113</v>
      </c>
      <c r="D1932" s="27">
        <v>46128</v>
      </c>
      <c r="E1932" s="26" t="s">
        <v>26</v>
      </c>
      <c r="F1932" s="26" t="s">
        <v>49</v>
      </c>
      <c r="G1932" s="26" t="s">
        <v>50</v>
      </c>
      <c r="H1932" s="26" t="s">
        <v>29</v>
      </c>
      <c r="I1932" s="26" t="s">
        <v>30</v>
      </c>
      <c r="J1932" s="26" t="s">
        <v>47</v>
      </c>
      <c r="K1932" s="26" t="s">
        <v>42</v>
      </c>
      <c r="L1932" s="26" t="s">
        <v>101</v>
      </c>
      <c r="M1932" s="26">
        <v>305</v>
      </c>
      <c r="N1932" s="26">
        <v>6</v>
      </c>
      <c r="O1932" s="28">
        <v>1.9671999999999999E-2</v>
      </c>
      <c r="P1932" s="26">
        <v>0.78</v>
      </c>
      <c r="Q1932" s="26">
        <v>4.7</v>
      </c>
      <c r="R1932" s="26">
        <v>17.09</v>
      </c>
      <c r="S1932" s="28">
        <v>0.27501500000000001</v>
      </c>
      <c r="T1932" s="26">
        <v>3.64</v>
      </c>
      <c r="U1932" s="26">
        <v>1</v>
      </c>
      <c r="V1932" s="26">
        <v>1</v>
      </c>
      <c r="W1932" s="28">
        <v>0.16666700000000001</v>
      </c>
      <c r="X1932" s="26">
        <v>1</v>
      </c>
      <c r="Y1932" s="26">
        <v>0</v>
      </c>
      <c r="Z1932" s="26">
        <v>17.09</v>
      </c>
      <c r="AA1932" s="26">
        <v>0</v>
      </c>
    </row>
    <row r="1933" spans="1:27" x14ac:dyDescent="0.2">
      <c r="A1933">
        <f t="shared" si="60"/>
        <v>4</v>
      </c>
      <c r="B1933">
        <f t="shared" si="61"/>
        <v>15</v>
      </c>
      <c r="C1933" s="27">
        <v>46119</v>
      </c>
      <c r="D1933" s="27">
        <v>46119</v>
      </c>
      <c r="E1933" s="26" t="s">
        <v>26</v>
      </c>
      <c r="F1933" s="26" t="s">
        <v>27</v>
      </c>
      <c r="G1933" s="26" t="s">
        <v>28</v>
      </c>
      <c r="H1933" s="26" t="s">
        <v>29</v>
      </c>
      <c r="I1933" s="26" t="s">
        <v>30</v>
      </c>
      <c r="J1933" s="26" t="s">
        <v>542</v>
      </c>
      <c r="K1933" s="26" t="s">
        <v>32</v>
      </c>
      <c r="L1933" s="26" t="s">
        <v>101</v>
      </c>
      <c r="M1933" s="26">
        <v>2</v>
      </c>
      <c r="N1933" s="26">
        <v>1</v>
      </c>
      <c r="O1933" s="28">
        <v>0.5</v>
      </c>
      <c r="P1933" s="26">
        <v>0.22</v>
      </c>
      <c r="Q1933" s="26">
        <v>0.22</v>
      </c>
      <c r="R1933" s="26">
        <v>0</v>
      </c>
      <c r="S1933" s="26"/>
      <c r="T1933" s="26">
        <v>0</v>
      </c>
      <c r="U1933" s="26">
        <v>0</v>
      </c>
      <c r="V1933" s="26">
        <v>0</v>
      </c>
      <c r="W1933" s="28">
        <v>0</v>
      </c>
      <c r="X1933" s="26">
        <v>0</v>
      </c>
      <c r="Y1933" s="26">
        <v>0</v>
      </c>
      <c r="Z1933" s="26">
        <v>0</v>
      </c>
      <c r="AA1933" s="26">
        <v>0</v>
      </c>
    </row>
    <row r="1934" spans="1:27" x14ac:dyDescent="0.2">
      <c r="A1934">
        <f t="shared" si="60"/>
        <v>4</v>
      </c>
      <c r="B1934">
        <f t="shared" si="61"/>
        <v>18</v>
      </c>
      <c r="C1934" s="27">
        <v>46141</v>
      </c>
      <c r="D1934" s="27">
        <v>46141</v>
      </c>
      <c r="E1934" s="26" t="s">
        <v>26</v>
      </c>
      <c r="F1934" s="26" t="s">
        <v>27</v>
      </c>
      <c r="G1934" s="26" t="s">
        <v>28</v>
      </c>
      <c r="H1934" s="26" t="s">
        <v>29</v>
      </c>
      <c r="I1934" s="26" t="s">
        <v>30</v>
      </c>
      <c r="J1934" s="26" t="s">
        <v>50</v>
      </c>
      <c r="K1934" s="26" t="s">
        <v>32</v>
      </c>
      <c r="L1934" s="26" t="s">
        <v>101</v>
      </c>
      <c r="M1934" s="26">
        <v>7</v>
      </c>
      <c r="N1934" s="26">
        <v>1</v>
      </c>
      <c r="O1934" s="28">
        <v>0.14285700000000001</v>
      </c>
      <c r="P1934" s="26">
        <v>0.21</v>
      </c>
      <c r="Q1934" s="26">
        <v>0.21</v>
      </c>
      <c r="R1934" s="26">
        <v>0</v>
      </c>
      <c r="S1934" s="26"/>
      <c r="T1934" s="26">
        <v>0</v>
      </c>
      <c r="U1934" s="26">
        <v>0</v>
      </c>
      <c r="V1934" s="26">
        <v>0</v>
      </c>
      <c r="W1934" s="28">
        <v>0</v>
      </c>
      <c r="X1934" s="26">
        <v>0</v>
      </c>
      <c r="Y1934" s="26">
        <v>0</v>
      </c>
      <c r="Z1934" s="26">
        <v>0</v>
      </c>
      <c r="AA1934" s="26">
        <v>0</v>
      </c>
    </row>
    <row r="1935" spans="1:27" x14ac:dyDescent="0.2">
      <c r="A1935">
        <f t="shared" si="60"/>
        <v>4</v>
      </c>
      <c r="B1935">
        <f t="shared" si="61"/>
        <v>17</v>
      </c>
      <c r="C1935" s="27">
        <v>46137</v>
      </c>
      <c r="D1935" s="27">
        <v>46137</v>
      </c>
      <c r="E1935" s="26" t="s">
        <v>26</v>
      </c>
      <c r="F1935" s="26" t="s">
        <v>27</v>
      </c>
      <c r="G1935" s="26" t="s">
        <v>28</v>
      </c>
      <c r="H1935" s="26" t="s">
        <v>29</v>
      </c>
      <c r="I1935" s="26" t="s">
        <v>30</v>
      </c>
      <c r="J1935" s="26" t="s">
        <v>101</v>
      </c>
      <c r="K1935" s="26" t="s">
        <v>32</v>
      </c>
      <c r="L1935" s="26" t="s">
        <v>101</v>
      </c>
      <c r="M1935" s="26">
        <v>1</v>
      </c>
      <c r="N1935" s="26">
        <v>1</v>
      </c>
      <c r="O1935" s="28">
        <v>1</v>
      </c>
      <c r="P1935" s="26">
        <v>0.21</v>
      </c>
      <c r="Q1935" s="26">
        <v>0.21</v>
      </c>
      <c r="R1935" s="26">
        <v>0</v>
      </c>
      <c r="S1935" s="26"/>
      <c r="T1935" s="26">
        <v>0</v>
      </c>
      <c r="U1935" s="26">
        <v>0</v>
      </c>
      <c r="V1935" s="26">
        <v>0</v>
      </c>
      <c r="W1935" s="28">
        <v>0</v>
      </c>
      <c r="X1935" s="26">
        <v>0</v>
      </c>
      <c r="Y1935" s="26">
        <v>0</v>
      </c>
      <c r="Z1935" s="26">
        <v>0</v>
      </c>
      <c r="AA1935" s="26">
        <v>0</v>
      </c>
    </row>
    <row r="1936" spans="1:27" x14ac:dyDescent="0.2">
      <c r="A1936">
        <f t="shared" si="60"/>
        <v>4</v>
      </c>
      <c r="B1936">
        <f t="shared" si="61"/>
        <v>14</v>
      </c>
      <c r="C1936" s="27">
        <v>46115</v>
      </c>
      <c r="D1936" s="27">
        <v>46141</v>
      </c>
      <c r="E1936" s="26" t="s">
        <v>26</v>
      </c>
      <c r="F1936" s="26" t="s">
        <v>27</v>
      </c>
      <c r="G1936" s="26" t="s">
        <v>124</v>
      </c>
      <c r="H1936" s="26" t="s">
        <v>29</v>
      </c>
      <c r="I1936" s="26" t="s">
        <v>30</v>
      </c>
      <c r="J1936" s="26" t="s">
        <v>101</v>
      </c>
      <c r="K1936" s="26" t="s">
        <v>87</v>
      </c>
      <c r="L1936" s="26" t="s">
        <v>101</v>
      </c>
      <c r="M1936" s="26">
        <v>161</v>
      </c>
      <c r="N1936" s="26">
        <v>7</v>
      </c>
      <c r="O1936" s="28">
        <v>4.3478000000000003E-2</v>
      </c>
      <c r="P1936" s="26">
        <v>0.2</v>
      </c>
      <c r="Q1936" s="26">
        <v>1.4</v>
      </c>
      <c r="R1936" s="26">
        <v>0</v>
      </c>
      <c r="S1936" s="26"/>
      <c r="T1936" s="26">
        <v>0</v>
      </c>
      <c r="U1936" s="26">
        <v>0</v>
      </c>
      <c r="V1936" s="26">
        <v>0</v>
      </c>
      <c r="W1936" s="28">
        <v>0</v>
      </c>
      <c r="X1936" s="26">
        <v>0</v>
      </c>
      <c r="Y1936" s="26">
        <v>0</v>
      </c>
      <c r="Z1936" s="26">
        <v>0</v>
      </c>
      <c r="AA1936" s="26">
        <v>0</v>
      </c>
    </row>
    <row r="1937" spans="1:27" x14ac:dyDescent="0.2">
      <c r="A1937">
        <f t="shared" si="60"/>
        <v>4</v>
      </c>
      <c r="B1937">
        <f t="shared" si="61"/>
        <v>16</v>
      </c>
      <c r="C1937" s="27">
        <v>46128</v>
      </c>
      <c r="D1937" s="27">
        <v>46132</v>
      </c>
      <c r="E1937" s="26" t="s">
        <v>26</v>
      </c>
      <c r="F1937" s="26" t="s">
        <v>27</v>
      </c>
      <c r="G1937" s="26" t="s">
        <v>124</v>
      </c>
      <c r="H1937" s="26" t="s">
        <v>29</v>
      </c>
      <c r="I1937" s="26" t="s">
        <v>30</v>
      </c>
      <c r="J1937" s="26" t="s">
        <v>101</v>
      </c>
      <c r="K1937" s="26" t="s">
        <v>267</v>
      </c>
      <c r="L1937" s="26" t="s">
        <v>101</v>
      </c>
      <c r="M1937" s="26">
        <v>20</v>
      </c>
      <c r="N1937" s="26">
        <v>3</v>
      </c>
      <c r="O1937" s="28">
        <v>0.15</v>
      </c>
      <c r="P1937" s="26">
        <v>0.2</v>
      </c>
      <c r="Q1937" s="26">
        <v>0.6</v>
      </c>
      <c r="R1937" s="26">
        <v>18.04</v>
      </c>
      <c r="S1937" s="28">
        <v>3.3258999999999997E-2</v>
      </c>
      <c r="T1937" s="26">
        <v>30.07</v>
      </c>
      <c r="U1937" s="26">
        <v>1</v>
      </c>
      <c r="V1937" s="26">
        <v>1</v>
      </c>
      <c r="W1937" s="28">
        <v>0.33333299999999999</v>
      </c>
      <c r="X1937" s="26">
        <v>0</v>
      </c>
      <c r="Y1937" s="26">
        <v>1</v>
      </c>
      <c r="Z1937" s="26">
        <v>0</v>
      </c>
      <c r="AA1937" s="26">
        <v>18.04</v>
      </c>
    </row>
    <row r="1938" spans="1:27" x14ac:dyDescent="0.2">
      <c r="A1938">
        <f t="shared" si="60"/>
        <v>4</v>
      </c>
      <c r="B1938">
        <f t="shared" si="61"/>
        <v>15</v>
      </c>
      <c r="C1938" s="27">
        <v>46119</v>
      </c>
      <c r="D1938" s="27">
        <v>46119</v>
      </c>
      <c r="E1938" s="26" t="s">
        <v>26</v>
      </c>
      <c r="F1938" s="26" t="s">
        <v>39</v>
      </c>
      <c r="G1938" s="26" t="s">
        <v>40</v>
      </c>
      <c r="H1938" s="26" t="s">
        <v>29</v>
      </c>
      <c r="I1938" s="26" t="s">
        <v>30</v>
      </c>
      <c r="J1938" s="26" t="s">
        <v>78</v>
      </c>
      <c r="K1938" s="26" t="s">
        <v>42</v>
      </c>
      <c r="L1938" s="26" t="s">
        <v>101</v>
      </c>
      <c r="M1938" s="26">
        <v>11</v>
      </c>
      <c r="N1938" s="26">
        <v>1</v>
      </c>
      <c r="O1938" s="28">
        <v>9.0909000000000004E-2</v>
      </c>
      <c r="P1938" s="26">
        <v>0.4</v>
      </c>
      <c r="Q1938" s="26">
        <v>0.4</v>
      </c>
      <c r="R1938" s="26">
        <v>0</v>
      </c>
      <c r="S1938" s="26"/>
      <c r="T1938" s="26">
        <v>0</v>
      </c>
      <c r="U1938" s="26">
        <v>0</v>
      </c>
      <c r="V1938" s="26">
        <v>0</v>
      </c>
      <c r="W1938" s="28">
        <v>0</v>
      </c>
      <c r="X1938" s="26">
        <v>0</v>
      </c>
      <c r="Y1938" s="26">
        <v>0</v>
      </c>
      <c r="Z1938" s="26">
        <v>0</v>
      </c>
      <c r="AA1938" s="26">
        <v>0</v>
      </c>
    </row>
    <row r="1939" spans="1:27" x14ac:dyDescent="0.2">
      <c r="A1939">
        <f t="shared" si="60"/>
        <v>4</v>
      </c>
      <c r="B1939">
        <f t="shared" si="61"/>
        <v>15</v>
      </c>
      <c r="C1939" s="27">
        <v>46119</v>
      </c>
      <c r="D1939" s="27">
        <v>46140</v>
      </c>
      <c r="E1939" s="26" t="s">
        <v>26</v>
      </c>
      <c r="F1939" s="26" t="s">
        <v>27</v>
      </c>
      <c r="G1939" s="26" t="s">
        <v>28</v>
      </c>
      <c r="H1939" s="26" t="s">
        <v>29</v>
      </c>
      <c r="I1939" s="26" t="s">
        <v>30</v>
      </c>
      <c r="J1939" s="26" t="s">
        <v>44</v>
      </c>
      <c r="K1939" s="26" t="s">
        <v>32</v>
      </c>
      <c r="L1939" s="26" t="s">
        <v>101</v>
      </c>
      <c r="M1939" s="26">
        <v>30</v>
      </c>
      <c r="N1939" s="26">
        <v>6</v>
      </c>
      <c r="O1939" s="28">
        <v>0.2</v>
      </c>
      <c r="P1939" s="26">
        <v>0.2</v>
      </c>
      <c r="Q1939" s="26">
        <v>1.22</v>
      </c>
      <c r="R1939" s="26">
        <v>0</v>
      </c>
      <c r="S1939" s="26"/>
      <c r="T1939" s="26">
        <v>0</v>
      </c>
      <c r="U1939" s="26">
        <v>0</v>
      </c>
      <c r="V1939" s="26">
        <v>0</v>
      </c>
      <c r="W1939" s="28">
        <v>0</v>
      </c>
      <c r="X1939" s="26">
        <v>0</v>
      </c>
      <c r="Y1939" s="26">
        <v>0</v>
      </c>
      <c r="Z1939" s="26">
        <v>0</v>
      </c>
      <c r="AA1939" s="26">
        <v>0</v>
      </c>
    </row>
    <row r="1940" spans="1:27" x14ac:dyDescent="0.2">
      <c r="A1940">
        <f t="shared" si="60"/>
        <v>4</v>
      </c>
      <c r="B1940">
        <f t="shared" si="61"/>
        <v>15</v>
      </c>
      <c r="C1940" s="27">
        <v>46121</v>
      </c>
      <c r="D1940" s="27">
        <v>46137</v>
      </c>
      <c r="E1940" s="26" t="s">
        <v>26</v>
      </c>
      <c r="F1940" s="26" t="s">
        <v>49</v>
      </c>
      <c r="G1940" s="26" t="s">
        <v>50</v>
      </c>
      <c r="H1940" s="26" t="s">
        <v>29</v>
      </c>
      <c r="I1940" s="26" t="s">
        <v>30</v>
      </c>
      <c r="J1940" s="26" t="s">
        <v>47</v>
      </c>
      <c r="K1940" s="26" t="s">
        <v>42</v>
      </c>
      <c r="L1940" s="26" t="s">
        <v>99</v>
      </c>
      <c r="M1940" s="26">
        <v>180</v>
      </c>
      <c r="N1940" s="26">
        <v>5</v>
      </c>
      <c r="O1940" s="28">
        <v>2.7778000000000001E-2</v>
      </c>
      <c r="P1940" s="26">
        <v>0.82</v>
      </c>
      <c r="Q1940" s="26">
        <v>4.0999999999999996</v>
      </c>
      <c r="R1940" s="26">
        <v>0</v>
      </c>
      <c r="S1940" s="26"/>
      <c r="T1940" s="26">
        <v>0</v>
      </c>
      <c r="U1940" s="26">
        <v>0</v>
      </c>
      <c r="V1940" s="26">
        <v>0</v>
      </c>
      <c r="W1940" s="28">
        <v>0</v>
      </c>
      <c r="X1940" s="26">
        <v>0</v>
      </c>
      <c r="Y1940" s="26">
        <v>0</v>
      </c>
      <c r="Z1940" s="26">
        <v>0</v>
      </c>
      <c r="AA1940" s="26">
        <v>0</v>
      </c>
    </row>
    <row r="1941" spans="1:27" x14ac:dyDescent="0.2">
      <c r="A1941">
        <f t="shared" si="60"/>
        <v>4</v>
      </c>
      <c r="B1941">
        <f t="shared" si="61"/>
        <v>15</v>
      </c>
      <c r="C1941" s="27">
        <v>46122</v>
      </c>
      <c r="D1941" s="27">
        <v>46126</v>
      </c>
      <c r="E1941" s="26" t="s">
        <v>26</v>
      </c>
      <c r="F1941" s="26" t="s">
        <v>27</v>
      </c>
      <c r="G1941" s="26" t="s">
        <v>28</v>
      </c>
      <c r="H1941" s="26" t="s">
        <v>29</v>
      </c>
      <c r="I1941" s="26" t="s">
        <v>30</v>
      </c>
      <c r="J1941" s="26" t="s">
        <v>50</v>
      </c>
      <c r="K1941" s="26" t="s">
        <v>32</v>
      </c>
      <c r="L1941" s="26" t="s">
        <v>99</v>
      </c>
      <c r="M1941" s="26">
        <v>4</v>
      </c>
      <c r="N1941" s="26">
        <v>2</v>
      </c>
      <c r="O1941" s="28">
        <v>0.5</v>
      </c>
      <c r="P1941" s="26">
        <v>0.21</v>
      </c>
      <c r="Q1941" s="26">
        <v>0.42</v>
      </c>
      <c r="R1941" s="26">
        <v>18.989999999999998</v>
      </c>
      <c r="S1941" s="28">
        <v>2.2117000000000001E-2</v>
      </c>
      <c r="T1941" s="26">
        <v>45.21</v>
      </c>
      <c r="U1941" s="26">
        <v>1</v>
      </c>
      <c r="V1941" s="26">
        <v>1</v>
      </c>
      <c r="W1941" s="28">
        <v>0.5</v>
      </c>
      <c r="X1941" s="26">
        <v>1</v>
      </c>
      <c r="Y1941" s="26">
        <v>0</v>
      </c>
      <c r="Z1941" s="26">
        <v>18.989999999999998</v>
      </c>
      <c r="AA1941" s="26">
        <v>0</v>
      </c>
    </row>
    <row r="1942" spans="1:27" x14ac:dyDescent="0.2">
      <c r="A1942">
        <f t="shared" si="60"/>
        <v>4</v>
      </c>
      <c r="B1942">
        <f t="shared" si="61"/>
        <v>18</v>
      </c>
      <c r="C1942" s="27">
        <v>46141</v>
      </c>
      <c r="D1942" s="27">
        <v>46141</v>
      </c>
      <c r="E1942" s="26" t="s">
        <v>26</v>
      </c>
      <c r="F1942" s="26" t="s">
        <v>27</v>
      </c>
      <c r="G1942" s="26" t="s">
        <v>28</v>
      </c>
      <c r="H1942" s="26" t="s">
        <v>29</v>
      </c>
      <c r="I1942" s="26" t="s">
        <v>30</v>
      </c>
      <c r="J1942" s="26" t="s">
        <v>280</v>
      </c>
      <c r="K1942" s="26" t="s">
        <v>32</v>
      </c>
      <c r="L1942" s="26" t="s">
        <v>99</v>
      </c>
      <c r="M1942" s="26">
        <v>12</v>
      </c>
      <c r="N1942" s="26">
        <v>1</v>
      </c>
      <c r="O1942" s="28">
        <v>8.3333000000000004E-2</v>
      </c>
      <c r="P1942" s="26">
        <v>0.2</v>
      </c>
      <c r="Q1942" s="26">
        <v>0.2</v>
      </c>
      <c r="R1942" s="26">
        <v>0</v>
      </c>
      <c r="S1942" s="26"/>
      <c r="T1942" s="26">
        <v>0</v>
      </c>
      <c r="U1942" s="26">
        <v>0</v>
      </c>
      <c r="V1942" s="26">
        <v>0</v>
      </c>
      <c r="W1942" s="28">
        <v>0</v>
      </c>
      <c r="X1942" s="26">
        <v>0</v>
      </c>
      <c r="Y1942" s="26">
        <v>0</v>
      </c>
      <c r="Z1942" s="26">
        <v>0</v>
      </c>
      <c r="AA1942" s="26">
        <v>0</v>
      </c>
    </row>
    <row r="1943" spans="1:27" x14ac:dyDescent="0.2">
      <c r="A1943">
        <f t="shared" ref="A1943:A2006" si="62">MONTH(C1943)</f>
        <v>4</v>
      </c>
      <c r="B1943">
        <f t="shared" ref="B1943:B2006" si="63">WEEKNUM(C1943,1)</f>
        <v>15</v>
      </c>
      <c r="C1943" s="27">
        <v>46120</v>
      </c>
      <c r="D1943" s="27">
        <v>46138</v>
      </c>
      <c r="E1943" s="26" t="s">
        <v>26</v>
      </c>
      <c r="F1943" s="26" t="s">
        <v>27</v>
      </c>
      <c r="G1943" s="26" t="s">
        <v>124</v>
      </c>
      <c r="H1943" s="26" t="s">
        <v>29</v>
      </c>
      <c r="I1943" s="26" t="s">
        <v>30</v>
      </c>
      <c r="J1943" s="26" t="s">
        <v>101</v>
      </c>
      <c r="K1943" s="26" t="s">
        <v>87</v>
      </c>
      <c r="L1943" s="26" t="s">
        <v>99</v>
      </c>
      <c r="M1943" s="26">
        <v>17</v>
      </c>
      <c r="N1943" s="26">
        <v>3</v>
      </c>
      <c r="O1943" s="28">
        <v>0.17647099999999999</v>
      </c>
      <c r="P1943" s="26">
        <v>0.16</v>
      </c>
      <c r="Q1943" s="26">
        <v>0.48</v>
      </c>
      <c r="R1943" s="26">
        <v>0</v>
      </c>
      <c r="S1943" s="26"/>
      <c r="T1943" s="26">
        <v>0</v>
      </c>
      <c r="U1943" s="26">
        <v>0</v>
      </c>
      <c r="V1943" s="26">
        <v>0</v>
      </c>
      <c r="W1943" s="28">
        <v>0</v>
      </c>
      <c r="X1943" s="26">
        <v>0</v>
      </c>
      <c r="Y1943" s="26">
        <v>0</v>
      </c>
      <c r="Z1943" s="26">
        <v>0</v>
      </c>
      <c r="AA1943" s="26">
        <v>0</v>
      </c>
    </row>
    <row r="1944" spans="1:27" x14ac:dyDescent="0.2">
      <c r="A1944">
        <f t="shared" si="62"/>
        <v>4</v>
      </c>
      <c r="B1944">
        <f t="shared" si="63"/>
        <v>15</v>
      </c>
      <c r="C1944" s="27">
        <v>46121</v>
      </c>
      <c r="D1944" s="27">
        <v>46125</v>
      </c>
      <c r="E1944" s="26" t="s">
        <v>26</v>
      </c>
      <c r="F1944" s="26" t="s">
        <v>27</v>
      </c>
      <c r="G1944" s="26" t="s">
        <v>28</v>
      </c>
      <c r="H1944" s="26" t="s">
        <v>29</v>
      </c>
      <c r="I1944" s="26" t="s">
        <v>30</v>
      </c>
      <c r="J1944" s="26" t="s">
        <v>243</v>
      </c>
      <c r="K1944" s="26" t="s">
        <v>32</v>
      </c>
      <c r="L1944" s="26" t="s">
        <v>99</v>
      </c>
      <c r="M1944" s="26">
        <v>3</v>
      </c>
      <c r="N1944" s="26">
        <v>2</v>
      </c>
      <c r="O1944" s="28">
        <v>0.66666700000000001</v>
      </c>
      <c r="P1944" s="26">
        <v>0.21</v>
      </c>
      <c r="Q1944" s="26">
        <v>0.42</v>
      </c>
      <c r="R1944" s="26">
        <v>18.04</v>
      </c>
      <c r="S1944" s="28">
        <v>2.3282000000000001E-2</v>
      </c>
      <c r="T1944" s="26">
        <v>42.95</v>
      </c>
      <c r="U1944" s="26">
        <v>1</v>
      </c>
      <c r="V1944" s="26">
        <v>1</v>
      </c>
      <c r="W1944" s="28">
        <v>0.5</v>
      </c>
      <c r="X1944" s="26">
        <v>1</v>
      </c>
      <c r="Y1944" s="26">
        <v>0</v>
      </c>
      <c r="Z1944" s="26">
        <v>18.04</v>
      </c>
      <c r="AA1944" s="26">
        <v>0</v>
      </c>
    </row>
    <row r="1945" spans="1:27" x14ac:dyDescent="0.2">
      <c r="A1945">
        <f t="shared" si="62"/>
        <v>4</v>
      </c>
      <c r="B1945">
        <f t="shared" si="63"/>
        <v>14</v>
      </c>
      <c r="C1945" s="27">
        <v>46113</v>
      </c>
      <c r="D1945" s="27">
        <v>46113</v>
      </c>
      <c r="E1945" s="26" t="s">
        <v>26</v>
      </c>
      <c r="F1945" s="26" t="s">
        <v>27</v>
      </c>
      <c r="G1945" s="26" t="s">
        <v>28</v>
      </c>
      <c r="H1945" s="26" t="s">
        <v>29</v>
      </c>
      <c r="I1945" s="26" t="s">
        <v>30</v>
      </c>
      <c r="J1945" s="26" t="s">
        <v>44</v>
      </c>
      <c r="K1945" s="26" t="s">
        <v>32</v>
      </c>
      <c r="L1945" s="26" t="s">
        <v>99</v>
      </c>
      <c r="M1945" s="26">
        <v>2</v>
      </c>
      <c r="N1945" s="26">
        <v>1</v>
      </c>
      <c r="O1945" s="28">
        <v>0.5</v>
      </c>
      <c r="P1945" s="26">
        <v>0.21</v>
      </c>
      <c r="Q1945" s="26">
        <v>0.21</v>
      </c>
      <c r="R1945" s="26">
        <v>0</v>
      </c>
      <c r="S1945" s="26"/>
      <c r="T1945" s="26">
        <v>0</v>
      </c>
      <c r="U1945" s="26">
        <v>0</v>
      </c>
      <c r="V1945" s="26">
        <v>0</v>
      </c>
      <c r="W1945" s="28">
        <v>0</v>
      </c>
      <c r="X1945" s="26">
        <v>0</v>
      </c>
      <c r="Y1945" s="26">
        <v>0</v>
      </c>
      <c r="Z1945" s="26">
        <v>0</v>
      </c>
      <c r="AA1945" s="26">
        <v>0</v>
      </c>
    </row>
    <row r="1946" spans="1:27" x14ac:dyDescent="0.2">
      <c r="A1946">
        <f t="shared" si="62"/>
        <v>4</v>
      </c>
      <c r="B1946">
        <f t="shared" si="63"/>
        <v>16</v>
      </c>
      <c r="C1946" s="27">
        <v>46124</v>
      </c>
      <c r="D1946" s="27">
        <v>46131</v>
      </c>
      <c r="E1946" s="26" t="s">
        <v>26</v>
      </c>
      <c r="F1946" s="26" t="s">
        <v>27</v>
      </c>
      <c r="G1946" s="26" t="s">
        <v>28</v>
      </c>
      <c r="H1946" s="26" t="s">
        <v>29</v>
      </c>
      <c r="I1946" s="26" t="s">
        <v>30</v>
      </c>
      <c r="J1946" s="26" t="s">
        <v>99</v>
      </c>
      <c r="K1946" s="26" t="s">
        <v>32</v>
      </c>
      <c r="L1946" s="26" t="s">
        <v>99</v>
      </c>
      <c r="M1946" s="26">
        <v>11</v>
      </c>
      <c r="N1946" s="26">
        <v>2</v>
      </c>
      <c r="O1946" s="28">
        <v>0.18181800000000001</v>
      </c>
      <c r="P1946" s="26">
        <v>0.2</v>
      </c>
      <c r="Q1946" s="26">
        <v>0.4</v>
      </c>
      <c r="R1946" s="26">
        <v>0</v>
      </c>
      <c r="S1946" s="26"/>
      <c r="T1946" s="26">
        <v>0</v>
      </c>
      <c r="U1946" s="26">
        <v>0</v>
      </c>
      <c r="V1946" s="26">
        <v>0</v>
      </c>
      <c r="W1946" s="28">
        <v>0</v>
      </c>
      <c r="X1946" s="26">
        <v>0</v>
      </c>
      <c r="Y1946" s="26">
        <v>0</v>
      </c>
      <c r="Z1946" s="26">
        <v>0</v>
      </c>
      <c r="AA1946" s="26">
        <v>0</v>
      </c>
    </row>
    <row r="1947" spans="1:27" x14ac:dyDescent="0.2">
      <c r="A1947">
        <f t="shared" si="62"/>
        <v>4</v>
      </c>
      <c r="B1947">
        <f t="shared" si="63"/>
        <v>16</v>
      </c>
      <c r="C1947" s="27">
        <v>46124</v>
      </c>
      <c r="D1947" s="27">
        <v>46124</v>
      </c>
      <c r="E1947" s="26" t="s">
        <v>26</v>
      </c>
      <c r="F1947" s="26" t="s">
        <v>27</v>
      </c>
      <c r="G1947" s="26" t="s">
        <v>28</v>
      </c>
      <c r="H1947" s="26" t="s">
        <v>29</v>
      </c>
      <c r="I1947" s="26" t="s">
        <v>30</v>
      </c>
      <c r="J1947" s="26" t="s">
        <v>50</v>
      </c>
      <c r="K1947" s="26" t="s">
        <v>32</v>
      </c>
      <c r="L1947" s="26" t="s">
        <v>836</v>
      </c>
      <c r="M1947" s="26">
        <v>1</v>
      </c>
      <c r="N1947" s="26">
        <v>1</v>
      </c>
      <c r="O1947" s="28">
        <v>1</v>
      </c>
      <c r="P1947" s="26">
        <v>0.21</v>
      </c>
      <c r="Q1947" s="26">
        <v>0.21</v>
      </c>
      <c r="R1947" s="26">
        <v>0</v>
      </c>
      <c r="S1947" s="26"/>
      <c r="T1947" s="26">
        <v>0</v>
      </c>
      <c r="U1947" s="26">
        <v>0</v>
      </c>
      <c r="V1947" s="26">
        <v>0</v>
      </c>
      <c r="W1947" s="28">
        <v>0</v>
      </c>
      <c r="X1947" s="26">
        <v>0</v>
      </c>
      <c r="Y1947" s="26">
        <v>0</v>
      </c>
      <c r="Z1947" s="26">
        <v>0</v>
      </c>
      <c r="AA1947" s="26">
        <v>0</v>
      </c>
    </row>
    <row r="1948" spans="1:27" x14ac:dyDescent="0.2">
      <c r="A1948">
        <f t="shared" si="62"/>
        <v>4</v>
      </c>
      <c r="B1948">
        <f t="shared" si="63"/>
        <v>14</v>
      </c>
      <c r="C1948" s="27">
        <v>46116</v>
      </c>
      <c r="D1948" s="27">
        <v>46116</v>
      </c>
      <c r="E1948" s="26" t="s">
        <v>26</v>
      </c>
      <c r="F1948" s="26" t="s">
        <v>27</v>
      </c>
      <c r="G1948" s="26" t="s">
        <v>28</v>
      </c>
      <c r="H1948" s="26" t="s">
        <v>29</v>
      </c>
      <c r="I1948" s="26" t="s">
        <v>30</v>
      </c>
      <c r="J1948" s="26" t="s">
        <v>253</v>
      </c>
      <c r="K1948" s="26" t="s">
        <v>32</v>
      </c>
      <c r="L1948" s="26" t="s">
        <v>836</v>
      </c>
      <c r="M1948" s="26">
        <v>3</v>
      </c>
      <c r="N1948" s="26">
        <v>1</v>
      </c>
      <c r="O1948" s="28">
        <v>0.33333299999999999</v>
      </c>
      <c r="P1948" s="26">
        <v>0.2</v>
      </c>
      <c r="Q1948" s="26">
        <v>0.2</v>
      </c>
      <c r="R1948" s="26">
        <v>0</v>
      </c>
      <c r="S1948" s="26"/>
      <c r="T1948" s="26">
        <v>0</v>
      </c>
      <c r="U1948" s="26">
        <v>0</v>
      </c>
      <c r="V1948" s="26">
        <v>0</v>
      </c>
      <c r="W1948" s="28">
        <v>0</v>
      </c>
      <c r="X1948" s="26">
        <v>0</v>
      </c>
      <c r="Y1948" s="26">
        <v>0</v>
      </c>
      <c r="Z1948" s="26">
        <v>0</v>
      </c>
      <c r="AA1948" s="26">
        <v>0</v>
      </c>
    </row>
    <row r="1949" spans="1:27" x14ac:dyDescent="0.2">
      <c r="A1949">
        <f t="shared" si="62"/>
        <v>4</v>
      </c>
      <c r="B1949">
        <f t="shared" si="63"/>
        <v>15</v>
      </c>
      <c r="C1949" s="27">
        <v>46123</v>
      </c>
      <c r="D1949" s="27">
        <v>46126</v>
      </c>
      <c r="E1949" s="26" t="s">
        <v>26</v>
      </c>
      <c r="F1949" s="26" t="s">
        <v>39</v>
      </c>
      <c r="G1949" s="26" t="s">
        <v>40</v>
      </c>
      <c r="H1949" s="26" t="s">
        <v>29</v>
      </c>
      <c r="I1949" s="26" t="s">
        <v>30</v>
      </c>
      <c r="J1949" s="26" t="s">
        <v>70</v>
      </c>
      <c r="K1949" s="26" t="s">
        <v>42</v>
      </c>
      <c r="L1949" s="26" t="s">
        <v>836</v>
      </c>
      <c r="M1949" s="26">
        <v>2</v>
      </c>
      <c r="N1949" s="26">
        <v>2</v>
      </c>
      <c r="O1949" s="28">
        <v>1</v>
      </c>
      <c r="P1949" s="26">
        <v>0.62</v>
      </c>
      <c r="Q1949" s="26">
        <v>1.23</v>
      </c>
      <c r="R1949" s="26">
        <v>0</v>
      </c>
      <c r="S1949" s="26"/>
      <c r="T1949" s="26">
        <v>0</v>
      </c>
      <c r="U1949" s="26">
        <v>0</v>
      </c>
      <c r="V1949" s="26">
        <v>0</v>
      </c>
      <c r="W1949" s="28">
        <v>0</v>
      </c>
      <c r="X1949" s="26">
        <v>0</v>
      </c>
      <c r="Y1949" s="26">
        <v>0</v>
      </c>
      <c r="Z1949" s="26">
        <v>0</v>
      </c>
      <c r="AA1949" s="26">
        <v>0</v>
      </c>
    </row>
    <row r="1950" spans="1:27" x14ac:dyDescent="0.2">
      <c r="A1950">
        <f t="shared" si="62"/>
        <v>4</v>
      </c>
      <c r="B1950">
        <f t="shared" si="63"/>
        <v>15</v>
      </c>
      <c r="C1950" s="27">
        <v>46123</v>
      </c>
      <c r="D1950" s="27">
        <v>46123</v>
      </c>
      <c r="E1950" s="26" t="s">
        <v>26</v>
      </c>
      <c r="F1950" s="26" t="s">
        <v>27</v>
      </c>
      <c r="G1950" s="26" t="s">
        <v>124</v>
      </c>
      <c r="H1950" s="26" t="s">
        <v>29</v>
      </c>
      <c r="I1950" s="26" t="s">
        <v>30</v>
      </c>
      <c r="J1950" s="26" t="s">
        <v>99</v>
      </c>
      <c r="K1950" s="26" t="s">
        <v>87</v>
      </c>
      <c r="L1950" s="26" t="s">
        <v>1335</v>
      </c>
      <c r="M1950" s="26">
        <v>1</v>
      </c>
      <c r="N1950" s="26">
        <v>1</v>
      </c>
      <c r="O1950" s="28">
        <v>1</v>
      </c>
      <c r="P1950" s="26">
        <v>0.4</v>
      </c>
      <c r="Q1950" s="26">
        <v>0.4</v>
      </c>
      <c r="R1950" s="26">
        <v>0</v>
      </c>
      <c r="S1950" s="26"/>
      <c r="T1950" s="26">
        <v>0</v>
      </c>
      <c r="U1950" s="26">
        <v>0</v>
      </c>
      <c r="V1950" s="26">
        <v>0</v>
      </c>
      <c r="W1950" s="28">
        <v>0</v>
      </c>
      <c r="X1950" s="26">
        <v>0</v>
      </c>
      <c r="Y1950" s="26">
        <v>0</v>
      </c>
      <c r="Z1950" s="26">
        <v>0</v>
      </c>
      <c r="AA1950" s="26">
        <v>0</v>
      </c>
    </row>
    <row r="1951" spans="1:27" x14ac:dyDescent="0.2">
      <c r="A1951">
        <f t="shared" si="62"/>
        <v>4</v>
      </c>
      <c r="B1951">
        <f t="shared" si="63"/>
        <v>15</v>
      </c>
      <c r="C1951" s="27">
        <v>46118</v>
      </c>
      <c r="D1951" s="27">
        <v>46118</v>
      </c>
      <c r="E1951" s="26" t="s">
        <v>26</v>
      </c>
      <c r="F1951" s="26" t="s">
        <v>27</v>
      </c>
      <c r="G1951" s="26" t="s">
        <v>124</v>
      </c>
      <c r="H1951" s="26" t="s">
        <v>29</v>
      </c>
      <c r="I1951" s="26" t="s">
        <v>30</v>
      </c>
      <c r="J1951" s="26" t="s">
        <v>101</v>
      </c>
      <c r="K1951" s="26" t="s">
        <v>87</v>
      </c>
      <c r="L1951" s="26" t="s">
        <v>1336</v>
      </c>
      <c r="M1951" s="26">
        <v>3</v>
      </c>
      <c r="N1951" s="26">
        <v>1</v>
      </c>
      <c r="O1951" s="28">
        <v>0.33333299999999999</v>
      </c>
      <c r="P1951" s="26">
        <v>0.08</v>
      </c>
      <c r="Q1951" s="26">
        <v>0.08</v>
      </c>
      <c r="R1951" s="26">
        <v>0</v>
      </c>
      <c r="S1951" s="26"/>
      <c r="T1951" s="26">
        <v>0</v>
      </c>
      <c r="U1951" s="26">
        <v>0</v>
      </c>
      <c r="V1951" s="26">
        <v>0</v>
      </c>
      <c r="W1951" s="28">
        <v>0</v>
      </c>
      <c r="X1951" s="26">
        <v>0</v>
      </c>
      <c r="Y1951" s="26">
        <v>0</v>
      </c>
      <c r="Z1951" s="26">
        <v>0</v>
      </c>
      <c r="AA1951" s="26">
        <v>0</v>
      </c>
    </row>
    <row r="1952" spans="1:27" x14ac:dyDescent="0.2">
      <c r="A1952">
        <f t="shared" si="62"/>
        <v>4</v>
      </c>
      <c r="B1952">
        <f t="shared" si="63"/>
        <v>16</v>
      </c>
      <c r="C1952" s="27">
        <v>46127</v>
      </c>
      <c r="D1952" s="27">
        <v>46127</v>
      </c>
      <c r="E1952" s="26" t="s">
        <v>26</v>
      </c>
      <c r="F1952" s="26" t="s">
        <v>27</v>
      </c>
      <c r="G1952" s="26" t="s">
        <v>124</v>
      </c>
      <c r="H1952" s="26" t="s">
        <v>29</v>
      </c>
      <c r="I1952" s="26" t="s">
        <v>30</v>
      </c>
      <c r="J1952" s="26" t="s">
        <v>101</v>
      </c>
      <c r="K1952" s="26" t="s">
        <v>87</v>
      </c>
      <c r="L1952" s="26" t="s">
        <v>1337</v>
      </c>
      <c r="M1952" s="26">
        <v>1</v>
      </c>
      <c r="N1952" s="26">
        <v>1</v>
      </c>
      <c r="O1952" s="28">
        <v>1</v>
      </c>
      <c r="P1952" s="26">
        <v>0.4</v>
      </c>
      <c r="Q1952" s="26">
        <v>0.4</v>
      </c>
      <c r="R1952" s="26">
        <v>0</v>
      </c>
      <c r="S1952" s="26"/>
      <c r="T1952" s="26">
        <v>0</v>
      </c>
      <c r="U1952" s="26">
        <v>0</v>
      </c>
      <c r="V1952" s="26">
        <v>0</v>
      </c>
      <c r="W1952" s="28">
        <v>0</v>
      </c>
      <c r="X1952" s="26">
        <v>0</v>
      </c>
      <c r="Y1952" s="26">
        <v>0</v>
      </c>
      <c r="Z1952" s="26">
        <v>0</v>
      </c>
      <c r="AA1952" s="26">
        <v>0</v>
      </c>
    </row>
    <row r="1953" spans="1:27" x14ac:dyDescent="0.2">
      <c r="A1953">
        <f t="shared" si="62"/>
        <v>4</v>
      </c>
      <c r="B1953">
        <f t="shared" si="63"/>
        <v>16</v>
      </c>
      <c r="C1953" s="27">
        <v>46128</v>
      </c>
      <c r="D1953" s="27">
        <v>46128</v>
      </c>
      <c r="E1953" s="26" t="s">
        <v>26</v>
      </c>
      <c r="F1953" s="26" t="s">
        <v>27</v>
      </c>
      <c r="G1953" s="26" t="s">
        <v>28</v>
      </c>
      <c r="H1953" s="26" t="s">
        <v>29</v>
      </c>
      <c r="I1953" s="26" t="s">
        <v>30</v>
      </c>
      <c r="J1953" s="26" t="s">
        <v>311</v>
      </c>
      <c r="K1953" s="26" t="s">
        <v>32</v>
      </c>
      <c r="L1953" s="26" t="s">
        <v>279</v>
      </c>
      <c r="M1953" s="26">
        <v>1</v>
      </c>
      <c r="N1953" s="26">
        <v>1</v>
      </c>
      <c r="O1953" s="28">
        <v>1</v>
      </c>
      <c r="P1953" s="26">
        <v>0.21</v>
      </c>
      <c r="Q1953" s="26">
        <v>0.21</v>
      </c>
      <c r="R1953" s="26">
        <v>0</v>
      </c>
      <c r="S1953" s="26"/>
      <c r="T1953" s="26">
        <v>0</v>
      </c>
      <c r="U1953" s="26">
        <v>0</v>
      </c>
      <c r="V1953" s="26">
        <v>0</v>
      </c>
      <c r="W1953" s="28">
        <v>0</v>
      </c>
      <c r="X1953" s="26">
        <v>0</v>
      </c>
      <c r="Y1953" s="26">
        <v>0</v>
      </c>
      <c r="Z1953" s="26">
        <v>0</v>
      </c>
      <c r="AA1953" s="26">
        <v>0</v>
      </c>
    </row>
    <row r="1954" spans="1:27" x14ac:dyDescent="0.2">
      <c r="A1954">
        <f t="shared" si="62"/>
        <v>4</v>
      </c>
      <c r="B1954">
        <f t="shared" si="63"/>
        <v>14</v>
      </c>
      <c r="C1954" s="27">
        <v>46116</v>
      </c>
      <c r="D1954" s="27">
        <v>46116</v>
      </c>
      <c r="E1954" s="26" t="s">
        <v>26</v>
      </c>
      <c r="F1954" s="26" t="s">
        <v>27</v>
      </c>
      <c r="G1954" s="26" t="s">
        <v>28</v>
      </c>
      <c r="H1954" s="26" t="s">
        <v>29</v>
      </c>
      <c r="I1954" s="26" t="s">
        <v>30</v>
      </c>
      <c r="J1954" s="26" t="s">
        <v>44</v>
      </c>
      <c r="K1954" s="26" t="s">
        <v>32</v>
      </c>
      <c r="L1954" s="26" t="s">
        <v>1338</v>
      </c>
      <c r="M1954" s="26">
        <v>2</v>
      </c>
      <c r="N1954" s="26">
        <v>1</v>
      </c>
      <c r="O1954" s="28">
        <v>0.5</v>
      </c>
      <c r="P1954" s="26">
        <v>0.21</v>
      </c>
      <c r="Q1954" s="26">
        <v>0.21</v>
      </c>
      <c r="R1954" s="26">
        <v>37.979999999999997</v>
      </c>
      <c r="S1954" s="28">
        <v>5.5290000000000001E-3</v>
      </c>
      <c r="T1954" s="26">
        <v>180.86</v>
      </c>
      <c r="U1954" s="26">
        <v>1</v>
      </c>
      <c r="V1954" s="26">
        <v>2</v>
      </c>
      <c r="W1954" s="28">
        <v>1</v>
      </c>
      <c r="X1954" s="26">
        <v>2</v>
      </c>
      <c r="Y1954" s="26">
        <v>0</v>
      </c>
      <c r="Z1954" s="26">
        <v>37.979999999999997</v>
      </c>
      <c r="AA1954" s="26">
        <v>0</v>
      </c>
    </row>
    <row r="1955" spans="1:27" x14ac:dyDescent="0.2">
      <c r="A1955">
        <f t="shared" si="62"/>
        <v>4</v>
      </c>
      <c r="B1955">
        <f t="shared" si="63"/>
        <v>15</v>
      </c>
      <c r="C1955" s="27">
        <v>46121</v>
      </c>
      <c r="D1955" s="27">
        <v>46121</v>
      </c>
      <c r="E1955" s="26" t="s">
        <v>26</v>
      </c>
      <c r="F1955" s="26" t="s">
        <v>49</v>
      </c>
      <c r="G1955" s="26" t="s">
        <v>50</v>
      </c>
      <c r="H1955" s="26" t="s">
        <v>29</v>
      </c>
      <c r="I1955" s="26" t="s">
        <v>30</v>
      </c>
      <c r="J1955" s="26" t="s">
        <v>47</v>
      </c>
      <c r="K1955" s="26" t="s">
        <v>42</v>
      </c>
      <c r="L1955" s="26" t="s">
        <v>1339</v>
      </c>
      <c r="M1955" s="26">
        <v>1</v>
      </c>
      <c r="N1955" s="26">
        <v>1</v>
      </c>
      <c r="O1955" s="28">
        <v>1</v>
      </c>
      <c r="P1955" s="26">
        <v>0.75</v>
      </c>
      <c r="Q1955" s="26">
        <v>0.75</v>
      </c>
      <c r="R1955" s="26">
        <v>18.989999999999998</v>
      </c>
      <c r="S1955" s="28">
        <v>3.9494000000000001E-2</v>
      </c>
      <c r="T1955" s="26">
        <v>25.32</v>
      </c>
      <c r="U1955" s="26">
        <v>1</v>
      </c>
      <c r="V1955" s="26">
        <v>1</v>
      </c>
      <c r="W1955" s="28">
        <v>1</v>
      </c>
      <c r="X1955" s="26">
        <v>1</v>
      </c>
      <c r="Y1955" s="26">
        <v>0</v>
      </c>
      <c r="Z1955" s="26">
        <v>18.989999999999998</v>
      </c>
      <c r="AA1955" s="26">
        <v>0</v>
      </c>
    </row>
    <row r="1956" spans="1:27" x14ac:dyDescent="0.2">
      <c r="A1956">
        <f t="shared" si="62"/>
        <v>4</v>
      </c>
      <c r="B1956">
        <f t="shared" si="63"/>
        <v>18</v>
      </c>
      <c r="C1956" s="27">
        <v>46138</v>
      </c>
      <c r="D1956" s="27">
        <v>46138</v>
      </c>
      <c r="E1956" s="26" t="s">
        <v>26</v>
      </c>
      <c r="F1956" s="26" t="s">
        <v>27</v>
      </c>
      <c r="G1956" s="26" t="s">
        <v>28</v>
      </c>
      <c r="H1956" s="26" t="s">
        <v>29</v>
      </c>
      <c r="I1956" s="26" t="s">
        <v>30</v>
      </c>
      <c r="J1956" s="26" t="s">
        <v>243</v>
      </c>
      <c r="K1956" s="26" t="s">
        <v>32</v>
      </c>
      <c r="L1956" s="26" t="s">
        <v>1340</v>
      </c>
      <c r="M1956" s="26">
        <v>2</v>
      </c>
      <c r="N1956" s="26">
        <v>1</v>
      </c>
      <c r="O1956" s="28">
        <v>0.5</v>
      </c>
      <c r="P1956" s="26">
        <v>0.2</v>
      </c>
      <c r="Q1956" s="26">
        <v>0.2</v>
      </c>
      <c r="R1956" s="26">
        <v>0</v>
      </c>
      <c r="S1956" s="26"/>
      <c r="T1956" s="26">
        <v>0</v>
      </c>
      <c r="U1956" s="26">
        <v>0</v>
      </c>
      <c r="V1956" s="26">
        <v>0</v>
      </c>
      <c r="W1956" s="28">
        <v>0</v>
      </c>
      <c r="X1956" s="26">
        <v>0</v>
      </c>
      <c r="Y1956" s="26">
        <v>0</v>
      </c>
      <c r="Z1956" s="26">
        <v>0</v>
      </c>
      <c r="AA1956" s="26">
        <v>0</v>
      </c>
    </row>
    <row r="1957" spans="1:27" x14ac:dyDescent="0.2">
      <c r="A1957">
        <f t="shared" si="62"/>
        <v>4</v>
      </c>
      <c r="B1957">
        <f t="shared" si="63"/>
        <v>15</v>
      </c>
      <c r="C1957" s="27">
        <v>46121</v>
      </c>
      <c r="D1957" s="27">
        <v>46121</v>
      </c>
      <c r="E1957" s="26" t="s">
        <v>26</v>
      </c>
      <c r="F1957" s="26" t="s">
        <v>27</v>
      </c>
      <c r="G1957" s="26" t="s">
        <v>28</v>
      </c>
      <c r="H1957" s="26" t="s">
        <v>29</v>
      </c>
      <c r="I1957" s="26" t="s">
        <v>30</v>
      </c>
      <c r="J1957" s="26" t="s">
        <v>31</v>
      </c>
      <c r="K1957" s="26" t="s">
        <v>32</v>
      </c>
      <c r="L1957" s="26" t="s">
        <v>840</v>
      </c>
      <c r="M1957" s="26">
        <v>1</v>
      </c>
      <c r="N1957" s="26">
        <v>1</v>
      </c>
      <c r="O1957" s="28">
        <v>1</v>
      </c>
      <c r="P1957" s="26">
        <v>0.21</v>
      </c>
      <c r="Q1957" s="26">
        <v>0.21</v>
      </c>
      <c r="R1957" s="26">
        <v>0</v>
      </c>
      <c r="S1957" s="26"/>
      <c r="T1957" s="26">
        <v>0</v>
      </c>
      <c r="U1957" s="26">
        <v>0</v>
      </c>
      <c r="V1957" s="26">
        <v>0</v>
      </c>
      <c r="W1957" s="28">
        <v>0</v>
      </c>
      <c r="X1957" s="26">
        <v>0</v>
      </c>
      <c r="Y1957" s="26">
        <v>0</v>
      </c>
      <c r="Z1957" s="26">
        <v>0</v>
      </c>
      <c r="AA1957" s="26">
        <v>0</v>
      </c>
    </row>
    <row r="1958" spans="1:27" x14ac:dyDescent="0.2">
      <c r="A1958">
        <f t="shared" si="62"/>
        <v>4</v>
      </c>
      <c r="B1958">
        <f t="shared" si="63"/>
        <v>18</v>
      </c>
      <c r="C1958" s="27">
        <v>46141</v>
      </c>
      <c r="D1958" s="27">
        <v>46141</v>
      </c>
      <c r="E1958" s="26" t="s">
        <v>26</v>
      </c>
      <c r="F1958" s="26" t="s">
        <v>49</v>
      </c>
      <c r="G1958" s="26" t="s">
        <v>50</v>
      </c>
      <c r="H1958" s="26" t="s">
        <v>29</v>
      </c>
      <c r="I1958" s="26" t="s">
        <v>30</v>
      </c>
      <c r="J1958" s="26" t="s">
        <v>47</v>
      </c>
      <c r="K1958" s="26" t="s">
        <v>42</v>
      </c>
      <c r="L1958" s="26" t="s">
        <v>50</v>
      </c>
      <c r="M1958" s="26">
        <v>2</v>
      </c>
      <c r="N1958" s="26">
        <v>1</v>
      </c>
      <c r="O1958" s="28">
        <v>0.5</v>
      </c>
      <c r="P1958" s="26">
        <v>1.1399999999999999</v>
      </c>
      <c r="Q1958" s="26">
        <v>1.1399999999999999</v>
      </c>
      <c r="R1958" s="26">
        <v>0</v>
      </c>
      <c r="S1958" s="26"/>
      <c r="T1958" s="26">
        <v>0</v>
      </c>
      <c r="U1958" s="26">
        <v>0</v>
      </c>
      <c r="V1958" s="26">
        <v>0</v>
      </c>
      <c r="W1958" s="28">
        <v>0</v>
      </c>
      <c r="X1958" s="26">
        <v>0</v>
      </c>
      <c r="Y1958" s="26">
        <v>0</v>
      </c>
      <c r="Z1958" s="26">
        <v>0</v>
      </c>
      <c r="AA1958" s="26">
        <v>0</v>
      </c>
    </row>
    <row r="1959" spans="1:27" x14ac:dyDescent="0.2">
      <c r="A1959">
        <f t="shared" si="62"/>
        <v>4</v>
      </c>
      <c r="B1959">
        <f t="shared" si="63"/>
        <v>15</v>
      </c>
      <c r="C1959" s="27">
        <v>46121</v>
      </c>
      <c r="D1959" s="27">
        <v>46139</v>
      </c>
      <c r="E1959" s="26" t="s">
        <v>26</v>
      </c>
      <c r="F1959" s="26" t="s">
        <v>27</v>
      </c>
      <c r="G1959" s="26" t="s">
        <v>28</v>
      </c>
      <c r="H1959" s="26" t="s">
        <v>29</v>
      </c>
      <c r="I1959" s="26" t="s">
        <v>30</v>
      </c>
      <c r="J1959" s="26" t="s">
        <v>50</v>
      </c>
      <c r="K1959" s="26" t="s">
        <v>32</v>
      </c>
      <c r="L1959" s="26" t="s">
        <v>50</v>
      </c>
      <c r="M1959" s="26">
        <v>30</v>
      </c>
      <c r="N1959" s="26">
        <v>2</v>
      </c>
      <c r="O1959" s="28">
        <v>6.6667000000000004E-2</v>
      </c>
      <c r="P1959" s="26">
        <v>0.21</v>
      </c>
      <c r="Q1959" s="26">
        <v>0.42</v>
      </c>
      <c r="R1959" s="26">
        <v>0</v>
      </c>
      <c r="S1959" s="26"/>
      <c r="T1959" s="26">
        <v>0</v>
      </c>
      <c r="U1959" s="26">
        <v>0</v>
      </c>
      <c r="V1959" s="26">
        <v>0</v>
      </c>
      <c r="W1959" s="28">
        <v>0</v>
      </c>
      <c r="X1959" s="26">
        <v>0</v>
      </c>
      <c r="Y1959" s="26">
        <v>0</v>
      </c>
      <c r="Z1959" s="26">
        <v>0</v>
      </c>
      <c r="AA1959" s="26">
        <v>0</v>
      </c>
    </row>
    <row r="1960" spans="1:27" x14ac:dyDescent="0.2">
      <c r="A1960">
        <f t="shared" si="62"/>
        <v>4</v>
      </c>
      <c r="B1960">
        <f t="shared" si="63"/>
        <v>15</v>
      </c>
      <c r="C1960" s="27">
        <v>46122</v>
      </c>
      <c r="D1960" s="27">
        <v>46133</v>
      </c>
      <c r="E1960" s="26" t="s">
        <v>26</v>
      </c>
      <c r="F1960" s="26" t="s">
        <v>27</v>
      </c>
      <c r="G1960" s="26" t="s">
        <v>28</v>
      </c>
      <c r="H1960" s="26" t="s">
        <v>29</v>
      </c>
      <c r="I1960" s="26" t="s">
        <v>30</v>
      </c>
      <c r="J1960" s="26" t="s">
        <v>280</v>
      </c>
      <c r="K1960" s="26" t="s">
        <v>32</v>
      </c>
      <c r="L1960" s="26" t="s">
        <v>280</v>
      </c>
      <c r="M1960" s="26">
        <v>12</v>
      </c>
      <c r="N1960" s="26">
        <v>2</v>
      </c>
      <c r="O1960" s="28">
        <v>0.16666700000000001</v>
      </c>
      <c r="P1960" s="26">
        <v>0.21</v>
      </c>
      <c r="Q1960" s="26">
        <v>0.41</v>
      </c>
      <c r="R1960" s="26">
        <v>0</v>
      </c>
      <c r="S1960" s="26"/>
      <c r="T1960" s="26">
        <v>0</v>
      </c>
      <c r="U1960" s="26">
        <v>0</v>
      </c>
      <c r="V1960" s="26">
        <v>0</v>
      </c>
      <c r="W1960" s="28">
        <v>0</v>
      </c>
      <c r="X1960" s="26">
        <v>0</v>
      </c>
      <c r="Y1960" s="26">
        <v>0</v>
      </c>
      <c r="Z1960" s="26">
        <v>0</v>
      </c>
      <c r="AA1960" s="26">
        <v>0</v>
      </c>
    </row>
    <row r="1961" spans="1:27" x14ac:dyDescent="0.2">
      <c r="A1961">
        <f t="shared" si="62"/>
        <v>4</v>
      </c>
      <c r="B1961">
        <f t="shared" si="63"/>
        <v>15</v>
      </c>
      <c r="C1961" s="27">
        <v>46117</v>
      </c>
      <c r="D1961" s="27">
        <v>46141</v>
      </c>
      <c r="E1961" s="26" t="s">
        <v>26</v>
      </c>
      <c r="F1961" s="26" t="s">
        <v>27</v>
      </c>
      <c r="G1961" s="26" t="s">
        <v>124</v>
      </c>
      <c r="H1961" s="26" t="s">
        <v>29</v>
      </c>
      <c r="I1961" s="26" t="s">
        <v>30</v>
      </c>
      <c r="J1961" s="26" t="s">
        <v>280</v>
      </c>
      <c r="K1961" s="26" t="s">
        <v>87</v>
      </c>
      <c r="L1961" s="26" t="s">
        <v>280</v>
      </c>
      <c r="M1961" s="26">
        <v>53</v>
      </c>
      <c r="N1961" s="26">
        <v>6</v>
      </c>
      <c r="O1961" s="28">
        <v>0.113208</v>
      </c>
      <c r="P1961" s="26">
        <v>0.18</v>
      </c>
      <c r="Q1961" s="26">
        <v>1.05</v>
      </c>
      <c r="R1961" s="26">
        <v>18.989999999999998</v>
      </c>
      <c r="S1961" s="28">
        <v>5.5292000000000001E-2</v>
      </c>
      <c r="T1961" s="26">
        <v>18.09</v>
      </c>
      <c r="U1961" s="26">
        <v>1</v>
      </c>
      <c r="V1961" s="26">
        <v>1</v>
      </c>
      <c r="W1961" s="28">
        <v>0.16666700000000001</v>
      </c>
      <c r="X1961" s="26">
        <v>1</v>
      </c>
      <c r="Y1961" s="26">
        <v>0</v>
      </c>
      <c r="Z1961" s="26">
        <v>18.989999999999998</v>
      </c>
      <c r="AA1961" s="26">
        <v>0</v>
      </c>
    </row>
    <row r="1962" spans="1:27" x14ac:dyDescent="0.2">
      <c r="A1962">
        <f t="shared" si="62"/>
        <v>4</v>
      </c>
      <c r="B1962">
        <f t="shared" si="63"/>
        <v>18</v>
      </c>
      <c r="C1962" s="27">
        <v>46140</v>
      </c>
      <c r="D1962" s="27">
        <v>46140</v>
      </c>
      <c r="E1962" s="26" t="s">
        <v>26</v>
      </c>
      <c r="F1962" s="26" t="s">
        <v>27</v>
      </c>
      <c r="G1962" s="26" t="s">
        <v>28</v>
      </c>
      <c r="H1962" s="26" t="s">
        <v>29</v>
      </c>
      <c r="I1962" s="26" t="s">
        <v>30</v>
      </c>
      <c r="J1962" s="26" t="s">
        <v>50</v>
      </c>
      <c r="K1962" s="26" t="s">
        <v>32</v>
      </c>
      <c r="L1962" s="26" t="s">
        <v>1341</v>
      </c>
      <c r="M1962" s="26">
        <v>2</v>
      </c>
      <c r="N1962" s="26">
        <v>1</v>
      </c>
      <c r="O1962" s="28">
        <v>0.5</v>
      </c>
      <c r="P1962" s="26">
        <v>0.21</v>
      </c>
      <c r="Q1962" s="26">
        <v>0.21</v>
      </c>
      <c r="R1962" s="26">
        <v>0</v>
      </c>
      <c r="S1962" s="26"/>
      <c r="T1962" s="26">
        <v>0</v>
      </c>
      <c r="U1962" s="26">
        <v>0</v>
      </c>
      <c r="V1962" s="26">
        <v>0</v>
      </c>
      <c r="W1962" s="28">
        <v>0</v>
      </c>
      <c r="X1962" s="26">
        <v>0</v>
      </c>
      <c r="Y1962" s="26">
        <v>0</v>
      </c>
      <c r="Z1962" s="26">
        <v>0</v>
      </c>
      <c r="AA1962" s="26">
        <v>0</v>
      </c>
    </row>
    <row r="1963" spans="1:27" x14ac:dyDescent="0.2">
      <c r="A1963">
        <f t="shared" si="62"/>
        <v>4</v>
      </c>
      <c r="B1963">
        <f t="shared" si="63"/>
        <v>17</v>
      </c>
      <c r="C1963" s="27">
        <v>46135</v>
      </c>
      <c r="D1963" s="27">
        <v>46135</v>
      </c>
      <c r="E1963" s="26" t="s">
        <v>26</v>
      </c>
      <c r="F1963" s="26" t="s">
        <v>49</v>
      </c>
      <c r="G1963" s="26" t="s">
        <v>50</v>
      </c>
      <c r="H1963" s="26" t="s">
        <v>29</v>
      </c>
      <c r="I1963" s="26" t="s">
        <v>30</v>
      </c>
      <c r="J1963" s="26" t="s">
        <v>95</v>
      </c>
      <c r="K1963" s="26" t="s">
        <v>42</v>
      </c>
      <c r="L1963" s="26" t="s">
        <v>1342</v>
      </c>
      <c r="M1963" s="26">
        <v>1</v>
      </c>
      <c r="N1963" s="26">
        <v>1</v>
      </c>
      <c r="O1963" s="28">
        <v>1</v>
      </c>
      <c r="P1963" s="26">
        <v>0.6</v>
      </c>
      <c r="Q1963" s="26">
        <v>0.6</v>
      </c>
      <c r="R1963" s="26">
        <v>0</v>
      </c>
      <c r="S1963" s="26"/>
      <c r="T1963" s="26">
        <v>0</v>
      </c>
      <c r="U1963" s="26">
        <v>0</v>
      </c>
      <c r="V1963" s="26">
        <v>0</v>
      </c>
      <c r="W1963" s="28">
        <v>0</v>
      </c>
      <c r="X1963" s="26">
        <v>0</v>
      </c>
      <c r="Y1963" s="26">
        <v>0</v>
      </c>
      <c r="Z1963" s="26">
        <v>0</v>
      </c>
      <c r="AA1963" s="26">
        <v>0</v>
      </c>
    </row>
    <row r="1964" spans="1:27" x14ac:dyDescent="0.2">
      <c r="A1964">
        <f t="shared" si="62"/>
        <v>4</v>
      </c>
      <c r="B1964">
        <f t="shared" si="63"/>
        <v>15</v>
      </c>
      <c r="C1964" s="27">
        <v>46117</v>
      </c>
      <c r="D1964" s="27">
        <v>46117</v>
      </c>
      <c r="E1964" s="26" t="s">
        <v>26</v>
      </c>
      <c r="F1964" s="26" t="s">
        <v>27</v>
      </c>
      <c r="G1964" s="26" t="s">
        <v>28</v>
      </c>
      <c r="H1964" s="26" t="s">
        <v>29</v>
      </c>
      <c r="I1964" s="26" t="s">
        <v>30</v>
      </c>
      <c r="J1964" s="26" t="s">
        <v>50</v>
      </c>
      <c r="K1964" s="26" t="s">
        <v>32</v>
      </c>
      <c r="L1964" s="26" t="s">
        <v>1343</v>
      </c>
      <c r="M1964" s="26">
        <v>2</v>
      </c>
      <c r="N1964" s="26">
        <v>1</v>
      </c>
      <c r="O1964" s="28">
        <v>0.5</v>
      </c>
      <c r="P1964" s="26">
        <v>0.4</v>
      </c>
      <c r="Q1964" s="26">
        <v>0.4</v>
      </c>
      <c r="R1964" s="26">
        <v>0</v>
      </c>
      <c r="S1964" s="26"/>
      <c r="T1964" s="26">
        <v>0</v>
      </c>
      <c r="U1964" s="26">
        <v>0</v>
      </c>
      <c r="V1964" s="26">
        <v>0</v>
      </c>
      <c r="W1964" s="28">
        <v>0</v>
      </c>
      <c r="X1964" s="26">
        <v>0</v>
      </c>
      <c r="Y1964" s="26">
        <v>0</v>
      </c>
      <c r="Z1964" s="26">
        <v>0</v>
      </c>
      <c r="AA1964" s="26">
        <v>0</v>
      </c>
    </row>
    <row r="1965" spans="1:27" x14ac:dyDescent="0.2">
      <c r="A1965">
        <f t="shared" si="62"/>
        <v>4</v>
      </c>
      <c r="B1965">
        <f t="shared" si="63"/>
        <v>15</v>
      </c>
      <c r="C1965" s="27">
        <v>46120</v>
      </c>
      <c r="D1965" s="27">
        <v>46120</v>
      </c>
      <c r="E1965" s="26" t="s">
        <v>26</v>
      </c>
      <c r="F1965" s="26" t="s">
        <v>27</v>
      </c>
      <c r="G1965" s="26" t="s">
        <v>28</v>
      </c>
      <c r="H1965" s="26" t="s">
        <v>29</v>
      </c>
      <c r="I1965" s="26" t="s">
        <v>30</v>
      </c>
      <c r="J1965" s="26" t="s">
        <v>50</v>
      </c>
      <c r="K1965" s="26" t="s">
        <v>32</v>
      </c>
      <c r="L1965" s="26" t="s">
        <v>1344</v>
      </c>
      <c r="M1965" s="26">
        <v>1</v>
      </c>
      <c r="N1965" s="26">
        <v>1</v>
      </c>
      <c r="O1965" s="28">
        <v>1</v>
      </c>
      <c r="P1965" s="26">
        <v>0.4</v>
      </c>
      <c r="Q1965" s="26">
        <v>0.4</v>
      </c>
      <c r="R1965" s="26">
        <v>0</v>
      </c>
      <c r="S1965" s="26"/>
      <c r="T1965" s="26">
        <v>0</v>
      </c>
      <c r="U1965" s="26">
        <v>0</v>
      </c>
      <c r="V1965" s="26">
        <v>0</v>
      </c>
      <c r="W1965" s="28">
        <v>0</v>
      </c>
      <c r="X1965" s="26">
        <v>0</v>
      </c>
      <c r="Y1965" s="26">
        <v>0</v>
      </c>
      <c r="Z1965" s="26">
        <v>0</v>
      </c>
      <c r="AA1965" s="26">
        <v>0</v>
      </c>
    </row>
    <row r="1966" spans="1:27" x14ac:dyDescent="0.2">
      <c r="A1966">
        <f t="shared" si="62"/>
        <v>4</v>
      </c>
      <c r="B1966">
        <f t="shared" si="63"/>
        <v>14</v>
      </c>
      <c r="C1966" s="27">
        <v>46114</v>
      </c>
      <c r="D1966" s="27">
        <v>46114</v>
      </c>
      <c r="E1966" s="26" t="s">
        <v>26</v>
      </c>
      <c r="F1966" s="26" t="s">
        <v>27</v>
      </c>
      <c r="G1966" s="26" t="s">
        <v>28</v>
      </c>
      <c r="H1966" s="26" t="s">
        <v>29</v>
      </c>
      <c r="I1966" s="26" t="s">
        <v>30</v>
      </c>
      <c r="J1966" s="26" t="s">
        <v>50</v>
      </c>
      <c r="K1966" s="26" t="s">
        <v>32</v>
      </c>
      <c r="L1966" s="26" t="s">
        <v>1345</v>
      </c>
      <c r="M1966" s="26">
        <v>1</v>
      </c>
      <c r="N1966" s="26">
        <v>1</v>
      </c>
      <c r="O1966" s="28">
        <v>1</v>
      </c>
      <c r="P1966" s="26">
        <v>0.4</v>
      </c>
      <c r="Q1966" s="26">
        <v>0.4</v>
      </c>
      <c r="R1966" s="26">
        <v>0</v>
      </c>
      <c r="S1966" s="26"/>
      <c r="T1966" s="26">
        <v>0</v>
      </c>
      <c r="U1966" s="26">
        <v>0</v>
      </c>
      <c r="V1966" s="26">
        <v>0</v>
      </c>
      <c r="W1966" s="28">
        <v>0</v>
      </c>
      <c r="X1966" s="26">
        <v>0</v>
      </c>
      <c r="Y1966" s="26">
        <v>0</v>
      </c>
      <c r="Z1966" s="26">
        <v>0</v>
      </c>
      <c r="AA1966" s="26">
        <v>0</v>
      </c>
    </row>
    <row r="1967" spans="1:27" x14ac:dyDescent="0.2">
      <c r="A1967">
        <f t="shared" si="62"/>
        <v>4</v>
      </c>
      <c r="B1967">
        <f t="shared" si="63"/>
        <v>18</v>
      </c>
      <c r="C1967" s="27">
        <v>46138</v>
      </c>
      <c r="D1967" s="27">
        <v>46138</v>
      </c>
      <c r="E1967" s="26" t="s">
        <v>26</v>
      </c>
      <c r="F1967" s="26" t="s">
        <v>27</v>
      </c>
      <c r="G1967" s="26" t="s">
        <v>28</v>
      </c>
      <c r="H1967" s="26" t="s">
        <v>29</v>
      </c>
      <c r="I1967" s="26" t="s">
        <v>30</v>
      </c>
      <c r="J1967" s="26" t="s">
        <v>542</v>
      </c>
      <c r="K1967" s="26" t="s">
        <v>32</v>
      </c>
      <c r="L1967" s="26" t="s">
        <v>1346</v>
      </c>
      <c r="M1967" s="26">
        <v>1</v>
      </c>
      <c r="N1967" s="26">
        <v>1</v>
      </c>
      <c r="O1967" s="28">
        <v>1</v>
      </c>
      <c r="P1967" s="26">
        <v>0.4</v>
      </c>
      <c r="Q1967" s="26">
        <v>0.4</v>
      </c>
      <c r="R1967" s="26">
        <v>0</v>
      </c>
      <c r="S1967" s="26"/>
      <c r="T1967" s="26">
        <v>0</v>
      </c>
      <c r="U1967" s="26">
        <v>0</v>
      </c>
      <c r="V1967" s="26">
        <v>0</v>
      </c>
      <c r="W1967" s="28">
        <v>0</v>
      </c>
      <c r="X1967" s="26">
        <v>0</v>
      </c>
      <c r="Y1967" s="26">
        <v>0</v>
      </c>
      <c r="Z1967" s="26">
        <v>0</v>
      </c>
      <c r="AA1967" s="26">
        <v>0</v>
      </c>
    </row>
    <row r="1968" spans="1:27" x14ac:dyDescent="0.2">
      <c r="A1968">
        <f t="shared" si="62"/>
        <v>4</v>
      </c>
      <c r="B1968">
        <f t="shared" si="63"/>
        <v>14</v>
      </c>
      <c r="C1968" s="27">
        <v>46115</v>
      </c>
      <c r="D1968" s="27">
        <v>46132</v>
      </c>
      <c r="E1968" s="26" t="s">
        <v>26</v>
      </c>
      <c r="F1968" s="26" t="s">
        <v>27</v>
      </c>
      <c r="G1968" s="26" t="s">
        <v>28</v>
      </c>
      <c r="H1968" s="26" t="s">
        <v>29</v>
      </c>
      <c r="I1968" s="26" t="s">
        <v>30</v>
      </c>
      <c r="J1968" s="26" t="s">
        <v>50</v>
      </c>
      <c r="K1968" s="26" t="s">
        <v>32</v>
      </c>
      <c r="L1968" s="26" t="s">
        <v>285</v>
      </c>
      <c r="M1968" s="26">
        <v>5</v>
      </c>
      <c r="N1968" s="26">
        <v>2</v>
      </c>
      <c r="O1968" s="28">
        <v>0.4</v>
      </c>
      <c r="P1968" s="26">
        <v>0.2</v>
      </c>
      <c r="Q1968" s="26">
        <v>0.4</v>
      </c>
      <c r="R1968" s="26">
        <v>34.18</v>
      </c>
      <c r="S1968" s="28">
        <v>1.1703E-2</v>
      </c>
      <c r="T1968" s="26">
        <v>85.45</v>
      </c>
      <c r="U1968" s="26">
        <v>1</v>
      </c>
      <c r="V1968" s="26">
        <v>2</v>
      </c>
      <c r="W1968" s="28">
        <v>0.5</v>
      </c>
      <c r="X1968" s="26">
        <v>0</v>
      </c>
      <c r="Y1968" s="26">
        <v>2</v>
      </c>
      <c r="Z1968" s="26">
        <v>0</v>
      </c>
      <c r="AA1968" s="26">
        <v>34.18</v>
      </c>
    </row>
    <row r="1969" spans="1:27" x14ac:dyDescent="0.2">
      <c r="A1969">
        <f t="shared" si="62"/>
        <v>4</v>
      </c>
      <c r="B1969">
        <f t="shared" si="63"/>
        <v>18</v>
      </c>
      <c r="C1969" s="27">
        <v>46142</v>
      </c>
      <c r="D1969" s="27">
        <v>46142</v>
      </c>
      <c r="E1969" s="26" t="s">
        <v>26</v>
      </c>
      <c r="F1969" s="26" t="s">
        <v>27</v>
      </c>
      <c r="G1969" s="26" t="s">
        <v>28</v>
      </c>
      <c r="H1969" s="26" t="s">
        <v>29</v>
      </c>
      <c r="I1969" s="26" t="s">
        <v>30</v>
      </c>
      <c r="J1969" s="26" t="s">
        <v>156</v>
      </c>
      <c r="K1969" s="26" t="s">
        <v>32</v>
      </c>
      <c r="L1969" s="26" t="s">
        <v>1347</v>
      </c>
      <c r="M1969" s="26">
        <v>1</v>
      </c>
      <c r="N1969" s="26">
        <v>1</v>
      </c>
      <c r="O1969" s="28">
        <v>1</v>
      </c>
      <c r="P1969" s="26">
        <v>0.21</v>
      </c>
      <c r="Q1969" s="26">
        <v>0.21</v>
      </c>
      <c r="R1969" s="26">
        <v>0</v>
      </c>
      <c r="S1969" s="26"/>
      <c r="T1969" s="26">
        <v>0</v>
      </c>
      <c r="U1969" s="26">
        <v>0</v>
      </c>
      <c r="V1969" s="26">
        <v>0</v>
      </c>
      <c r="W1969" s="28">
        <v>0</v>
      </c>
      <c r="X1969" s="26">
        <v>0</v>
      </c>
      <c r="Y1969" s="26">
        <v>0</v>
      </c>
      <c r="Z1969" s="26">
        <v>0</v>
      </c>
      <c r="AA1969" s="26">
        <v>0</v>
      </c>
    </row>
    <row r="1970" spans="1:27" x14ac:dyDescent="0.2">
      <c r="A1970">
        <f t="shared" si="62"/>
        <v>4</v>
      </c>
      <c r="B1970">
        <f t="shared" si="63"/>
        <v>15</v>
      </c>
      <c r="C1970" s="27">
        <v>46120</v>
      </c>
      <c r="D1970" s="27">
        <v>46120</v>
      </c>
      <c r="E1970" s="26" t="s">
        <v>26</v>
      </c>
      <c r="F1970" s="26" t="s">
        <v>49</v>
      </c>
      <c r="G1970" s="26" t="s">
        <v>50</v>
      </c>
      <c r="H1970" s="26" t="s">
        <v>29</v>
      </c>
      <c r="I1970" s="26" t="s">
        <v>30</v>
      </c>
      <c r="J1970" s="26" t="s">
        <v>47</v>
      </c>
      <c r="K1970" s="26" t="s">
        <v>42</v>
      </c>
      <c r="L1970" s="26" t="s">
        <v>959</v>
      </c>
      <c r="M1970" s="26">
        <v>2</v>
      </c>
      <c r="N1970" s="26">
        <v>1</v>
      </c>
      <c r="O1970" s="28">
        <v>0.5</v>
      </c>
      <c r="P1970" s="26">
        <v>0.78</v>
      </c>
      <c r="Q1970" s="26">
        <v>0.78</v>
      </c>
      <c r="R1970" s="26">
        <v>0</v>
      </c>
      <c r="S1970" s="26"/>
      <c r="T1970" s="26">
        <v>0</v>
      </c>
      <c r="U1970" s="26">
        <v>0</v>
      </c>
      <c r="V1970" s="26">
        <v>0</v>
      </c>
      <c r="W1970" s="28">
        <v>0</v>
      </c>
      <c r="X1970" s="26">
        <v>0</v>
      </c>
      <c r="Y1970" s="26">
        <v>0</v>
      </c>
      <c r="Z1970" s="26">
        <v>0</v>
      </c>
      <c r="AA1970" s="26">
        <v>0</v>
      </c>
    </row>
    <row r="1971" spans="1:27" x14ac:dyDescent="0.2">
      <c r="A1971">
        <f t="shared" si="62"/>
        <v>4</v>
      </c>
      <c r="B1971">
        <f t="shared" si="63"/>
        <v>17</v>
      </c>
      <c r="C1971" s="27">
        <v>46132</v>
      </c>
      <c r="D1971" s="27">
        <v>46132</v>
      </c>
      <c r="E1971" s="26" t="s">
        <v>26</v>
      </c>
      <c r="F1971" s="26" t="s">
        <v>27</v>
      </c>
      <c r="G1971" s="26" t="s">
        <v>28</v>
      </c>
      <c r="H1971" s="26" t="s">
        <v>29</v>
      </c>
      <c r="I1971" s="26" t="s">
        <v>30</v>
      </c>
      <c r="J1971" s="26" t="s">
        <v>243</v>
      </c>
      <c r="K1971" s="26" t="s">
        <v>32</v>
      </c>
      <c r="L1971" s="26" t="s">
        <v>1348</v>
      </c>
      <c r="M1971" s="26">
        <v>1</v>
      </c>
      <c r="N1971" s="26">
        <v>1</v>
      </c>
      <c r="O1971" s="28">
        <v>1</v>
      </c>
      <c r="P1971" s="26">
        <v>0.21</v>
      </c>
      <c r="Q1971" s="26">
        <v>0.21</v>
      </c>
      <c r="R1971" s="26">
        <v>0</v>
      </c>
      <c r="S1971" s="26"/>
      <c r="T1971" s="26">
        <v>0</v>
      </c>
      <c r="U1971" s="26">
        <v>0</v>
      </c>
      <c r="V1971" s="26">
        <v>0</v>
      </c>
      <c r="W1971" s="28">
        <v>0</v>
      </c>
      <c r="X1971" s="26">
        <v>0</v>
      </c>
      <c r="Y1971" s="26">
        <v>0</v>
      </c>
      <c r="Z1971" s="26">
        <v>0</v>
      </c>
      <c r="AA1971" s="26">
        <v>0</v>
      </c>
    </row>
    <row r="1972" spans="1:27" x14ac:dyDescent="0.2">
      <c r="A1972">
        <f t="shared" si="62"/>
        <v>4</v>
      </c>
      <c r="B1972">
        <f t="shared" si="63"/>
        <v>15</v>
      </c>
      <c r="C1972" s="27">
        <v>46121</v>
      </c>
      <c r="D1972" s="27">
        <v>46121</v>
      </c>
      <c r="E1972" s="26" t="s">
        <v>26</v>
      </c>
      <c r="F1972" s="26" t="s">
        <v>27</v>
      </c>
      <c r="G1972" s="26" t="s">
        <v>28</v>
      </c>
      <c r="H1972" s="26" t="s">
        <v>29</v>
      </c>
      <c r="I1972" s="26" t="s">
        <v>30</v>
      </c>
      <c r="J1972" s="26" t="s">
        <v>154</v>
      </c>
      <c r="K1972" s="26" t="s">
        <v>32</v>
      </c>
      <c r="L1972" s="26" t="s">
        <v>1349</v>
      </c>
      <c r="M1972" s="26">
        <v>1</v>
      </c>
      <c r="N1972" s="26">
        <v>1</v>
      </c>
      <c r="O1972" s="28">
        <v>1</v>
      </c>
      <c r="P1972" s="26">
        <v>0.4</v>
      </c>
      <c r="Q1972" s="26">
        <v>0.4</v>
      </c>
      <c r="R1972" s="26">
        <v>0</v>
      </c>
      <c r="S1972" s="26"/>
      <c r="T1972" s="26">
        <v>0</v>
      </c>
      <c r="U1972" s="26">
        <v>0</v>
      </c>
      <c r="V1972" s="26">
        <v>0</v>
      </c>
      <c r="W1972" s="28">
        <v>0</v>
      </c>
      <c r="X1972" s="26">
        <v>0</v>
      </c>
      <c r="Y1972" s="26">
        <v>0</v>
      </c>
      <c r="Z1972" s="26">
        <v>0</v>
      </c>
      <c r="AA1972" s="26">
        <v>0</v>
      </c>
    </row>
    <row r="1973" spans="1:27" x14ac:dyDescent="0.2">
      <c r="A1973">
        <f t="shared" si="62"/>
        <v>4</v>
      </c>
      <c r="B1973">
        <f t="shared" si="63"/>
        <v>14</v>
      </c>
      <c r="C1973" s="27">
        <v>46115</v>
      </c>
      <c r="D1973" s="27">
        <v>46115</v>
      </c>
      <c r="E1973" s="26" t="s">
        <v>26</v>
      </c>
      <c r="F1973" s="26" t="s">
        <v>27</v>
      </c>
      <c r="G1973" s="26" t="s">
        <v>124</v>
      </c>
      <c r="H1973" s="26" t="s">
        <v>29</v>
      </c>
      <c r="I1973" s="26" t="s">
        <v>30</v>
      </c>
      <c r="J1973" s="26" t="s">
        <v>31</v>
      </c>
      <c r="K1973" s="26" t="s">
        <v>87</v>
      </c>
      <c r="L1973" s="26" t="s">
        <v>1350</v>
      </c>
      <c r="M1973" s="26">
        <v>1</v>
      </c>
      <c r="N1973" s="26">
        <v>1</v>
      </c>
      <c r="O1973" s="28">
        <v>1</v>
      </c>
      <c r="P1973" s="26">
        <v>0.2</v>
      </c>
      <c r="Q1973" s="26">
        <v>0.2</v>
      </c>
      <c r="R1973" s="26">
        <v>37.979999999999997</v>
      </c>
      <c r="S1973" s="28">
        <v>5.2659999999999998E-3</v>
      </c>
      <c r="T1973" s="26">
        <v>189.9</v>
      </c>
      <c r="U1973" s="26">
        <v>1</v>
      </c>
      <c r="V1973" s="26">
        <v>2</v>
      </c>
      <c r="W1973" s="28">
        <v>1</v>
      </c>
      <c r="X1973" s="26">
        <v>2</v>
      </c>
      <c r="Y1973" s="26">
        <v>0</v>
      </c>
      <c r="Z1973" s="26">
        <v>37.979999999999997</v>
      </c>
      <c r="AA1973" s="26">
        <v>0</v>
      </c>
    </row>
    <row r="1974" spans="1:27" x14ac:dyDescent="0.2">
      <c r="A1974">
        <f t="shared" si="62"/>
        <v>4</v>
      </c>
      <c r="B1974">
        <f t="shared" si="63"/>
        <v>17</v>
      </c>
      <c r="C1974" s="27">
        <v>46135</v>
      </c>
      <c r="D1974" s="27">
        <v>46135</v>
      </c>
      <c r="E1974" s="26" t="s">
        <v>26</v>
      </c>
      <c r="F1974" s="26" t="s">
        <v>61</v>
      </c>
      <c r="G1974" s="26" t="s">
        <v>62</v>
      </c>
      <c r="H1974" s="26" t="s">
        <v>29</v>
      </c>
      <c r="I1974" s="26" t="s">
        <v>30</v>
      </c>
      <c r="J1974" s="26" t="s">
        <v>95</v>
      </c>
      <c r="K1974" s="26" t="s">
        <v>42</v>
      </c>
      <c r="L1974" s="26" t="s">
        <v>848</v>
      </c>
      <c r="M1974" s="26">
        <v>203</v>
      </c>
      <c r="N1974" s="26">
        <v>1</v>
      </c>
      <c r="O1974" s="28">
        <v>4.9259999999999998E-3</v>
      </c>
      <c r="P1974" s="26">
        <v>1.34</v>
      </c>
      <c r="Q1974" s="26">
        <v>1.34</v>
      </c>
      <c r="R1974" s="26">
        <v>0</v>
      </c>
      <c r="S1974" s="26"/>
      <c r="T1974" s="26">
        <v>0</v>
      </c>
      <c r="U1974" s="26">
        <v>0</v>
      </c>
      <c r="V1974" s="26">
        <v>0</v>
      </c>
      <c r="W1974" s="28">
        <v>0</v>
      </c>
      <c r="X1974" s="26">
        <v>0</v>
      </c>
      <c r="Y1974" s="26">
        <v>0</v>
      </c>
      <c r="Z1974" s="26">
        <v>0</v>
      </c>
      <c r="AA1974" s="26">
        <v>0</v>
      </c>
    </row>
    <row r="1975" spans="1:27" x14ac:dyDescent="0.2">
      <c r="A1975">
        <f t="shared" si="62"/>
        <v>4</v>
      </c>
      <c r="B1975">
        <f t="shared" si="63"/>
        <v>17</v>
      </c>
      <c r="C1975" s="27">
        <v>46137</v>
      </c>
      <c r="D1975" s="27">
        <v>46137</v>
      </c>
      <c r="E1975" s="26" t="s">
        <v>26</v>
      </c>
      <c r="F1975" s="26" t="s">
        <v>61</v>
      </c>
      <c r="G1975" s="26" t="s">
        <v>62</v>
      </c>
      <c r="H1975" s="26" t="s">
        <v>29</v>
      </c>
      <c r="I1975" s="26" t="s">
        <v>30</v>
      </c>
      <c r="J1975" s="26" t="s">
        <v>51</v>
      </c>
      <c r="K1975" s="26" t="s">
        <v>42</v>
      </c>
      <c r="L1975" s="26" t="s">
        <v>848</v>
      </c>
      <c r="M1975" s="26">
        <v>212</v>
      </c>
      <c r="N1975" s="26">
        <v>1</v>
      </c>
      <c r="O1975" s="28">
        <v>4.7169999999999998E-3</v>
      </c>
      <c r="P1975" s="26">
        <v>1.3</v>
      </c>
      <c r="Q1975" s="26">
        <v>1.3</v>
      </c>
      <c r="R1975" s="26">
        <v>0</v>
      </c>
      <c r="S1975" s="26"/>
      <c r="T1975" s="26">
        <v>0</v>
      </c>
      <c r="U1975" s="26">
        <v>0</v>
      </c>
      <c r="V1975" s="26">
        <v>0</v>
      </c>
      <c r="W1975" s="28">
        <v>0</v>
      </c>
      <c r="X1975" s="26">
        <v>0</v>
      </c>
      <c r="Y1975" s="26">
        <v>0</v>
      </c>
      <c r="Z1975" s="26">
        <v>0</v>
      </c>
      <c r="AA1975" s="26">
        <v>0</v>
      </c>
    </row>
    <row r="1976" spans="1:27" x14ac:dyDescent="0.2">
      <c r="A1976">
        <f t="shared" si="62"/>
        <v>4</v>
      </c>
      <c r="B1976">
        <f t="shared" si="63"/>
        <v>17</v>
      </c>
      <c r="C1976" s="27">
        <v>46135</v>
      </c>
      <c r="D1976" s="27">
        <v>46137</v>
      </c>
      <c r="E1976" s="26" t="s">
        <v>26</v>
      </c>
      <c r="F1976" s="26" t="s">
        <v>45</v>
      </c>
      <c r="G1976" s="26" t="s">
        <v>46</v>
      </c>
      <c r="H1976" s="26" t="s">
        <v>29</v>
      </c>
      <c r="I1976" s="26" t="s">
        <v>30</v>
      </c>
      <c r="J1976" s="26" t="s">
        <v>47</v>
      </c>
      <c r="K1976" s="26" t="s">
        <v>42</v>
      </c>
      <c r="L1976" s="26" t="s">
        <v>848</v>
      </c>
      <c r="M1976" s="26">
        <v>419</v>
      </c>
      <c r="N1976" s="26">
        <v>2</v>
      </c>
      <c r="O1976" s="28">
        <v>4.7730000000000003E-3</v>
      </c>
      <c r="P1976" s="26">
        <v>0.34</v>
      </c>
      <c r="Q1976" s="26">
        <v>0.68</v>
      </c>
      <c r="R1976" s="26">
        <v>0</v>
      </c>
      <c r="S1976" s="26"/>
      <c r="T1976" s="26">
        <v>0</v>
      </c>
      <c r="U1976" s="26">
        <v>0</v>
      </c>
      <c r="V1976" s="26">
        <v>0</v>
      </c>
      <c r="W1976" s="28">
        <v>0</v>
      </c>
      <c r="X1976" s="26">
        <v>0</v>
      </c>
      <c r="Y1976" s="26">
        <v>0</v>
      </c>
      <c r="Z1976" s="26">
        <v>0</v>
      </c>
      <c r="AA1976" s="26">
        <v>0</v>
      </c>
    </row>
    <row r="1977" spans="1:27" x14ac:dyDescent="0.2">
      <c r="A1977">
        <f t="shared" si="62"/>
        <v>4</v>
      </c>
      <c r="B1977">
        <f t="shared" si="63"/>
        <v>14</v>
      </c>
      <c r="C1977" s="27">
        <v>46116</v>
      </c>
      <c r="D1977" s="27">
        <v>46116</v>
      </c>
      <c r="E1977" s="26" t="s">
        <v>26</v>
      </c>
      <c r="F1977" s="26" t="s">
        <v>27</v>
      </c>
      <c r="G1977" s="26" t="s">
        <v>28</v>
      </c>
      <c r="H1977" s="26" t="s">
        <v>29</v>
      </c>
      <c r="I1977" s="26" t="s">
        <v>30</v>
      </c>
      <c r="J1977" s="26" t="s">
        <v>44</v>
      </c>
      <c r="K1977" s="26" t="s">
        <v>32</v>
      </c>
      <c r="L1977" s="26" t="s">
        <v>1351</v>
      </c>
      <c r="M1977" s="26">
        <v>1</v>
      </c>
      <c r="N1977" s="26">
        <v>1</v>
      </c>
      <c r="O1977" s="28">
        <v>1</v>
      </c>
      <c r="P1977" s="26">
        <v>0.21</v>
      </c>
      <c r="Q1977" s="26">
        <v>0.21</v>
      </c>
      <c r="R1977" s="26">
        <v>0</v>
      </c>
      <c r="S1977" s="26"/>
      <c r="T1977" s="26">
        <v>0</v>
      </c>
      <c r="U1977" s="26">
        <v>0</v>
      </c>
      <c r="V1977" s="26">
        <v>0</v>
      </c>
      <c r="W1977" s="28">
        <v>0</v>
      </c>
      <c r="X1977" s="26">
        <v>0</v>
      </c>
      <c r="Y1977" s="26">
        <v>0</v>
      </c>
      <c r="Z1977" s="26">
        <v>0</v>
      </c>
      <c r="AA1977" s="26">
        <v>0</v>
      </c>
    </row>
    <row r="1978" spans="1:27" x14ac:dyDescent="0.2">
      <c r="A1978">
        <f t="shared" si="62"/>
        <v>4</v>
      </c>
      <c r="B1978">
        <f t="shared" si="63"/>
        <v>14</v>
      </c>
      <c r="C1978" s="27">
        <v>46116</v>
      </c>
      <c r="D1978" s="27">
        <v>46116</v>
      </c>
      <c r="E1978" s="26" t="s">
        <v>26</v>
      </c>
      <c r="F1978" s="26" t="s">
        <v>27</v>
      </c>
      <c r="G1978" s="26" t="s">
        <v>28</v>
      </c>
      <c r="H1978" s="26" t="s">
        <v>29</v>
      </c>
      <c r="I1978" s="26" t="s">
        <v>30</v>
      </c>
      <c r="J1978" s="26" t="s">
        <v>243</v>
      </c>
      <c r="K1978" s="26" t="s">
        <v>32</v>
      </c>
      <c r="L1978" s="26" t="s">
        <v>1352</v>
      </c>
      <c r="M1978" s="26">
        <v>2</v>
      </c>
      <c r="N1978" s="26">
        <v>1</v>
      </c>
      <c r="O1978" s="28">
        <v>0.5</v>
      </c>
      <c r="P1978" s="26">
        <v>0.4</v>
      </c>
      <c r="Q1978" s="26">
        <v>0.4</v>
      </c>
      <c r="R1978" s="26">
        <v>0</v>
      </c>
      <c r="S1978" s="26"/>
      <c r="T1978" s="26">
        <v>0</v>
      </c>
      <c r="U1978" s="26">
        <v>0</v>
      </c>
      <c r="V1978" s="26">
        <v>0</v>
      </c>
      <c r="W1978" s="28">
        <v>0</v>
      </c>
      <c r="X1978" s="26">
        <v>0</v>
      </c>
      <c r="Y1978" s="26">
        <v>0</v>
      </c>
      <c r="Z1978" s="26">
        <v>0</v>
      </c>
      <c r="AA1978" s="26">
        <v>0</v>
      </c>
    </row>
    <row r="1979" spans="1:27" x14ac:dyDescent="0.2">
      <c r="A1979">
        <f t="shared" si="62"/>
        <v>4</v>
      </c>
      <c r="B1979">
        <f t="shared" si="63"/>
        <v>14</v>
      </c>
      <c r="C1979" s="27">
        <v>46114</v>
      </c>
      <c r="D1979" s="27">
        <v>46114</v>
      </c>
      <c r="E1979" s="26" t="s">
        <v>26</v>
      </c>
      <c r="F1979" s="26" t="s">
        <v>27</v>
      </c>
      <c r="G1979" s="26" t="s">
        <v>28</v>
      </c>
      <c r="H1979" s="26" t="s">
        <v>29</v>
      </c>
      <c r="I1979" s="26" t="s">
        <v>30</v>
      </c>
      <c r="J1979" s="26" t="s">
        <v>280</v>
      </c>
      <c r="K1979" s="26" t="s">
        <v>32</v>
      </c>
      <c r="L1979" s="26" t="s">
        <v>1353</v>
      </c>
      <c r="M1979" s="26">
        <v>4</v>
      </c>
      <c r="N1979" s="26">
        <v>1</v>
      </c>
      <c r="O1979" s="28">
        <v>0.25</v>
      </c>
      <c r="P1979" s="26">
        <v>0.12</v>
      </c>
      <c r="Q1979" s="26">
        <v>0.12</v>
      </c>
      <c r="R1979" s="26">
        <v>0</v>
      </c>
      <c r="S1979" s="26"/>
      <c r="T1979" s="26">
        <v>0</v>
      </c>
      <c r="U1979" s="26">
        <v>0</v>
      </c>
      <c r="V1979" s="26">
        <v>0</v>
      </c>
      <c r="W1979" s="28">
        <v>0</v>
      </c>
      <c r="X1979" s="26">
        <v>0</v>
      </c>
      <c r="Y1979" s="26">
        <v>0</v>
      </c>
      <c r="Z1979" s="26">
        <v>0</v>
      </c>
      <c r="AA1979" s="26">
        <v>0</v>
      </c>
    </row>
    <row r="1980" spans="1:27" x14ac:dyDescent="0.2">
      <c r="A1980">
        <f t="shared" si="62"/>
        <v>4</v>
      </c>
      <c r="B1980">
        <f t="shared" si="63"/>
        <v>16</v>
      </c>
      <c r="C1980" s="27">
        <v>46127</v>
      </c>
      <c r="D1980" s="27">
        <v>46127</v>
      </c>
      <c r="E1980" s="26" t="s">
        <v>26</v>
      </c>
      <c r="F1980" s="26" t="s">
        <v>27</v>
      </c>
      <c r="G1980" s="26" t="s">
        <v>28</v>
      </c>
      <c r="H1980" s="26" t="s">
        <v>29</v>
      </c>
      <c r="I1980" s="26" t="s">
        <v>30</v>
      </c>
      <c r="J1980" s="26" t="s">
        <v>50</v>
      </c>
      <c r="K1980" s="26" t="s">
        <v>32</v>
      </c>
      <c r="L1980" s="26" t="s">
        <v>1354</v>
      </c>
      <c r="M1980" s="26">
        <v>1</v>
      </c>
      <c r="N1980" s="26">
        <v>1</v>
      </c>
      <c r="O1980" s="28">
        <v>1</v>
      </c>
      <c r="P1980" s="26">
        <v>0.21</v>
      </c>
      <c r="Q1980" s="26">
        <v>0.21</v>
      </c>
      <c r="R1980" s="26">
        <v>0</v>
      </c>
      <c r="S1980" s="26"/>
      <c r="T1980" s="26">
        <v>0</v>
      </c>
      <c r="U1980" s="26">
        <v>0</v>
      </c>
      <c r="V1980" s="26">
        <v>0</v>
      </c>
      <c r="W1980" s="28">
        <v>0</v>
      </c>
      <c r="X1980" s="26">
        <v>0</v>
      </c>
      <c r="Y1980" s="26">
        <v>0</v>
      </c>
      <c r="Z1980" s="26">
        <v>0</v>
      </c>
      <c r="AA1980" s="26">
        <v>0</v>
      </c>
    </row>
    <row r="1981" spans="1:27" x14ac:dyDescent="0.2">
      <c r="A1981">
        <f t="shared" si="62"/>
        <v>4</v>
      </c>
      <c r="B1981">
        <f t="shared" si="63"/>
        <v>15</v>
      </c>
      <c r="C1981" s="27">
        <v>46122</v>
      </c>
      <c r="D1981" s="27">
        <v>46122</v>
      </c>
      <c r="E1981" s="26" t="s">
        <v>26</v>
      </c>
      <c r="F1981" s="26" t="s">
        <v>49</v>
      </c>
      <c r="G1981" s="26" t="s">
        <v>50</v>
      </c>
      <c r="H1981" s="26" t="s">
        <v>29</v>
      </c>
      <c r="I1981" s="26" t="s">
        <v>30</v>
      </c>
      <c r="J1981" s="26" t="s">
        <v>95</v>
      </c>
      <c r="K1981" s="26" t="s">
        <v>42</v>
      </c>
      <c r="L1981" s="26" t="s">
        <v>1355</v>
      </c>
      <c r="M1981" s="26">
        <v>1</v>
      </c>
      <c r="N1981" s="26">
        <v>1</v>
      </c>
      <c r="O1981" s="28">
        <v>1</v>
      </c>
      <c r="P1981" s="26">
        <v>0.49</v>
      </c>
      <c r="Q1981" s="26">
        <v>0.49</v>
      </c>
      <c r="R1981" s="26">
        <v>0</v>
      </c>
      <c r="S1981" s="26"/>
      <c r="T1981" s="26">
        <v>0</v>
      </c>
      <c r="U1981" s="26">
        <v>0</v>
      </c>
      <c r="V1981" s="26">
        <v>0</v>
      </c>
      <c r="W1981" s="28">
        <v>0</v>
      </c>
      <c r="X1981" s="26">
        <v>0</v>
      </c>
      <c r="Y1981" s="26">
        <v>0</v>
      </c>
      <c r="Z1981" s="26">
        <v>0</v>
      </c>
      <c r="AA1981" s="26">
        <v>0</v>
      </c>
    </row>
    <row r="1982" spans="1:27" x14ac:dyDescent="0.2">
      <c r="A1982">
        <f t="shared" si="62"/>
        <v>4</v>
      </c>
      <c r="B1982">
        <f t="shared" si="63"/>
        <v>17</v>
      </c>
      <c r="C1982" s="27">
        <v>46135</v>
      </c>
      <c r="D1982" s="27">
        <v>46135</v>
      </c>
      <c r="E1982" s="26" t="s">
        <v>26</v>
      </c>
      <c r="F1982" s="26" t="s">
        <v>27</v>
      </c>
      <c r="G1982" s="26" t="s">
        <v>28</v>
      </c>
      <c r="H1982" s="26" t="s">
        <v>29</v>
      </c>
      <c r="I1982" s="26" t="s">
        <v>30</v>
      </c>
      <c r="J1982" s="26" t="s">
        <v>50</v>
      </c>
      <c r="K1982" s="26" t="s">
        <v>32</v>
      </c>
      <c r="L1982" s="26" t="s">
        <v>1356</v>
      </c>
      <c r="M1982" s="26">
        <v>1</v>
      </c>
      <c r="N1982" s="26">
        <v>1</v>
      </c>
      <c r="O1982" s="28">
        <v>1</v>
      </c>
      <c r="P1982" s="26">
        <v>0.4</v>
      </c>
      <c r="Q1982" s="26">
        <v>0.4</v>
      </c>
      <c r="R1982" s="26">
        <v>0</v>
      </c>
      <c r="S1982" s="26"/>
      <c r="T1982" s="26">
        <v>0</v>
      </c>
      <c r="U1982" s="26">
        <v>0</v>
      </c>
      <c r="V1982" s="26">
        <v>0</v>
      </c>
      <c r="W1982" s="28">
        <v>0</v>
      </c>
      <c r="X1982" s="26">
        <v>0</v>
      </c>
      <c r="Y1982" s="26">
        <v>0</v>
      </c>
      <c r="Z1982" s="26">
        <v>0</v>
      </c>
      <c r="AA1982" s="26">
        <v>0</v>
      </c>
    </row>
    <row r="1983" spans="1:27" x14ac:dyDescent="0.2">
      <c r="A1983">
        <f t="shared" si="62"/>
        <v>4</v>
      </c>
      <c r="B1983">
        <f t="shared" si="63"/>
        <v>17</v>
      </c>
      <c r="C1983" s="27">
        <v>46135</v>
      </c>
      <c r="D1983" s="27">
        <v>46137</v>
      </c>
      <c r="E1983" s="26" t="s">
        <v>26</v>
      </c>
      <c r="F1983" s="26" t="s">
        <v>49</v>
      </c>
      <c r="G1983" s="26" t="s">
        <v>50</v>
      </c>
      <c r="H1983" s="26" t="s">
        <v>29</v>
      </c>
      <c r="I1983" s="26" t="s">
        <v>30</v>
      </c>
      <c r="J1983" s="26" t="s">
        <v>47</v>
      </c>
      <c r="K1983" s="26" t="s">
        <v>42</v>
      </c>
      <c r="L1983" s="26" t="s">
        <v>293</v>
      </c>
      <c r="M1983" s="26">
        <v>3</v>
      </c>
      <c r="N1983" s="26">
        <v>2</v>
      </c>
      <c r="O1983" s="28">
        <v>0.66666700000000001</v>
      </c>
      <c r="P1983" s="26">
        <v>1.1100000000000001</v>
      </c>
      <c r="Q1983" s="26">
        <v>2.2200000000000002</v>
      </c>
      <c r="R1983" s="26">
        <v>0</v>
      </c>
      <c r="S1983" s="26"/>
      <c r="T1983" s="26">
        <v>0</v>
      </c>
      <c r="U1983" s="26">
        <v>0</v>
      </c>
      <c r="V1983" s="26">
        <v>0</v>
      </c>
      <c r="W1983" s="28">
        <v>0</v>
      </c>
      <c r="X1983" s="26">
        <v>0</v>
      </c>
      <c r="Y1983" s="26">
        <v>0</v>
      </c>
      <c r="Z1983" s="26">
        <v>0</v>
      </c>
      <c r="AA1983" s="26">
        <v>0</v>
      </c>
    </row>
    <row r="1984" spans="1:27" x14ac:dyDescent="0.2">
      <c r="A1984">
        <f t="shared" si="62"/>
        <v>4</v>
      </c>
      <c r="B1984">
        <f t="shared" si="63"/>
        <v>17</v>
      </c>
      <c r="C1984" s="27">
        <v>46134</v>
      </c>
      <c r="D1984" s="27">
        <v>46134</v>
      </c>
      <c r="E1984" s="26" t="s">
        <v>26</v>
      </c>
      <c r="F1984" s="26" t="s">
        <v>49</v>
      </c>
      <c r="G1984" s="26" t="s">
        <v>50</v>
      </c>
      <c r="H1984" s="26" t="s">
        <v>29</v>
      </c>
      <c r="I1984" s="26" t="s">
        <v>30</v>
      </c>
      <c r="J1984" s="26" t="s">
        <v>95</v>
      </c>
      <c r="K1984" s="26" t="s">
        <v>42</v>
      </c>
      <c r="L1984" s="26" t="s">
        <v>1357</v>
      </c>
      <c r="M1984" s="26">
        <v>1</v>
      </c>
      <c r="N1984" s="26">
        <v>1</v>
      </c>
      <c r="O1984" s="28">
        <v>1</v>
      </c>
      <c r="P1984" s="26">
        <v>0.63</v>
      </c>
      <c r="Q1984" s="26">
        <v>0.63</v>
      </c>
      <c r="R1984" s="26">
        <v>0</v>
      </c>
      <c r="S1984" s="26"/>
      <c r="T1984" s="26">
        <v>0</v>
      </c>
      <c r="U1984" s="26">
        <v>0</v>
      </c>
      <c r="V1984" s="26">
        <v>0</v>
      </c>
      <c r="W1984" s="28">
        <v>0</v>
      </c>
      <c r="X1984" s="26">
        <v>0</v>
      </c>
      <c r="Y1984" s="26">
        <v>0</v>
      </c>
      <c r="Z1984" s="26">
        <v>0</v>
      </c>
      <c r="AA1984" s="26">
        <v>0</v>
      </c>
    </row>
    <row r="1985" spans="1:27" x14ac:dyDescent="0.2">
      <c r="A1985">
        <f t="shared" si="62"/>
        <v>4</v>
      </c>
      <c r="B1985">
        <f t="shared" si="63"/>
        <v>17</v>
      </c>
      <c r="C1985" s="27">
        <v>46133</v>
      </c>
      <c r="D1985" s="27">
        <v>46133</v>
      </c>
      <c r="E1985" s="26" t="s">
        <v>26</v>
      </c>
      <c r="F1985" s="26" t="s">
        <v>27</v>
      </c>
      <c r="G1985" s="26" t="s">
        <v>28</v>
      </c>
      <c r="H1985" s="26" t="s">
        <v>29</v>
      </c>
      <c r="I1985" s="26" t="s">
        <v>30</v>
      </c>
      <c r="J1985" s="26" t="s">
        <v>50</v>
      </c>
      <c r="K1985" s="26" t="s">
        <v>32</v>
      </c>
      <c r="L1985" s="26" t="s">
        <v>1358</v>
      </c>
      <c r="M1985" s="26">
        <v>3</v>
      </c>
      <c r="N1985" s="26">
        <v>1</v>
      </c>
      <c r="O1985" s="28">
        <v>0.33333299999999999</v>
      </c>
      <c r="P1985" s="26">
        <v>0.21</v>
      </c>
      <c r="Q1985" s="26">
        <v>0.21</v>
      </c>
      <c r="R1985" s="26">
        <v>0</v>
      </c>
      <c r="S1985" s="26"/>
      <c r="T1985" s="26">
        <v>0</v>
      </c>
      <c r="U1985" s="26">
        <v>0</v>
      </c>
      <c r="V1985" s="26">
        <v>0</v>
      </c>
      <c r="W1985" s="28">
        <v>0</v>
      </c>
      <c r="X1985" s="26">
        <v>0</v>
      </c>
      <c r="Y1985" s="26">
        <v>0</v>
      </c>
      <c r="Z1985" s="26">
        <v>0</v>
      </c>
      <c r="AA1985" s="26">
        <v>0</v>
      </c>
    </row>
    <row r="1986" spans="1:27" x14ac:dyDescent="0.2">
      <c r="A1986">
        <f t="shared" si="62"/>
        <v>4</v>
      </c>
      <c r="B1986">
        <f t="shared" si="63"/>
        <v>15</v>
      </c>
      <c r="C1986" s="27">
        <v>46117</v>
      </c>
      <c r="D1986" s="27">
        <v>46117</v>
      </c>
      <c r="E1986" s="26" t="s">
        <v>26</v>
      </c>
      <c r="F1986" s="26" t="s">
        <v>27</v>
      </c>
      <c r="G1986" s="26" t="s">
        <v>28</v>
      </c>
      <c r="H1986" s="26" t="s">
        <v>29</v>
      </c>
      <c r="I1986" s="26" t="s">
        <v>30</v>
      </c>
      <c r="J1986" s="26" t="s">
        <v>50</v>
      </c>
      <c r="K1986" s="26" t="s">
        <v>32</v>
      </c>
      <c r="L1986" s="26" t="s">
        <v>1359</v>
      </c>
      <c r="M1986" s="26">
        <v>2</v>
      </c>
      <c r="N1986" s="26">
        <v>1</v>
      </c>
      <c r="O1986" s="28">
        <v>0.5</v>
      </c>
      <c r="P1986" s="26">
        <v>0.21</v>
      </c>
      <c r="Q1986" s="26">
        <v>0.21</v>
      </c>
      <c r="R1986" s="26">
        <v>0</v>
      </c>
      <c r="S1986" s="26"/>
      <c r="T1986" s="26">
        <v>0</v>
      </c>
      <c r="U1986" s="26">
        <v>0</v>
      </c>
      <c r="V1986" s="26">
        <v>0</v>
      </c>
      <c r="W1986" s="28">
        <v>0</v>
      </c>
      <c r="X1986" s="26">
        <v>0</v>
      </c>
      <c r="Y1986" s="26">
        <v>0</v>
      </c>
      <c r="Z1986" s="26">
        <v>0</v>
      </c>
      <c r="AA1986" s="26">
        <v>0</v>
      </c>
    </row>
    <row r="1987" spans="1:27" x14ac:dyDescent="0.2">
      <c r="A1987">
        <f t="shared" si="62"/>
        <v>4</v>
      </c>
      <c r="B1987">
        <f t="shared" si="63"/>
        <v>15</v>
      </c>
      <c r="C1987" s="27">
        <v>46122</v>
      </c>
      <c r="D1987" s="27">
        <v>46122</v>
      </c>
      <c r="E1987" s="26" t="s">
        <v>26</v>
      </c>
      <c r="F1987" s="26" t="s">
        <v>27</v>
      </c>
      <c r="G1987" s="26" t="s">
        <v>28</v>
      </c>
      <c r="H1987" s="26" t="s">
        <v>29</v>
      </c>
      <c r="I1987" s="26" t="s">
        <v>30</v>
      </c>
      <c r="J1987" s="26" t="s">
        <v>50</v>
      </c>
      <c r="K1987" s="26" t="s">
        <v>32</v>
      </c>
      <c r="L1987" s="26" t="s">
        <v>1360</v>
      </c>
      <c r="M1987" s="26">
        <v>1</v>
      </c>
      <c r="N1987" s="26">
        <v>1</v>
      </c>
      <c r="O1987" s="28">
        <v>1</v>
      </c>
      <c r="P1987" s="26">
        <v>0.21</v>
      </c>
      <c r="Q1987" s="26">
        <v>0.21</v>
      </c>
      <c r="R1987" s="26">
        <v>0</v>
      </c>
      <c r="S1987" s="26"/>
      <c r="T1987" s="26">
        <v>0</v>
      </c>
      <c r="U1987" s="26">
        <v>0</v>
      </c>
      <c r="V1987" s="26">
        <v>0</v>
      </c>
      <c r="W1987" s="28">
        <v>0</v>
      </c>
      <c r="X1987" s="26">
        <v>0</v>
      </c>
      <c r="Y1987" s="26">
        <v>0</v>
      </c>
      <c r="Z1987" s="26">
        <v>0</v>
      </c>
      <c r="AA1987" s="26">
        <v>0</v>
      </c>
    </row>
    <row r="1988" spans="1:27" x14ac:dyDescent="0.2">
      <c r="A1988">
        <f t="shared" si="62"/>
        <v>4</v>
      </c>
      <c r="B1988">
        <f t="shared" si="63"/>
        <v>14</v>
      </c>
      <c r="C1988" s="27">
        <v>46115</v>
      </c>
      <c r="D1988" s="27">
        <v>46115</v>
      </c>
      <c r="E1988" s="26" t="s">
        <v>26</v>
      </c>
      <c r="F1988" s="26" t="s">
        <v>27</v>
      </c>
      <c r="G1988" s="26" t="s">
        <v>28</v>
      </c>
      <c r="H1988" s="26" t="s">
        <v>29</v>
      </c>
      <c r="I1988" s="26" t="s">
        <v>30</v>
      </c>
      <c r="J1988" s="26" t="s">
        <v>280</v>
      </c>
      <c r="K1988" s="26" t="s">
        <v>32</v>
      </c>
      <c r="L1988" s="26" t="s">
        <v>1361</v>
      </c>
      <c r="M1988" s="26">
        <v>3</v>
      </c>
      <c r="N1988" s="26">
        <v>1</v>
      </c>
      <c r="O1988" s="28">
        <v>0.33333299999999999</v>
      </c>
      <c r="P1988" s="26">
        <v>0.21</v>
      </c>
      <c r="Q1988" s="26">
        <v>0.21</v>
      </c>
      <c r="R1988" s="26">
        <v>0</v>
      </c>
      <c r="S1988" s="26"/>
      <c r="T1988" s="26">
        <v>0</v>
      </c>
      <c r="U1988" s="26">
        <v>0</v>
      </c>
      <c r="V1988" s="26">
        <v>0</v>
      </c>
      <c r="W1988" s="28">
        <v>0</v>
      </c>
      <c r="X1988" s="26">
        <v>0</v>
      </c>
      <c r="Y1988" s="26">
        <v>0</v>
      </c>
      <c r="Z1988" s="26">
        <v>0</v>
      </c>
      <c r="AA1988" s="26">
        <v>0</v>
      </c>
    </row>
    <row r="1989" spans="1:27" x14ac:dyDescent="0.2">
      <c r="A1989">
        <f t="shared" si="62"/>
        <v>4</v>
      </c>
      <c r="B1989">
        <f t="shared" si="63"/>
        <v>17</v>
      </c>
      <c r="C1989" s="27">
        <v>46132</v>
      </c>
      <c r="D1989" s="27">
        <v>46132</v>
      </c>
      <c r="E1989" s="26" t="s">
        <v>26</v>
      </c>
      <c r="F1989" s="26" t="s">
        <v>27</v>
      </c>
      <c r="G1989" s="26" t="s">
        <v>28</v>
      </c>
      <c r="H1989" s="26" t="s">
        <v>29</v>
      </c>
      <c r="I1989" s="26" t="s">
        <v>30</v>
      </c>
      <c r="J1989" s="26" t="s">
        <v>50</v>
      </c>
      <c r="K1989" s="26" t="s">
        <v>32</v>
      </c>
      <c r="L1989" s="26" t="s">
        <v>1362</v>
      </c>
      <c r="M1989" s="26">
        <v>1</v>
      </c>
      <c r="N1989" s="26">
        <v>1</v>
      </c>
      <c r="O1989" s="28">
        <v>1</v>
      </c>
      <c r="P1989" s="26">
        <v>0.4</v>
      </c>
      <c r="Q1989" s="26">
        <v>0.4</v>
      </c>
      <c r="R1989" s="26">
        <v>0</v>
      </c>
      <c r="S1989" s="26"/>
      <c r="T1989" s="26">
        <v>0</v>
      </c>
      <c r="U1989" s="26">
        <v>0</v>
      </c>
      <c r="V1989" s="26">
        <v>0</v>
      </c>
      <c r="W1989" s="28">
        <v>0</v>
      </c>
      <c r="X1989" s="26">
        <v>0</v>
      </c>
      <c r="Y1989" s="26">
        <v>0</v>
      </c>
      <c r="Z1989" s="26">
        <v>0</v>
      </c>
      <c r="AA1989" s="26">
        <v>0</v>
      </c>
    </row>
    <row r="1990" spans="1:27" x14ac:dyDescent="0.2">
      <c r="A1990">
        <f t="shared" si="62"/>
        <v>4</v>
      </c>
      <c r="B1990">
        <f t="shared" si="63"/>
        <v>15</v>
      </c>
      <c r="C1990" s="27">
        <v>46122</v>
      </c>
      <c r="D1990" s="27">
        <v>46122</v>
      </c>
      <c r="E1990" s="26" t="s">
        <v>26</v>
      </c>
      <c r="F1990" s="26" t="s">
        <v>27</v>
      </c>
      <c r="G1990" s="26" t="s">
        <v>28</v>
      </c>
      <c r="H1990" s="26" t="s">
        <v>29</v>
      </c>
      <c r="I1990" s="26" t="s">
        <v>30</v>
      </c>
      <c r="J1990" s="26" t="s">
        <v>50</v>
      </c>
      <c r="K1990" s="26" t="s">
        <v>32</v>
      </c>
      <c r="L1990" s="26" t="s">
        <v>1363</v>
      </c>
      <c r="M1990" s="26">
        <v>1</v>
      </c>
      <c r="N1990" s="26">
        <v>1</v>
      </c>
      <c r="O1990" s="28">
        <v>1</v>
      </c>
      <c r="P1990" s="26">
        <v>0.4</v>
      </c>
      <c r="Q1990" s="26">
        <v>0.4</v>
      </c>
      <c r="R1990" s="26">
        <v>0</v>
      </c>
      <c r="S1990" s="26"/>
      <c r="T1990" s="26">
        <v>0</v>
      </c>
      <c r="U1990" s="26">
        <v>0</v>
      </c>
      <c r="V1990" s="26">
        <v>0</v>
      </c>
      <c r="W1990" s="28">
        <v>0</v>
      </c>
      <c r="X1990" s="26">
        <v>0</v>
      </c>
      <c r="Y1990" s="26">
        <v>0</v>
      </c>
      <c r="Z1990" s="26">
        <v>0</v>
      </c>
      <c r="AA1990" s="26">
        <v>0</v>
      </c>
    </row>
    <row r="1991" spans="1:27" x14ac:dyDescent="0.2">
      <c r="A1991">
        <f t="shared" si="62"/>
        <v>4</v>
      </c>
      <c r="B1991">
        <f t="shared" si="63"/>
        <v>15</v>
      </c>
      <c r="C1991" s="27">
        <v>46121</v>
      </c>
      <c r="D1991" s="27">
        <v>46121</v>
      </c>
      <c r="E1991" s="26" t="s">
        <v>26</v>
      </c>
      <c r="F1991" s="26" t="s">
        <v>49</v>
      </c>
      <c r="G1991" s="26" t="s">
        <v>50</v>
      </c>
      <c r="H1991" s="26" t="s">
        <v>29</v>
      </c>
      <c r="I1991" s="26" t="s">
        <v>30</v>
      </c>
      <c r="J1991" s="26" t="s">
        <v>95</v>
      </c>
      <c r="K1991" s="26" t="s">
        <v>42</v>
      </c>
      <c r="L1991" s="26" t="s">
        <v>577</v>
      </c>
      <c r="M1991" s="26">
        <v>3</v>
      </c>
      <c r="N1991" s="26">
        <v>1</v>
      </c>
      <c r="O1991" s="28">
        <v>0.33333299999999999</v>
      </c>
      <c r="P1991" s="26">
        <v>0.49</v>
      </c>
      <c r="Q1991" s="26">
        <v>0.49</v>
      </c>
      <c r="R1991" s="26">
        <v>0</v>
      </c>
      <c r="S1991" s="26"/>
      <c r="T1991" s="26">
        <v>0</v>
      </c>
      <c r="U1991" s="26">
        <v>0</v>
      </c>
      <c r="V1991" s="26">
        <v>0</v>
      </c>
      <c r="W1991" s="28">
        <v>0</v>
      </c>
      <c r="X1991" s="26">
        <v>0</v>
      </c>
      <c r="Y1991" s="26">
        <v>0</v>
      </c>
      <c r="Z1991" s="26">
        <v>0</v>
      </c>
      <c r="AA1991" s="26">
        <v>0</v>
      </c>
    </row>
    <row r="1992" spans="1:27" x14ac:dyDescent="0.2">
      <c r="A1992">
        <f t="shared" si="62"/>
        <v>4</v>
      </c>
      <c r="B1992">
        <f t="shared" si="63"/>
        <v>18</v>
      </c>
      <c r="C1992" s="27">
        <v>46139</v>
      </c>
      <c r="D1992" s="27">
        <v>46139</v>
      </c>
      <c r="E1992" s="26" t="s">
        <v>26</v>
      </c>
      <c r="F1992" s="26" t="s">
        <v>27</v>
      </c>
      <c r="G1992" s="26" t="s">
        <v>28</v>
      </c>
      <c r="H1992" s="26" t="s">
        <v>29</v>
      </c>
      <c r="I1992" s="26" t="s">
        <v>30</v>
      </c>
      <c r="J1992" s="26" t="s">
        <v>119</v>
      </c>
      <c r="K1992" s="26" t="s">
        <v>32</v>
      </c>
      <c r="L1992" s="26" t="s">
        <v>577</v>
      </c>
      <c r="M1992" s="26">
        <v>1</v>
      </c>
      <c r="N1992" s="26">
        <v>1</v>
      </c>
      <c r="O1992" s="28">
        <v>1</v>
      </c>
      <c r="P1992" s="26">
        <v>0.16</v>
      </c>
      <c r="Q1992" s="26">
        <v>0.16</v>
      </c>
      <c r="R1992" s="26">
        <v>0</v>
      </c>
      <c r="S1992" s="26"/>
      <c r="T1992" s="26">
        <v>0</v>
      </c>
      <c r="U1992" s="26">
        <v>0</v>
      </c>
      <c r="V1992" s="26">
        <v>0</v>
      </c>
      <c r="W1992" s="28">
        <v>0</v>
      </c>
      <c r="X1992" s="26">
        <v>0</v>
      </c>
      <c r="Y1992" s="26">
        <v>0</v>
      </c>
      <c r="Z1992" s="26">
        <v>0</v>
      </c>
      <c r="AA1992" s="26">
        <v>0</v>
      </c>
    </row>
    <row r="1993" spans="1:27" x14ac:dyDescent="0.2">
      <c r="A1993">
        <f t="shared" si="62"/>
        <v>4</v>
      </c>
      <c r="B1993">
        <f t="shared" si="63"/>
        <v>16</v>
      </c>
      <c r="C1993" s="27">
        <v>46130</v>
      </c>
      <c r="D1993" s="27">
        <v>46130</v>
      </c>
      <c r="E1993" s="26" t="s">
        <v>26</v>
      </c>
      <c r="F1993" s="26" t="s">
        <v>39</v>
      </c>
      <c r="G1993" s="26" t="s">
        <v>40</v>
      </c>
      <c r="H1993" s="26" t="s">
        <v>29</v>
      </c>
      <c r="I1993" s="26" t="s">
        <v>30</v>
      </c>
      <c r="J1993" s="26" t="s">
        <v>70</v>
      </c>
      <c r="K1993" s="26" t="s">
        <v>42</v>
      </c>
      <c r="L1993" s="26" t="s">
        <v>386</v>
      </c>
      <c r="M1993" s="26">
        <v>2</v>
      </c>
      <c r="N1993" s="26">
        <v>1</v>
      </c>
      <c r="O1993" s="28">
        <v>0.5</v>
      </c>
      <c r="P1993" s="26">
        <v>0.56000000000000005</v>
      </c>
      <c r="Q1993" s="26">
        <v>0.56000000000000005</v>
      </c>
      <c r="R1993" s="26">
        <v>18.04</v>
      </c>
      <c r="S1993" s="28">
        <v>3.1042E-2</v>
      </c>
      <c r="T1993" s="26">
        <v>32.21</v>
      </c>
      <c r="U1993" s="26">
        <v>1</v>
      </c>
      <c r="V1993" s="26">
        <v>1</v>
      </c>
      <c r="W1993" s="28">
        <v>1</v>
      </c>
      <c r="X1993" s="26">
        <v>0</v>
      </c>
      <c r="Y1993" s="26">
        <v>1</v>
      </c>
      <c r="Z1993" s="26">
        <v>0</v>
      </c>
      <c r="AA1993" s="26">
        <v>18.04</v>
      </c>
    </row>
    <row r="1994" spans="1:27" x14ac:dyDescent="0.2">
      <c r="A1994">
        <f t="shared" si="62"/>
        <v>4</v>
      </c>
      <c r="B1994">
        <f t="shared" si="63"/>
        <v>16</v>
      </c>
      <c r="C1994" s="27">
        <v>46130</v>
      </c>
      <c r="D1994" s="27">
        <v>46130</v>
      </c>
      <c r="E1994" s="26" t="s">
        <v>26</v>
      </c>
      <c r="F1994" s="26" t="s">
        <v>27</v>
      </c>
      <c r="G1994" s="26" t="s">
        <v>28</v>
      </c>
      <c r="H1994" s="26" t="s">
        <v>29</v>
      </c>
      <c r="I1994" s="26" t="s">
        <v>30</v>
      </c>
      <c r="J1994" s="26" t="s">
        <v>243</v>
      </c>
      <c r="K1994" s="26" t="s">
        <v>32</v>
      </c>
      <c r="L1994" s="26" t="s">
        <v>1364</v>
      </c>
      <c r="M1994" s="26">
        <v>2</v>
      </c>
      <c r="N1994" s="26">
        <v>1</v>
      </c>
      <c r="O1994" s="28">
        <v>0.5</v>
      </c>
      <c r="P1994" s="26">
        <v>0.21</v>
      </c>
      <c r="Q1994" s="26">
        <v>0.21</v>
      </c>
      <c r="R1994" s="26">
        <v>0</v>
      </c>
      <c r="S1994" s="26"/>
      <c r="T1994" s="26">
        <v>0</v>
      </c>
      <c r="U1994" s="26">
        <v>0</v>
      </c>
      <c r="V1994" s="26">
        <v>0</v>
      </c>
      <c r="W1994" s="28">
        <v>0</v>
      </c>
      <c r="X1994" s="26">
        <v>0</v>
      </c>
      <c r="Y1994" s="26">
        <v>0</v>
      </c>
      <c r="Z1994" s="26">
        <v>0</v>
      </c>
      <c r="AA1994" s="26">
        <v>0</v>
      </c>
    </row>
    <row r="1995" spans="1:27" x14ac:dyDescent="0.2">
      <c r="A1995">
        <f t="shared" si="62"/>
        <v>4</v>
      </c>
      <c r="B1995">
        <f t="shared" si="63"/>
        <v>16</v>
      </c>
      <c r="C1995" s="27">
        <v>46127</v>
      </c>
      <c r="D1995" s="27">
        <v>46127</v>
      </c>
      <c r="E1995" s="26" t="s">
        <v>26</v>
      </c>
      <c r="F1995" s="26" t="s">
        <v>27</v>
      </c>
      <c r="G1995" s="26" t="s">
        <v>28</v>
      </c>
      <c r="H1995" s="26" t="s">
        <v>29</v>
      </c>
      <c r="I1995" s="26" t="s">
        <v>30</v>
      </c>
      <c r="J1995" s="26" t="s">
        <v>257</v>
      </c>
      <c r="K1995" s="26" t="s">
        <v>32</v>
      </c>
      <c r="L1995" s="26" t="s">
        <v>1365</v>
      </c>
      <c r="M1995" s="26">
        <v>1</v>
      </c>
      <c r="N1995" s="26">
        <v>1</v>
      </c>
      <c r="O1995" s="28">
        <v>1</v>
      </c>
      <c r="P1995" s="26">
        <v>0.44</v>
      </c>
      <c r="Q1995" s="26">
        <v>0.44</v>
      </c>
      <c r="R1995" s="26">
        <v>0</v>
      </c>
      <c r="S1995" s="26"/>
      <c r="T1995" s="26">
        <v>0</v>
      </c>
      <c r="U1995" s="26">
        <v>0</v>
      </c>
      <c r="V1995" s="26">
        <v>0</v>
      </c>
      <c r="W1995" s="28">
        <v>0</v>
      </c>
      <c r="X1995" s="26">
        <v>0</v>
      </c>
      <c r="Y1995" s="26">
        <v>0</v>
      </c>
      <c r="Z1995" s="26">
        <v>0</v>
      </c>
      <c r="AA1995" s="26">
        <v>0</v>
      </c>
    </row>
    <row r="1996" spans="1:27" x14ac:dyDescent="0.2">
      <c r="A1996">
        <f t="shared" si="62"/>
        <v>4</v>
      </c>
      <c r="B1996">
        <f t="shared" si="63"/>
        <v>14</v>
      </c>
      <c r="C1996" s="27">
        <v>46116</v>
      </c>
      <c r="D1996" s="27">
        <v>46116</v>
      </c>
      <c r="E1996" s="26" t="s">
        <v>26</v>
      </c>
      <c r="F1996" s="26" t="s">
        <v>49</v>
      </c>
      <c r="G1996" s="26" t="s">
        <v>50</v>
      </c>
      <c r="H1996" s="26" t="s">
        <v>29</v>
      </c>
      <c r="I1996" s="26" t="s">
        <v>30</v>
      </c>
      <c r="J1996" s="26" t="s">
        <v>95</v>
      </c>
      <c r="K1996" s="26" t="s">
        <v>42</v>
      </c>
      <c r="L1996" s="26" t="s">
        <v>301</v>
      </c>
      <c r="M1996" s="26">
        <v>1</v>
      </c>
      <c r="N1996" s="26">
        <v>1</v>
      </c>
      <c r="O1996" s="28">
        <v>1</v>
      </c>
      <c r="P1996" s="26">
        <v>0.54</v>
      </c>
      <c r="Q1996" s="26">
        <v>0.54</v>
      </c>
      <c r="R1996" s="26">
        <v>0</v>
      </c>
      <c r="S1996" s="26"/>
      <c r="T1996" s="26">
        <v>0</v>
      </c>
      <c r="U1996" s="26">
        <v>0</v>
      </c>
      <c r="V1996" s="26">
        <v>0</v>
      </c>
      <c r="W1996" s="28">
        <v>0</v>
      </c>
      <c r="X1996" s="26">
        <v>0</v>
      </c>
      <c r="Y1996" s="26">
        <v>0</v>
      </c>
      <c r="Z1996" s="26">
        <v>0</v>
      </c>
      <c r="AA1996" s="26">
        <v>0</v>
      </c>
    </row>
    <row r="1997" spans="1:27" x14ac:dyDescent="0.2">
      <c r="A1997">
        <f t="shared" si="62"/>
        <v>4</v>
      </c>
      <c r="B1997">
        <f t="shared" si="63"/>
        <v>18</v>
      </c>
      <c r="C1997" s="27">
        <v>46139</v>
      </c>
      <c r="D1997" s="27">
        <v>46139</v>
      </c>
      <c r="E1997" s="26" t="s">
        <v>26</v>
      </c>
      <c r="F1997" s="26" t="s">
        <v>39</v>
      </c>
      <c r="G1997" s="26" t="s">
        <v>40</v>
      </c>
      <c r="H1997" s="26" t="s">
        <v>29</v>
      </c>
      <c r="I1997" s="26" t="s">
        <v>30</v>
      </c>
      <c r="J1997" s="26" t="s">
        <v>1134</v>
      </c>
      <c r="K1997" s="26" t="s">
        <v>42</v>
      </c>
      <c r="L1997" s="26" t="s">
        <v>302</v>
      </c>
      <c r="M1997" s="26">
        <v>6</v>
      </c>
      <c r="N1997" s="26">
        <v>1</v>
      </c>
      <c r="O1997" s="28">
        <v>0.16666700000000001</v>
      </c>
      <c r="P1997" s="26">
        <v>0</v>
      </c>
      <c r="Q1997" s="26">
        <v>0</v>
      </c>
      <c r="R1997" s="26">
        <v>0</v>
      </c>
      <c r="S1997" s="26"/>
      <c r="T1997" s="26"/>
      <c r="U1997" s="26">
        <v>0</v>
      </c>
      <c r="V1997" s="26">
        <v>0</v>
      </c>
      <c r="W1997" s="28">
        <v>0</v>
      </c>
      <c r="X1997" s="26">
        <v>0</v>
      </c>
      <c r="Y1997" s="26">
        <v>0</v>
      </c>
      <c r="Z1997" s="26">
        <v>0</v>
      </c>
      <c r="AA1997" s="26">
        <v>0</v>
      </c>
    </row>
    <row r="1998" spans="1:27" x14ac:dyDescent="0.2">
      <c r="A1998">
        <f t="shared" si="62"/>
        <v>4</v>
      </c>
      <c r="B1998">
        <f t="shared" si="63"/>
        <v>15</v>
      </c>
      <c r="C1998" s="27">
        <v>46122</v>
      </c>
      <c r="D1998" s="27">
        <v>46127</v>
      </c>
      <c r="E1998" s="26" t="s">
        <v>26</v>
      </c>
      <c r="F1998" s="26" t="s">
        <v>27</v>
      </c>
      <c r="G1998" s="26" t="s">
        <v>28</v>
      </c>
      <c r="H1998" s="26" t="s">
        <v>29</v>
      </c>
      <c r="I1998" s="26" t="s">
        <v>30</v>
      </c>
      <c r="J1998" s="26" t="s">
        <v>50</v>
      </c>
      <c r="K1998" s="26" t="s">
        <v>32</v>
      </c>
      <c r="L1998" s="26" t="s">
        <v>302</v>
      </c>
      <c r="M1998" s="26">
        <v>2</v>
      </c>
      <c r="N1998" s="26">
        <v>2</v>
      </c>
      <c r="O1998" s="28">
        <v>1</v>
      </c>
      <c r="P1998" s="26">
        <v>0.21</v>
      </c>
      <c r="Q1998" s="26">
        <v>0.41</v>
      </c>
      <c r="R1998" s="26">
        <v>0</v>
      </c>
      <c r="S1998" s="26"/>
      <c r="T1998" s="26">
        <v>0</v>
      </c>
      <c r="U1998" s="26">
        <v>0</v>
      </c>
      <c r="V1998" s="26">
        <v>0</v>
      </c>
      <c r="W1998" s="28">
        <v>0</v>
      </c>
      <c r="X1998" s="26">
        <v>0</v>
      </c>
      <c r="Y1998" s="26">
        <v>0</v>
      </c>
      <c r="Z1998" s="26">
        <v>0</v>
      </c>
      <c r="AA1998" s="26">
        <v>0</v>
      </c>
    </row>
    <row r="1999" spans="1:27" x14ac:dyDescent="0.2">
      <c r="A1999">
        <f t="shared" si="62"/>
        <v>4</v>
      </c>
      <c r="B1999">
        <f t="shared" si="63"/>
        <v>15</v>
      </c>
      <c r="C1999" s="27">
        <v>46119</v>
      </c>
      <c r="D1999" s="27">
        <v>46119</v>
      </c>
      <c r="E1999" s="26" t="s">
        <v>26</v>
      </c>
      <c r="F1999" s="26" t="s">
        <v>27</v>
      </c>
      <c r="G1999" s="26" t="s">
        <v>124</v>
      </c>
      <c r="H1999" s="26" t="s">
        <v>29</v>
      </c>
      <c r="I1999" s="26" t="s">
        <v>30</v>
      </c>
      <c r="J1999" s="26" t="s">
        <v>280</v>
      </c>
      <c r="K1999" s="26" t="s">
        <v>87</v>
      </c>
      <c r="L1999" s="26" t="s">
        <v>578</v>
      </c>
      <c r="M1999" s="26">
        <v>3</v>
      </c>
      <c r="N1999" s="26">
        <v>1</v>
      </c>
      <c r="O1999" s="28">
        <v>0.33333299999999999</v>
      </c>
      <c r="P1999" s="26">
        <v>0.4</v>
      </c>
      <c r="Q1999" s="26">
        <v>0.4</v>
      </c>
      <c r="R1999" s="26">
        <v>0</v>
      </c>
      <c r="S1999" s="26"/>
      <c r="T1999" s="26">
        <v>0</v>
      </c>
      <c r="U1999" s="26">
        <v>0</v>
      </c>
      <c r="V1999" s="26">
        <v>0</v>
      </c>
      <c r="W1999" s="28">
        <v>0</v>
      </c>
      <c r="X1999" s="26">
        <v>0</v>
      </c>
      <c r="Y1999" s="26">
        <v>0</v>
      </c>
      <c r="Z1999" s="26">
        <v>0</v>
      </c>
      <c r="AA1999" s="26">
        <v>0</v>
      </c>
    </row>
    <row r="2000" spans="1:27" x14ac:dyDescent="0.2">
      <c r="A2000">
        <f t="shared" si="62"/>
        <v>4</v>
      </c>
      <c r="B2000">
        <f t="shared" si="63"/>
        <v>17</v>
      </c>
      <c r="C2000" s="27">
        <v>46134</v>
      </c>
      <c r="D2000" s="27">
        <v>46134</v>
      </c>
      <c r="E2000" s="26" t="s">
        <v>26</v>
      </c>
      <c r="F2000" s="26" t="s">
        <v>27</v>
      </c>
      <c r="G2000" s="26" t="s">
        <v>28</v>
      </c>
      <c r="H2000" s="26" t="s">
        <v>29</v>
      </c>
      <c r="I2000" s="26" t="s">
        <v>30</v>
      </c>
      <c r="J2000" s="26" t="s">
        <v>31</v>
      </c>
      <c r="K2000" s="26" t="s">
        <v>32</v>
      </c>
      <c r="L2000" s="26" t="s">
        <v>857</v>
      </c>
      <c r="M2000" s="26">
        <v>1</v>
      </c>
      <c r="N2000" s="26">
        <v>1</v>
      </c>
      <c r="O2000" s="28">
        <v>1</v>
      </c>
      <c r="P2000" s="26">
        <v>0.21</v>
      </c>
      <c r="Q2000" s="26">
        <v>0.21</v>
      </c>
      <c r="R2000" s="26">
        <v>0</v>
      </c>
      <c r="S2000" s="26"/>
      <c r="T2000" s="26">
        <v>0</v>
      </c>
      <c r="U2000" s="26">
        <v>0</v>
      </c>
      <c r="V2000" s="26">
        <v>0</v>
      </c>
      <c r="W2000" s="28">
        <v>0</v>
      </c>
      <c r="X2000" s="26">
        <v>0</v>
      </c>
      <c r="Y2000" s="26">
        <v>0</v>
      </c>
      <c r="Z2000" s="26">
        <v>0</v>
      </c>
      <c r="AA2000" s="26">
        <v>0</v>
      </c>
    </row>
    <row r="2001" spans="1:27" x14ac:dyDescent="0.2">
      <c r="A2001">
        <f t="shared" si="62"/>
        <v>4</v>
      </c>
      <c r="B2001">
        <f t="shared" si="63"/>
        <v>17</v>
      </c>
      <c r="C2001" s="27">
        <v>46131</v>
      </c>
      <c r="D2001" s="27">
        <v>46131</v>
      </c>
      <c r="E2001" s="26" t="s">
        <v>26</v>
      </c>
      <c r="F2001" s="26" t="s">
        <v>27</v>
      </c>
      <c r="G2001" s="26" t="s">
        <v>28</v>
      </c>
      <c r="H2001" s="26" t="s">
        <v>29</v>
      </c>
      <c r="I2001" s="26" t="s">
        <v>30</v>
      </c>
      <c r="J2001" s="26" t="s">
        <v>37</v>
      </c>
      <c r="K2001" s="26" t="s">
        <v>32</v>
      </c>
      <c r="L2001" s="26" t="s">
        <v>1366</v>
      </c>
      <c r="M2001" s="26">
        <v>2</v>
      </c>
      <c r="N2001" s="26">
        <v>1</v>
      </c>
      <c r="O2001" s="28">
        <v>0.5</v>
      </c>
      <c r="P2001" s="26">
        <v>0.21</v>
      </c>
      <c r="Q2001" s="26">
        <v>0.21</v>
      </c>
      <c r="R2001" s="26">
        <v>0</v>
      </c>
      <c r="S2001" s="26"/>
      <c r="T2001" s="26">
        <v>0</v>
      </c>
      <c r="U2001" s="26">
        <v>0</v>
      </c>
      <c r="V2001" s="26">
        <v>0</v>
      </c>
      <c r="W2001" s="28">
        <v>0</v>
      </c>
      <c r="X2001" s="26">
        <v>0</v>
      </c>
      <c r="Y2001" s="26">
        <v>0</v>
      </c>
      <c r="Z2001" s="26">
        <v>0</v>
      </c>
      <c r="AA2001" s="26">
        <v>0</v>
      </c>
    </row>
    <row r="2002" spans="1:27" x14ac:dyDescent="0.2">
      <c r="A2002">
        <f t="shared" si="62"/>
        <v>4</v>
      </c>
      <c r="B2002">
        <f t="shared" si="63"/>
        <v>17</v>
      </c>
      <c r="C2002" s="27">
        <v>46137</v>
      </c>
      <c r="D2002" s="27">
        <v>46137</v>
      </c>
      <c r="E2002" s="26" t="s">
        <v>26</v>
      </c>
      <c r="F2002" s="26" t="s">
        <v>27</v>
      </c>
      <c r="G2002" s="26" t="s">
        <v>28</v>
      </c>
      <c r="H2002" s="26" t="s">
        <v>29</v>
      </c>
      <c r="I2002" s="26" t="s">
        <v>30</v>
      </c>
      <c r="J2002" s="26" t="s">
        <v>31</v>
      </c>
      <c r="K2002" s="26" t="s">
        <v>32</v>
      </c>
      <c r="L2002" s="26" t="s">
        <v>1367</v>
      </c>
      <c r="M2002" s="26">
        <v>2</v>
      </c>
      <c r="N2002" s="26">
        <v>1</v>
      </c>
      <c r="O2002" s="28">
        <v>0.5</v>
      </c>
      <c r="P2002" s="26">
        <v>0.21</v>
      </c>
      <c r="Q2002" s="26">
        <v>0.21</v>
      </c>
      <c r="R2002" s="26">
        <v>0</v>
      </c>
      <c r="S2002" s="26"/>
      <c r="T2002" s="26">
        <v>0</v>
      </c>
      <c r="U2002" s="26">
        <v>0</v>
      </c>
      <c r="V2002" s="26">
        <v>0</v>
      </c>
      <c r="W2002" s="28">
        <v>0</v>
      </c>
      <c r="X2002" s="26">
        <v>0</v>
      </c>
      <c r="Y2002" s="26">
        <v>0</v>
      </c>
      <c r="Z2002" s="26">
        <v>0</v>
      </c>
      <c r="AA2002" s="26">
        <v>0</v>
      </c>
    </row>
    <row r="2003" spans="1:27" x14ac:dyDescent="0.2">
      <c r="A2003">
        <f t="shared" si="62"/>
        <v>4</v>
      </c>
      <c r="B2003">
        <f t="shared" si="63"/>
        <v>15</v>
      </c>
      <c r="C2003" s="27">
        <v>46119</v>
      </c>
      <c r="D2003" s="27">
        <v>46119</v>
      </c>
      <c r="E2003" s="26" t="s">
        <v>26</v>
      </c>
      <c r="F2003" s="26" t="s">
        <v>27</v>
      </c>
      <c r="G2003" s="26" t="s">
        <v>28</v>
      </c>
      <c r="H2003" s="26" t="s">
        <v>29</v>
      </c>
      <c r="I2003" s="26" t="s">
        <v>30</v>
      </c>
      <c r="J2003" s="26" t="s">
        <v>37</v>
      </c>
      <c r="K2003" s="26" t="s">
        <v>32</v>
      </c>
      <c r="L2003" s="26" t="s">
        <v>1368</v>
      </c>
      <c r="M2003" s="26">
        <v>2</v>
      </c>
      <c r="N2003" s="26">
        <v>1</v>
      </c>
      <c r="O2003" s="28">
        <v>0.5</v>
      </c>
      <c r="P2003" s="26">
        <v>0.08</v>
      </c>
      <c r="Q2003" s="26">
        <v>0.08</v>
      </c>
      <c r="R2003" s="26">
        <v>0</v>
      </c>
      <c r="S2003" s="26"/>
      <c r="T2003" s="26">
        <v>0</v>
      </c>
      <c r="U2003" s="26">
        <v>0</v>
      </c>
      <c r="V2003" s="26">
        <v>0</v>
      </c>
      <c r="W2003" s="28">
        <v>0</v>
      </c>
      <c r="X2003" s="26">
        <v>0</v>
      </c>
      <c r="Y2003" s="26">
        <v>0</v>
      </c>
      <c r="Z2003" s="26">
        <v>0</v>
      </c>
      <c r="AA2003" s="26">
        <v>0</v>
      </c>
    </row>
    <row r="2004" spans="1:27" x14ac:dyDescent="0.2">
      <c r="A2004">
        <f t="shared" si="62"/>
        <v>4</v>
      </c>
      <c r="B2004">
        <f t="shared" si="63"/>
        <v>15</v>
      </c>
      <c r="C2004" s="27">
        <v>46119</v>
      </c>
      <c r="D2004" s="27">
        <v>46119</v>
      </c>
      <c r="E2004" s="26" t="s">
        <v>26</v>
      </c>
      <c r="F2004" s="26" t="s">
        <v>49</v>
      </c>
      <c r="G2004" s="26" t="s">
        <v>50</v>
      </c>
      <c r="H2004" s="26" t="s">
        <v>29</v>
      </c>
      <c r="I2004" s="26" t="s">
        <v>30</v>
      </c>
      <c r="J2004" s="26" t="s">
        <v>47</v>
      </c>
      <c r="K2004" s="26" t="s">
        <v>42</v>
      </c>
      <c r="L2004" s="26" t="s">
        <v>37</v>
      </c>
      <c r="M2004" s="26">
        <v>2</v>
      </c>
      <c r="N2004" s="26">
        <v>1</v>
      </c>
      <c r="O2004" s="28">
        <v>0.5</v>
      </c>
      <c r="P2004" s="26">
        <v>0.78</v>
      </c>
      <c r="Q2004" s="26">
        <v>0.78</v>
      </c>
      <c r="R2004" s="26">
        <v>18.989999999999998</v>
      </c>
      <c r="S2004" s="28">
        <v>4.1073999999999999E-2</v>
      </c>
      <c r="T2004" s="26">
        <v>24.35</v>
      </c>
      <c r="U2004" s="26">
        <v>1</v>
      </c>
      <c r="V2004" s="26">
        <v>1</v>
      </c>
      <c r="W2004" s="28">
        <v>1</v>
      </c>
      <c r="X2004" s="26">
        <v>1</v>
      </c>
      <c r="Y2004" s="26">
        <v>0</v>
      </c>
      <c r="Z2004" s="26">
        <v>18.989999999999998</v>
      </c>
      <c r="AA2004" s="26">
        <v>0</v>
      </c>
    </row>
    <row r="2005" spans="1:27" x14ac:dyDescent="0.2">
      <c r="A2005">
        <f t="shared" si="62"/>
        <v>4</v>
      </c>
      <c r="B2005">
        <f t="shared" si="63"/>
        <v>18</v>
      </c>
      <c r="C2005" s="27">
        <v>46139</v>
      </c>
      <c r="D2005" s="27">
        <v>46139</v>
      </c>
      <c r="E2005" s="26" t="s">
        <v>26</v>
      </c>
      <c r="F2005" s="26" t="s">
        <v>39</v>
      </c>
      <c r="G2005" s="26" t="s">
        <v>40</v>
      </c>
      <c r="H2005" s="26" t="s">
        <v>29</v>
      </c>
      <c r="I2005" s="26" t="s">
        <v>30</v>
      </c>
      <c r="J2005" s="26" t="s">
        <v>1134</v>
      </c>
      <c r="K2005" s="26" t="s">
        <v>42</v>
      </c>
      <c r="L2005" s="26" t="s">
        <v>305</v>
      </c>
      <c r="M2005" s="26">
        <v>10</v>
      </c>
      <c r="N2005" s="26">
        <v>1</v>
      </c>
      <c r="O2005" s="28">
        <v>0.1</v>
      </c>
      <c r="P2005" s="26">
        <v>0.62</v>
      </c>
      <c r="Q2005" s="26">
        <v>0.62</v>
      </c>
      <c r="R2005" s="26">
        <v>0</v>
      </c>
      <c r="S2005" s="26"/>
      <c r="T2005" s="26">
        <v>0</v>
      </c>
      <c r="U2005" s="26">
        <v>0</v>
      </c>
      <c r="V2005" s="26">
        <v>0</v>
      </c>
      <c r="W2005" s="28">
        <v>0</v>
      </c>
      <c r="X2005" s="26">
        <v>0</v>
      </c>
      <c r="Y2005" s="26">
        <v>0</v>
      </c>
      <c r="Z2005" s="26">
        <v>0</v>
      </c>
      <c r="AA2005" s="26">
        <v>0</v>
      </c>
    </row>
    <row r="2006" spans="1:27" x14ac:dyDescent="0.2">
      <c r="A2006">
        <f t="shared" si="62"/>
        <v>4</v>
      </c>
      <c r="B2006">
        <f t="shared" si="63"/>
        <v>14</v>
      </c>
      <c r="C2006" s="27">
        <v>46114</v>
      </c>
      <c r="D2006" s="27">
        <v>46124</v>
      </c>
      <c r="E2006" s="26" t="s">
        <v>26</v>
      </c>
      <c r="F2006" s="26" t="s">
        <v>49</v>
      </c>
      <c r="G2006" s="26" t="s">
        <v>50</v>
      </c>
      <c r="H2006" s="26" t="s">
        <v>29</v>
      </c>
      <c r="I2006" s="26" t="s">
        <v>30</v>
      </c>
      <c r="J2006" s="26" t="s">
        <v>47</v>
      </c>
      <c r="K2006" s="26" t="s">
        <v>42</v>
      </c>
      <c r="L2006" s="26" t="s">
        <v>305</v>
      </c>
      <c r="M2006" s="26">
        <v>88</v>
      </c>
      <c r="N2006" s="26">
        <v>4</v>
      </c>
      <c r="O2006" s="28">
        <v>4.5455000000000002E-2</v>
      </c>
      <c r="P2006" s="26">
        <v>0.78</v>
      </c>
      <c r="Q2006" s="26">
        <v>3.11</v>
      </c>
      <c r="R2006" s="26">
        <v>0</v>
      </c>
      <c r="S2006" s="26"/>
      <c r="T2006" s="26">
        <v>0</v>
      </c>
      <c r="U2006" s="26">
        <v>0</v>
      </c>
      <c r="V2006" s="26">
        <v>0</v>
      </c>
      <c r="W2006" s="28">
        <v>0</v>
      </c>
      <c r="X2006" s="26">
        <v>0</v>
      </c>
      <c r="Y2006" s="26">
        <v>0</v>
      </c>
      <c r="Z2006" s="26">
        <v>0</v>
      </c>
      <c r="AA2006" s="26">
        <v>0</v>
      </c>
    </row>
    <row r="2007" spans="1:27" x14ac:dyDescent="0.2">
      <c r="A2007">
        <f t="shared" ref="A2007:A2043" si="64">MONTH(C2007)</f>
        <v>4</v>
      </c>
      <c r="B2007">
        <f t="shared" ref="B2007:B2043" si="65">WEEKNUM(C2007,1)</f>
        <v>15</v>
      </c>
      <c r="C2007" s="27">
        <v>46120</v>
      </c>
      <c r="D2007" s="27">
        <v>46138</v>
      </c>
      <c r="E2007" s="26" t="s">
        <v>26</v>
      </c>
      <c r="F2007" s="26" t="s">
        <v>27</v>
      </c>
      <c r="G2007" s="26" t="s">
        <v>28</v>
      </c>
      <c r="H2007" s="26" t="s">
        <v>29</v>
      </c>
      <c r="I2007" s="26" t="s">
        <v>30</v>
      </c>
      <c r="J2007" s="26" t="s">
        <v>50</v>
      </c>
      <c r="K2007" s="26" t="s">
        <v>32</v>
      </c>
      <c r="L2007" s="26" t="s">
        <v>305</v>
      </c>
      <c r="M2007" s="26">
        <v>3</v>
      </c>
      <c r="N2007" s="26">
        <v>2</v>
      </c>
      <c r="O2007" s="28">
        <v>0.66666700000000001</v>
      </c>
      <c r="P2007" s="26">
        <v>0.33</v>
      </c>
      <c r="Q2007" s="26">
        <v>0.65</v>
      </c>
      <c r="R2007" s="26">
        <v>0</v>
      </c>
      <c r="S2007" s="26"/>
      <c r="T2007" s="26">
        <v>0</v>
      </c>
      <c r="U2007" s="26">
        <v>0</v>
      </c>
      <c r="V2007" s="26">
        <v>0</v>
      </c>
      <c r="W2007" s="28">
        <v>0</v>
      </c>
      <c r="X2007" s="26">
        <v>0</v>
      </c>
      <c r="Y2007" s="26">
        <v>0</v>
      </c>
      <c r="Z2007" s="26">
        <v>0</v>
      </c>
      <c r="AA2007" s="26">
        <v>0</v>
      </c>
    </row>
    <row r="2008" spans="1:27" x14ac:dyDescent="0.2">
      <c r="A2008">
        <f t="shared" si="64"/>
        <v>4</v>
      </c>
      <c r="B2008">
        <f t="shared" si="65"/>
        <v>16</v>
      </c>
      <c r="C2008" s="27">
        <v>46130</v>
      </c>
      <c r="D2008" s="27">
        <v>46138</v>
      </c>
      <c r="E2008" s="26" t="s">
        <v>26</v>
      </c>
      <c r="F2008" s="26" t="s">
        <v>27</v>
      </c>
      <c r="G2008" s="26" t="s">
        <v>28</v>
      </c>
      <c r="H2008" s="26" t="s">
        <v>29</v>
      </c>
      <c r="I2008" s="26" t="s">
        <v>30</v>
      </c>
      <c r="J2008" s="26" t="s">
        <v>101</v>
      </c>
      <c r="K2008" s="26" t="s">
        <v>32</v>
      </c>
      <c r="L2008" s="26" t="s">
        <v>305</v>
      </c>
      <c r="M2008" s="26">
        <v>3</v>
      </c>
      <c r="N2008" s="26">
        <v>2</v>
      </c>
      <c r="O2008" s="28">
        <v>0.66666700000000001</v>
      </c>
      <c r="P2008" s="26">
        <v>0.22</v>
      </c>
      <c r="Q2008" s="26">
        <v>0.44</v>
      </c>
      <c r="R2008" s="26">
        <v>0</v>
      </c>
      <c r="S2008" s="26"/>
      <c r="T2008" s="26">
        <v>0</v>
      </c>
      <c r="U2008" s="26">
        <v>0</v>
      </c>
      <c r="V2008" s="26">
        <v>0</v>
      </c>
      <c r="W2008" s="28">
        <v>0</v>
      </c>
      <c r="X2008" s="26">
        <v>0</v>
      </c>
      <c r="Y2008" s="26">
        <v>0</v>
      </c>
      <c r="Z2008" s="26">
        <v>0</v>
      </c>
      <c r="AA2008" s="26">
        <v>0</v>
      </c>
    </row>
    <row r="2009" spans="1:27" x14ac:dyDescent="0.2">
      <c r="A2009">
        <f t="shared" si="64"/>
        <v>4</v>
      </c>
      <c r="B2009">
        <f t="shared" si="65"/>
        <v>15</v>
      </c>
      <c r="C2009" s="27">
        <v>46118</v>
      </c>
      <c r="D2009" s="27">
        <v>46142</v>
      </c>
      <c r="E2009" s="26" t="s">
        <v>26</v>
      </c>
      <c r="F2009" s="26" t="s">
        <v>27</v>
      </c>
      <c r="G2009" s="26" t="s">
        <v>124</v>
      </c>
      <c r="H2009" s="26" t="s">
        <v>29</v>
      </c>
      <c r="I2009" s="26" t="s">
        <v>30</v>
      </c>
      <c r="J2009" s="26" t="s">
        <v>44</v>
      </c>
      <c r="K2009" s="26" t="s">
        <v>87</v>
      </c>
      <c r="L2009" s="26" t="s">
        <v>305</v>
      </c>
      <c r="M2009" s="26">
        <v>97</v>
      </c>
      <c r="N2009" s="26">
        <v>8</v>
      </c>
      <c r="O2009" s="28">
        <v>8.2474000000000006E-2</v>
      </c>
      <c r="P2009" s="26">
        <v>0.2</v>
      </c>
      <c r="Q2009" s="26">
        <v>1.61</v>
      </c>
      <c r="R2009" s="26">
        <v>0</v>
      </c>
      <c r="S2009" s="26"/>
      <c r="T2009" s="26">
        <v>0</v>
      </c>
      <c r="U2009" s="26">
        <v>0</v>
      </c>
      <c r="V2009" s="26">
        <v>0</v>
      </c>
      <c r="W2009" s="28">
        <v>0</v>
      </c>
      <c r="X2009" s="26">
        <v>0</v>
      </c>
      <c r="Y2009" s="26">
        <v>0</v>
      </c>
      <c r="Z2009" s="26">
        <v>0</v>
      </c>
      <c r="AA2009" s="26">
        <v>0</v>
      </c>
    </row>
    <row r="2010" spans="1:27" x14ac:dyDescent="0.2">
      <c r="A2010">
        <f t="shared" si="64"/>
        <v>4</v>
      </c>
      <c r="B2010">
        <f t="shared" si="65"/>
        <v>16</v>
      </c>
      <c r="C2010" s="27">
        <v>46127</v>
      </c>
      <c r="D2010" s="27">
        <v>46127</v>
      </c>
      <c r="E2010" s="26" t="s">
        <v>26</v>
      </c>
      <c r="F2010" s="26" t="s">
        <v>39</v>
      </c>
      <c r="G2010" s="26" t="s">
        <v>40</v>
      </c>
      <c r="H2010" s="26" t="s">
        <v>29</v>
      </c>
      <c r="I2010" s="26" t="s">
        <v>30</v>
      </c>
      <c r="J2010" s="26" t="s">
        <v>843</v>
      </c>
      <c r="K2010" s="26" t="s">
        <v>42</v>
      </c>
      <c r="L2010" s="26" t="s">
        <v>305</v>
      </c>
      <c r="M2010" s="26">
        <v>10</v>
      </c>
      <c r="N2010" s="26">
        <v>1</v>
      </c>
      <c r="O2010" s="28">
        <v>0.1</v>
      </c>
      <c r="P2010" s="26">
        <v>0.75</v>
      </c>
      <c r="Q2010" s="26">
        <v>0.75</v>
      </c>
      <c r="R2010" s="26">
        <v>0</v>
      </c>
      <c r="S2010" s="26"/>
      <c r="T2010" s="26">
        <v>0</v>
      </c>
      <c r="U2010" s="26">
        <v>0</v>
      </c>
      <c r="V2010" s="26">
        <v>0</v>
      </c>
      <c r="W2010" s="28">
        <v>0</v>
      </c>
      <c r="X2010" s="26">
        <v>0</v>
      </c>
      <c r="Y2010" s="26">
        <v>0</v>
      </c>
      <c r="Z2010" s="26">
        <v>0</v>
      </c>
      <c r="AA2010" s="26">
        <v>0</v>
      </c>
    </row>
    <row r="2011" spans="1:27" x14ac:dyDescent="0.2">
      <c r="A2011">
        <f t="shared" si="64"/>
        <v>4</v>
      </c>
      <c r="B2011">
        <f t="shared" si="65"/>
        <v>14</v>
      </c>
      <c r="C2011" s="27">
        <v>46113</v>
      </c>
      <c r="D2011" s="27">
        <v>46141</v>
      </c>
      <c r="E2011" s="26" t="s">
        <v>26</v>
      </c>
      <c r="F2011" s="26" t="s">
        <v>27</v>
      </c>
      <c r="G2011" s="26" t="s">
        <v>28</v>
      </c>
      <c r="H2011" s="26" t="s">
        <v>29</v>
      </c>
      <c r="I2011" s="26" t="s">
        <v>30</v>
      </c>
      <c r="J2011" s="26" t="s">
        <v>306</v>
      </c>
      <c r="K2011" s="26" t="s">
        <v>32</v>
      </c>
      <c r="L2011" s="26" t="s">
        <v>305</v>
      </c>
      <c r="M2011" s="26">
        <v>50</v>
      </c>
      <c r="N2011" s="26">
        <v>5</v>
      </c>
      <c r="O2011" s="28">
        <v>0.1</v>
      </c>
      <c r="P2011" s="26">
        <v>0.18</v>
      </c>
      <c r="Q2011" s="26">
        <v>0.89</v>
      </c>
      <c r="R2011" s="26">
        <v>17.09</v>
      </c>
      <c r="S2011" s="28">
        <v>5.2076999999999998E-2</v>
      </c>
      <c r="T2011" s="26">
        <v>19.2</v>
      </c>
      <c r="U2011" s="26">
        <v>1</v>
      </c>
      <c r="V2011" s="26">
        <v>1</v>
      </c>
      <c r="W2011" s="28">
        <v>0.2</v>
      </c>
      <c r="X2011" s="26">
        <v>0</v>
      </c>
      <c r="Y2011" s="26">
        <v>1</v>
      </c>
      <c r="Z2011" s="26">
        <v>0</v>
      </c>
      <c r="AA2011" s="26">
        <v>17.09</v>
      </c>
    </row>
    <row r="2012" spans="1:27" x14ac:dyDescent="0.2">
      <c r="A2012">
        <f t="shared" si="64"/>
        <v>4</v>
      </c>
      <c r="B2012">
        <f t="shared" si="65"/>
        <v>18</v>
      </c>
      <c r="C2012" s="27">
        <v>46141</v>
      </c>
      <c r="D2012" s="27">
        <v>46141</v>
      </c>
      <c r="E2012" s="26" t="s">
        <v>26</v>
      </c>
      <c r="F2012" s="26" t="s">
        <v>27</v>
      </c>
      <c r="G2012" s="26" t="s">
        <v>28</v>
      </c>
      <c r="H2012" s="26" t="s">
        <v>29</v>
      </c>
      <c r="I2012" s="26" t="s">
        <v>30</v>
      </c>
      <c r="J2012" s="26" t="s">
        <v>311</v>
      </c>
      <c r="K2012" s="26" t="s">
        <v>32</v>
      </c>
      <c r="L2012" s="26" t="s">
        <v>305</v>
      </c>
      <c r="M2012" s="26">
        <v>3</v>
      </c>
      <c r="N2012" s="26">
        <v>1</v>
      </c>
      <c r="O2012" s="28">
        <v>0.33333299999999999</v>
      </c>
      <c r="P2012" s="26">
        <v>0.21</v>
      </c>
      <c r="Q2012" s="26">
        <v>0.21</v>
      </c>
      <c r="R2012" s="26">
        <v>0</v>
      </c>
      <c r="S2012" s="26"/>
      <c r="T2012" s="26">
        <v>0</v>
      </c>
      <c r="U2012" s="26">
        <v>0</v>
      </c>
      <c r="V2012" s="26">
        <v>0</v>
      </c>
      <c r="W2012" s="28">
        <v>0</v>
      </c>
      <c r="X2012" s="26">
        <v>0</v>
      </c>
      <c r="Y2012" s="26">
        <v>0</v>
      </c>
      <c r="Z2012" s="26">
        <v>0</v>
      </c>
      <c r="AA2012" s="26">
        <v>0</v>
      </c>
    </row>
    <row r="2013" spans="1:27" x14ac:dyDescent="0.2">
      <c r="A2013">
        <f t="shared" si="64"/>
        <v>4</v>
      </c>
      <c r="B2013">
        <f t="shared" si="65"/>
        <v>17</v>
      </c>
      <c r="C2013" s="27">
        <v>46133</v>
      </c>
      <c r="D2013" s="27">
        <v>46133</v>
      </c>
      <c r="E2013" s="26" t="s">
        <v>26</v>
      </c>
      <c r="F2013" s="26" t="s">
        <v>39</v>
      </c>
      <c r="G2013" s="26" t="s">
        <v>40</v>
      </c>
      <c r="H2013" s="26" t="s">
        <v>29</v>
      </c>
      <c r="I2013" s="26" t="s">
        <v>30</v>
      </c>
      <c r="J2013" s="26" t="s">
        <v>70</v>
      </c>
      <c r="K2013" s="26" t="s">
        <v>42</v>
      </c>
      <c r="L2013" s="26" t="s">
        <v>1369</v>
      </c>
      <c r="M2013" s="26">
        <v>1</v>
      </c>
      <c r="N2013" s="26">
        <v>1</v>
      </c>
      <c r="O2013" s="28">
        <v>1</v>
      </c>
      <c r="P2013" s="26">
        <v>0.42</v>
      </c>
      <c r="Q2013" s="26">
        <v>0.42</v>
      </c>
      <c r="R2013" s="26">
        <v>18.04</v>
      </c>
      <c r="S2013" s="28">
        <v>2.3282000000000001E-2</v>
      </c>
      <c r="T2013" s="26">
        <v>42.95</v>
      </c>
      <c r="U2013" s="26">
        <v>1</v>
      </c>
      <c r="V2013" s="26">
        <v>1</v>
      </c>
      <c r="W2013" s="28">
        <v>1</v>
      </c>
      <c r="X2013" s="26">
        <v>1</v>
      </c>
      <c r="Y2013" s="26">
        <v>0</v>
      </c>
      <c r="Z2013" s="26">
        <v>18.04</v>
      </c>
      <c r="AA2013" s="26">
        <v>0</v>
      </c>
    </row>
    <row r="2014" spans="1:27" x14ac:dyDescent="0.2">
      <c r="A2014">
        <f t="shared" si="64"/>
        <v>4</v>
      </c>
      <c r="B2014">
        <f t="shared" si="65"/>
        <v>18</v>
      </c>
      <c r="C2014" s="27">
        <v>46140</v>
      </c>
      <c r="D2014" s="27">
        <v>46140</v>
      </c>
      <c r="E2014" s="26" t="s">
        <v>26</v>
      </c>
      <c r="F2014" s="26" t="s">
        <v>27</v>
      </c>
      <c r="G2014" s="26" t="s">
        <v>28</v>
      </c>
      <c r="H2014" s="26" t="s">
        <v>29</v>
      </c>
      <c r="I2014" s="26" t="s">
        <v>30</v>
      </c>
      <c r="J2014" s="26" t="s">
        <v>37</v>
      </c>
      <c r="K2014" s="26" t="s">
        <v>32</v>
      </c>
      <c r="L2014" s="26" t="s">
        <v>1370</v>
      </c>
      <c r="M2014" s="26">
        <v>2</v>
      </c>
      <c r="N2014" s="26">
        <v>1</v>
      </c>
      <c r="O2014" s="28">
        <v>0.5</v>
      </c>
      <c r="P2014" s="26">
        <v>0.21</v>
      </c>
      <c r="Q2014" s="26">
        <v>0.21</v>
      </c>
      <c r="R2014" s="26">
        <v>0</v>
      </c>
      <c r="S2014" s="26"/>
      <c r="T2014" s="26">
        <v>0</v>
      </c>
      <c r="U2014" s="26">
        <v>0</v>
      </c>
      <c r="V2014" s="26">
        <v>0</v>
      </c>
      <c r="W2014" s="28">
        <v>0</v>
      </c>
      <c r="X2014" s="26">
        <v>0</v>
      </c>
      <c r="Y2014" s="26">
        <v>0</v>
      </c>
      <c r="Z2014" s="26">
        <v>0</v>
      </c>
      <c r="AA2014" s="26">
        <v>0</v>
      </c>
    </row>
    <row r="2015" spans="1:27" x14ac:dyDescent="0.2">
      <c r="A2015">
        <f t="shared" si="64"/>
        <v>4</v>
      </c>
      <c r="B2015">
        <f t="shared" si="65"/>
        <v>16</v>
      </c>
      <c r="C2015" s="27">
        <v>46129</v>
      </c>
      <c r="D2015" s="27">
        <v>46129</v>
      </c>
      <c r="E2015" s="26" t="s">
        <v>26</v>
      </c>
      <c r="F2015" s="26" t="s">
        <v>27</v>
      </c>
      <c r="G2015" s="26" t="s">
        <v>28</v>
      </c>
      <c r="H2015" s="26" t="s">
        <v>29</v>
      </c>
      <c r="I2015" s="26" t="s">
        <v>30</v>
      </c>
      <c r="J2015" s="26" t="s">
        <v>37</v>
      </c>
      <c r="K2015" s="26" t="s">
        <v>32</v>
      </c>
      <c r="L2015" s="26" t="s">
        <v>1371</v>
      </c>
      <c r="M2015" s="26">
        <v>2</v>
      </c>
      <c r="N2015" s="26">
        <v>1</v>
      </c>
      <c r="O2015" s="28">
        <v>0.5</v>
      </c>
      <c r="P2015" s="26">
        <v>0.21</v>
      </c>
      <c r="Q2015" s="26">
        <v>0.21</v>
      </c>
      <c r="R2015" s="26">
        <v>0</v>
      </c>
      <c r="S2015" s="26"/>
      <c r="T2015" s="26">
        <v>0</v>
      </c>
      <c r="U2015" s="26">
        <v>0</v>
      </c>
      <c r="V2015" s="26">
        <v>0</v>
      </c>
      <c r="W2015" s="28">
        <v>0</v>
      </c>
      <c r="X2015" s="26">
        <v>0</v>
      </c>
      <c r="Y2015" s="26">
        <v>0</v>
      </c>
      <c r="Z2015" s="26">
        <v>0</v>
      </c>
      <c r="AA2015" s="26">
        <v>0</v>
      </c>
    </row>
    <row r="2016" spans="1:27" x14ac:dyDescent="0.2">
      <c r="A2016">
        <f t="shared" si="64"/>
        <v>4</v>
      </c>
      <c r="B2016">
        <f t="shared" si="65"/>
        <v>15</v>
      </c>
      <c r="C2016" s="27">
        <v>46123</v>
      </c>
      <c r="D2016" s="27">
        <v>46123</v>
      </c>
      <c r="E2016" s="26" t="s">
        <v>26</v>
      </c>
      <c r="F2016" s="26" t="s">
        <v>27</v>
      </c>
      <c r="G2016" s="26" t="s">
        <v>28</v>
      </c>
      <c r="H2016" s="26" t="s">
        <v>29</v>
      </c>
      <c r="I2016" s="26" t="s">
        <v>30</v>
      </c>
      <c r="J2016" s="26" t="s">
        <v>243</v>
      </c>
      <c r="K2016" s="26" t="s">
        <v>32</v>
      </c>
      <c r="L2016" s="26" t="s">
        <v>1372</v>
      </c>
      <c r="M2016" s="26">
        <v>1</v>
      </c>
      <c r="N2016" s="26">
        <v>1</v>
      </c>
      <c r="O2016" s="28">
        <v>1</v>
      </c>
      <c r="P2016" s="26">
        <v>0.4</v>
      </c>
      <c r="Q2016" s="26">
        <v>0.4</v>
      </c>
      <c r="R2016" s="26">
        <v>0</v>
      </c>
      <c r="S2016" s="26"/>
      <c r="T2016" s="26">
        <v>0</v>
      </c>
      <c r="U2016" s="26">
        <v>0</v>
      </c>
      <c r="V2016" s="26">
        <v>0</v>
      </c>
      <c r="W2016" s="28">
        <v>0</v>
      </c>
      <c r="X2016" s="26">
        <v>0</v>
      </c>
      <c r="Y2016" s="26">
        <v>0</v>
      </c>
      <c r="Z2016" s="26">
        <v>0</v>
      </c>
      <c r="AA2016" s="26">
        <v>0</v>
      </c>
    </row>
    <row r="2017" spans="1:27" x14ac:dyDescent="0.2">
      <c r="A2017">
        <f t="shared" si="64"/>
        <v>4</v>
      </c>
      <c r="B2017">
        <f t="shared" si="65"/>
        <v>17</v>
      </c>
      <c r="C2017" s="27">
        <v>46136</v>
      </c>
      <c r="D2017" s="27">
        <v>46136</v>
      </c>
      <c r="E2017" s="26" t="s">
        <v>26</v>
      </c>
      <c r="F2017" s="26" t="s">
        <v>27</v>
      </c>
      <c r="G2017" s="26" t="s">
        <v>124</v>
      </c>
      <c r="H2017" s="26" t="s">
        <v>29</v>
      </c>
      <c r="I2017" s="26" t="s">
        <v>30</v>
      </c>
      <c r="J2017" s="26" t="s">
        <v>31</v>
      </c>
      <c r="K2017" s="26" t="s">
        <v>87</v>
      </c>
      <c r="L2017" s="26" t="s">
        <v>308</v>
      </c>
      <c r="M2017" s="26">
        <v>8</v>
      </c>
      <c r="N2017" s="26">
        <v>1</v>
      </c>
      <c r="O2017" s="28">
        <v>0.125</v>
      </c>
      <c r="P2017" s="26">
        <v>0.2</v>
      </c>
      <c r="Q2017" s="26">
        <v>0.2</v>
      </c>
      <c r="R2017" s="26">
        <v>0</v>
      </c>
      <c r="S2017" s="26"/>
      <c r="T2017" s="26">
        <v>0</v>
      </c>
      <c r="U2017" s="26">
        <v>0</v>
      </c>
      <c r="V2017" s="26">
        <v>0</v>
      </c>
      <c r="W2017" s="28">
        <v>0</v>
      </c>
      <c r="X2017" s="26">
        <v>0</v>
      </c>
      <c r="Y2017" s="26">
        <v>0</v>
      </c>
      <c r="Z2017" s="26">
        <v>0</v>
      </c>
      <c r="AA2017" s="26">
        <v>0</v>
      </c>
    </row>
    <row r="2018" spans="1:27" x14ac:dyDescent="0.2">
      <c r="A2018">
        <f t="shared" si="64"/>
        <v>4</v>
      </c>
      <c r="B2018">
        <f t="shared" si="65"/>
        <v>18</v>
      </c>
      <c r="C2018" s="27">
        <v>46140</v>
      </c>
      <c r="D2018" s="27">
        <v>46140</v>
      </c>
      <c r="E2018" s="26" t="s">
        <v>26</v>
      </c>
      <c r="F2018" s="26" t="s">
        <v>39</v>
      </c>
      <c r="G2018" s="26" t="s">
        <v>40</v>
      </c>
      <c r="H2018" s="26" t="s">
        <v>29</v>
      </c>
      <c r="I2018" s="26" t="s">
        <v>30</v>
      </c>
      <c r="J2018" s="26" t="s">
        <v>1134</v>
      </c>
      <c r="K2018" s="26" t="s">
        <v>42</v>
      </c>
      <c r="L2018" s="26" t="s">
        <v>306</v>
      </c>
      <c r="M2018" s="26">
        <v>9</v>
      </c>
      <c r="N2018" s="26">
        <v>1</v>
      </c>
      <c r="O2018" s="28">
        <v>0.111111</v>
      </c>
      <c r="P2018" s="26">
        <v>0.64</v>
      </c>
      <c r="Q2018" s="26">
        <v>0.64</v>
      </c>
      <c r="R2018" s="26">
        <v>0</v>
      </c>
      <c r="S2018" s="26"/>
      <c r="T2018" s="26">
        <v>0</v>
      </c>
      <c r="U2018" s="26">
        <v>0</v>
      </c>
      <c r="V2018" s="26">
        <v>0</v>
      </c>
      <c r="W2018" s="28">
        <v>0</v>
      </c>
      <c r="X2018" s="26">
        <v>0</v>
      </c>
      <c r="Y2018" s="26">
        <v>0</v>
      </c>
      <c r="Z2018" s="26">
        <v>0</v>
      </c>
      <c r="AA2018" s="26">
        <v>0</v>
      </c>
    </row>
    <row r="2019" spans="1:27" x14ac:dyDescent="0.2">
      <c r="A2019">
        <f t="shared" si="64"/>
        <v>4</v>
      </c>
      <c r="B2019">
        <f t="shared" si="65"/>
        <v>14</v>
      </c>
      <c r="C2019" s="27">
        <v>46113</v>
      </c>
      <c r="D2019" s="27">
        <v>46133</v>
      </c>
      <c r="E2019" s="26" t="s">
        <v>26</v>
      </c>
      <c r="F2019" s="26" t="s">
        <v>49</v>
      </c>
      <c r="G2019" s="26" t="s">
        <v>50</v>
      </c>
      <c r="H2019" s="26" t="s">
        <v>29</v>
      </c>
      <c r="I2019" s="26" t="s">
        <v>30</v>
      </c>
      <c r="J2019" s="26" t="s">
        <v>47</v>
      </c>
      <c r="K2019" s="26" t="s">
        <v>42</v>
      </c>
      <c r="L2019" s="26" t="s">
        <v>306</v>
      </c>
      <c r="M2019" s="26">
        <v>103</v>
      </c>
      <c r="N2019" s="26">
        <v>4</v>
      </c>
      <c r="O2019" s="28">
        <v>3.8835000000000001E-2</v>
      </c>
      <c r="P2019" s="26">
        <v>0.75</v>
      </c>
      <c r="Q2019" s="26">
        <v>3</v>
      </c>
      <c r="R2019" s="26">
        <v>0</v>
      </c>
      <c r="S2019" s="26"/>
      <c r="T2019" s="26">
        <v>0</v>
      </c>
      <c r="U2019" s="26">
        <v>0</v>
      </c>
      <c r="V2019" s="26">
        <v>0</v>
      </c>
      <c r="W2019" s="28">
        <v>0</v>
      </c>
      <c r="X2019" s="26">
        <v>0</v>
      </c>
      <c r="Y2019" s="26">
        <v>0</v>
      </c>
      <c r="Z2019" s="26">
        <v>0</v>
      </c>
      <c r="AA2019" s="26">
        <v>0</v>
      </c>
    </row>
    <row r="2020" spans="1:27" x14ac:dyDescent="0.2">
      <c r="A2020">
        <f t="shared" si="64"/>
        <v>4</v>
      </c>
      <c r="B2020">
        <f t="shared" si="65"/>
        <v>16</v>
      </c>
      <c r="C2020" s="27">
        <v>46128</v>
      </c>
      <c r="D2020" s="27">
        <v>46128</v>
      </c>
      <c r="E2020" s="26" t="s">
        <v>26</v>
      </c>
      <c r="F2020" s="26" t="s">
        <v>27</v>
      </c>
      <c r="G2020" s="26" t="s">
        <v>28</v>
      </c>
      <c r="H2020" s="26" t="s">
        <v>29</v>
      </c>
      <c r="I2020" s="26" t="s">
        <v>30</v>
      </c>
      <c r="J2020" s="26" t="s">
        <v>50</v>
      </c>
      <c r="K2020" s="26" t="s">
        <v>32</v>
      </c>
      <c r="L2020" s="26" t="s">
        <v>306</v>
      </c>
      <c r="M2020" s="26">
        <v>6</v>
      </c>
      <c r="N2020" s="26">
        <v>1</v>
      </c>
      <c r="O2020" s="28">
        <v>0.16666700000000001</v>
      </c>
      <c r="P2020" s="26">
        <v>0.21</v>
      </c>
      <c r="Q2020" s="26">
        <v>0.21</v>
      </c>
      <c r="R2020" s="26">
        <v>0</v>
      </c>
      <c r="S2020" s="26"/>
      <c r="T2020" s="26">
        <v>0</v>
      </c>
      <c r="U2020" s="26">
        <v>0</v>
      </c>
      <c r="V2020" s="26">
        <v>0</v>
      </c>
      <c r="W2020" s="28">
        <v>0</v>
      </c>
      <c r="X2020" s="26">
        <v>0</v>
      </c>
      <c r="Y2020" s="26">
        <v>0</v>
      </c>
      <c r="Z2020" s="26">
        <v>0</v>
      </c>
      <c r="AA2020" s="26">
        <v>0</v>
      </c>
    </row>
    <row r="2021" spans="1:27" x14ac:dyDescent="0.2">
      <c r="A2021">
        <f t="shared" si="64"/>
        <v>4</v>
      </c>
      <c r="B2021">
        <f t="shared" si="65"/>
        <v>16</v>
      </c>
      <c r="C2021" s="27">
        <v>46130</v>
      </c>
      <c r="D2021" s="27">
        <v>46138</v>
      </c>
      <c r="E2021" s="26" t="s">
        <v>26</v>
      </c>
      <c r="F2021" s="26" t="s">
        <v>27</v>
      </c>
      <c r="G2021" s="26" t="s">
        <v>124</v>
      </c>
      <c r="H2021" s="26" t="s">
        <v>29</v>
      </c>
      <c r="I2021" s="26" t="s">
        <v>30</v>
      </c>
      <c r="J2021" s="26" t="s">
        <v>306</v>
      </c>
      <c r="K2021" s="26" t="s">
        <v>87</v>
      </c>
      <c r="L2021" s="26" t="s">
        <v>306</v>
      </c>
      <c r="M2021" s="26">
        <v>11</v>
      </c>
      <c r="N2021" s="26">
        <v>2</v>
      </c>
      <c r="O2021" s="28">
        <v>0.18181800000000001</v>
      </c>
      <c r="P2021" s="26">
        <v>0.21</v>
      </c>
      <c r="Q2021" s="26">
        <v>0.41</v>
      </c>
      <c r="R2021" s="26">
        <v>0</v>
      </c>
      <c r="S2021" s="26"/>
      <c r="T2021" s="26">
        <v>0</v>
      </c>
      <c r="U2021" s="26">
        <v>0</v>
      </c>
      <c r="V2021" s="26">
        <v>0</v>
      </c>
      <c r="W2021" s="28">
        <v>0</v>
      </c>
      <c r="X2021" s="26">
        <v>0</v>
      </c>
      <c r="Y2021" s="26">
        <v>0</v>
      </c>
      <c r="Z2021" s="26">
        <v>0</v>
      </c>
      <c r="AA2021" s="26">
        <v>0</v>
      </c>
    </row>
    <row r="2022" spans="1:27" x14ac:dyDescent="0.2">
      <c r="A2022">
        <f t="shared" si="64"/>
        <v>4</v>
      </c>
      <c r="B2022">
        <f t="shared" si="65"/>
        <v>16</v>
      </c>
      <c r="C2022" s="27">
        <v>46129</v>
      </c>
      <c r="D2022" s="27">
        <v>46142</v>
      </c>
      <c r="E2022" s="26" t="s">
        <v>26</v>
      </c>
      <c r="F2022" s="26" t="s">
        <v>27</v>
      </c>
      <c r="G2022" s="26" t="s">
        <v>124</v>
      </c>
      <c r="H2022" s="26" t="s">
        <v>29</v>
      </c>
      <c r="I2022" s="26" t="s">
        <v>30</v>
      </c>
      <c r="J2022" s="26" t="s">
        <v>306</v>
      </c>
      <c r="K2022" s="26" t="s">
        <v>267</v>
      </c>
      <c r="L2022" s="26" t="s">
        <v>306</v>
      </c>
      <c r="M2022" s="26">
        <v>71</v>
      </c>
      <c r="N2022" s="26">
        <v>3</v>
      </c>
      <c r="O2022" s="28">
        <v>4.2254E-2</v>
      </c>
      <c r="P2022" s="26">
        <v>0.2</v>
      </c>
      <c r="Q2022" s="26">
        <v>0.6</v>
      </c>
      <c r="R2022" s="26">
        <v>0</v>
      </c>
      <c r="S2022" s="26"/>
      <c r="T2022" s="26">
        <v>0</v>
      </c>
      <c r="U2022" s="26">
        <v>0</v>
      </c>
      <c r="V2022" s="26">
        <v>0</v>
      </c>
      <c r="W2022" s="28">
        <v>0</v>
      </c>
      <c r="X2022" s="26">
        <v>0</v>
      </c>
      <c r="Y2022" s="26">
        <v>0</v>
      </c>
      <c r="Z2022" s="26">
        <v>0</v>
      </c>
      <c r="AA2022" s="26">
        <v>0</v>
      </c>
    </row>
    <row r="2023" spans="1:27" x14ac:dyDescent="0.2">
      <c r="A2023">
        <f t="shared" si="64"/>
        <v>4</v>
      </c>
      <c r="B2023">
        <f t="shared" si="65"/>
        <v>15</v>
      </c>
      <c r="C2023" s="27">
        <v>46121</v>
      </c>
      <c r="D2023" s="27">
        <v>46140</v>
      </c>
      <c r="E2023" s="26" t="s">
        <v>26</v>
      </c>
      <c r="F2023" s="26" t="s">
        <v>27</v>
      </c>
      <c r="G2023" s="26" t="s">
        <v>124</v>
      </c>
      <c r="H2023" s="26" t="s">
        <v>29</v>
      </c>
      <c r="I2023" s="26" t="s">
        <v>30</v>
      </c>
      <c r="J2023" s="26" t="s">
        <v>101</v>
      </c>
      <c r="K2023" s="26" t="s">
        <v>87</v>
      </c>
      <c r="L2023" s="26" t="s">
        <v>306</v>
      </c>
      <c r="M2023" s="26">
        <v>68</v>
      </c>
      <c r="N2023" s="26">
        <v>5</v>
      </c>
      <c r="O2023" s="28">
        <v>7.3528999999999997E-2</v>
      </c>
      <c r="P2023" s="26">
        <v>0.18</v>
      </c>
      <c r="Q2023" s="26">
        <v>0.88</v>
      </c>
      <c r="R2023" s="26">
        <v>0</v>
      </c>
      <c r="S2023" s="26"/>
      <c r="T2023" s="26">
        <v>0</v>
      </c>
      <c r="U2023" s="26">
        <v>0</v>
      </c>
      <c r="V2023" s="26">
        <v>0</v>
      </c>
      <c r="W2023" s="28">
        <v>0</v>
      </c>
      <c r="X2023" s="26">
        <v>0</v>
      </c>
      <c r="Y2023" s="26">
        <v>0</v>
      </c>
      <c r="Z2023" s="26">
        <v>0</v>
      </c>
      <c r="AA2023" s="26">
        <v>0</v>
      </c>
    </row>
    <row r="2024" spans="1:27" x14ac:dyDescent="0.2">
      <c r="A2024">
        <f t="shared" si="64"/>
        <v>4</v>
      </c>
      <c r="B2024">
        <f t="shared" si="65"/>
        <v>18</v>
      </c>
      <c r="C2024" s="27">
        <v>46139</v>
      </c>
      <c r="D2024" s="27">
        <v>46139</v>
      </c>
      <c r="E2024" s="26" t="s">
        <v>26</v>
      </c>
      <c r="F2024" s="26" t="s">
        <v>27</v>
      </c>
      <c r="G2024" s="26" t="s">
        <v>28</v>
      </c>
      <c r="H2024" s="26" t="s">
        <v>29</v>
      </c>
      <c r="I2024" s="26" t="s">
        <v>30</v>
      </c>
      <c r="J2024" s="26" t="s">
        <v>44</v>
      </c>
      <c r="K2024" s="26" t="s">
        <v>32</v>
      </c>
      <c r="L2024" s="26" t="s">
        <v>306</v>
      </c>
      <c r="M2024" s="26">
        <v>10</v>
      </c>
      <c r="N2024" s="26">
        <v>1</v>
      </c>
      <c r="O2024" s="28">
        <v>0.1</v>
      </c>
      <c r="P2024" s="26">
        <v>0.21</v>
      </c>
      <c r="Q2024" s="26">
        <v>0.21</v>
      </c>
      <c r="R2024" s="26">
        <v>0</v>
      </c>
      <c r="S2024" s="26"/>
      <c r="T2024" s="26">
        <v>0</v>
      </c>
      <c r="U2024" s="26">
        <v>0</v>
      </c>
      <c r="V2024" s="26">
        <v>0</v>
      </c>
      <c r="W2024" s="28">
        <v>0</v>
      </c>
      <c r="X2024" s="26">
        <v>0</v>
      </c>
      <c r="Y2024" s="26">
        <v>0</v>
      </c>
      <c r="Z2024" s="26">
        <v>0</v>
      </c>
      <c r="AA2024" s="26">
        <v>0</v>
      </c>
    </row>
    <row r="2025" spans="1:27" x14ac:dyDescent="0.2">
      <c r="A2025">
        <f t="shared" si="64"/>
        <v>4</v>
      </c>
      <c r="B2025">
        <f t="shared" si="65"/>
        <v>15</v>
      </c>
      <c r="C2025" s="27">
        <v>46122</v>
      </c>
      <c r="D2025" s="27">
        <v>46122</v>
      </c>
      <c r="E2025" s="26" t="s">
        <v>26</v>
      </c>
      <c r="F2025" s="26" t="s">
        <v>27</v>
      </c>
      <c r="G2025" s="26" t="s">
        <v>28</v>
      </c>
      <c r="H2025" s="26" t="s">
        <v>29</v>
      </c>
      <c r="I2025" s="26" t="s">
        <v>30</v>
      </c>
      <c r="J2025" s="26" t="s">
        <v>306</v>
      </c>
      <c r="K2025" s="26" t="s">
        <v>32</v>
      </c>
      <c r="L2025" s="26" t="s">
        <v>306</v>
      </c>
      <c r="M2025" s="26">
        <v>10</v>
      </c>
      <c r="N2025" s="26">
        <v>1</v>
      </c>
      <c r="O2025" s="28">
        <v>0.1</v>
      </c>
      <c r="P2025" s="26">
        <v>0.2</v>
      </c>
      <c r="Q2025" s="26">
        <v>0.2</v>
      </c>
      <c r="R2025" s="26">
        <v>0</v>
      </c>
      <c r="S2025" s="26"/>
      <c r="T2025" s="26">
        <v>0</v>
      </c>
      <c r="U2025" s="26">
        <v>0</v>
      </c>
      <c r="V2025" s="26">
        <v>0</v>
      </c>
      <c r="W2025" s="28">
        <v>0</v>
      </c>
      <c r="X2025" s="26">
        <v>0</v>
      </c>
      <c r="Y2025" s="26">
        <v>0</v>
      </c>
      <c r="Z2025" s="26">
        <v>0</v>
      </c>
      <c r="AA2025" s="26">
        <v>0</v>
      </c>
    </row>
    <row r="2026" spans="1:27" x14ac:dyDescent="0.2">
      <c r="A2026">
        <f t="shared" si="64"/>
        <v>4</v>
      </c>
      <c r="B2026">
        <f t="shared" si="65"/>
        <v>16</v>
      </c>
      <c r="C2026" s="27">
        <v>46128</v>
      </c>
      <c r="D2026" s="27">
        <v>46128</v>
      </c>
      <c r="E2026" s="26" t="s">
        <v>26</v>
      </c>
      <c r="F2026" s="26" t="s">
        <v>49</v>
      </c>
      <c r="G2026" s="26" t="s">
        <v>50</v>
      </c>
      <c r="H2026" s="26" t="s">
        <v>29</v>
      </c>
      <c r="I2026" s="26" t="s">
        <v>30</v>
      </c>
      <c r="J2026" s="26" t="s">
        <v>47</v>
      </c>
      <c r="K2026" s="26" t="s">
        <v>42</v>
      </c>
      <c r="L2026" s="26" t="s">
        <v>395</v>
      </c>
      <c r="M2026" s="26">
        <v>1</v>
      </c>
      <c r="N2026" s="26">
        <v>1</v>
      </c>
      <c r="O2026" s="28">
        <v>1</v>
      </c>
      <c r="P2026" s="26">
        <v>0.92</v>
      </c>
      <c r="Q2026" s="26">
        <v>0.92</v>
      </c>
      <c r="R2026" s="26">
        <v>0</v>
      </c>
      <c r="S2026" s="26"/>
      <c r="T2026" s="26">
        <v>0</v>
      </c>
      <c r="U2026" s="26">
        <v>0</v>
      </c>
      <c r="V2026" s="26">
        <v>0</v>
      </c>
      <c r="W2026" s="28">
        <v>0</v>
      </c>
      <c r="X2026" s="26">
        <v>0</v>
      </c>
      <c r="Y2026" s="26">
        <v>0</v>
      </c>
      <c r="Z2026" s="26">
        <v>0</v>
      </c>
      <c r="AA2026" s="26">
        <v>0</v>
      </c>
    </row>
    <row r="2027" spans="1:27" x14ac:dyDescent="0.2">
      <c r="A2027">
        <f t="shared" si="64"/>
        <v>4</v>
      </c>
      <c r="B2027">
        <f t="shared" si="65"/>
        <v>18</v>
      </c>
      <c r="C2027" s="27">
        <v>46140</v>
      </c>
      <c r="D2027" s="27">
        <v>46140</v>
      </c>
      <c r="E2027" s="26" t="s">
        <v>26</v>
      </c>
      <c r="F2027" s="26" t="s">
        <v>27</v>
      </c>
      <c r="G2027" s="26" t="s">
        <v>28</v>
      </c>
      <c r="H2027" s="26" t="s">
        <v>29</v>
      </c>
      <c r="I2027" s="26" t="s">
        <v>30</v>
      </c>
      <c r="J2027" s="26" t="s">
        <v>280</v>
      </c>
      <c r="K2027" s="26" t="s">
        <v>32</v>
      </c>
      <c r="L2027" s="26" t="s">
        <v>395</v>
      </c>
      <c r="M2027" s="26">
        <v>1</v>
      </c>
      <c r="N2027" s="26">
        <v>1</v>
      </c>
      <c r="O2027" s="28">
        <v>1</v>
      </c>
      <c r="P2027" s="26">
        <v>0.2</v>
      </c>
      <c r="Q2027" s="26">
        <v>0.2</v>
      </c>
      <c r="R2027" s="26">
        <v>0</v>
      </c>
      <c r="S2027" s="26"/>
      <c r="T2027" s="26">
        <v>0</v>
      </c>
      <c r="U2027" s="26">
        <v>0</v>
      </c>
      <c r="V2027" s="26">
        <v>0</v>
      </c>
      <c r="W2027" s="28">
        <v>0</v>
      </c>
      <c r="X2027" s="26">
        <v>0</v>
      </c>
      <c r="Y2027" s="26">
        <v>0</v>
      </c>
      <c r="Z2027" s="26">
        <v>0</v>
      </c>
      <c r="AA2027" s="26">
        <v>0</v>
      </c>
    </row>
    <row r="2028" spans="1:27" x14ac:dyDescent="0.2">
      <c r="A2028">
        <f t="shared" si="64"/>
        <v>4</v>
      </c>
      <c r="B2028">
        <f t="shared" si="65"/>
        <v>16</v>
      </c>
      <c r="C2028" s="27">
        <v>46124</v>
      </c>
      <c r="D2028" s="27">
        <v>46124</v>
      </c>
      <c r="E2028" s="26" t="s">
        <v>26</v>
      </c>
      <c r="F2028" s="26" t="s">
        <v>27</v>
      </c>
      <c r="G2028" s="26" t="s">
        <v>28</v>
      </c>
      <c r="H2028" s="26" t="s">
        <v>29</v>
      </c>
      <c r="I2028" s="26" t="s">
        <v>30</v>
      </c>
      <c r="J2028" s="26" t="s">
        <v>311</v>
      </c>
      <c r="K2028" s="26" t="s">
        <v>32</v>
      </c>
      <c r="L2028" s="26" t="s">
        <v>310</v>
      </c>
      <c r="M2028" s="26">
        <v>2</v>
      </c>
      <c r="N2028" s="26">
        <v>1</v>
      </c>
      <c r="O2028" s="28">
        <v>0.5</v>
      </c>
      <c r="P2028" s="26">
        <v>0.21</v>
      </c>
      <c r="Q2028" s="26">
        <v>0.21</v>
      </c>
      <c r="R2028" s="26">
        <v>0</v>
      </c>
      <c r="S2028" s="26"/>
      <c r="T2028" s="26">
        <v>0</v>
      </c>
      <c r="U2028" s="26">
        <v>0</v>
      </c>
      <c r="V2028" s="26">
        <v>0</v>
      </c>
      <c r="W2028" s="28">
        <v>0</v>
      </c>
      <c r="X2028" s="26">
        <v>0</v>
      </c>
      <c r="Y2028" s="26">
        <v>0</v>
      </c>
      <c r="Z2028" s="26">
        <v>0</v>
      </c>
      <c r="AA2028" s="26">
        <v>0</v>
      </c>
    </row>
    <row r="2029" spans="1:27" x14ac:dyDescent="0.2">
      <c r="A2029">
        <f t="shared" si="64"/>
        <v>4</v>
      </c>
      <c r="B2029">
        <f t="shared" si="65"/>
        <v>18</v>
      </c>
      <c r="C2029" s="27">
        <v>46139</v>
      </c>
      <c r="D2029" s="27">
        <v>46139</v>
      </c>
      <c r="E2029" s="26" t="s">
        <v>26</v>
      </c>
      <c r="F2029" s="26" t="s">
        <v>27</v>
      </c>
      <c r="G2029" s="26" t="s">
        <v>28</v>
      </c>
      <c r="H2029" s="26" t="s">
        <v>29</v>
      </c>
      <c r="I2029" s="26" t="s">
        <v>30</v>
      </c>
      <c r="J2029" s="26" t="s">
        <v>305</v>
      </c>
      <c r="K2029" s="26" t="s">
        <v>32</v>
      </c>
      <c r="L2029" s="26" t="s">
        <v>586</v>
      </c>
      <c r="M2029" s="26">
        <v>1</v>
      </c>
      <c r="N2029" s="26">
        <v>1</v>
      </c>
      <c r="O2029" s="28">
        <v>1</v>
      </c>
      <c r="P2029" s="26">
        <v>0.21</v>
      </c>
      <c r="Q2029" s="26">
        <v>0.21</v>
      </c>
      <c r="R2029" s="26">
        <v>0</v>
      </c>
      <c r="S2029" s="26"/>
      <c r="T2029" s="26">
        <v>0</v>
      </c>
      <c r="U2029" s="26">
        <v>0</v>
      </c>
      <c r="V2029" s="26">
        <v>0</v>
      </c>
      <c r="W2029" s="28">
        <v>0</v>
      </c>
      <c r="X2029" s="26">
        <v>0</v>
      </c>
      <c r="Y2029" s="26">
        <v>0</v>
      </c>
      <c r="Z2029" s="26">
        <v>0</v>
      </c>
      <c r="AA2029" s="26">
        <v>0</v>
      </c>
    </row>
    <row r="2030" spans="1:27" x14ac:dyDescent="0.2">
      <c r="A2030">
        <f t="shared" si="64"/>
        <v>4</v>
      </c>
      <c r="B2030">
        <f t="shared" si="65"/>
        <v>15</v>
      </c>
      <c r="C2030" s="27">
        <v>46117</v>
      </c>
      <c r="D2030" s="27">
        <v>46118</v>
      </c>
      <c r="E2030" s="26" t="s">
        <v>26</v>
      </c>
      <c r="F2030" s="26" t="s">
        <v>27</v>
      </c>
      <c r="G2030" s="26" t="s">
        <v>124</v>
      </c>
      <c r="H2030" s="26" t="s">
        <v>29</v>
      </c>
      <c r="I2030" s="26" t="s">
        <v>30</v>
      </c>
      <c r="J2030" s="26" t="s">
        <v>311</v>
      </c>
      <c r="K2030" s="26" t="s">
        <v>87</v>
      </c>
      <c r="L2030" s="26" t="s">
        <v>311</v>
      </c>
      <c r="M2030" s="26">
        <v>22</v>
      </c>
      <c r="N2030" s="26">
        <v>4</v>
      </c>
      <c r="O2030" s="28">
        <v>0.18181800000000001</v>
      </c>
      <c r="P2030" s="26">
        <v>0.2</v>
      </c>
      <c r="Q2030" s="26">
        <v>0.8</v>
      </c>
      <c r="R2030" s="26">
        <v>51.27</v>
      </c>
      <c r="S2030" s="28">
        <v>1.5604E-2</v>
      </c>
      <c r="T2030" s="26">
        <v>64.09</v>
      </c>
      <c r="U2030" s="26">
        <v>2</v>
      </c>
      <c r="V2030" s="26">
        <v>3</v>
      </c>
      <c r="W2030" s="28">
        <v>0.5</v>
      </c>
      <c r="X2030" s="26">
        <v>2</v>
      </c>
      <c r="Y2030" s="26">
        <v>1</v>
      </c>
      <c r="Z2030" s="26">
        <v>34.18</v>
      </c>
      <c r="AA2030" s="26">
        <v>17.09</v>
      </c>
    </row>
    <row r="2031" spans="1:27" x14ac:dyDescent="0.2">
      <c r="A2031">
        <f t="shared" si="64"/>
        <v>4</v>
      </c>
      <c r="B2031">
        <f t="shared" si="65"/>
        <v>16</v>
      </c>
      <c r="C2031" s="27">
        <v>46127</v>
      </c>
      <c r="D2031" s="27">
        <v>46127</v>
      </c>
      <c r="E2031" s="26" t="s">
        <v>26</v>
      </c>
      <c r="F2031" s="26" t="s">
        <v>39</v>
      </c>
      <c r="G2031" s="26" t="s">
        <v>40</v>
      </c>
      <c r="H2031" s="26" t="s">
        <v>29</v>
      </c>
      <c r="I2031" s="26" t="s">
        <v>30</v>
      </c>
      <c r="J2031" s="26" t="s">
        <v>78</v>
      </c>
      <c r="K2031" s="26" t="s">
        <v>42</v>
      </c>
      <c r="L2031" s="26" t="s">
        <v>311</v>
      </c>
      <c r="M2031" s="26">
        <v>2</v>
      </c>
      <c r="N2031" s="26">
        <v>1</v>
      </c>
      <c r="O2031" s="28">
        <v>0.5</v>
      </c>
      <c r="P2031" s="26">
        <v>0.56999999999999995</v>
      </c>
      <c r="Q2031" s="26">
        <v>0.56999999999999995</v>
      </c>
      <c r="R2031" s="26">
        <v>0</v>
      </c>
      <c r="S2031" s="26"/>
      <c r="T2031" s="26">
        <v>0</v>
      </c>
      <c r="U2031" s="26">
        <v>0</v>
      </c>
      <c r="V2031" s="26">
        <v>0</v>
      </c>
      <c r="W2031" s="28">
        <v>0</v>
      </c>
      <c r="X2031" s="26">
        <v>0</v>
      </c>
      <c r="Y2031" s="26">
        <v>0</v>
      </c>
      <c r="Z2031" s="26">
        <v>0</v>
      </c>
      <c r="AA2031" s="26">
        <v>0</v>
      </c>
    </row>
    <row r="2032" spans="1:27" x14ac:dyDescent="0.2">
      <c r="A2032">
        <f t="shared" si="64"/>
        <v>4</v>
      </c>
      <c r="B2032">
        <f t="shared" si="65"/>
        <v>17</v>
      </c>
      <c r="C2032" s="27">
        <v>46133</v>
      </c>
      <c r="D2032" s="27">
        <v>46133</v>
      </c>
      <c r="E2032" s="26" t="s">
        <v>26</v>
      </c>
      <c r="F2032" s="26" t="s">
        <v>39</v>
      </c>
      <c r="G2032" s="26" t="s">
        <v>40</v>
      </c>
      <c r="H2032" s="26" t="s">
        <v>29</v>
      </c>
      <c r="I2032" s="26" t="s">
        <v>30</v>
      </c>
      <c r="J2032" s="26" t="s">
        <v>78</v>
      </c>
      <c r="K2032" s="26" t="s">
        <v>42</v>
      </c>
      <c r="L2032" s="26" t="s">
        <v>587</v>
      </c>
      <c r="M2032" s="26">
        <v>1</v>
      </c>
      <c r="N2032" s="26">
        <v>1</v>
      </c>
      <c r="O2032" s="28">
        <v>1</v>
      </c>
      <c r="P2032" s="26">
        <v>0.4</v>
      </c>
      <c r="Q2032" s="26">
        <v>0.4</v>
      </c>
      <c r="R2032" s="26">
        <v>0</v>
      </c>
      <c r="S2032" s="26"/>
      <c r="T2032" s="26">
        <v>0</v>
      </c>
      <c r="U2032" s="26">
        <v>0</v>
      </c>
      <c r="V2032" s="26">
        <v>0</v>
      </c>
      <c r="W2032" s="28">
        <v>0</v>
      </c>
      <c r="X2032" s="26">
        <v>0</v>
      </c>
      <c r="Y2032" s="26">
        <v>0</v>
      </c>
      <c r="Z2032" s="26">
        <v>0</v>
      </c>
      <c r="AA2032" s="26">
        <v>0</v>
      </c>
    </row>
    <row r="2033" spans="1:27" x14ac:dyDescent="0.2">
      <c r="A2033">
        <f t="shared" si="64"/>
        <v>4</v>
      </c>
      <c r="B2033">
        <f t="shared" si="65"/>
        <v>15</v>
      </c>
      <c r="C2033" s="27">
        <v>46119</v>
      </c>
      <c r="D2033" s="27">
        <v>46119</v>
      </c>
      <c r="E2033" s="26" t="s">
        <v>26</v>
      </c>
      <c r="F2033" s="26" t="s">
        <v>49</v>
      </c>
      <c r="G2033" s="26" t="s">
        <v>50</v>
      </c>
      <c r="H2033" s="26" t="s">
        <v>29</v>
      </c>
      <c r="I2033" s="26" t="s">
        <v>30</v>
      </c>
      <c r="J2033" s="26" t="s">
        <v>95</v>
      </c>
      <c r="K2033" s="26" t="s">
        <v>42</v>
      </c>
      <c r="L2033" s="26" t="s">
        <v>1373</v>
      </c>
      <c r="M2033" s="26">
        <v>1</v>
      </c>
      <c r="N2033" s="26">
        <v>1</v>
      </c>
      <c r="O2033" s="28">
        <v>1</v>
      </c>
      <c r="P2033" s="26">
        <v>0.55000000000000004</v>
      </c>
      <c r="Q2033" s="26">
        <v>0.55000000000000004</v>
      </c>
      <c r="R2033" s="26">
        <v>0</v>
      </c>
      <c r="S2033" s="26"/>
      <c r="T2033" s="26">
        <v>0</v>
      </c>
      <c r="U2033" s="26">
        <v>0</v>
      </c>
      <c r="V2033" s="26">
        <v>0</v>
      </c>
      <c r="W2033" s="28">
        <v>0</v>
      </c>
      <c r="X2033" s="26">
        <v>0</v>
      </c>
      <c r="Y2033" s="26">
        <v>0</v>
      </c>
      <c r="Z2033" s="26">
        <v>0</v>
      </c>
      <c r="AA2033" s="26">
        <v>0</v>
      </c>
    </row>
    <row r="2034" spans="1:27" x14ac:dyDescent="0.2">
      <c r="A2034">
        <f t="shared" si="64"/>
        <v>4</v>
      </c>
      <c r="B2034">
        <f t="shared" si="65"/>
        <v>16</v>
      </c>
      <c r="C2034" s="27">
        <v>46127</v>
      </c>
      <c r="D2034" s="27">
        <v>46127</v>
      </c>
      <c r="E2034" s="26" t="s">
        <v>26</v>
      </c>
      <c r="F2034" s="26" t="s">
        <v>27</v>
      </c>
      <c r="G2034" s="26" t="s">
        <v>124</v>
      </c>
      <c r="H2034" s="26" t="s">
        <v>29</v>
      </c>
      <c r="I2034" s="26" t="s">
        <v>30</v>
      </c>
      <c r="J2034" s="26" t="s">
        <v>101</v>
      </c>
      <c r="K2034" s="26" t="s">
        <v>87</v>
      </c>
      <c r="L2034" s="26" t="s">
        <v>1374</v>
      </c>
      <c r="M2034" s="26">
        <v>2</v>
      </c>
      <c r="N2034" s="26">
        <v>1</v>
      </c>
      <c r="O2034" s="28">
        <v>0.5</v>
      </c>
      <c r="P2034" s="26">
        <v>0.2</v>
      </c>
      <c r="Q2034" s="26">
        <v>0.2</v>
      </c>
      <c r="R2034" s="26">
        <v>0</v>
      </c>
      <c r="S2034" s="26"/>
      <c r="T2034" s="26">
        <v>0</v>
      </c>
      <c r="U2034" s="26">
        <v>0</v>
      </c>
      <c r="V2034" s="26">
        <v>0</v>
      </c>
      <c r="W2034" s="28">
        <v>0</v>
      </c>
      <c r="X2034" s="26">
        <v>0</v>
      </c>
      <c r="Y2034" s="26">
        <v>0</v>
      </c>
      <c r="Z2034" s="26">
        <v>0</v>
      </c>
      <c r="AA2034" s="26">
        <v>0</v>
      </c>
    </row>
    <row r="2035" spans="1:27" x14ac:dyDescent="0.2">
      <c r="A2035">
        <f t="shared" si="64"/>
        <v>4</v>
      </c>
      <c r="B2035">
        <f t="shared" si="65"/>
        <v>14</v>
      </c>
      <c r="C2035" s="27">
        <v>46115</v>
      </c>
      <c r="D2035" s="27">
        <v>46115</v>
      </c>
      <c r="E2035" s="26" t="s">
        <v>26</v>
      </c>
      <c r="F2035" s="26" t="s">
        <v>27</v>
      </c>
      <c r="G2035" s="26" t="s">
        <v>28</v>
      </c>
      <c r="H2035" s="26" t="s">
        <v>29</v>
      </c>
      <c r="I2035" s="26" t="s">
        <v>30</v>
      </c>
      <c r="J2035" s="26" t="s">
        <v>37</v>
      </c>
      <c r="K2035" s="26" t="s">
        <v>32</v>
      </c>
      <c r="L2035" s="26" t="s">
        <v>1375</v>
      </c>
      <c r="M2035" s="26">
        <v>1</v>
      </c>
      <c r="N2035" s="26">
        <v>1</v>
      </c>
      <c r="O2035" s="28">
        <v>1</v>
      </c>
      <c r="P2035" s="26">
        <v>0.2</v>
      </c>
      <c r="Q2035" s="26">
        <v>0.2</v>
      </c>
      <c r="R2035" s="26">
        <v>0</v>
      </c>
      <c r="S2035" s="26"/>
      <c r="T2035" s="26">
        <v>0</v>
      </c>
      <c r="U2035" s="26">
        <v>0</v>
      </c>
      <c r="V2035" s="26">
        <v>0</v>
      </c>
      <c r="W2035" s="28">
        <v>0</v>
      </c>
      <c r="X2035" s="26">
        <v>0</v>
      </c>
      <c r="Y2035" s="26">
        <v>0</v>
      </c>
      <c r="Z2035" s="26">
        <v>0</v>
      </c>
      <c r="AA2035" s="26">
        <v>0</v>
      </c>
    </row>
    <row r="2036" spans="1:27" x14ac:dyDescent="0.2">
      <c r="A2036">
        <f t="shared" si="64"/>
        <v>4</v>
      </c>
      <c r="B2036">
        <f t="shared" si="65"/>
        <v>17</v>
      </c>
      <c r="C2036" s="27">
        <v>46135</v>
      </c>
      <c r="D2036" s="27">
        <v>46135</v>
      </c>
      <c r="E2036" s="26" t="s">
        <v>26</v>
      </c>
      <c r="F2036" s="26" t="s">
        <v>27</v>
      </c>
      <c r="G2036" s="26" t="s">
        <v>28</v>
      </c>
      <c r="H2036" s="26" t="s">
        <v>29</v>
      </c>
      <c r="I2036" s="26" t="s">
        <v>30</v>
      </c>
      <c r="J2036" s="26" t="s">
        <v>154</v>
      </c>
      <c r="K2036" s="26" t="s">
        <v>32</v>
      </c>
      <c r="L2036" s="26" t="s">
        <v>1376</v>
      </c>
      <c r="M2036" s="26">
        <v>1</v>
      </c>
      <c r="N2036" s="26">
        <v>1</v>
      </c>
      <c r="O2036" s="28">
        <v>1</v>
      </c>
      <c r="P2036" s="26">
        <v>0.21</v>
      </c>
      <c r="Q2036" s="26">
        <v>0.21</v>
      </c>
      <c r="R2036" s="26">
        <v>0</v>
      </c>
      <c r="S2036" s="26"/>
      <c r="T2036" s="26">
        <v>0</v>
      </c>
      <c r="U2036" s="26">
        <v>0</v>
      </c>
      <c r="V2036" s="26">
        <v>0</v>
      </c>
      <c r="W2036" s="28">
        <v>0</v>
      </c>
      <c r="X2036" s="26">
        <v>0</v>
      </c>
      <c r="Y2036" s="26">
        <v>0</v>
      </c>
      <c r="Z2036" s="26">
        <v>0</v>
      </c>
      <c r="AA2036" s="26">
        <v>0</v>
      </c>
    </row>
    <row r="2037" spans="1:27" x14ac:dyDescent="0.2">
      <c r="A2037">
        <f t="shared" si="64"/>
        <v>4</v>
      </c>
      <c r="B2037">
        <f t="shared" si="65"/>
        <v>17</v>
      </c>
      <c r="C2037" s="27">
        <v>46137</v>
      </c>
      <c r="D2037" s="27">
        <v>46137</v>
      </c>
      <c r="E2037" s="26" t="s">
        <v>26</v>
      </c>
      <c r="F2037" s="26" t="s">
        <v>27</v>
      </c>
      <c r="G2037" s="26" t="s">
        <v>28</v>
      </c>
      <c r="H2037" s="26" t="s">
        <v>29</v>
      </c>
      <c r="I2037" s="26" t="s">
        <v>30</v>
      </c>
      <c r="J2037" s="26" t="s">
        <v>31</v>
      </c>
      <c r="K2037" s="26" t="s">
        <v>32</v>
      </c>
      <c r="L2037" s="26" t="s">
        <v>1377</v>
      </c>
      <c r="M2037" s="26">
        <v>1</v>
      </c>
      <c r="N2037" s="26">
        <v>1</v>
      </c>
      <c r="O2037" s="28">
        <v>1</v>
      </c>
      <c r="P2037" s="26">
        <v>0.2</v>
      </c>
      <c r="Q2037" s="26">
        <v>0.2</v>
      </c>
      <c r="R2037" s="26">
        <v>0</v>
      </c>
      <c r="S2037" s="26"/>
      <c r="T2037" s="26">
        <v>0</v>
      </c>
      <c r="U2037" s="26">
        <v>0</v>
      </c>
      <c r="V2037" s="26">
        <v>0</v>
      </c>
      <c r="W2037" s="28">
        <v>0</v>
      </c>
      <c r="X2037" s="26">
        <v>0</v>
      </c>
      <c r="Y2037" s="26">
        <v>0</v>
      </c>
      <c r="Z2037" s="26">
        <v>0</v>
      </c>
      <c r="AA2037" s="26">
        <v>0</v>
      </c>
    </row>
    <row r="2038" spans="1:27" x14ac:dyDescent="0.2">
      <c r="A2038">
        <f t="shared" si="64"/>
        <v>4</v>
      </c>
      <c r="B2038">
        <f t="shared" si="65"/>
        <v>14</v>
      </c>
      <c r="C2038" s="27">
        <v>46116</v>
      </c>
      <c r="D2038" s="27">
        <v>46116</v>
      </c>
      <c r="E2038" s="26" t="s">
        <v>26</v>
      </c>
      <c r="F2038" s="26" t="s">
        <v>61</v>
      </c>
      <c r="G2038" s="26" t="s">
        <v>62</v>
      </c>
      <c r="H2038" s="26" t="s">
        <v>29</v>
      </c>
      <c r="I2038" s="26" t="s">
        <v>30</v>
      </c>
      <c r="J2038" s="26" t="s">
        <v>95</v>
      </c>
      <c r="K2038" s="26" t="s">
        <v>42</v>
      </c>
      <c r="L2038" s="26" t="s">
        <v>1378</v>
      </c>
      <c r="M2038" s="26">
        <v>1</v>
      </c>
      <c r="N2038" s="26">
        <v>1</v>
      </c>
      <c r="O2038" s="28">
        <v>1</v>
      </c>
      <c r="P2038" s="26">
        <v>1.63</v>
      </c>
      <c r="Q2038" s="26">
        <v>1.63</v>
      </c>
      <c r="R2038" s="26">
        <v>0</v>
      </c>
      <c r="S2038" s="26"/>
      <c r="T2038" s="26">
        <v>0</v>
      </c>
      <c r="U2038" s="26">
        <v>0</v>
      </c>
      <c r="V2038" s="26">
        <v>0</v>
      </c>
      <c r="W2038" s="28">
        <v>0</v>
      </c>
      <c r="X2038" s="26">
        <v>0</v>
      </c>
      <c r="Y2038" s="26">
        <v>0</v>
      </c>
      <c r="Z2038" s="26">
        <v>0</v>
      </c>
      <c r="AA2038" s="26">
        <v>0</v>
      </c>
    </row>
    <row r="2039" spans="1:27" x14ac:dyDescent="0.2">
      <c r="A2039">
        <f t="shared" si="64"/>
        <v>4</v>
      </c>
      <c r="B2039">
        <f t="shared" si="65"/>
        <v>16</v>
      </c>
      <c r="C2039" s="27">
        <v>46130</v>
      </c>
      <c r="D2039" s="27">
        <v>46130</v>
      </c>
      <c r="E2039" s="26" t="s">
        <v>26</v>
      </c>
      <c r="F2039" s="26" t="s">
        <v>27</v>
      </c>
      <c r="G2039" s="26" t="s">
        <v>124</v>
      </c>
      <c r="H2039" s="26" t="s">
        <v>29</v>
      </c>
      <c r="I2039" s="26" t="s">
        <v>30</v>
      </c>
      <c r="J2039" s="26" t="s">
        <v>154</v>
      </c>
      <c r="K2039" s="26" t="s">
        <v>87</v>
      </c>
      <c r="L2039" s="26" t="s">
        <v>1379</v>
      </c>
      <c r="M2039" s="26">
        <v>2</v>
      </c>
      <c r="N2039" s="26">
        <v>1</v>
      </c>
      <c r="O2039" s="28">
        <v>0.5</v>
      </c>
      <c r="P2039" s="26">
        <v>0.21</v>
      </c>
      <c r="Q2039" s="26">
        <v>0.21</v>
      </c>
      <c r="R2039" s="26">
        <v>0</v>
      </c>
      <c r="S2039" s="26"/>
      <c r="T2039" s="26">
        <v>0</v>
      </c>
      <c r="U2039" s="26">
        <v>0</v>
      </c>
      <c r="V2039" s="26">
        <v>0</v>
      </c>
      <c r="W2039" s="28">
        <v>0</v>
      </c>
      <c r="X2039" s="26">
        <v>0</v>
      </c>
      <c r="Y2039" s="26">
        <v>0</v>
      </c>
      <c r="Z2039" s="26">
        <v>0</v>
      </c>
      <c r="AA2039" s="26">
        <v>0</v>
      </c>
    </row>
    <row r="2040" spans="1:27" x14ac:dyDescent="0.2">
      <c r="A2040">
        <f t="shared" si="64"/>
        <v>4</v>
      </c>
      <c r="B2040">
        <f t="shared" si="65"/>
        <v>17</v>
      </c>
      <c r="C2040" s="27">
        <v>46133</v>
      </c>
      <c r="D2040" s="27">
        <v>46133</v>
      </c>
      <c r="E2040" s="26" t="s">
        <v>26</v>
      </c>
      <c r="F2040" s="26" t="s">
        <v>27</v>
      </c>
      <c r="G2040" s="26" t="s">
        <v>28</v>
      </c>
      <c r="H2040" s="26" t="s">
        <v>29</v>
      </c>
      <c r="I2040" s="26" t="s">
        <v>30</v>
      </c>
      <c r="J2040" s="26" t="s">
        <v>101</v>
      </c>
      <c r="K2040" s="26" t="s">
        <v>32</v>
      </c>
      <c r="L2040" s="26" t="s">
        <v>1380</v>
      </c>
      <c r="M2040" s="26">
        <v>1</v>
      </c>
      <c r="N2040" s="26">
        <v>1</v>
      </c>
      <c r="O2040" s="28">
        <v>1</v>
      </c>
      <c r="P2040" s="26">
        <v>0.21</v>
      </c>
      <c r="Q2040" s="26">
        <v>0.21</v>
      </c>
      <c r="R2040" s="26">
        <v>0</v>
      </c>
      <c r="S2040" s="26"/>
      <c r="T2040" s="26">
        <v>0</v>
      </c>
      <c r="U2040" s="26">
        <v>0</v>
      </c>
      <c r="V2040" s="26">
        <v>0</v>
      </c>
      <c r="W2040" s="28">
        <v>0</v>
      </c>
      <c r="X2040" s="26">
        <v>0</v>
      </c>
      <c r="Y2040" s="26">
        <v>0</v>
      </c>
      <c r="Z2040" s="26">
        <v>0</v>
      </c>
      <c r="AA2040" s="26">
        <v>0</v>
      </c>
    </row>
    <row r="2041" spans="1:27" x14ac:dyDescent="0.2">
      <c r="A2041">
        <f t="shared" si="64"/>
        <v>4</v>
      </c>
      <c r="B2041">
        <f t="shared" si="65"/>
        <v>14</v>
      </c>
      <c r="C2041" s="27">
        <v>46115</v>
      </c>
      <c r="D2041" s="27">
        <v>46115</v>
      </c>
      <c r="E2041" s="26" t="s">
        <v>26</v>
      </c>
      <c r="F2041" s="26" t="s">
        <v>61</v>
      </c>
      <c r="G2041" s="26" t="s">
        <v>62</v>
      </c>
      <c r="H2041" s="26" t="s">
        <v>29</v>
      </c>
      <c r="I2041" s="26" t="s">
        <v>30</v>
      </c>
      <c r="J2041" s="26" t="s">
        <v>95</v>
      </c>
      <c r="K2041" s="26" t="s">
        <v>42</v>
      </c>
      <c r="L2041" s="26" t="s">
        <v>1381</v>
      </c>
      <c r="M2041" s="26">
        <v>1</v>
      </c>
      <c r="N2041" s="26">
        <v>1</v>
      </c>
      <c r="O2041" s="28">
        <v>1</v>
      </c>
      <c r="P2041" s="26">
        <v>1.67</v>
      </c>
      <c r="Q2041" s="26">
        <v>1.67</v>
      </c>
      <c r="R2041" s="26">
        <v>0</v>
      </c>
      <c r="S2041" s="26"/>
      <c r="T2041" s="26">
        <v>0</v>
      </c>
      <c r="U2041" s="26">
        <v>0</v>
      </c>
      <c r="V2041" s="26">
        <v>0</v>
      </c>
      <c r="W2041" s="28">
        <v>0</v>
      </c>
      <c r="X2041" s="26">
        <v>0</v>
      </c>
      <c r="Y2041" s="26">
        <v>0</v>
      </c>
      <c r="Z2041" s="26">
        <v>0</v>
      </c>
      <c r="AA2041" s="26">
        <v>0</v>
      </c>
    </row>
    <row r="2042" spans="1:27" x14ac:dyDescent="0.2">
      <c r="A2042">
        <f t="shared" si="64"/>
        <v>4</v>
      </c>
      <c r="B2042">
        <f t="shared" si="65"/>
        <v>18</v>
      </c>
      <c r="C2042" s="27">
        <v>46139</v>
      </c>
      <c r="D2042" s="27">
        <v>46139</v>
      </c>
      <c r="E2042" s="26" t="s">
        <v>26</v>
      </c>
      <c r="F2042" s="26" t="s">
        <v>27</v>
      </c>
      <c r="G2042" s="26" t="s">
        <v>28</v>
      </c>
      <c r="H2042" s="26" t="s">
        <v>29</v>
      </c>
      <c r="I2042" s="26" t="s">
        <v>30</v>
      </c>
      <c r="J2042" s="26" t="s">
        <v>243</v>
      </c>
      <c r="K2042" s="26" t="s">
        <v>32</v>
      </c>
      <c r="L2042" s="26" t="s">
        <v>1382</v>
      </c>
      <c r="M2042" s="26">
        <v>1</v>
      </c>
      <c r="N2042" s="26">
        <v>1</v>
      </c>
      <c r="O2042" s="28">
        <v>1</v>
      </c>
      <c r="P2042" s="26">
        <v>0.08</v>
      </c>
      <c r="Q2042" s="26">
        <v>0.08</v>
      </c>
      <c r="R2042" s="26">
        <v>0</v>
      </c>
      <c r="S2042" s="26"/>
      <c r="T2042" s="26">
        <v>0</v>
      </c>
      <c r="U2042" s="26">
        <v>0</v>
      </c>
      <c r="V2042" s="26">
        <v>0</v>
      </c>
      <c r="W2042" s="28">
        <v>0</v>
      </c>
      <c r="X2042" s="26">
        <v>0</v>
      </c>
      <c r="Y2042" s="26">
        <v>0</v>
      </c>
      <c r="Z2042" s="26">
        <v>0</v>
      </c>
      <c r="AA2042" s="26">
        <v>0</v>
      </c>
    </row>
    <row r="2043" spans="1:27" x14ac:dyDescent="0.2">
      <c r="A2043">
        <f t="shared" si="64"/>
        <v>4</v>
      </c>
      <c r="B2043">
        <f t="shared" si="65"/>
        <v>16</v>
      </c>
      <c r="C2043" s="27">
        <v>46129</v>
      </c>
      <c r="D2043" s="27">
        <v>46129</v>
      </c>
      <c r="E2043" s="26" t="s">
        <v>26</v>
      </c>
      <c r="F2043" s="26" t="s">
        <v>27</v>
      </c>
      <c r="G2043" s="26" t="s">
        <v>28</v>
      </c>
      <c r="H2043" s="26" t="s">
        <v>29</v>
      </c>
      <c r="I2043" s="26" t="s">
        <v>30</v>
      </c>
      <c r="J2043" s="26" t="s">
        <v>44</v>
      </c>
      <c r="K2043" s="26" t="s">
        <v>32</v>
      </c>
      <c r="L2043" s="26" t="s">
        <v>1383</v>
      </c>
      <c r="M2043" s="26">
        <v>1</v>
      </c>
      <c r="N2043" s="26">
        <v>1</v>
      </c>
      <c r="O2043" s="28">
        <v>1</v>
      </c>
      <c r="P2043" s="26">
        <v>0.21</v>
      </c>
      <c r="Q2043" s="26">
        <v>0.21</v>
      </c>
      <c r="R2043" s="26">
        <v>0</v>
      </c>
      <c r="S2043" s="26"/>
      <c r="T2043" s="26">
        <v>0</v>
      </c>
      <c r="U2043" s="26">
        <v>0</v>
      </c>
      <c r="V2043" s="26">
        <v>0</v>
      </c>
      <c r="W2043" s="28">
        <v>0</v>
      </c>
      <c r="X2043" s="26">
        <v>0</v>
      </c>
      <c r="Y2043" s="26">
        <v>0</v>
      </c>
      <c r="Z2043" s="26">
        <v>0</v>
      </c>
      <c r="AA2043" s="26">
        <v>0</v>
      </c>
    </row>
    <row r="2044" spans="1:27" x14ac:dyDescent="0.2">
      <c r="A2044">
        <f t="shared" ref="A2044:A2107" si="66">MONTH(C2044)</f>
        <v>5</v>
      </c>
      <c r="B2044">
        <f t="shared" ref="B2044:B2107" si="67">WEEKNUM(C2044,1)</f>
        <v>18</v>
      </c>
      <c r="C2044" s="27">
        <v>46144</v>
      </c>
      <c r="D2044" s="26" t="s">
        <v>26</v>
      </c>
      <c r="E2044" s="26" t="s">
        <v>27</v>
      </c>
      <c r="F2044" s="26" t="s">
        <v>28</v>
      </c>
      <c r="G2044" s="26" t="s">
        <v>29</v>
      </c>
      <c r="H2044" s="26" t="s">
        <v>30</v>
      </c>
      <c r="I2044" s="26" t="s">
        <v>133</v>
      </c>
      <c r="J2044" s="26" t="s">
        <v>32</v>
      </c>
      <c r="K2044" s="26" t="s">
        <v>1384</v>
      </c>
      <c r="L2044" s="26">
        <v>2</v>
      </c>
      <c r="M2044" s="26">
        <v>1</v>
      </c>
      <c r="N2044" s="28">
        <v>0.5</v>
      </c>
      <c r="O2044" s="26">
        <v>0.44</v>
      </c>
      <c r="P2044" s="26">
        <v>0.44</v>
      </c>
      <c r="Q2044" s="26">
        <v>0</v>
      </c>
      <c r="R2044" s="26"/>
      <c r="S2044" s="26">
        <v>0</v>
      </c>
      <c r="T2044" s="26">
        <v>0</v>
      </c>
      <c r="U2044" s="26">
        <v>0</v>
      </c>
      <c r="V2044" s="28">
        <v>0</v>
      </c>
      <c r="W2044" s="26">
        <v>0</v>
      </c>
      <c r="X2044" s="26">
        <v>0</v>
      </c>
      <c r="Y2044" s="26">
        <v>0</v>
      </c>
      <c r="Z2044" s="26">
        <v>0</v>
      </c>
    </row>
    <row r="2045" spans="1:27" x14ac:dyDescent="0.2">
      <c r="A2045">
        <f t="shared" si="66"/>
        <v>5</v>
      </c>
      <c r="B2045">
        <f t="shared" si="67"/>
        <v>20</v>
      </c>
      <c r="C2045" s="27">
        <v>46154</v>
      </c>
      <c r="D2045" s="26" t="s">
        <v>26</v>
      </c>
      <c r="E2045" s="26" t="s">
        <v>27</v>
      </c>
      <c r="F2045" s="26" t="s">
        <v>28</v>
      </c>
      <c r="G2045" s="26" t="s">
        <v>29</v>
      </c>
      <c r="H2045" s="26" t="s">
        <v>30</v>
      </c>
      <c r="I2045" s="26" t="s">
        <v>119</v>
      </c>
      <c r="J2045" s="26" t="s">
        <v>32</v>
      </c>
      <c r="K2045" s="26" t="s">
        <v>1385</v>
      </c>
      <c r="L2045" s="26">
        <v>1</v>
      </c>
      <c r="M2045" s="26">
        <v>1</v>
      </c>
      <c r="N2045" s="28">
        <v>1</v>
      </c>
      <c r="O2045" s="26">
        <v>0.16</v>
      </c>
      <c r="P2045" s="26">
        <v>0.16</v>
      </c>
      <c r="Q2045" s="26">
        <v>0</v>
      </c>
      <c r="R2045" s="26"/>
      <c r="S2045" s="26">
        <v>0</v>
      </c>
      <c r="T2045" s="26">
        <v>0</v>
      </c>
      <c r="U2045" s="26">
        <v>0</v>
      </c>
      <c r="V2045" s="28">
        <v>0</v>
      </c>
      <c r="W2045" s="26">
        <v>0</v>
      </c>
      <c r="X2045" s="26">
        <v>0</v>
      </c>
      <c r="Y2045" s="26">
        <v>0</v>
      </c>
      <c r="Z2045" s="26">
        <v>0</v>
      </c>
    </row>
    <row r="2046" spans="1:27" x14ac:dyDescent="0.2">
      <c r="A2046">
        <f t="shared" si="66"/>
        <v>5</v>
      </c>
      <c r="B2046">
        <f t="shared" si="67"/>
        <v>21</v>
      </c>
      <c r="C2046" s="27">
        <v>46159</v>
      </c>
      <c r="D2046" s="26" t="s">
        <v>26</v>
      </c>
      <c r="E2046" s="26" t="s">
        <v>27</v>
      </c>
      <c r="F2046" s="26" t="s">
        <v>28</v>
      </c>
      <c r="G2046" s="26" t="s">
        <v>29</v>
      </c>
      <c r="H2046" s="26" t="s">
        <v>30</v>
      </c>
      <c r="I2046" s="26" t="s">
        <v>119</v>
      </c>
      <c r="J2046" s="26" t="s">
        <v>32</v>
      </c>
      <c r="K2046" s="26" t="s">
        <v>1386</v>
      </c>
      <c r="L2046" s="26">
        <v>3</v>
      </c>
      <c r="M2046" s="26">
        <v>1</v>
      </c>
      <c r="N2046" s="28">
        <v>0.33333299999999999</v>
      </c>
      <c r="O2046" s="26">
        <v>0.16</v>
      </c>
      <c r="P2046" s="26">
        <v>0.16</v>
      </c>
      <c r="Q2046" s="26">
        <v>0</v>
      </c>
      <c r="R2046" s="26"/>
      <c r="S2046" s="26">
        <v>0</v>
      </c>
      <c r="T2046" s="26">
        <v>0</v>
      </c>
      <c r="U2046" s="26">
        <v>0</v>
      </c>
      <c r="V2046" s="28">
        <v>0</v>
      </c>
      <c r="W2046" s="26">
        <v>0</v>
      </c>
      <c r="X2046" s="26">
        <v>0</v>
      </c>
      <c r="Y2046" s="26">
        <v>0</v>
      </c>
      <c r="Z2046" s="26">
        <v>0</v>
      </c>
    </row>
    <row r="2047" spans="1:27" x14ac:dyDescent="0.2">
      <c r="A2047">
        <f t="shared" si="66"/>
        <v>5</v>
      </c>
      <c r="B2047">
        <f t="shared" si="67"/>
        <v>20</v>
      </c>
      <c r="C2047" s="27">
        <v>46153</v>
      </c>
      <c r="D2047" s="26" t="s">
        <v>26</v>
      </c>
      <c r="E2047" s="26" t="s">
        <v>27</v>
      </c>
      <c r="F2047" s="26" t="s">
        <v>28</v>
      </c>
      <c r="G2047" s="26" t="s">
        <v>29</v>
      </c>
      <c r="H2047" s="26" t="s">
        <v>30</v>
      </c>
      <c r="I2047" s="26" t="s">
        <v>119</v>
      </c>
      <c r="J2047" s="26" t="s">
        <v>32</v>
      </c>
      <c r="K2047" s="26" t="s">
        <v>1387</v>
      </c>
      <c r="L2047" s="26">
        <v>1</v>
      </c>
      <c r="M2047" s="26">
        <v>1</v>
      </c>
      <c r="N2047" s="28">
        <v>1</v>
      </c>
      <c r="O2047" s="26">
        <v>0.16</v>
      </c>
      <c r="P2047" s="26">
        <v>0.16</v>
      </c>
      <c r="Q2047" s="26">
        <v>0</v>
      </c>
      <c r="R2047" s="26"/>
      <c r="S2047" s="26">
        <v>0</v>
      </c>
      <c r="T2047" s="26">
        <v>0</v>
      </c>
      <c r="U2047" s="26">
        <v>0</v>
      </c>
      <c r="V2047" s="28">
        <v>0</v>
      </c>
      <c r="W2047" s="26">
        <v>0</v>
      </c>
      <c r="X2047" s="26">
        <v>0</v>
      </c>
      <c r="Y2047" s="26">
        <v>0</v>
      </c>
      <c r="Z2047" s="26">
        <v>0</v>
      </c>
    </row>
    <row r="2048" spans="1:27" x14ac:dyDescent="0.2">
      <c r="A2048">
        <f t="shared" si="66"/>
        <v>5</v>
      </c>
      <c r="B2048">
        <f t="shared" si="67"/>
        <v>19</v>
      </c>
      <c r="C2048" s="27">
        <v>46151</v>
      </c>
      <c r="D2048" s="26" t="s">
        <v>26</v>
      </c>
      <c r="E2048" s="26" t="s">
        <v>27</v>
      </c>
      <c r="F2048" s="26" t="s">
        <v>28</v>
      </c>
      <c r="G2048" s="26" t="s">
        <v>29</v>
      </c>
      <c r="H2048" s="26" t="s">
        <v>30</v>
      </c>
      <c r="I2048" s="26" t="s">
        <v>50</v>
      </c>
      <c r="J2048" s="26" t="s">
        <v>32</v>
      </c>
      <c r="K2048" s="26" t="s">
        <v>1388</v>
      </c>
      <c r="L2048" s="26">
        <v>2</v>
      </c>
      <c r="M2048" s="26">
        <v>1</v>
      </c>
      <c r="N2048" s="28">
        <v>0.5</v>
      </c>
      <c r="O2048" s="26">
        <v>0.21</v>
      </c>
      <c r="P2048" s="26">
        <v>0.21</v>
      </c>
      <c r="Q2048" s="26">
        <v>0</v>
      </c>
      <c r="R2048" s="26"/>
      <c r="S2048" s="26">
        <v>0</v>
      </c>
      <c r="T2048" s="26">
        <v>0</v>
      </c>
      <c r="U2048" s="26">
        <v>0</v>
      </c>
      <c r="V2048" s="28">
        <v>0</v>
      </c>
      <c r="W2048" s="26">
        <v>0</v>
      </c>
      <c r="X2048" s="26">
        <v>0</v>
      </c>
      <c r="Y2048" s="26">
        <v>0</v>
      </c>
      <c r="Z2048" s="26">
        <v>0</v>
      </c>
    </row>
    <row r="2049" spans="1:26" x14ac:dyDescent="0.2">
      <c r="A2049">
        <f t="shared" si="66"/>
        <v>5</v>
      </c>
      <c r="B2049">
        <f t="shared" si="67"/>
        <v>21</v>
      </c>
      <c r="C2049" s="27">
        <v>46162</v>
      </c>
      <c r="D2049" s="26" t="s">
        <v>26</v>
      </c>
      <c r="E2049" s="26" t="s">
        <v>49</v>
      </c>
      <c r="F2049" s="26" t="s">
        <v>50</v>
      </c>
      <c r="G2049" s="26" t="s">
        <v>29</v>
      </c>
      <c r="H2049" s="26" t="s">
        <v>30</v>
      </c>
      <c r="I2049" s="26" t="s">
        <v>95</v>
      </c>
      <c r="J2049" s="26" t="s">
        <v>42</v>
      </c>
      <c r="K2049" s="26" t="s">
        <v>1389</v>
      </c>
      <c r="L2049" s="26">
        <v>1</v>
      </c>
      <c r="M2049" s="26">
        <v>1</v>
      </c>
      <c r="N2049" s="28">
        <v>1</v>
      </c>
      <c r="O2049" s="26">
        <v>0.61</v>
      </c>
      <c r="P2049" s="26">
        <v>0.61</v>
      </c>
      <c r="Q2049" s="26">
        <v>0</v>
      </c>
      <c r="R2049" s="26"/>
      <c r="S2049" s="26">
        <v>0</v>
      </c>
      <c r="T2049" s="26">
        <v>0</v>
      </c>
      <c r="U2049" s="26">
        <v>0</v>
      </c>
      <c r="V2049" s="28">
        <v>0</v>
      </c>
      <c r="W2049" s="26">
        <v>0</v>
      </c>
      <c r="X2049" s="26">
        <v>0</v>
      </c>
      <c r="Y2049" s="26">
        <v>0</v>
      </c>
      <c r="Z2049" s="26">
        <v>0</v>
      </c>
    </row>
    <row r="2050" spans="1:26" x14ac:dyDescent="0.2">
      <c r="A2050">
        <f t="shared" si="66"/>
        <v>5</v>
      </c>
      <c r="B2050">
        <f t="shared" si="67"/>
        <v>21</v>
      </c>
      <c r="C2050" s="27">
        <v>46159</v>
      </c>
      <c r="D2050" s="26" t="s">
        <v>26</v>
      </c>
      <c r="E2050" s="26" t="s">
        <v>27</v>
      </c>
      <c r="F2050" s="26" t="s">
        <v>28</v>
      </c>
      <c r="G2050" s="26" t="s">
        <v>29</v>
      </c>
      <c r="H2050" s="26" t="s">
        <v>30</v>
      </c>
      <c r="I2050" s="26" t="s">
        <v>133</v>
      </c>
      <c r="J2050" s="26" t="s">
        <v>32</v>
      </c>
      <c r="K2050" s="26" t="s">
        <v>1390</v>
      </c>
      <c r="L2050" s="26">
        <v>1</v>
      </c>
      <c r="M2050" s="26">
        <v>1</v>
      </c>
      <c r="N2050" s="28">
        <v>1</v>
      </c>
      <c r="O2050" s="26">
        <v>0.21</v>
      </c>
      <c r="P2050" s="26">
        <v>0.21</v>
      </c>
      <c r="Q2050" s="26">
        <v>0</v>
      </c>
      <c r="R2050" s="26"/>
      <c r="S2050" s="26">
        <v>0</v>
      </c>
      <c r="T2050" s="26">
        <v>0</v>
      </c>
      <c r="U2050" s="26">
        <v>0</v>
      </c>
      <c r="V2050" s="28">
        <v>0</v>
      </c>
      <c r="W2050" s="26">
        <v>0</v>
      </c>
      <c r="X2050" s="26">
        <v>0</v>
      </c>
      <c r="Y2050" s="26">
        <v>0</v>
      </c>
      <c r="Z2050" s="26">
        <v>0</v>
      </c>
    </row>
    <row r="2051" spans="1:26" x14ac:dyDescent="0.2">
      <c r="A2051">
        <f t="shared" si="66"/>
        <v>5</v>
      </c>
      <c r="B2051">
        <f t="shared" si="67"/>
        <v>21</v>
      </c>
      <c r="C2051" s="27">
        <v>46159</v>
      </c>
      <c r="D2051" s="26" t="s">
        <v>26</v>
      </c>
      <c r="E2051" s="26" t="s">
        <v>27</v>
      </c>
      <c r="F2051" s="26" t="s">
        <v>28</v>
      </c>
      <c r="G2051" s="26" t="s">
        <v>29</v>
      </c>
      <c r="H2051" s="26" t="s">
        <v>30</v>
      </c>
      <c r="I2051" s="26" t="s">
        <v>243</v>
      </c>
      <c r="J2051" s="26" t="s">
        <v>32</v>
      </c>
      <c r="K2051" s="26" t="s">
        <v>1391</v>
      </c>
      <c r="L2051" s="26">
        <v>4</v>
      </c>
      <c r="M2051" s="26">
        <v>1</v>
      </c>
      <c r="N2051" s="28">
        <v>0.25</v>
      </c>
      <c r="O2051" s="26">
        <v>0.21</v>
      </c>
      <c r="P2051" s="26">
        <v>0.21</v>
      </c>
      <c r="Q2051" s="26">
        <v>0</v>
      </c>
      <c r="R2051" s="26"/>
      <c r="S2051" s="26">
        <v>0</v>
      </c>
      <c r="T2051" s="26">
        <v>0</v>
      </c>
      <c r="U2051" s="26">
        <v>0</v>
      </c>
      <c r="V2051" s="28">
        <v>0</v>
      </c>
      <c r="W2051" s="26">
        <v>0</v>
      </c>
      <c r="X2051" s="26">
        <v>0</v>
      </c>
      <c r="Y2051" s="26">
        <v>0</v>
      </c>
      <c r="Z2051" s="26">
        <v>0</v>
      </c>
    </row>
    <row r="2052" spans="1:26" x14ac:dyDescent="0.2">
      <c r="A2052">
        <f t="shared" si="66"/>
        <v>5</v>
      </c>
      <c r="B2052">
        <f t="shared" si="67"/>
        <v>18</v>
      </c>
      <c r="C2052" s="27">
        <v>46144</v>
      </c>
      <c r="D2052" s="26" t="s">
        <v>26</v>
      </c>
      <c r="E2052" s="26" t="s">
        <v>49</v>
      </c>
      <c r="F2052" s="26" t="s">
        <v>50</v>
      </c>
      <c r="G2052" s="26" t="s">
        <v>29</v>
      </c>
      <c r="H2052" s="26" t="s">
        <v>30</v>
      </c>
      <c r="I2052" s="26" t="s">
        <v>51</v>
      </c>
      <c r="J2052" s="26" t="s">
        <v>42</v>
      </c>
      <c r="K2052" s="26" t="s">
        <v>1392</v>
      </c>
      <c r="L2052" s="26">
        <v>2</v>
      </c>
      <c r="M2052" s="26">
        <v>1</v>
      </c>
      <c r="N2052" s="28">
        <v>0.5</v>
      </c>
      <c r="O2052" s="26">
        <v>0.4</v>
      </c>
      <c r="P2052" s="26">
        <v>0.4</v>
      </c>
      <c r="Q2052" s="26">
        <v>0</v>
      </c>
      <c r="R2052" s="26"/>
      <c r="S2052" s="26">
        <v>0</v>
      </c>
      <c r="T2052" s="26">
        <v>0</v>
      </c>
      <c r="U2052" s="26">
        <v>0</v>
      </c>
      <c r="V2052" s="28">
        <v>0</v>
      </c>
      <c r="W2052" s="26">
        <v>0</v>
      </c>
      <c r="X2052" s="26">
        <v>0</v>
      </c>
      <c r="Y2052" s="26">
        <v>0</v>
      </c>
      <c r="Z2052" s="26">
        <v>0</v>
      </c>
    </row>
    <row r="2053" spans="1:26" x14ac:dyDescent="0.2">
      <c r="A2053">
        <f t="shared" si="66"/>
        <v>5</v>
      </c>
      <c r="B2053">
        <f t="shared" si="67"/>
        <v>19</v>
      </c>
      <c r="C2053" s="27">
        <v>46149</v>
      </c>
      <c r="D2053" s="26" t="s">
        <v>26</v>
      </c>
      <c r="E2053" s="26" t="s">
        <v>49</v>
      </c>
      <c r="F2053" s="26" t="s">
        <v>50</v>
      </c>
      <c r="G2053" s="26" t="s">
        <v>29</v>
      </c>
      <c r="H2053" s="26" t="s">
        <v>30</v>
      </c>
      <c r="I2053" s="26" t="s">
        <v>51</v>
      </c>
      <c r="J2053" s="26" t="s">
        <v>42</v>
      </c>
      <c r="K2053" s="26" t="s">
        <v>1393</v>
      </c>
      <c r="L2053" s="26">
        <v>4</v>
      </c>
      <c r="M2053" s="26">
        <v>1</v>
      </c>
      <c r="N2053" s="28">
        <v>0.25</v>
      </c>
      <c r="O2053" s="26">
        <v>1.02</v>
      </c>
      <c r="P2053" s="26">
        <v>1.02</v>
      </c>
      <c r="Q2053" s="26">
        <v>0</v>
      </c>
      <c r="R2053" s="26"/>
      <c r="S2053" s="26">
        <v>0</v>
      </c>
      <c r="T2053" s="26">
        <v>0</v>
      </c>
      <c r="U2053" s="26">
        <v>0</v>
      </c>
      <c r="V2053" s="28">
        <v>0</v>
      </c>
      <c r="W2053" s="26">
        <v>0</v>
      </c>
      <c r="X2053" s="26">
        <v>0</v>
      </c>
      <c r="Y2053" s="26">
        <v>0</v>
      </c>
      <c r="Z2053" s="26">
        <v>0</v>
      </c>
    </row>
    <row r="2054" spans="1:26" x14ac:dyDescent="0.2">
      <c r="A2054">
        <f t="shared" si="66"/>
        <v>5</v>
      </c>
      <c r="B2054">
        <f t="shared" si="67"/>
        <v>20</v>
      </c>
      <c r="C2054" s="27">
        <v>46156</v>
      </c>
      <c r="D2054" s="26" t="s">
        <v>26</v>
      </c>
      <c r="E2054" s="26" t="s">
        <v>49</v>
      </c>
      <c r="F2054" s="26" t="s">
        <v>50</v>
      </c>
      <c r="G2054" s="26" t="s">
        <v>29</v>
      </c>
      <c r="H2054" s="26" t="s">
        <v>30</v>
      </c>
      <c r="I2054" s="26" t="s">
        <v>51</v>
      </c>
      <c r="J2054" s="26" t="s">
        <v>42</v>
      </c>
      <c r="K2054" s="26" t="s">
        <v>687</v>
      </c>
      <c r="L2054" s="26">
        <v>8</v>
      </c>
      <c r="M2054" s="26">
        <v>1</v>
      </c>
      <c r="N2054" s="28">
        <v>0.125</v>
      </c>
      <c r="O2054" s="26">
        <v>0.1</v>
      </c>
      <c r="P2054" s="26">
        <v>0.1</v>
      </c>
      <c r="Q2054" s="26">
        <v>0</v>
      </c>
      <c r="R2054" s="26"/>
      <c r="S2054" s="26">
        <v>0</v>
      </c>
      <c r="T2054" s="26">
        <v>0</v>
      </c>
      <c r="U2054" s="26">
        <v>0</v>
      </c>
      <c r="V2054" s="28">
        <v>0</v>
      </c>
      <c r="W2054" s="26">
        <v>0</v>
      </c>
      <c r="X2054" s="26">
        <v>0</v>
      </c>
      <c r="Y2054" s="26">
        <v>0</v>
      </c>
      <c r="Z2054" s="26">
        <v>0</v>
      </c>
    </row>
    <row r="2055" spans="1:26" x14ac:dyDescent="0.2">
      <c r="A2055">
        <f t="shared" si="66"/>
        <v>5</v>
      </c>
      <c r="B2055">
        <f t="shared" si="67"/>
        <v>19</v>
      </c>
      <c r="C2055" s="27">
        <v>46146</v>
      </c>
      <c r="D2055" s="26" t="s">
        <v>26</v>
      </c>
      <c r="E2055" s="26" t="s">
        <v>49</v>
      </c>
      <c r="F2055" s="26" t="s">
        <v>50</v>
      </c>
      <c r="G2055" s="26" t="s">
        <v>29</v>
      </c>
      <c r="H2055" s="26" t="s">
        <v>30</v>
      </c>
      <c r="I2055" s="26" t="s">
        <v>51</v>
      </c>
      <c r="J2055" s="26" t="s">
        <v>42</v>
      </c>
      <c r="K2055" s="26" t="s">
        <v>1394</v>
      </c>
      <c r="L2055" s="26">
        <v>1</v>
      </c>
      <c r="M2055" s="26">
        <v>1</v>
      </c>
      <c r="N2055" s="28">
        <v>1</v>
      </c>
      <c r="O2055" s="26">
        <v>1.3</v>
      </c>
      <c r="P2055" s="26">
        <v>1.3</v>
      </c>
      <c r="Q2055" s="26">
        <v>0</v>
      </c>
      <c r="R2055" s="26"/>
      <c r="S2055" s="26">
        <v>0</v>
      </c>
      <c r="T2055" s="26">
        <v>0</v>
      </c>
      <c r="U2055" s="26">
        <v>0</v>
      </c>
      <c r="V2055" s="28">
        <v>0</v>
      </c>
      <c r="W2055" s="26">
        <v>0</v>
      </c>
      <c r="X2055" s="26">
        <v>0</v>
      </c>
      <c r="Y2055" s="26">
        <v>0</v>
      </c>
      <c r="Z2055" s="26">
        <v>0</v>
      </c>
    </row>
    <row r="2056" spans="1:26" x14ac:dyDescent="0.2">
      <c r="A2056">
        <f t="shared" si="66"/>
        <v>5</v>
      </c>
      <c r="B2056">
        <f t="shared" si="67"/>
        <v>19</v>
      </c>
      <c r="C2056" s="27">
        <v>46145</v>
      </c>
      <c r="D2056" s="26" t="s">
        <v>26</v>
      </c>
      <c r="E2056" s="26" t="s">
        <v>49</v>
      </c>
      <c r="F2056" s="26" t="s">
        <v>50</v>
      </c>
      <c r="G2056" s="26" t="s">
        <v>29</v>
      </c>
      <c r="H2056" s="26" t="s">
        <v>30</v>
      </c>
      <c r="I2056" s="26" t="s">
        <v>51</v>
      </c>
      <c r="J2056" s="26" t="s">
        <v>42</v>
      </c>
      <c r="K2056" s="26" t="s">
        <v>1132</v>
      </c>
      <c r="L2056" s="26">
        <v>11</v>
      </c>
      <c r="M2056" s="26">
        <v>2</v>
      </c>
      <c r="N2056" s="28">
        <v>0.18181800000000001</v>
      </c>
      <c r="O2056" s="26">
        <v>0.92</v>
      </c>
      <c r="P2056" s="26">
        <v>1.83</v>
      </c>
      <c r="Q2056" s="26">
        <v>0</v>
      </c>
      <c r="R2056" s="26"/>
      <c r="S2056" s="26">
        <v>0</v>
      </c>
      <c r="T2056" s="26">
        <v>0</v>
      </c>
      <c r="U2056" s="26">
        <v>0</v>
      </c>
      <c r="V2056" s="28">
        <v>0</v>
      </c>
      <c r="W2056" s="26">
        <v>0</v>
      </c>
      <c r="X2056" s="26">
        <v>0</v>
      </c>
      <c r="Y2056" s="26">
        <v>0</v>
      </c>
      <c r="Z2056" s="26">
        <v>0</v>
      </c>
    </row>
    <row r="2057" spans="1:26" x14ac:dyDescent="0.2">
      <c r="A2057">
        <f t="shared" si="66"/>
        <v>5</v>
      </c>
      <c r="B2057">
        <f t="shared" si="67"/>
        <v>19</v>
      </c>
      <c r="C2057" s="27">
        <v>46151</v>
      </c>
      <c r="D2057" s="26" t="s">
        <v>26</v>
      </c>
      <c r="E2057" s="26" t="s">
        <v>49</v>
      </c>
      <c r="F2057" s="26" t="s">
        <v>50</v>
      </c>
      <c r="G2057" s="26" t="s">
        <v>29</v>
      </c>
      <c r="H2057" s="26" t="s">
        <v>30</v>
      </c>
      <c r="I2057" s="26" t="s">
        <v>51</v>
      </c>
      <c r="J2057" s="26" t="s">
        <v>42</v>
      </c>
      <c r="K2057" s="26" t="s">
        <v>1132</v>
      </c>
      <c r="L2057" s="26">
        <v>5</v>
      </c>
      <c r="M2057" s="26">
        <v>1</v>
      </c>
      <c r="N2057" s="28">
        <v>0.2</v>
      </c>
      <c r="O2057" s="26">
        <v>1.05</v>
      </c>
      <c r="P2057" s="26">
        <v>1.05</v>
      </c>
      <c r="Q2057" s="26">
        <v>0</v>
      </c>
      <c r="R2057" s="26"/>
      <c r="S2057" s="26">
        <v>0</v>
      </c>
      <c r="T2057" s="26">
        <v>0</v>
      </c>
      <c r="U2057" s="26">
        <v>0</v>
      </c>
      <c r="V2057" s="28">
        <v>0</v>
      </c>
      <c r="W2057" s="26">
        <v>0</v>
      </c>
      <c r="X2057" s="26">
        <v>0</v>
      </c>
      <c r="Y2057" s="26">
        <v>0</v>
      </c>
      <c r="Z2057" s="26">
        <v>0</v>
      </c>
    </row>
    <row r="2058" spans="1:26" x14ac:dyDescent="0.2">
      <c r="A2058">
        <f t="shared" si="66"/>
        <v>5</v>
      </c>
      <c r="B2058">
        <f t="shared" si="67"/>
        <v>18</v>
      </c>
      <c r="C2058" s="27">
        <v>46143</v>
      </c>
      <c r="D2058" s="26" t="s">
        <v>26</v>
      </c>
      <c r="E2058" s="26" t="s">
        <v>39</v>
      </c>
      <c r="F2058" s="26" t="s">
        <v>40</v>
      </c>
      <c r="G2058" s="26" t="s">
        <v>29</v>
      </c>
      <c r="H2058" s="26" t="s">
        <v>30</v>
      </c>
      <c r="I2058" s="26" t="s">
        <v>1134</v>
      </c>
      <c r="J2058" s="26" t="s">
        <v>42</v>
      </c>
      <c r="K2058" s="26" t="s">
        <v>65</v>
      </c>
      <c r="L2058" s="26">
        <v>59</v>
      </c>
      <c r="M2058" s="26">
        <v>1</v>
      </c>
      <c r="N2058" s="28">
        <v>1.6948999999999999E-2</v>
      </c>
      <c r="O2058" s="26">
        <v>0.63</v>
      </c>
      <c r="P2058" s="26">
        <v>0.63</v>
      </c>
      <c r="Q2058" s="26">
        <v>17.47</v>
      </c>
      <c r="R2058" s="28">
        <v>3.6061999999999997E-2</v>
      </c>
      <c r="S2058" s="26">
        <v>27.73</v>
      </c>
      <c r="T2058" s="26">
        <v>1</v>
      </c>
      <c r="U2058" s="26">
        <v>1</v>
      </c>
      <c r="V2058" s="28">
        <v>1</v>
      </c>
      <c r="W2058" s="26">
        <v>1</v>
      </c>
      <c r="X2058" s="26">
        <v>0</v>
      </c>
      <c r="Y2058" s="26">
        <v>17.47</v>
      </c>
      <c r="Z2058" s="26">
        <v>0</v>
      </c>
    </row>
    <row r="2059" spans="1:26" x14ac:dyDescent="0.2">
      <c r="A2059">
        <f t="shared" si="66"/>
        <v>5</v>
      </c>
      <c r="B2059">
        <f t="shared" si="67"/>
        <v>18</v>
      </c>
      <c r="C2059" s="27">
        <v>46144</v>
      </c>
      <c r="D2059" s="26" t="s">
        <v>26</v>
      </c>
      <c r="E2059" s="26" t="s">
        <v>39</v>
      </c>
      <c r="F2059" s="26" t="s">
        <v>40</v>
      </c>
      <c r="G2059" s="26" t="s">
        <v>29</v>
      </c>
      <c r="H2059" s="26" t="s">
        <v>30</v>
      </c>
      <c r="I2059" s="26" t="s">
        <v>1134</v>
      </c>
      <c r="J2059" s="26" t="s">
        <v>42</v>
      </c>
      <c r="K2059" s="26" t="s">
        <v>65</v>
      </c>
      <c r="L2059" s="26">
        <v>52</v>
      </c>
      <c r="M2059" s="26">
        <v>2</v>
      </c>
      <c r="N2059" s="28">
        <v>3.8462000000000003E-2</v>
      </c>
      <c r="O2059" s="26">
        <v>0.59</v>
      </c>
      <c r="P2059" s="26">
        <v>1.18</v>
      </c>
      <c r="Q2059" s="26">
        <v>0</v>
      </c>
      <c r="R2059" s="26"/>
      <c r="S2059" s="26">
        <v>0</v>
      </c>
      <c r="T2059" s="26">
        <v>0</v>
      </c>
      <c r="U2059" s="26">
        <v>0</v>
      </c>
      <c r="V2059" s="28">
        <v>0</v>
      </c>
      <c r="W2059" s="26">
        <v>0</v>
      </c>
      <c r="X2059" s="26">
        <v>0</v>
      </c>
      <c r="Y2059" s="26">
        <v>0</v>
      </c>
      <c r="Z2059" s="26">
        <v>0</v>
      </c>
    </row>
    <row r="2060" spans="1:26" x14ac:dyDescent="0.2">
      <c r="A2060">
        <f t="shared" si="66"/>
        <v>5</v>
      </c>
      <c r="B2060">
        <f t="shared" si="67"/>
        <v>19</v>
      </c>
      <c r="C2060" s="27">
        <v>46145</v>
      </c>
      <c r="D2060" s="26" t="s">
        <v>26</v>
      </c>
      <c r="E2060" s="26" t="s">
        <v>39</v>
      </c>
      <c r="F2060" s="26" t="s">
        <v>40</v>
      </c>
      <c r="G2060" s="26" t="s">
        <v>29</v>
      </c>
      <c r="H2060" s="26" t="s">
        <v>30</v>
      </c>
      <c r="I2060" s="26" t="s">
        <v>1134</v>
      </c>
      <c r="J2060" s="26" t="s">
        <v>42</v>
      </c>
      <c r="K2060" s="26" t="s">
        <v>65</v>
      </c>
      <c r="L2060" s="26">
        <v>57</v>
      </c>
      <c r="M2060" s="26">
        <v>3</v>
      </c>
      <c r="N2060" s="28">
        <v>5.2631999999999998E-2</v>
      </c>
      <c r="O2060" s="26">
        <v>0.63</v>
      </c>
      <c r="P2060" s="26">
        <v>1.88</v>
      </c>
      <c r="Q2060" s="26">
        <v>17.47</v>
      </c>
      <c r="R2060" s="28">
        <v>0.107613</v>
      </c>
      <c r="S2060" s="26">
        <v>9.2899999999999991</v>
      </c>
      <c r="T2060" s="26">
        <v>1</v>
      </c>
      <c r="U2060" s="26">
        <v>1</v>
      </c>
      <c r="V2060" s="28">
        <v>0.33333299999999999</v>
      </c>
      <c r="W2060" s="26">
        <v>1</v>
      </c>
      <c r="X2060" s="26">
        <v>0</v>
      </c>
      <c r="Y2060" s="26">
        <v>17.47</v>
      </c>
      <c r="Z2060" s="26">
        <v>0</v>
      </c>
    </row>
    <row r="2061" spans="1:26" x14ac:dyDescent="0.2">
      <c r="A2061">
        <f t="shared" si="66"/>
        <v>5</v>
      </c>
      <c r="B2061">
        <f t="shared" si="67"/>
        <v>19</v>
      </c>
      <c r="C2061" s="27">
        <v>46146</v>
      </c>
      <c r="D2061" s="26" t="s">
        <v>26</v>
      </c>
      <c r="E2061" s="26" t="s">
        <v>39</v>
      </c>
      <c r="F2061" s="26" t="s">
        <v>40</v>
      </c>
      <c r="G2061" s="26" t="s">
        <v>29</v>
      </c>
      <c r="H2061" s="26" t="s">
        <v>30</v>
      </c>
      <c r="I2061" s="26" t="s">
        <v>1134</v>
      </c>
      <c r="J2061" s="26" t="s">
        <v>42</v>
      </c>
      <c r="K2061" s="26" t="s">
        <v>65</v>
      </c>
      <c r="L2061" s="26">
        <v>134</v>
      </c>
      <c r="M2061" s="26">
        <v>2</v>
      </c>
      <c r="N2061" s="28">
        <v>1.4925000000000001E-2</v>
      </c>
      <c r="O2061" s="26">
        <v>0.7</v>
      </c>
      <c r="P2061" s="26">
        <v>1.4</v>
      </c>
      <c r="Q2061" s="26">
        <v>0</v>
      </c>
      <c r="R2061" s="26"/>
      <c r="S2061" s="26">
        <v>0</v>
      </c>
      <c r="T2061" s="26">
        <v>0</v>
      </c>
      <c r="U2061" s="26">
        <v>0</v>
      </c>
      <c r="V2061" s="28">
        <v>0</v>
      </c>
      <c r="W2061" s="26">
        <v>0</v>
      </c>
      <c r="X2061" s="26">
        <v>0</v>
      </c>
      <c r="Y2061" s="26">
        <v>0</v>
      </c>
      <c r="Z2061" s="26">
        <v>0</v>
      </c>
    </row>
    <row r="2062" spans="1:26" x14ac:dyDescent="0.2">
      <c r="A2062">
        <f t="shared" si="66"/>
        <v>5</v>
      </c>
      <c r="B2062">
        <f t="shared" si="67"/>
        <v>19</v>
      </c>
      <c r="C2062" s="27">
        <v>46147</v>
      </c>
      <c r="D2062" s="26" t="s">
        <v>26</v>
      </c>
      <c r="E2062" s="26" t="s">
        <v>39</v>
      </c>
      <c r="F2062" s="26" t="s">
        <v>40</v>
      </c>
      <c r="G2062" s="26" t="s">
        <v>29</v>
      </c>
      <c r="H2062" s="26" t="s">
        <v>30</v>
      </c>
      <c r="I2062" s="26" t="s">
        <v>1134</v>
      </c>
      <c r="J2062" s="26" t="s">
        <v>42</v>
      </c>
      <c r="K2062" s="26" t="s">
        <v>65</v>
      </c>
      <c r="L2062" s="26">
        <v>65</v>
      </c>
      <c r="M2062" s="26">
        <v>3</v>
      </c>
      <c r="N2062" s="28">
        <v>4.6154000000000001E-2</v>
      </c>
      <c r="O2062" s="26">
        <v>0.56999999999999995</v>
      </c>
      <c r="P2062" s="26">
        <v>1.7</v>
      </c>
      <c r="Q2062" s="26">
        <v>0</v>
      </c>
      <c r="R2062" s="26"/>
      <c r="S2062" s="26">
        <v>0</v>
      </c>
      <c r="T2062" s="26">
        <v>0</v>
      </c>
      <c r="U2062" s="26">
        <v>0</v>
      </c>
      <c r="V2062" s="28">
        <v>0</v>
      </c>
      <c r="W2062" s="26">
        <v>0</v>
      </c>
      <c r="X2062" s="26">
        <v>0</v>
      </c>
      <c r="Y2062" s="26">
        <v>0</v>
      </c>
      <c r="Z2062" s="26">
        <v>0</v>
      </c>
    </row>
    <row r="2063" spans="1:26" x14ac:dyDescent="0.2">
      <c r="A2063">
        <f t="shared" si="66"/>
        <v>5</v>
      </c>
      <c r="B2063">
        <f t="shared" si="67"/>
        <v>19</v>
      </c>
      <c r="C2063" s="27">
        <v>46148</v>
      </c>
      <c r="D2063" s="26" t="s">
        <v>26</v>
      </c>
      <c r="E2063" s="26" t="s">
        <v>39</v>
      </c>
      <c r="F2063" s="26" t="s">
        <v>40</v>
      </c>
      <c r="G2063" s="26" t="s">
        <v>29</v>
      </c>
      <c r="H2063" s="26" t="s">
        <v>30</v>
      </c>
      <c r="I2063" s="26" t="s">
        <v>1134</v>
      </c>
      <c r="J2063" s="26" t="s">
        <v>42</v>
      </c>
      <c r="K2063" s="26" t="s">
        <v>65</v>
      </c>
      <c r="L2063" s="26">
        <v>174</v>
      </c>
      <c r="M2063" s="26">
        <v>2</v>
      </c>
      <c r="N2063" s="28">
        <v>1.1494000000000001E-2</v>
      </c>
      <c r="O2063" s="26">
        <v>0.56999999999999995</v>
      </c>
      <c r="P2063" s="26">
        <v>1.1399999999999999</v>
      </c>
      <c r="Q2063" s="26">
        <v>0</v>
      </c>
      <c r="R2063" s="26"/>
      <c r="S2063" s="26">
        <v>0</v>
      </c>
      <c r="T2063" s="26">
        <v>0</v>
      </c>
      <c r="U2063" s="26">
        <v>0</v>
      </c>
      <c r="V2063" s="28">
        <v>0</v>
      </c>
      <c r="W2063" s="26">
        <v>0</v>
      </c>
      <c r="X2063" s="26">
        <v>0</v>
      </c>
      <c r="Y2063" s="26">
        <v>0</v>
      </c>
      <c r="Z2063" s="26">
        <v>0</v>
      </c>
    </row>
    <row r="2064" spans="1:26" x14ac:dyDescent="0.2">
      <c r="A2064">
        <f t="shared" si="66"/>
        <v>5</v>
      </c>
      <c r="B2064">
        <f t="shared" si="67"/>
        <v>19</v>
      </c>
      <c r="C2064" s="27">
        <v>46149</v>
      </c>
      <c r="D2064" s="26" t="s">
        <v>26</v>
      </c>
      <c r="E2064" s="26" t="s">
        <v>39</v>
      </c>
      <c r="F2064" s="26" t="s">
        <v>40</v>
      </c>
      <c r="G2064" s="26" t="s">
        <v>29</v>
      </c>
      <c r="H2064" s="26" t="s">
        <v>30</v>
      </c>
      <c r="I2064" s="26" t="s">
        <v>1134</v>
      </c>
      <c r="J2064" s="26" t="s">
        <v>42</v>
      </c>
      <c r="K2064" s="26" t="s">
        <v>65</v>
      </c>
      <c r="L2064" s="26">
        <v>133</v>
      </c>
      <c r="M2064" s="26">
        <v>3</v>
      </c>
      <c r="N2064" s="28">
        <v>2.2556E-2</v>
      </c>
      <c r="O2064" s="26">
        <v>0.56999999999999995</v>
      </c>
      <c r="P2064" s="26">
        <v>1.72</v>
      </c>
      <c r="Q2064" s="26">
        <v>0</v>
      </c>
      <c r="R2064" s="26"/>
      <c r="S2064" s="26">
        <v>0</v>
      </c>
      <c r="T2064" s="26">
        <v>0</v>
      </c>
      <c r="U2064" s="26">
        <v>0</v>
      </c>
      <c r="V2064" s="28">
        <v>0</v>
      </c>
      <c r="W2064" s="26">
        <v>0</v>
      </c>
      <c r="X2064" s="26">
        <v>0</v>
      </c>
      <c r="Y2064" s="26">
        <v>0</v>
      </c>
      <c r="Z2064" s="26">
        <v>0</v>
      </c>
    </row>
    <row r="2065" spans="1:26" x14ac:dyDescent="0.2">
      <c r="A2065">
        <f t="shared" si="66"/>
        <v>5</v>
      </c>
      <c r="B2065">
        <f t="shared" si="67"/>
        <v>19</v>
      </c>
      <c r="C2065" s="27">
        <v>46150</v>
      </c>
      <c r="D2065" s="26" t="s">
        <v>26</v>
      </c>
      <c r="E2065" s="26" t="s">
        <v>39</v>
      </c>
      <c r="F2065" s="26" t="s">
        <v>40</v>
      </c>
      <c r="G2065" s="26" t="s">
        <v>29</v>
      </c>
      <c r="H2065" s="26" t="s">
        <v>30</v>
      </c>
      <c r="I2065" s="26" t="s">
        <v>1134</v>
      </c>
      <c r="J2065" s="26" t="s">
        <v>42</v>
      </c>
      <c r="K2065" s="26" t="s">
        <v>65</v>
      </c>
      <c r="L2065" s="26">
        <v>7</v>
      </c>
      <c r="M2065" s="26">
        <v>1</v>
      </c>
      <c r="N2065" s="28">
        <v>0.14285700000000001</v>
      </c>
      <c r="O2065" s="26">
        <v>0.56000000000000005</v>
      </c>
      <c r="P2065" s="26">
        <v>0.56000000000000005</v>
      </c>
      <c r="Q2065" s="26">
        <v>0</v>
      </c>
      <c r="R2065" s="26"/>
      <c r="S2065" s="26">
        <v>0</v>
      </c>
      <c r="T2065" s="26">
        <v>0</v>
      </c>
      <c r="U2065" s="26">
        <v>0</v>
      </c>
      <c r="V2065" s="28">
        <v>0</v>
      </c>
      <c r="W2065" s="26">
        <v>0</v>
      </c>
      <c r="X2065" s="26">
        <v>0</v>
      </c>
      <c r="Y2065" s="26">
        <v>0</v>
      </c>
      <c r="Z2065" s="26">
        <v>0</v>
      </c>
    </row>
    <row r="2066" spans="1:26" x14ac:dyDescent="0.2">
      <c r="A2066">
        <f t="shared" si="66"/>
        <v>5</v>
      </c>
      <c r="B2066">
        <f t="shared" si="67"/>
        <v>20</v>
      </c>
      <c r="C2066" s="27">
        <v>46152</v>
      </c>
      <c r="D2066" s="26" t="s">
        <v>26</v>
      </c>
      <c r="E2066" s="26" t="s">
        <v>39</v>
      </c>
      <c r="F2066" s="26" t="s">
        <v>40</v>
      </c>
      <c r="G2066" s="26" t="s">
        <v>29</v>
      </c>
      <c r="H2066" s="26" t="s">
        <v>30</v>
      </c>
      <c r="I2066" s="26" t="s">
        <v>1134</v>
      </c>
      <c r="J2066" s="26" t="s">
        <v>42</v>
      </c>
      <c r="K2066" s="26" t="s">
        <v>65</v>
      </c>
      <c r="L2066" s="26">
        <v>52</v>
      </c>
      <c r="M2066" s="26">
        <v>1</v>
      </c>
      <c r="N2066" s="28">
        <v>1.9231000000000002E-2</v>
      </c>
      <c r="O2066" s="26">
        <v>0.57999999999999996</v>
      </c>
      <c r="P2066" s="26">
        <v>0.57999999999999996</v>
      </c>
      <c r="Q2066" s="26">
        <v>18.989999999999998</v>
      </c>
      <c r="R2066" s="28">
        <v>3.0542E-2</v>
      </c>
      <c r="S2066" s="26">
        <v>32.74</v>
      </c>
      <c r="T2066" s="26">
        <v>1</v>
      </c>
      <c r="U2066" s="26">
        <v>1</v>
      </c>
      <c r="V2066" s="28">
        <v>1</v>
      </c>
      <c r="W2066" s="26">
        <v>1</v>
      </c>
      <c r="X2066" s="26">
        <v>0</v>
      </c>
      <c r="Y2066" s="26">
        <v>18.989999999999998</v>
      </c>
      <c r="Z2066" s="26">
        <v>0</v>
      </c>
    </row>
    <row r="2067" spans="1:26" x14ac:dyDescent="0.2">
      <c r="A2067">
        <f t="shared" si="66"/>
        <v>5</v>
      </c>
      <c r="B2067">
        <f t="shared" si="67"/>
        <v>20</v>
      </c>
      <c r="C2067" s="27">
        <v>46153</v>
      </c>
      <c r="D2067" s="26" t="s">
        <v>26</v>
      </c>
      <c r="E2067" s="26" t="s">
        <v>39</v>
      </c>
      <c r="F2067" s="26" t="s">
        <v>40</v>
      </c>
      <c r="G2067" s="26" t="s">
        <v>29</v>
      </c>
      <c r="H2067" s="26" t="s">
        <v>30</v>
      </c>
      <c r="I2067" s="26" t="s">
        <v>1134</v>
      </c>
      <c r="J2067" s="26" t="s">
        <v>42</v>
      </c>
      <c r="K2067" s="26" t="s">
        <v>65</v>
      </c>
      <c r="L2067" s="26">
        <v>111</v>
      </c>
      <c r="M2067" s="26">
        <v>1</v>
      </c>
      <c r="N2067" s="28">
        <v>9.0089999999999996E-3</v>
      </c>
      <c r="O2067" s="26">
        <v>0.63</v>
      </c>
      <c r="P2067" s="26">
        <v>0.63</v>
      </c>
      <c r="Q2067" s="26">
        <v>0</v>
      </c>
      <c r="R2067" s="26"/>
      <c r="S2067" s="26">
        <v>0</v>
      </c>
      <c r="T2067" s="26">
        <v>0</v>
      </c>
      <c r="U2067" s="26">
        <v>0</v>
      </c>
      <c r="V2067" s="28">
        <v>0</v>
      </c>
      <c r="W2067" s="26">
        <v>0</v>
      </c>
      <c r="X2067" s="26">
        <v>0</v>
      </c>
      <c r="Y2067" s="26">
        <v>0</v>
      </c>
      <c r="Z2067" s="26">
        <v>0</v>
      </c>
    </row>
    <row r="2068" spans="1:26" x14ac:dyDescent="0.2">
      <c r="A2068">
        <f t="shared" si="66"/>
        <v>5</v>
      </c>
      <c r="B2068">
        <f t="shared" si="67"/>
        <v>20</v>
      </c>
      <c r="C2068" s="27">
        <v>46154</v>
      </c>
      <c r="D2068" s="26" t="s">
        <v>26</v>
      </c>
      <c r="E2068" s="26" t="s">
        <v>39</v>
      </c>
      <c r="F2068" s="26" t="s">
        <v>40</v>
      </c>
      <c r="G2068" s="26" t="s">
        <v>29</v>
      </c>
      <c r="H2068" s="26" t="s">
        <v>30</v>
      </c>
      <c r="I2068" s="26" t="s">
        <v>1134</v>
      </c>
      <c r="J2068" s="26" t="s">
        <v>42</v>
      </c>
      <c r="K2068" s="26" t="s">
        <v>65</v>
      </c>
      <c r="L2068" s="26">
        <v>129</v>
      </c>
      <c r="M2068" s="26">
        <v>3</v>
      </c>
      <c r="N2068" s="28">
        <v>2.3255999999999999E-2</v>
      </c>
      <c r="O2068" s="26">
        <v>0.63</v>
      </c>
      <c r="P2068" s="26">
        <v>1.89</v>
      </c>
      <c r="Q2068" s="26">
        <v>0</v>
      </c>
      <c r="R2068" s="26"/>
      <c r="S2068" s="26">
        <v>0</v>
      </c>
      <c r="T2068" s="26">
        <v>0</v>
      </c>
      <c r="U2068" s="26">
        <v>0</v>
      </c>
      <c r="V2068" s="28">
        <v>0</v>
      </c>
      <c r="W2068" s="26">
        <v>0</v>
      </c>
      <c r="X2068" s="26">
        <v>0</v>
      </c>
      <c r="Y2068" s="26">
        <v>0</v>
      </c>
      <c r="Z2068" s="26">
        <v>0</v>
      </c>
    </row>
    <row r="2069" spans="1:26" x14ac:dyDescent="0.2">
      <c r="A2069">
        <f t="shared" si="66"/>
        <v>5</v>
      </c>
      <c r="B2069">
        <f t="shared" si="67"/>
        <v>20</v>
      </c>
      <c r="C2069" s="27">
        <v>46155</v>
      </c>
      <c r="D2069" s="26" t="s">
        <v>26</v>
      </c>
      <c r="E2069" s="26" t="s">
        <v>39</v>
      </c>
      <c r="F2069" s="26" t="s">
        <v>40</v>
      </c>
      <c r="G2069" s="26" t="s">
        <v>29</v>
      </c>
      <c r="H2069" s="26" t="s">
        <v>30</v>
      </c>
      <c r="I2069" s="26" t="s">
        <v>1134</v>
      </c>
      <c r="J2069" s="26" t="s">
        <v>42</v>
      </c>
      <c r="K2069" s="26" t="s">
        <v>65</v>
      </c>
      <c r="L2069" s="26">
        <v>57</v>
      </c>
      <c r="M2069" s="26">
        <v>2</v>
      </c>
      <c r="N2069" s="28">
        <v>3.5088000000000001E-2</v>
      </c>
      <c r="O2069" s="26">
        <v>0.56999999999999995</v>
      </c>
      <c r="P2069" s="26">
        <v>1.1399999999999999</v>
      </c>
      <c r="Q2069" s="26">
        <v>0</v>
      </c>
      <c r="R2069" s="26"/>
      <c r="S2069" s="26">
        <v>0</v>
      </c>
      <c r="T2069" s="26">
        <v>0</v>
      </c>
      <c r="U2069" s="26">
        <v>0</v>
      </c>
      <c r="V2069" s="28">
        <v>0</v>
      </c>
      <c r="W2069" s="26">
        <v>0</v>
      </c>
      <c r="X2069" s="26">
        <v>0</v>
      </c>
      <c r="Y2069" s="26">
        <v>0</v>
      </c>
      <c r="Z2069" s="26">
        <v>0</v>
      </c>
    </row>
    <row r="2070" spans="1:26" x14ac:dyDescent="0.2">
      <c r="A2070">
        <f t="shared" si="66"/>
        <v>5</v>
      </c>
      <c r="B2070">
        <f t="shared" si="67"/>
        <v>20</v>
      </c>
      <c r="C2070" s="27">
        <v>46156</v>
      </c>
      <c r="D2070" s="26" t="s">
        <v>26</v>
      </c>
      <c r="E2070" s="26" t="s">
        <v>39</v>
      </c>
      <c r="F2070" s="26" t="s">
        <v>40</v>
      </c>
      <c r="G2070" s="26" t="s">
        <v>29</v>
      </c>
      <c r="H2070" s="26" t="s">
        <v>30</v>
      </c>
      <c r="I2070" s="26" t="s">
        <v>1134</v>
      </c>
      <c r="J2070" s="26" t="s">
        <v>42</v>
      </c>
      <c r="K2070" s="26" t="s">
        <v>65</v>
      </c>
      <c r="L2070" s="26">
        <v>116</v>
      </c>
      <c r="M2070" s="26">
        <v>2</v>
      </c>
      <c r="N2070" s="28">
        <v>1.7240999999999999E-2</v>
      </c>
      <c r="O2070" s="26">
        <v>0.6</v>
      </c>
      <c r="P2070" s="26">
        <v>1.19</v>
      </c>
      <c r="Q2070" s="26">
        <v>0</v>
      </c>
      <c r="R2070" s="26"/>
      <c r="S2070" s="26">
        <v>0</v>
      </c>
      <c r="T2070" s="26">
        <v>0</v>
      </c>
      <c r="U2070" s="26">
        <v>0</v>
      </c>
      <c r="V2070" s="28">
        <v>0</v>
      </c>
      <c r="W2070" s="26">
        <v>0</v>
      </c>
      <c r="X2070" s="26">
        <v>0</v>
      </c>
      <c r="Y2070" s="26">
        <v>0</v>
      </c>
      <c r="Z2070" s="26">
        <v>0</v>
      </c>
    </row>
    <row r="2071" spans="1:26" x14ac:dyDescent="0.2">
      <c r="A2071">
        <f t="shared" si="66"/>
        <v>5</v>
      </c>
      <c r="B2071">
        <f t="shared" si="67"/>
        <v>20</v>
      </c>
      <c r="C2071" s="27">
        <v>46157</v>
      </c>
      <c r="D2071" s="26" t="s">
        <v>26</v>
      </c>
      <c r="E2071" s="26" t="s">
        <v>39</v>
      </c>
      <c r="F2071" s="26" t="s">
        <v>40</v>
      </c>
      <c r="G2071" s="26" t="s">
        <v>29</v>
      </c>
      <c r="H2071" s="26" t="s">
        <v>30</v>
      </c>
      <c r="I2071" s="26" t="s">
        <v>1134</v>
      </c>
      <c r="J2071" s="26" t="s">
        <v>42</v>
      </c>
      <c r="K2071" s="26" t="s">
        <v>65</v>
      </c>
      <c r="L2071" s="26">
        <v>40</v>
      </c>
      <c r="M2071" s="26">
        <v>3</v>
      </c>
      <c r="N2071" s="28">
        <v>7.4999999999999997E-2</v>
      </c>
      <c r="O2071" s="26">
        <v>0.42</v>
      </c>
      <c r="P2071" s="26">
        <v>1.26</v>
      </c>
      <c r="Q2071" s="26">
        <v>0</v>
      </c>
      <c r="R2071" s="26"/>
      <c r="S2071" s="26">
        <v>0</v>
      </c>
      <c r="T2071" s="26">
        <v>0</v>
      </c>
      <c r="U2071" s="26">
        <v>0</v>
      </c>
      <c r="V2071" s="28">
        <v>0</v>
      </c>
      <c r="W2071" s="26">
        <v>0</v>
      </c>
      <c r="X2071" s="26">
        <v>0</v>
      </c>
      <c r="Y2071" s="26">
        <v>0</v>
      </c>
      <c r="Z2071" s="26">
        <v>0</v>
      </c>
    </row>
    <row r="2072" spans="1:26" x14ac:dyDescent="0.2">
      <c r="A2072">
        <f t="shared" si="66"/>
        <v>5</v>
      </c>
      <c r="B2072">
        <f t="shared" si="67"/>
        <v>20</v>
      </c>
      <c r="C2072" s="27">
        <v>46158</v>
      </c>
      <c r="D2072" s="26" t="s">
        <v>26</v>
      </c>
      <c r="E2072" s="26" t="s">
        <v>39</v>
      </c>
      <c r="F2072" s="26" t="s">
        <v>40</v>
      </c>
      <c r="G2072" s="26" t="s">
        <v>29</v>
      </c>
      <c r="H2072" s="26" t="s">
        <v>30</v>
      </c>
      <c r="I2072" s="26" t="s">
        <v>1134</v>
      </c>
      <c r="J2072" s="26" t="s">
        <v>42</v>
      </c>
      <c r="K2072" s="26" t="s">
        <v>65</v>
      </c>
      <c r="L2072" s="26">
        <v>165</v>
      </c>
      <c r="M2072" s="26">
        <v>3</v>
      </c>
      <c r="N2072" s="28">
        <v>1.8182E-2</v>
      </c>
      <c r="O2072" s="26">
        <v>0.62</v>
      </c>
      <c r="P2072" s="26">
        <v>1.86</v>
      </c>
      <c r="Q2072" s="26">
        <v>17.47</v>
      </c>
      <c r="R2072" s="28">
        <v>0.10646799999999999</v>
      </c>
      <c r="S2072" s="26">
        <v>9.39</v>
      </c>
      <c r="T2072" s="26">
        <v>1</v>
      </c>
      <c r="U2072" s="26">
        <v>1</v>
      </c>
      <c r="V2072" s="28">
        <v>0.33333299999999999</v>
      </c>
      <c r="W2072" s="26">
        <v>1</v>
      </c>
      <c r="X2072" s="26">
        <v>0</v>
      </c>
      <c r="Y2072" s="26">
        <v>17.47</v>
      </c>
      <c r="Z2072" s="26">
        <v>0</v>
      </c>
    </row>
    <row r="2073" spans="1:26" x14ac:dyDescent="0.2">
      <c r="A2073">
        <f t="shared" si="66"/>
        <v>5</v>
      </c>
      <c r="B2073">
        <f t="shared" si="67"/>
        <v>21</v>
      </c>
      <c r="C2073" s="27">
        <v>46159</v>
      </c>
      <c r="D2073" s="26" t="s">
        <v>26</v>
      </c>
      <c r="E2073" s="26" t="s">
        <v>39</v>
      </c>
      <c r="F2073" s="26" t="s">
        <v>40</v>
      </c>
      <c r="G2073" s="26" t="s">
        <v>29</v>
      </c>
      <c r="H2073" s="26" t="s">
        <v>30</v>
      </c>
      <c r="I2073" s="26" t="s">
        <v>1134</v>
      </c>
      <c r="J2073" s="26" t="s">
        <v>42</v>
      </c>
      <c r="K2073" s="26" t="s">
        <v>65</v>
      </c>
      <c r="L2073" s="26">
        <v>192</v>
      </c>
      <c r="M2073" s="26">
        <v>1</v>
      </c>
      <c r="N2073" s="28">
        <v>5.208E-3</v>
      </c>
      <c r="O2073" s="26">
        <v>0.6</v>
      </c>
      <c r="P2073" s="26">
        <v>0.6</v>
      </c>
      <c r="Q2073" s="26">
        <v>17.09</v>
      </c>
      <c r="R2073" s="28">
        <v>3.5108E-2</v>
      </c>
      <c r="S2073" s="26">
        <v>28.48</v>
      </c>
      <c r="T2073" s="26">
        <v>1</v>
      </c>
      <c r="U2073" s="26">
        <v>1</v>
      </c>
      <c r="V2073" s="28">
        <v>1</v>
      </c>
      <c r="W2073" s="26">
        <v>0</v>
      </c>
      <c r="X2073" s="26">
        <v>1</v>
      </c>
      <c r="Y2073" s="26">
        <v>0</v>
      </c>
      <c r="Z2073" s="26">
        <v>17.09</v>
      </c>
    </row>
    <row r="2074" spans="1:26" x14ac:dyDescent="0.2">
      <c r="A2074">
        <f t="shared" si="66"/>
        <v>5</v>
      </c>
      <c r="B2074">
        <f t="shared" si="67"/>
        <v>21</v>
      </c>
      <c r="C2074" s="27">
        <v>46161</v>
      </c>
      <c r="D2074" s="26" t="s">
        <v>26</v>
      </c>
      <c r="E2074" s="26" t="s">
        <v>39</v>
      </c>
      <c r="F2074" s="26" t="s">
        <v>40</v>
      </c>
      <c r="G2074" s="26" t="s">
        <v>29</v>
      </c>
      <c r="H2074" s="26" t="s">
        <v>30</v>
      </c>
      <c r="I2074" s="26" t="s">
        <v>1134</v>
      </c>
      <c r="J2074" s="26" t="s">
        <v>42</v>
      </c>
      <c r="K2074" s="26" t="s">
        <v>65</v>
      </c>
      <c r="L2074" s="26">
        <v>110</v>
      </c>
      <c r="M2074" s="26">
        <v>2</v>
      </c>
      <c r="N2074" s="28">
        <v>1.8182E-2</v>
      </c>
      <c r="O2074" s="26">
        <v>0.59</v>
      </c>
      <c r="P2074" s="26">
        <v>1.17</v>
      </c>
      <c r="Q2074" s="26">
        <v>0</v>
      </c>
      <c r="R2074" s="26"/>
      <c r="S2074" s="26">
        <v>0</v>
      </c>
      <c r="T2074" s="26">
        <v>0</v>
      </c>
      <c r="U2074" s="26">
        <v>0</v>
      </c>
      <c r="V2074" s="28">
        <v>0</v>
      </c>
      <c r="W2074" s="26">
        <v>0</v>
      </c>
      <c r="X2074" s="26">
        <v>0</v>
      </c>
      <c r="Y2074" s="26">
        <v>0</v>
      </c>
      <c r="Z2074" s="26">
        <v>0</v>
      </c>
    </row>
    <row r="2075" spans="1:26" x14ac:dyDescent="0.2">
      <c r="A2075">
        <f t="shared" si="66"/>
        <v>5</v>
      </c>
      <c r="B2075">
        <f t="shared" si="67"/>
        <v>21</v>
      </c>
      <c r="C2075" s="27">
        <v>46162</v>
      </c>
      <c r="D2075" s="26" t="s">
        <v>26</v>
      </c>
      <c r="E2075" s="26" t="s">
        <v>39</v>
      </c>
      <c r="F2075" s="26" t="s">
        <v>40</v>
      </c>
      <c r="G2075" s="26" t="s">
        <v>29</v>
      </c>
      <c r="H2075" s="26" t="s">
        <v>30</v>
      </c>
      <c r="I2075" s="26" t="s">
        <v>1134</v>
      </c>
      <c r="J2075" s="26" t="s">
        <v>42</v>
      </c>
      <c r="K2075" s="26" t="s">
        <v>65</v>
      </c>
      <c r="L2075" s="26">
        <v>61</v>
      </c>
      <c r="M2075" s="26">
        <v>3</v>
      </c>
      <c r="N2075" s="28">
        <v>4.9180000000000001E-2</v>
      </c>
      <c r="O2075" s="26">
        <v>0.62</v>
      </c>
      <c r="P2075" s="26">
        <v>1.86</v>
      </c>
      <c r="Q2075" s="26">
        <v>0</v>
      </c>
      <c r="R2075" s="26"/>
      <c r="S2075" s="26">
        <v>0</v>
      </c>
      <c r="T2075" s="26">
        <v>0</v>
      </c>
      <c r="U2075" s="26">
        <v>0</v>
      </c>
      <c r="V2075" s="28">
        <v>0</v>
      </c>
      <c r="W2075" s="26">
        <v>0</v>
      </c>
      <c r="X2075" s="26">
        <v>0</v>
      </c>
      <c r="Y2075" s="26">
        <v>0</v>
      </c>
      <c r="Z2075" s="26">
        <v>0</v>
      </c>
    </row>
    <row r="2076" spans="1:26" x14ac:dyDescent="0.2">
      <c r="A2076">
        <f t="shared" si="66"/>
        <v>5</v>
      </c>
      <c r="B2076">
        <f t="shared" si="67"/>
        <v>21</v>
      </c>
      <c r="C2076" s="27">
        <v>46163</v>
      </c>
      <c r="D2076" s="26" t="s">
        <v>26</v>
      </c>
      <c r="E2076" s="26" t="s">
        <v>39</v>
      </c>
      <c r="F2076" s="26" t="s">
        <v>40</v>
      </c>
      <c r="G2076" s="26" t="s">
        <v>29</v>
      </c>
      <c r="H2076" s="26" t="s">
        <v>30</v>
      </c>
      <c r="I2076" s="26" t="s">
        <v>1134</v>
      </c>
      <c r="J2076" s="26" t="s">
        <v>42</v>
      </c>
      <c r="K2076" s="26" t="s">
        <v>65</v>
      </c>
      <c r="L2076" s="26">
        <v>32</v>
      </c>
      <c r="M2076" s="26">
        <v>2</v>
      </c>
      <c r="N2076" s="28">
        <v>6.25E-2</v>
      </c>
      <c r="O2076" s="26">
        <v>0.56000000000000005</v>
      </c>
      <c r="P2076" s="26">
        <v>1.1200000000000001</v>
      </c>
      <c r="Q2076" s="26">
        <v>0</v>
      </c>
      <c r="R2076" s="26"/>
      <c r="S2076" s="26">
        <v>0</v>
      </c>
      <c r="T2076" s="26">
        <v>0</v>
      </c>
      <c r="U2076" s="26">
        <v>0</v>
      </c>
      <c r="V2076" s="28">
        <v>0</v>
      </c>
      <c r="W2076" s="26">
        <v>0</v>
      </c>
      <c r="X2076" s="26">
        <v>0</v>
      </c>
      <c r="Y2076" s="26">
        <v>0</v>
      </c>
      <c r="Z2076" s="26">
        <v>0</v>
      </c>
    </row>
    <row r="2077" spans="1:26" x14ac:dyDescent="0.2">
      <c r="A2077">
        <f t="shared" si="66"/>
        <v>5</v>
      </c>
      <c r="B2077">
        <f t="shared" si="67"/>
        <v>18</v>
      </c>
      <c r="C2077" s="27">
        <v>46143</v>
      </c>
      <c r="D2077" s="26" t="s">
        <v>26</v>
      </c>
      <c r="E2077" s="26" t="s">
        <v>49</v>
      </c>
      <c r="F2077" s="26" t="s">
        <v>50</v>
      </c>
      <c r="G2077" s="26" t="s">
        <v>29</v>
      </c>
      <c r="H2077" s="26" t="s">
        <v>30</v>
      </c>
      <c r="I2077" s="26" t="s">
        <v>51</v>
      </c>
      <c r="J2077" s="26" t="s">
        <v>42</v>
      </c>
      <c r="K2077" s="26" t="s">
        <v>65</v>
      </c>
      <c r="L2077" s="26">
        <v>5</v>
      </c>
      <c r="M2077" s="26">
        <v>1</v>
      </c>
      <c r="N2077" s="28">
        <v>0.2</v>
      </c>
      <c r="O2077" s="26">
        <v>0.08</v>
      </c>
      <c r="P2077" s="26">
        <v>0.08</v>
      </c>
      <c r="Q2077" s="26">
        <v>17.47</v>
      </c>
      <c r="R2077" s="28">
        <v>4.5789999999999997E-3</v>
      </c>
      <c r="S2077" s="26">
        <v>218.38</v>
      </c>
      <c r="T2077" s="26">
        <v>1</v>
      </c>
      <c r="U2077" s="26">
        <v>1</v>
      </c>
      <c r="V2077" s="28">
        <v>1</v>
      </c>
      <c r="W2077" s="26">
        <v>1</v>
      </c>
      <c r="X2077" s="26">
        <v>0</v>
      </c>
      <c r="Y2077" s="26">
        <v>17.47</v>
      </c>
      <c r="Z2077" s="26">
        <v>0</v>
      </c>
    </row>
    <row r="2078" spans="1:26" x14ac:dyDescent="0.2">
      <c r="A2078">
        <f t="shared" si="66"/>
        <v>5</v>
      </c>
      <c r="B2078">
        <f t="shared" si="67"/>
        <v>20</v>
      </c>
      <c r="C2078" s="27">
        <v>46153</v>
      </c>
      <c r="D2078" s="26" t="s">
        <v>26</v>
      </c>
      <c r="E2078" s="26" t="s">
        <v>49</v>
      </c>
      <c r="F2078" s="26" t="s">
        <v>50</v>
      </c>
      <c r="G2078" s="26" t="s">
        <v>29</v>
      </c>
      <c r="H2078" s="26" t="s">
        <v>30</v>
      </c>
      <c r="I2078" s="26" t="s">
        <v>51</v>
      </c>
      <c r="J2078" s="26" t="s">
        <v>42</v>
      </c>
      <c r="K2078" s="26" t="s">
        <v>324</v>
      </c>
      <c r="L2078" s="26">
        <v>5</v>
      </c>
      <c r="M2078" s="26">
        <v>1</v>
      </c>
      <c r="N2078" s="28">
        <v>0.2</v>
      </c>
      <c r="O2078" s="26">
        <v>0.79</v>
      </c>
      <c r="P2078" s="26">
        <v>0.79</v>
      </c>
      <c r="Q2078" s="26">
        <v>0</v>
      </c>
      <c r="R2078" s="26"/>
      <c r="S2078" s="26">
        <v>0</v>
      </c>
      <c r="T2078" s="26">
        <v>0</v>
      </c>
      <c r="U2078" s="26">
        <v>0</v>
      </c>
      <c r="V2078" s="28">
        <v>0</v>
      </c>
      <c r="W2078" s="26">
        <v>0</v>
      </c>
      <c r="X2078" s="26">
        <v>0</v>
      </c>
      <c r="Y2078" s="26">
        <v>0</v>
      </c>
      <c r="Z2078" s="26">
        <v>0</v>
      </c>
    </row>
    <row r="2079" spans="1:26" x14ac:dyDescent="0.2">
      <c r="A2079">
        <f t="shared" si="66"/>
        <v>5</v>
      </c>
      <c r="B2079">
        <f t="shared" si="67"/>
        <v>19</v>
      </c>
      <c r="C2079" s="27">
        <v>46149</v>
      </c>
      <c r="D2079" s="26" t="s">
        <v>26</v>
      </c>
      <c r="E2079" s="26" t="s">
        <v>61</v>
      </c>
      <c r="F2079" s="26" t="s">
        <v>62</v>
      </c>
      <c r="G2079" s="26" t="s">
        <v>29</v>
      </c>
      <c r="H2079" s="26" t="s">
        <v>30</v>
      </c>
      <c r="I2079" s="26" t="s">
        <v>51</v>
      </c>
      <c r="J2079" s="26" t="s">
        <v>42</v>
      </c>
      <c r="K2079" s="26" t="s">
        <v>1395</v>
      </c>
      <c r="L2079" s="26">
        <v>1</v>
      </c>
      <c r="M2079" s="26">
        <v>1</v>
      </c>
      <c r="N2079" s="28">
        <v>1</v>
      </c>
      <c r="O2079" s="26">
        <v>1.1499999999999999</v>
      </c>
      <c r="P2079" s="26">
        <v>1.1499999999999999</v>
      </c>
      <c r="Q2079" s="26">
        <v>0</v>
      </c>
      <c r="R2079" s="26"/>
      <c r="S2079" s="26">
        <v>0</v>
      </c>
      <c r="T2079" s="26">
        <v>0</v>
      </c>
      <c r="U2079" s="26">
        <v>0</v>
      </c>
      <c r="V2079" s="28">
        <v>0</v>
      </c>
      <c r="W2079" s="26">
        <v>0</v>
      </c>
      <c r="X2079" s="26">
        <v>0</v>
      </c>
      <c r="Y2079" s="26">
        <v>0</v>
      </c>
      <c r="Z2079" s="26">
        <v>0</v>
      </c>
    </row>
    <row r="2080" spans="1:26" x14ac:dyDescent="0.2">
      <c r="A2080">
        <f t="shared" si="66"/>
        <v>5</v>
      </c>
      <c r="B2080">
        <f t="shared" si="67"/>
        <v>20</v>
      </c>
      <c r="C2080" s="27">
        <v>46154</v>
      </c>
      <c r="D2080" s="26" t="s">
        <v>26</v>
      </c>
      <c r="E2080" s="26" t="s">
        <v>49</v>
      </c>
      <c r="F2080" s="26" t="s">
        <v>50</v>
      </c>
      <c r="G2080" s="26" t="s">
        <v>29</v>
      </c>
      <c r="H2080" s="26" t="s">
        <v>30</v>
      </c>
      <c r="I2080" s="26" t="s">
        <v>51</v>
      </c>
      <c r="J2080" s="26" t="s">
        <v>42</v>
      </c>
      <c r="K2080" s="26" t="s">
        <v>1137</v>
      </c>
      <c r="L2080" s="26">
        <v>2</v>
      </c>
      <c r="M2080" s="26">
        <v>1</v>
      </c>
      <c r="N2080" s="28">
        <v>0.5</v>
      </c>
      <c r="O2080" s="26">
        <v>0.82</v>
      </c>
      <c r="P2080" s="26">
        <v>0.82</v>
      </c>
      <c r="Q2080" s="26">
        <v>0</v>
      </c>
      <c r="R2080" s="26"/>
      <c r="S2080" s="26">
        <v>0</v>
      </c>
      <c r="T2080" s="26">
        <v>0</v>
      </c>
      <c r="U2080" s="26">
        <v>0</v>
      </c>
      <c r="V2080" s="28">
        <v>0</v>
      </c>
      <c r="W2080" s="26">
        <v>0</v>
      </c>
      <c r="X2080" s="26">
        <v>0</v>
      </c>
      <c r="Y2080" s="26">
        <v>0</v>
      </c>
      <c r="Z2080" s="26">
        <v>0</v>
      </c>
    </row>
    <row r="2081" spans="1:26" x14ac:dyDescent="0.2">
      <c r="A2081">
        <f t="shared" si="66"/>
        <v>5</v>
      </c>
      <c r="B2081">
        <f t="shared" si="67"/>
        <v>21</v>
      </c>
      <c r="C2081" s="27">
        <v>46160</v>
      </c>
      <c r="D2081" s="26" t="s">
        <v>26</v>
      </c>
      <c r="E2081" s="26" t="s">
        <v>49</v>
      </c>
      <c r="F2081" s="26" t="s">
        <v>50</v>
      </c>
      <c r="G2081" s="26" t="s">
        <v>29</v>
      </c>
      <c r="H2081" s="26" t="s">
        <v>30</v>
      </c>
      <c r="I2081" s="26" t="s">
        <v>51</v>
      </c>
      <c r="J2081" s="26" t="s">
        <v>42</v>
      </c>
      <c r="K2081" s="26" t="s">
        <v>1396</v>
      </c>
      <c r="L2081" s="26">
        <v>2</v>
      </c>
      <c r="M2081" s="26">
        <v>1</v>
      </c>
      <c r="N2081" s="28">
        <v>0.5</v>
      </c>
      <c r="O2081" s="26">
        <v>0.6</v>
      </c>
      <c r="P2081" s="26">
        <v>0.6</v>
      </c>
      <c r="Q2081" s="26">
        <v>0</v>
      </c>
      <c r="R2081" s="26"/>
      <c r="S2081" s="26">
        <v>0</v>
      </c>
      <c r="T2081" s="26">
        <v>0</v>
      </c>
      <c r="U2081" s="26">
        <v>0</v>
      </c>
      <c r="V2081" s="28">
        <v>0</v>
      </c>
      <c r="W2081" s="26">
        <v>0</v>
      </c>
      <c r="X2081" s="26">
        <v>0</v>
      </c>
      <c r="Y2081" s="26">
        <v>0</v>
      </c>
      <c r="Z2081" s="26">
        <v>0</v>
      </c>
    </row>
    <row r="2082" spans="1:26" x14ac:dyDescent="0.2">
      <c r="A2082">
        <f t="shared" si="66"/>
        <v>5</v>
      </c>
      <c r="B2082">
        <f t="shared" si="67"/>
        <v>21</v>
      </c>
      <c r="C2082" s="27">
        <v>46159</v>
      </c>
      <c r="D2082" s="26" t="s">
        <v>26</v>
      </c>
      <c r="E2082" s="26" t="s">
        <v>49</v>
      </c>
      <c r="F2082" s="26" t="s">
        <v>50</v>
      </c>
      <c r="G2082" s="26" t="s">
        <v>29</v>
      </c>
      <c r="H2082" s="26" t="s">
        <v>30</v>
      </c>
      <c r="I2082" s="26" t="s">
        <v>51</v>
      </c>
      <c r="J2082" s="26" t="s">
        <v>42</v>
      </c>
      <c r="K2082" s="26" t="s">
        <v>696</v>
      </c>
      <c r="L2082" s="26">
        <v>8</v>
      </c>
      <c r="M2082" s="26">
        <v>1</v>
      </c>
      <c r="N2082" s="28">
        <v>0.125</v>
      </c>
      <c r="O2082" s="26">
        <v>0.82</v>
      </c>
      <c r="P2082" s="26">
        <v>0.82</v>
      </c>
      <c r="Q2082" s="26">
        <v>0</v>
      </c>
      <c r="R2082" s="26"/>
      <c r="S2082" s="26">
        <v>0</v>
      </c>
      <c r="T2082" s="26">
        <v>0</v>
      </c>
      <c r="U2082" s="26">
        <v>0</v>
      </c>
      <c r="V2082" s="28">
        <v>0</v>
      </c>
      <c r="W2082" s="26">
        <v>0</v>
      </c>
      <c r="X2082" s="26">
        <v>0</v>
      </c>
      <c r="Y2082" s="26">
        <v>0</v>
      </c>
      <c r="Z2082" s="26">
        <v>0</v>
      </c>
    </row>
    <row r="2083" spans="1:26" x14ac:dyDescent="0.2">
      <c r="A2083">
        <f t="shared" si="66"/>
        <v>5</v>
      </c>
      <c r="B2083">
        <f t="shared" si="67"/>
        <v>21</v>
      </c>
      <c r="C2083" s="27">
        <v>46162</v>
      </c>
      <c r="D2083" s="26" t="s">
        <v>26</v>
      </c>
      <c r="E2083" s="26" t="s">
        <v>49</v>
      </c>
      <c r="F2083" s="26" t="s">
        <v>50</v>
      </c>
      <c r="G2083" s="26" t="s">
        <v>29</v>
      </c>
      <c r="H2083" s="26" t="s">
        <v>30</v>
      </c>
      <c r="I2083" s="26" t="s">
        <v>51</v>
      </c>
      <c r="J2083" s="26" t="s">
        <v>42</v>
      </c>
      <c r="K2083" s="26" t="s">
        <v>68</v>
      </c>
      <c r="L2083" s="26">
        <v>4</v>
      </c>
      <c r="M2083" s="26">
        <v>1</v>
      </c>
      <c r="N2083" s="28">
        <v>0.25</v>
      </c>
      <c r="O2083" s="26">
        <v>0.49</v>
      </c>
      <c r="P2083" s="26">
        <v>0.49</v>
      </c>
      <c r="Q2083" s="26">
        <v>0</v>
      </c>
      <c r="R2083" s="26"/>
      <c r="S2083" s="26">
        <v>0</v>
      </c>
      <c r="T2083" s="26">
        <v>0</v>
      </c>
      <c r="U2083" s="26">
        <v>0</v>
      </c>
      <c r="V2083" s="28">
        <v>0</v>
      </c>
      <c r="W2083" s="26">
        <v>0</v>
      </c>
      <c r="X2083" s="26">
        <v>0</v>
      </c>
      <c r="Y2083" s="26">
        <v>0</v>
      </c>
      <c r="Z2083" s="26">
        <v>0</v>
      </c>
    </row>
    <row r="2084" spans="1:26" x14ac:dyDescent="0.2">
      <c r="A2084">
        <f t="shared" si="66"/>
        <v>5</v>
      </c>
      <c r="B2084">
        <f t="shared" si="67"/>
        <v>19</v>
      </c>
      <c r="C2084" s="27">
        <v>46150</v>
      </c>
      <c r="D2084" s="26" t="s">
        <v>26</v>
      </c>
      <c r="E2084" s="26" t="s">
        <v>49</v>
      </c>
      <c r="F2084" s="26" t="s">
        <v>50</v>
      </c>
      <c r="G2084" s="26" t="s">
        <v>29</v>
      </c>
      <c r="H2084" s="26" t="s">
        <v>30</v>
      </c>
      <c r="I2084" s="26" t="s">
        <v>51</v>
      </c>
      <c r="J2084" s="26" t="s">
        <v>42</v>
      </c>
      <c r="K2084" s="26" t="s">
        <v>1397</v>
      </c>
      <c r="L2084" s="26">
        <v>1</v>
      </c>
      <c r="M2084" s="26">
        <v>1</v>
      </c>
      <c r="N2084" s="28">
        <v>1</v>
      </c>
      <c r="O2084" s="26">
        <v>1</v>
      </c>
      <c r="P2084" s="26">
        <v>1</v>
      </c>
      <c r="Q2084" s="26">
        <v>0</v>
      </c>
      <c r="R2084" s="26"/>
      <c r="S2084" s="26">
        <v>0</v>
      </c>
      <c r="T2084" s="26">
        <v>0</v>
      </c>
      <c r="U2084" s="26">
        <v>0</v>
      </c>
      <c r="V2084" s="28">
        <v>0</v>
      </c>
      <c r="W2084" s="26">
        <v>0</v>
      </c>
      <c r="X2084" s="26">
        <v>0</v>
      </c>
      <c r="Y2084" s="26">
        <v>0</v>
      </c>
      <c r="Z2084" s="26">
        <v>0</v>
      </c>
    </row>
    <row r="2085" spans="1:26" x14ac:dyDescent="0.2">
      <c r="A2085">
        <f t="shared" si="66"/>
        <v>5</v>
      </c>
      <c r="B2085">
        <f t="shared" si="67"/>
        <v>18</v>
      </c>
      <c r="C2085" s="27">
        <v>46144</v>
      </c>
      <c r="D2085" s="26" t="s">
        <v>26</v>
      </c>
      <c r="E2085" s="26" t="s">
        <v>49</v>
      </c>
      <c r="F2085" s="26" t="s">
        <v>50</v>
      </c>
      <c r="G2085" s="26" t="s">
        <v>29</v>
      </c>
      <c r="H2085" s="26" t="s">
        <v>30</v>
      </c>
      <c r="I2085" s="26" t="s">
        <v>51</v>
      </c>
      <c r="J2085" s="26" t="s">
        <v>42</v>
      </c>
      <c r="K2085" s="26" t="s">
        <v>71</v>
      </c>
      <c r="L2085" s="26">
        <v>11</v>
      </c>
      <c r="M2085" s="26">
        <v>1</v>
      </c>
      <c r="N2085" s="28">
        <v>9.0909000000000004E-2</v>
      </c>
      <c r="O2085" s="26">
        <v>0.67</v>
      </c>
      <c r="P2085" s="26">
        <v>0.67</v>
      </c>
      <c r="Q2085" s="26">
        <v>0</v>
      </c>
      <c r="R2085" s="26"/>
      <c r="S2085" s="26">
        <v>0</v>
      </c>
      <c r="T2085" s="26">
        <v>0</v>
      </c>
      <c r="U2085" s="26">
        <v>0</v>
      </c>
      <c r="V2085" s="28">
        <v>0</v>
      </c>
      <c r="W2085" s="26">
        <v>0</v>
      </c>
      <c r="X2085" s="26">
        <v>0</v>
      </c>
      <c r="Y2085" s="26">
        <v>0</v>
      </c>
      <c r="Z2085" s="26">
        <v>0</v>
      </c>
    </row>
    <row r="2086" spans="1:26" x14ac:dyDescent="0.2">
      <c r="A2086">
        <f t="shared" si="66"/>
        <v>5</v>
      </c>
      <c r="B2086">
        <f t="shared" si="67"/>
        <v>20</v>
      </c>
      <c r="C2086" s="27">
        <v>46153</v>
      </c>
      <c r="D2086" s="26" t="s">
        <v>26</v>
      </c>
      <c r="E2086" s="26" t="s">
        <v>49</v>
      </c>
      <c r="F2086" s="26" t="s">
        <v>50</v>
      </c>
      <c r="G2086" s="26" t="s">
        <v>29</v>
      </c>
      <c r="H2086" s="26" t="s">
        <v>30</v>
      </c>
      <c r="I2086" s="26" t="s">
        <v>51</v>
      </c>
      <c r="J2086" s="26" t="s">
        <v>42</v>
      </c>
      <c r="K2086" s="26" t="s">
        <v>71</v>
      </c>
      <c r="L2086" s="26">
        <v>6</v>
      </c>
      <c r="M2086" s="26">
        <v>1</v>
      </c>
      <c r="N2086" s="28">
        <v>0.16666700000000001</v>
      </c>
      <c r="O2086" s="26">
        <v>0.87</v>
      </c>
      <c r="P2086" s="26">
        <v>0.87</v>
      </c>
      <c r="Q2086" s="26">
        <v>0</v>
      </c>
      <c r="R2086" s="26"/>
      <c r="S2086" s="26">
        <v>0</v>
      </c>
      <c r="T2086" s="26">
        <v>0</v>
      </c>
      <c r="U2086" s="26">
        <v>0</v>
      </c>
      <c r="V2086" s="28">
        <v>0</v>
      </c>
      <c r="W2086" s="26">
        <v>0</v>
      </c>
      <c r="X2086" s="26">
        <v>0</v>
      </c>
      <c r="Y2086" s="26">
        <v>0</v>
      </c>
      <c r="Z2086" s="26">
        <v>0</v>
      </c>
    </row>
    <row r="2087" spans="1:26" x14ac:dyDescent="0.2">
      <c r="A2087">
        <f t="shared" si="66"/>
        <v>5</v>
      </c>
      <c r="B2087">
        <f t="shared" si="67"/>
        <v>19</v>
      </c>
      <c r="C2087" s="27">
        <v>46146</v>
      </c>
      <c r="D2087" s="26" t="s">
        <v>26</v>
      </c>
      <c r="E2087" s="26" t="s">
        <v>39</v>
      </c>
      <c r="F2087" s="26" t="s">
        <v>40</v>
      </c>
      <c r="G2087" s="26" t="s">
        <v>29</v>
      </c>
      <c r="H2087" s="26" t="s">
        <v>30</v>
      </c>
      <c r="I2087" s="26" t="s">
        <v>70</v>
      </c>
      <c r="J2087" s="26" t="s">
        <v>42</v>
      </c>
      <c r="K2087" s="26" t="s">
        <v>71</v>
      </c>
      <c r="L2087" s="26">
        <v>25</v>
      </c>
      <c r="M2087" s="26">
        <v>1</v>
      </c>
      <c r="N2087" s="28">
        <v>0.04</v>
      </c>
      <c r="O2087" s="26">
        <v>0.41</v>
      </c>
      <c r="P2087" s="26">
        <v>0.41</v>
      </c>
      <c r="Q2087" s="26">
        <v>0</v>
      </c>
      <c r="R2087" s="26"/>
      <c r="S2087" s="26">
        <v>0</v>
      </c>
      <c r="T2087" s="26">
        <v>0</v>
      </c>
      <c r="U2087" s="26">
        <v>0</v>
      </c>
      <c r="V2087" s="28">
        <v>0</v>
      </c>
      <c r="W2087" s="26">
        <v>0</v>
      </c>
      <c r="X2087" s="26">
        <v>0</v>
      </c>
      <c r="Y2087" s="26">
        <v>0</v>
      </c>
      <c r="Z2087" s="26">
        <v>0</v>
      </c>
    </row>
    <row r="2088" spans="1:26" x14ac:dyDescent="0.2">
      <c r="A2088">
        <f t="shared" si="66"/>
        <v>5</v>
      </c>
      <c r="B2088">
        <f t="shared" si="67"/>
        <v>19</v>
      </c>
      <c r="C2088" s="27">
        <v>46147</v>
      </c>
      <c r="D2088" s="26" t="s">
        <v>26</v>
      </c>
      <c r="E2088" s="26" t="s">
        <v>39</v>
      </c>
      <c r="F2088" s="26" t="s">
        <v>40</v>
      </c>
      <c r="G2088" s="26" t="s">
        <v>29</v>
      </c>
      <c r="H2088" s="26" t="s">
        <v>30</v>
      </c>
      <c r="I2088" s="26" t="s">
        <v>70</v>
      </c>
      <c r="J2088" s="26" t="s">
        <v>42</v>
      </c>
      <c r="K2088" s="26" t="s">
        <v>71</v>
      </c>
      <c r="L2088" s="26">
        <v>38</v>
      </c>
      <c r="M2088" s="26">
        <v>1</v>
      </c>
      <c r="N2088" s="28">
        <v>2.6315999999999999E-2</v>
      </c>
      <c r="O2088" s="26">
        <v>0.5</v>
      </c>
      <c r="P2088" s="26">
        <v>0.5</v>
      </c>
      <c r="Q2088" s="26">
        <v>0</v>
      </c>
      <c r="R2088" s="26"/>
      <c r="S2088" s="26">
        <v>0</v>
      </c>
      <c r="T2088" s="26">
        <v>0</v>
      </c>
      <c r="U2088" s="26">
        <v>0</v>
      </c>
      <c r="V2088" s="28">
        <v>0</v>
      </c>
      <c r="W2088" s="26">
        <v>0</v>
      </c>
      <c r="X2088" s="26">
        <v>0</v>
      </c>
      <c r="Y2088" s="26">
        <v>0</v>
      </c>
      <c r="Z2088" s="26">
        <v>0</v>
      </c>
    </row>
    <row r="2089" spans="1:26" x14ac:dyDescent="0.2">
      <c r="A2089">
        <f t="shared" si="66"/>
        <v>5</v>
      </c>
      <c r="B2089">
        <f t="shared" si="67"/>
        <v>19</v>
      </c>
      <c r="C2089" s="27">
        <v>46149</v>
      </c>
      <c r="D2089" s="26" t="s">
        <v>26</v>
      </c>
      <c r="E2089" s="26" t="s">
        <v>39</v>
      </c>
      <c r="F2089" s="26" t="s">
        <v>40</v>
      </c>
      <c r="G2089" s="26" t="s">
        <v>29</v>
      </c>
      <c r="H2089" s="26" t="s">
        <v>30</v>
      </c>
      <c r="I2089" s="26" t="s">
        <v>70</v>
      </c>
      <c r="J2089" s="26" t="s">
        <v>42</v>
      </c>
      <c r="K2089" s="26" t="s">
        <v>71</v>
      </c>
      <c r="L2089" s="26">
        <v>30</v>
      </c>
      <c r="M2089" s="26">
        <v>1</v>
      </c>
      <c r="N2089" s="28">
        <v>3.3333000000000002E-2</v>
      </c>
      <c r="O2089" s="26">
        <v>0.52</v>
      </c>
      <c r="P2089" s="26">
        <v>0.52</v>
      </c>
      <c r="Q2089" s="26">
        <v>0</v>
      </c>
      <c r="R2089" s="26"/>
      <c r="S2089" s="26">
        <v>0</v>
      </c>
      <c r="T2089" s="26">
        <v>0</v>
      </c>
      <c r="U2089" s="26">
        <v>0</v>
      </c>
      <c r="V2089" s="28">
        <v>0</v>
      </c>
      <c r="W2089" s="26">
        <v>0</v>
      </c>
      <c r="X2089" s="26">
        <v>0</v>
      </c>
      <c r="Y2089" s="26">
        <v>0</v>
      </c>
      <c r="Z2089" s="26">
        <v>0</v>
      </c>
    </row>
    <row r="2090" spans="1:26" x14ac:dyDescent="0.2">
      <c r="A2090">
        <f t="shared" si="66"/>
        <v>5</v>
      </c>
      <c r="B2090">
        <f t="shared" si="67"/>
        <v>19</v>
      </c>
      <c r="C2090" s="27">
        <v>46150</v>
      </c>
      <c r="D2090" s="26" t="s">
        <v>26</v>
      </c>
      <c r="E2090" s="26" t="s">
        <v>39</v>
      </c>
      <c r="F2090" s="26" t="s">
        <v>40</v>
      </c>
      <c r="G2090" s="26" t="s">
        <v>29</v>
      </c>
      <c r="H2090" s="26" t="s">
        <v>30</v>
      </c>
      <c r="I2090" s="26" t="s">
        <v>70</v>
      </c>
      <c r="J2090" s="26" t="s">
        <v>42</v>
      </c>
      <c r="K2090" s="26" t="s">
        <v>71</v>
      </c>
      <c r="L2090" s="26">
        <v>11</v>
      </c>
      <c r="M2090" s="26">
        <v>1</v>
      </c>
      <c r="N2090" s="28">
        <v>9.0909000000000004E-2</v>
      </c>
      <c r="O2090" s="26">
        <v>0.6</v>
      </c>
      <c r="P2090" s="26">
        <v>0.6</v>
      </c>
      <c r="Q2090" s="26">
        <v>0</v>
      </c>
      <c r="R2090" s="26"/>
      <c r="S2090" s="26">
        <v>0</v>
      </c>
      <c r="T2090" s="26">
        <v>0</v>
      </c>
      <c r="U2090" s="26">
        <v>0</v>
      </c>
      <c r="V2090" s="28">
        <v>0</v>
      </c>
      <c r="W2090" s="26">
        <v>0</v>
      </c>
      <c r="X2090" s="26">
        <v>0</v>
      </c>
      <c r="Y2090" s="26">
        <v>0</v>
      </c>
      <c r="Z2090" s="26">
        <v>0</v>
      </c>
    </row>
    <row r="2091" spans="1:26" x14ac:dyDescent="0.2">
      <c r="A2091">
        <f t="shared" si="66"/>
        <v>5</v>
      </c>
      <c r="B2091">
        <f t="shared" si="67"/>
        <v>19</v>
      </c>
      <c r="C2091" s="27">
        <v>46151</v>
      </c>
      <c r="D2091" s="26" t="s">
        <v>26</v>
      </c>
      <c r="E2091" s="26" t="s">
        <v>39</v>
      </c>
      <c r="F2091" s="26" t="s">
        <v>40</v>
      </c>
      <c r="G2091" s="26" t="s">
        <v>29</v>
      </c>
      <c r="H2091" s="26" t="s">
        <v>30</v>
      </c>
      <c r="I2091" s="26" t="s">
        <v>70</v>
      </c>
      <c r="J2091" s="26" t="s">
        <v>42</v>
      </c>
      <c r="K2091" s="26" t="s">
        <v>71</v>
      </c>
      <c r="L2091" s="26">
        <v>179</v>
      </c>
      <c r="M2091" s="26">
        <v>4</v>
      </c>
      <c r="N2091" s="28">
        <v>2.2346000000000001E-2</v>
      </c>
      <c r="O2091" s="26">
        <v>0.59</v>
      </c>
      <c r="P2091" s="26">
        <v>2.35</v>
      </c>
      <c r="Q2091" s="26">
        <v>0</v>
      </c>
      <c r="R2091" s="26"/>
      <c r="S2091" s="26">
        <v>0</v>
      </c>
      <c r="T2091" s="26">
        <v>0</v>
      </c>
      <c r="U2091" s="26">
        <v>0</v>
      </c>
      <c r="V2091" s="28">
        <v>0</v>
      </c>
      <c r="W2091" s="26">
        <v>0</v>
      </c>
      <c r="X2091" s="26">
        <v>0</v>
      </c>
      <c r="Y2091" s="26">
        <v>0</v>
      </c>
      <c r="Z2091" s="26">
        <v>0</v>
      </c>
    </row>
    <row r="2092" spans="1:26" x14ac:dyDescent="0.2">
      <c r="A2092">
        <f t="shared" si="66"/>
        <v>5</v>
      </c>
      <c r="B2092">
        <f t="shared" si="67"/>
        <v>20</v>
      </c>
      <c r="C2092" s="27">
        <v>46152</v>
      </c>
      <c r="D2092" s="26" t="s">
        <v>26</v>
      </c>
      <c r="E2092" s="26" t="s">
        <v>39</v>
      </c>
      <c r="F2092" s="26" t="s">
        <v>40</v>
      </c>
      <c r="G2092" s="26" t="s">
        <v>29</v>
      </c>
      <c r="H2092" s="26" t="s">
        <v>30</v>
      </c>
      <c r="I2092" s="26" t="s">
        <v>70</v>
      </c>
      <c r="J2092" s="26" t="s">
        <v>42</v>
      </c>
      <c r="K2092" s="26" t="s">
        <v>71</v>
      </c>
      <c r="L2092" s="26">
        <v>13</v>
      </c>
      <c r="M2092" s="26">
        <v>1</v>
      </c>
      <c r="N2092" s="28">
        <v>7.6923000000000005E-2</v>
      </c>
      <c r="O2092" s="26">
        <v>0.6</v>
      </c>
      <c r="P2092" s="26">
        <v>0.6</v>
      </c>
      <c r="Q2092" s="26">
        <v>0</v>
      </c>
      <c r="R2092" s="26"/>
      <c r="S2092" s="26">
        <v>0</v>
      </c>
      <c r="T2092" s="26">
        <v>0</v>
      </c>
      <c r="U2092" s="26">
        <v>0</v>
      </c>
      <c r="V2092" s="28">
        <v>0</v>
      </c>
      <c r="W2092" s="26">
        <v>0</v>
      </c>
      <c r="X2092" s="26">
        <v>0</v>
      </c>
      <c r="Y2092" s="26">
        <v>0</v>
      </c>
      <c r="Z2092" s="26">
        <v>0</v>
      </c>
    </row>
    <row r="2093" spans="1:26" x14ac:dyDescent="0.2">
      <c r="A2093">
        <f t="shared" si="66"/>
        <v>5</v>
      </c>
      <c r="B2093">
        <f t="shared" si="67"/>
        <v>20</v>
      </c>
      <c r="C2093" s="27">
        <v>46153</v>
      </c>
      <c r="D2093" s="26" t="s">
        <v>26</v>
      </c>
      <c r="E2093" s="26" t="s">
        <v>39</v>
      </c>
      <c r="F2093" s="26" t="s">
        <v>40</v>
      </c>
      <c r="G2093" s="26" t="s">
        <v>29</v>
      </c>
      <c r="H2093" s="26" t="s">
        <v>30</v>
      </c>
      <c r="I2093" s="26" t="s">
        <v>70</v>
      </c>
      <c r="J2093" s="26" t="s">
        <v>42</v>
      </c>
      <c r="K2093" s="26" t="s">
        <v>71</v>
      </c>
      <c r="L2093" s="26">
        <v>83</v>
      </c>
      <c r="M2093" s="26">
        <v>2</v>
      </c>
      <c r="N2093" s="28">
        <v>2.4095999999999999E-2</v>
      </c>
      <c r="O2093" s="26">
        <v>0.6</v>
      </c>
      <c r="P2093" s="26">
        <v>1.19</v>
      </c>
      <c r="Q2093" s="26">
        <v>0</v>
      </c>
      <c r="R2093" s="26"/>
      <c r="S2093" s="26">
        <v>0</v>
      </c>
      <c r="T2093" s="26">
        <v>0</v>
      </c>
      <c r="U2093" s="26">
        <v>0</v>
      </c>
      <c r="V2093" s="28">
        <v>0</v>
      </c>
      <c r="W2093" s="26">
        <v>0</v>
      </c>
      <c r="X2093" s="26">
        <v>0</v>
      </c>
      <c r="Y2093" s="26">
        <v>0</v>
      </c>
      <c r="Z2093" s="26">
        <v>0</v>
      </c>
    </row>
    <row r="2094" spans="1:26" x14ac:dyDescent="0.2">
      <c r="A2094">
        <f t="shared" si="66"/>
        <v>5</v>
      </c>
      <c r="B2094">
        <f t="shared" si="67"/>
        <v>20</v>
      </c>
      <c r="C2094" s="27">
        <v>46154</v>
      </c>
      <c r="D2094" s="26" t="s">
        <v>26</v>
      </c>
      <c r="E2094" s="26" t="s">
        <v>39</v>
      </c>
      <c r="F2094" s="26" t="s">
        <v>40</v>
      </c>
      <c r="G2094" s="26" t="s">
        <v>29</v>
      </c>
      <c r="H2094" s="26" t="s">
        <v>30</v>
      </c>
      <c r="I2094" s="26" t="s">
        <v>70</v>
      </c>
      <c r="J2094" s="26" t="s">
        <v>42</v>
      </c>
      <c r="K2094" s="26" t="s">
        <v>71</v>
      </c>
      <c r="L2094" s="26">
        <v>160</v>
      </c>
      <c r="M2094" s="26">
        <v>1</v>
      </c>
      <c r="N2094" s="28">
        <v>6.2500000000000003E-3</v>
      </c>
      <c r="O2094" s="26">
        <v>0.56999999999999995</v>
      </c>
      <c r="P2094" s="26">
        <v>0.56999999999999995</v>
      </c>
      <c r="Q2094" s="26">
        <v>18.989999999999998</v>
      </c>
      <c r="R2094" s="28">
        <v>3.0016000000000001E-2</v>
      </c>
      <c r="S2094" s="26">
        <v>33.32</v>
      </c>
      <c r="T2094" s="26">
        <v>1</v>
      </c>
      <c r="U2094" s="26">
        <v>1</v>
      </c>
      <c r="V2094" s="28">
        <v>1</v>
      </c>
      <c r="W2094" s="26">
        <v>1</v>
      </c>
      <c r="X2094" s="26">
        <v>0</v>
      </c>
      <c r="Y2094" s="26">
        <v>18.989999999999998</v>
      </c>
      <c r="Z2094" s="26">
        <v>0</v>
      </c>
    </row>
    <row r="2095" spans="1:26" x14ac:dyDescent="0.2">
      <c r="A2095">
        <f t="shared" si="66"/>
        <v>5</v>
      </c>
      <c r="B2095">
        <f t="shared" si="67"/>
        <v>20</v>
      </c>
      <c r="C2095" s="27">
        <v>46155</v>
      </c>
      <c r="D2095" s="26" t="s">
        <v>26</v>
      </c>
      <c r="E2095" s="26" t="s">
        <v>39</v>
      </c>
      <c r="F2095" s="26" t="s">
        <v>40</v>
      </c>
      <c r="G2095" s="26" t="s">
        <v>29</v>
      </c>
      <c r="H2095" s="26" t="s">
        <v>30</v>
      </c>
      <c r="I2095" s="26" t="s">
        <v>70</v>
      </c>
      <c r="J2095" s="26" t="s">
        <v>42</v>
      </c>
      <c r="K2095" s="26" t="s">
        <v>71</v>
      </c>
      <c r="L2095" s="26">
        <v>68</v>
      </c>
      <c r="M2095" s="26">
        <v>1</v>
      </c>
      <c r="N2095" s="28">
        <v>1.4706E-2</v>
      </c>
      <c r="O2095" s="26">
        <v>0.56999999999999995</v>
      </c>
      <c r="P2095" s="26">
        <v>0.56999999999999995</v>
      </c>
      <c r="Q2095" s="26">
        <v>0</v>
      </c>
      <c r="R2095" s="26"/>
      <c r="S2095" s="26">
        <v>0</v>
      </c>
      <c r="T2095" s="26">
        <v>0</v>
      </c>
      <c r="U2095" s="26">
        <v>0</v>
      </c>
      <c r="V2095" s="28">
        <v>0</v>
      </c>
      <c r="W2095" s="26">
        <v>0</v>
      </c>
      <c r="X2095" s="26">
        <v>0</v>
      </c>
      <c r="Y2095" s="26">
        <v>0</v>
      </c>
      <c r="Z2095" s="26">
        <v>0</v>
      </c>
    </row>
    <row r="2096" spans="1:26" x14ac:dyDescent="0.2">
      <c r="A2096">
        <f t="shared" si="66"/>
        <v>5</v>
      </c>
      <c r="B2096">
        <f t="shared" si="67"/>
        <v>21</v>
      </c>
      <c r="C2096" s="27">
        <v>46161</v>
      </c>
      <c r="D2096" s="26" t="s">
        <v>26</v>
      </c>
      <c r="E2096" s="26" t="s">
        <v>39</v>
      </c>
      <c r="F2096" s="26" t="s">
        <v>40</v>
      </c>
      <c r="G2096" s="26" t="s">
        <v>29</v>
      </c>
      <c r="H2096" s="26" t="s">
        <v>30</v>
      </c>
      <c r="I2096" s="26" t="s">
        <v>70</v>
      </c>
      <c r="J2096" s="26" t="s">
        <v>42</v>
      </c>
      <c r="K2096" s="26" t="s">
        <v>71</v>
      </c>
      <c r="L2096" s="26">
        <v>39</v>
      </c>
      <c r="M2096" s="26">
        <v>1</v>
      </c>
      <c r="N2096" s="28">
        <v>2.5641000000000001E-2</v>
      </c>
      <c r="O2096" s="26">
        <v>0.55000000000000004</v>
      </c>
      <c r="P2096" s="26">
        <v>0.55000000000000004</v>
      </c>
      <c r="Q2096" s="26">
        <v>0</v>
      </c>
      <c r="R2096" s="26"/>
      <c r="S2096" s="26">
        <v>0</v>
      </c>
      <c r="T2096" s="26">
        <v>0</v>
      </c>
      <c r="U2096" s="26">
        <v>0</v>
      </c>
      <c r="V2096" s="28">
        <v>0</v>
      </c>
      <c r="W2096" s="26">
        <v>0</v>
      </c>
      <c r="X2096" s="26">
        <v>0</v>
      </c>
      <c r="Y2096" s="26">
        <v>0</v>
      </c>
      <c r="Z2096" s="26">
        <v>0</v>
      </c>
    </row>
    <row r="2097" spans="1:26" x14ac:dyDescent="0.2">
      <c r="A2097">
        <f t="shared" si="66"/>
        <v>5</v>
      </c>
      <c r="B2097">
        <f t="shared" si="67"/>
        <v>20</v>
      </c>
      <c r="C2097" s="27">
        <v>46155</v>
      </c>
      <c r="D2097" s="26" t="s">
        <v>26</v>
      </c>
      <c r="E2097" s="26" t="s">
        <v>49</v>
      </c>
      <c r="F2097" s="26" t="s">
        <v>50</v>
      </c>
      <c r="G2097" s="26" t="s">
        <v>29</v>
      </c>
      <c r="H2097" s="26" t="s">
        <v>30</v>
      </c>
      <c r="I2097" s="26" t="s">
        <v>51</v>
      </c>
      <c r="J2097" s="26" t="s">
        <v>42</v>
      </c>
      <c r="K2097" s="26" t="s">
        <v>1398</v>
      </c>
      <c r="L2097" s="26">
        <v>15</v>
      </c>
      <c r="M2097" s="26">
        <v>1</v>
      </c>
      <c r="N2097" s="28">
        <v>6.6667000000000004E-2</v>
      </c>
      <c r="O2097" s="26">
        <v>0.82</v>
      </c>
      <c r="P2097" s="26">
        <v>0.82</v>
      </c>
      <c r="Q2097" s="26">
        <v>0</v>
      </c>
      <c r="R2097" s="26"/>
      <c r="S2097" s="26">
        <v>0</v>
      </c>
      <c r="T2097" s="26">
        <v>0</v>
      </c>
      <c r="U2097" s="26">
        <v>0</v>
      </c>
      <c r="V2097" s="28">
        <v>0</v>
      </c>
      <c r="W2097" s="26">
        <v>0</v>
      </c>
      <c r="X2097" s="26">
        <v>0</v>
      </c>
      <c r="Y2097" s="26">
        <v>0</v>
      </c>
      <c r="Z2097" s="26">
        <v>0</v>
      </c>
    </row>
    <row r="2098" spans="1:26" x14ac:dyDescent="0.2">
      <c r="A2098">
        <f t="shared" si="66"/>
        <v>5</v>
      </c>
      <c r="B2098">
        <f t="shared" si="67"/>
        <v>19</v>
      </c>
      <c r="C2098" s="27">
        <v>46148</v>
      </c>
      <c r="D2098" s="26" t="s">
        <v>26</v>
      </c>
      <c r="E2098" s="26" t="s">
        <v>49</v>
      </c>
      <c r="F2098" s="26" t="s">
        <v>50</v>
      </c>
      <c r="G2098" s="26" t="s">
        <v>29</v>
      </c>
      <c r="H2098" s="26" t="s">
        <v>30</v>
      </c>
      <c r="I2098" s="26" t="s">
        <v>51</v>
      </c>
      <c r="J2098" s="26" t="s">
        <v>42</v>
      </c>
      <c r="K2098" s="26" t="s">
        <v>1399</v>
      </c>
      <c r="L2098" s="26">
        <v>2</v>
      </c>
      <c r="M2098" s="26">
        <v>1</v>
      </c>
      <c r="N2098" s="28">
        <v>0.5</v>
      </c>
      <c r="O2098" s="26">
        <v>1.07</v>
      </c>
      <c r="P2098" s="26">
        <v>1.07</v>
      </c>
      <c r="Q2098" s="26">
        <v>0</v>
      </c>
      <c r="R2098" s="26"/>
      <c r="S2098" s="26">
        <v>0</v>
      </c>
      <c r="T2098" s="26">
        <v>0</v>
      </c>
      <c r="U2098" s="26">
        <v>0</v>
      </c>
      <c r="V2098" s="28">
        <v>0</v>
      </c>
      <c r="W2098" s="26">
        <v>0</v>
      </c>
      <c r="X2098" s="26">
        <v>0</v>
      </c>
      <c r="Y2098" s="26">
        <v>0</v>
      </c>
      <c r="Z2098" s="26">
        <v>0</v>
      </c>
    </row>
    <row r="2099" spans="1:26" x14ac:dyDescent="0.2">
      <c r="A2099">
        <f t="shared" si="66"/>
        <v>5</v>
      </c>
      <c r="B2099">
        <f t="shared" si="67"/>
        <v>18</v>
      </c>
      <c r="C2099" s="27">
        <v>46143</v>
      </c>
      <c r="D2099" s="26" t="s">
        <v>26</v>
      </c>
      <c r="E2099" s="26" t="s">
        <v>39</v>
      </c>
      <c r="F2099" s="26" t="s">
        <v>40</v>
      </c>
      <c r="G2099" s="26" t="s">
        <v>29</v>
      </c>
      <c r="H2099" s="26" t="s">
        <v>30</v>
      </c>
      <c r="I2099" s="26" t="s">
        <v>78</v>
      </c>
      <c r="J2099" s="26" t="s">
        <v>42</v>
      </c>
      <c r="K2099" s="26" t="s">
        <v>79</v>
      </c>
      <c r="L2099" s="26">
        <v>6</v>
      </c>
      <c r="M2099" s="26">
        <v>1</v>
      </c>
      <c r="N2099" s="28">
        <v>0.16666700000000001</v>
      </c>
      <c r="O2099" s="26">
        <v>0.69</v>
      </c>
      <c r="P2099" s="26">
        <v>0.69</v>
      </c>
      <c r="Q2099" s="26">
        <v>0</v>
      </c>
      <c r="R2099" s="26"/>
      <c r="S2099" s="26">
        <v>0</v>
      </c>
      <c r="T2099" s="26">
        <v>0</v>
      </c>
      <c r="U2099" s="26">
        <v>0</v>
      </c>
      <c r="V2099" s="28">
        <v>0</v>
      </c>
      <c r="W2099" s="26">
        <v>0</v>
      </c>
      <c r="X2099" s="26">
        <v>0</v>
      </c>
      <c r="Y2099" s="26">
        <v>0</v>
      </c>
      <c r="Z2099" s="26">
        <v>0</v>
      </c>
    </row>
    <row r="2100" spans="1:26" x14ac:dyDescent="0.2">
      <c r="A2100">
        <f t="shared" si="66"/>
        <v>5</v>
      </c>
      <c r="B2100">
        <f t="shared" si="67"/>
        <v>18</v>
      </c>
      <c r="C2100" s="27">
        <v>46144</v>
      </c>
      <c r="D2100" s="26" t="s">
        <v>26</v>
      </c>
      <c r="E2100" s="26" t="s">
        <v>39</v>
      </c>
      <c r="F2100" s="26" t="s">
        <v>40</v>
      </c>
      <c r="G2100" s="26" t="s">
        <v>29</v>
      </c>
      <c r="H2100" s="26" t="s">
        <v>30</v>
      </c>
      <c r="I2100" s="26" t="s">
        <v>78</v>
      </c>
      <c r="J2100" s="26" t="s">
        <v>42</v>
      </c>
      <c r="K2100" s="26" t="s">
        <v>79</v>
      </c>
      <c r="L2100" s="26">
        <v>24</v>
      </c>
      <c r="M2100" s="26">
        <v>1</v>
      </c>
      <c r="N2100" s="28">
        <v>4.1667000000000003E-2</v>
      </c>
      <c r="O2100" s="26">
        <v>0.69</v>
      </c>
      <c r="P2100" s="26">
        <v>0.69</v>
      </c>
      <c r="Q2100" s="26">
        <v>17.47</v>
      </c>
      <c r="R2100" s="28">
        <v>3.9496000000000003E-2</v>
      </c>
      <c r="S2100" s="26">
        <v>25.32</v>
      </c>
      <c r="T2100" s="26">
        <v>1</v>
      </c>
      <c r="U2100" s="26">
        <v>1</v>
      </c>
      <c r="V2100" s="28">
        <v>1</v>
      </c>
      <c r="W2100" s="26">
        <v>1</v>
      </c>
      <c r="X2100" s="26">
        <v>0</v>
      </c>
      <c r="Y2100" s="26">
        <v>17.47</v>
      </c>
      <c r="Z2100" s="26">
        <v>0</v>
      </c>
    </row>
    <row r="2101" spans="1:26" x14ac:dyDescent="0.2">
      <c r="A2101">
        <f t="shared" si="66"/>
        <v>5</v>
      </c>
      <c r="B2101">
        <f t="shared" si="67"/>
        <v>19</v>
      </c>
      <c r="C2101" s="27">
        <v>46150</v>
      </c>
      <c r="D2101" s="26" t="s">
        <v>26</v>
      </c>
      <c r="E2101" s="26" t="s">
        <v>49</v>
      </c>
      <c r="F2101" s="26" t="s">
        <v>50</v>
      </c>
      <c r="G2101" s="26" t="s">
        <v>29</v>
      </c>
      <c r="H2101" s="26" t="s">
        <v>30</v>
      </c>
      <c r="I2101" s="26" t="s">
        <v>51</v>
      </c>
      <c r="J2101" s="26" t="s">
        <v>42</v>
      </c>
      <c r="K2101" s="26" t="s">
        <v>1144</v>
      </c>
      <c r="L2101" s="26">
        <v>4</v>
      </c>
      <c r="M2101" s="26">
        <v>1</v>
      </c>
      <c r="N2101" s="28">
        <v>0.25</v>
      </c>
      <c r="O2101" s="26">
        <v>1.1000000000000001</v>
      </c>
      <c r="P2101" s="26">
        <v>1.1000000000000001</v>
      </c>
      <c r="Q2101" s="26">
        <v>0</v>
      </c>
      <c r="R2101" s="26"/>
      <c r="S2101" s="26">
        <v>0</v>
      </c>
      <c r="T2101" s="26">
        <v>0</v>
      </c>
      <c r="U2101" s="26">
        <v>0</v>
      </c>
      <c r="V2101" s="28">
        <v>0</v>
      </c>
      <c r="W2101" s="26">
        <v>0</v>
      </c>
      <c r="X2101" s="26">
        <v>0</v>
      </c>
      <c r="Y2101" s="26">
        <v>0</v>
      </c>
      <c r="Z2101" s="26">
        <v>0</v>
      </c>
    </row>
    <row r="2102" spans="1:26" x14ac:dyDescent="0.2">
      <c r="A2102">
        <f t="shared" si="66"/>
        <v>5</v>
      </c>
      <c r="B2102">
        <f t="shared" si="67"/>
        <v>21</v>
      </c>
      <c r="C2102" s="27">
        <v>46163</v>
      </c>
      <c r="D2102" s="26" t="s">
        <v>26</v>
      </c>
      <c r="E2102" s="26" t="s">
        <v>39</v>
      </c>
      <c r="F2102" s="26" t="s">
        <v>40</v>
      </c>
      <c r="G2102" s="26" t="s">
        <v>29</v>
      </c>
      <c r="H2102" s="26" t="s">
        <v>30</v>
      </c>
      <c r="I2102" s="26" t="s">
        <v>1400</v>
      </c>
      <c r="J2102" s="26" t="s">
        <v>42</v>
      </c>
      <c r="K2102" s="26" t="s">
        <v>1401</v>
      </c>
      <c r="L2102" s="26">
        <v>153</v>
      </c>
      <c r="M2102" s="26">
        <v>1</v>
      </c>
      <c r="N2102" s="28">
        <v>6.5360000000000001E-3</v>
      </c>
      <c r="O2102" s="26">
        <v>0.51</v>
      </c>
      <c r="P2102" s="26">
        <v>0.51</v>
      </c>
      <c r="Q2102" s="26">
        <v>0</v>
      </c>
      <c r="R2102" s="26"/>
      <c r="S2102" s="26">
        <v>0</v>
      </c>
      <c r="T2102" s="26">
        <v>0</v>
      </c>
      <c r="U2102" s="26">
        <v>0</v>
      </c>
      <c r="V2102" s="28">
        <v>0</v>
      </c>
      <c r="W2102" s="26">
        <v>0</v>
      </c>
      <c r="X2102" s="26">
        <v>0</v>
      </c>
      <c r="Y2102" s="26">
        <v>0</v>
      </c>
      <c r="Z2102" s="26">
        <v>0</v>
      </c>
    </row>
    <row r="2103" spans="1:26" x14ac:dyDescent="0.2">
      <c r="A2103">
        <f t="shared" si="66"/>
        <v>5</v>
      </c>
      <c r="B2103">
        <f t="shared" si="67"/>
        <v>18</v>
      </c>
      <c r="C2103" s="27">
        <v>46144</v>
      </c>
      <c r="D2103" s="26" t="s">
        <v>26</v>
      </c>
      <c r="E2103" s="26" t="s">
        <v>49</v>
      </c>
      <c r="F2103" s="26" t="s">
        <v>50</v>
      </c>
      <c r="G2103" s="26" t="s">
        <v>29</v>
      </c>
      <c r="H2103" s="26" t="s">
        <v>30</v>
      </c>
      <c r="I2103" s="26" t="s">
        <v>51</v>
      </c>
      <c r="J2103" s="26" t="s">
        <v>42</v>
      </c>
      <c r="K2103" s="26" t="s">
        <v>414</v>
      </c>
      <c r="L2103" s="26">
        <v>3</v>
      </c>
      <c r="M2103" s="26">
        <v>1</v>
      </c>
      <c r="N2103" s="28">
        <v>0.33333299999999999</v>
      </c>
      <c r="O2103" s="26">
        <v>1.22</v>
      </c>
      <c r="P2103" s="26">
        <v>1.22</v>
      </c>
      <c r="Q2103" s="26">
        <v>17.47</v>
      </c>
      <c r="R2103" s="28">
        <v>6.9833999999999993E-2</v>
      </c>
      <c r="S2103" s="26">
        <v>14.32</v>
      </c>
      <c r="T2103" s="26">
        <v>1</v>
      </c>
      <c r="U2103" s="26">
        <v>1</v>
      </c>
      <c r="V2103" s="28">
        <v>1</v>
      </c>
      <c r="W2103" s="26">
        <v>1</v>
      </c>
      <c r="X2103" s="26">
        <v>0</v>
      </c>
      <c r="Y2103" s="26">
        <v>17.47</v>
      </c>
      <c r="Z2103" s="26">
        <v>0</v>
      </c>
    </row>
    <row r="2104" spans="1:26" x14ac:dyDescent="0.2">
      <c r="A2104">
        <f t="shared" si="66"/>
        <v>5</v>
      </c>
      <c r="B2104">
        <f t="shared" si="67"/>
        <v>20</v>
      </c>
      <c r="C2104" s="27">
        <v>46152</v>
      </c>
      <c r="D2104" s="26" t="s">
        <v>26</v>
      </c>
      <c r="E2104" s="26" t="s">
        <v>49</v>
      </c>
      <c r="F2104" s="26" t="s">
        <v>50</v>
      </c>
      <c r="G2104" s="26" t="s">
        <v>29</v>
      </c>
      <c r="H2104" s="26" t="s">
        <v>30</v>
      </c>
      <c r="I2104" s="26" t="s">
        <v>51</v>
      </c>
      <c r="J2104" s="26" t="s">
        <v>42</v>
      </c>
      <c r="K2104" s="26" t="s">
        <v>1402</v>
      </c>
      <c r="L2104" s="26">
        <v>1</v>
      </c>
      <c r="M2104" s="26">
        <v>1</v>
      </c>
      <c r="N2104" s="28">
        <v>1</v>
      </c>
      <c r="O2104" s="26">
        <v>0.87</v>
      </c>
      <c r="P2104" s="26">
        <v>0.87</v>
      </c>
      <c r="Q2104" s="26">
        <v>0</v>
      </c>
      <c r="R2104" s="26"/>
      <c r="S2104" s="26">
        <v>0</v>
      </c>
      <c r="T2104" s="26">
        <v>0</v>
      </c>
      <c r="U2104" s="26">
        <v>0</v>
      </c>
      <c r="V2104" s="28">
        <v>0</v>
      </c>
      <c r="W2104" s="26">
        <v>0</v>
      </c>
      <c r="X2104" s="26">
        <v>0</v>
      </c>
      <c r="Y2104" s="26">
        <v>0</v>
      </c>
      <c r="Z2104" s="26">
        <v>0</v>
      </c>
    </row>
    <row r="2105" spans="1:26" x14ac:dyDescent="0.2">
      <c r="A2105">
        <f t="shared" si="66"/>
        <v>5</v>
      </c>
      <c r="B2105">
        <f t="shared" si="67"/>
        <v>19</v>
      </c>
      <c r="C2105" s="27">
        <v>46148</v>
      </c>
      <c r="D2105" s="26" t="s">
        <v>26</v>
      </c>
      <c r="E2105" s="26" t="s">
        <v>49</v>
      </c>
      <c r="F2105" s="26" t="s">
        <v>50</v>
      </c>
      <c r="G2105" s="26" t="s">
        <v>29</v>
      </c>
      <c r="H2105" s="26" t="s">
        <v>30</v>
      </c>
      <c r="I2105" s="26" t="s">
        <v>51</v>
      </c>
      <c r="J2105" s="26" t="s">
        <v>42</v>
      </c>
      <c r="K2105" s="26" t="s">
        <v>328</v>
      </c>
      <c r="L2105" s="26">
        <v>13</v>
      </c>
      <c r="M2105" s="26">
        <v>1</v>
      </c>
      <c r="N2105" s="28">
        <v>7.6923000000000005E-2</v>
      </c>
      <c r="O2105" s="26">
        <v>1.07</v>
      </c>
      <c r="P2105" s="26">
        <v>1.07</v>
      </c>
      <c r="Q2105" s="26">
        <v>0</v>
      </c>
      <c r="R2105" s="26"/>
      <c r="S2105" s="26">
        <v>0</v>
      </c>
      <c r="T2105" s="26">
        <v>0</v>
      </c>
      <c r="U2105" s="26">
        <v>0</v>
      </c>
      <c r="V2105" s="28">
        <v>0</v>
      </c>
      <c r="W2105" s="26">
        <v>0</v>
      </c>
      <c r="X2105" s="26">
        <v>0</v>
      </c>
      <c r="Y2105" s="26">
        <v>0</v>
      </c>
      <c r="Z2105" s="26">
        <v>0</v>
      </c>
    </row>
    <row r="2106" spans="1:26" x14ac:dyDescent="0.2">
      <c r="A2106">
        <f t="shared" si="66"/>
        <v>5</v>
      </c>
      <c r="B2106">
        <f t="shared" si="67"/>
        <v>19</v>
      </c>
      <c r="C2106" s="27">
        <v>46149</v>
      </c>
      <c r="D2106" s="26" t="s">
        <v>26</v>
      </c>
      <c r="E2106" s="26" t="s">
        <v>49</v>
      </c>
      <c r="F2106" s="26" t="s">
        <v>50</v>
      </c>
      <c r="G2106" s="26" t="s">
        <v>29</v>
      </c>
      <c r="H2106" s="26" t="s">
        <v>30</v>
      </c>
      <c r="I2106" s="26" t="s">
        <v>51</v>
      </c>
      <c r="J2106" s="26" t="s">
        <v>42</v>
      </c>
      <c r="K2106" s="26" t="s">
        <v>328</v>
      </c>
      <c r="L2106" s="26">
        <v>9</v>
      </c>
      <c r="M2106" s="26">
        <v>1</v>
      </c>
      <c r="N2106" s="28">
        <v>0.111111</v>
      </c>
      <c r="O2106" s="26">
        <v>1.1000000000000001</v>
      </c>
      <c r="P2106" s="26">
        <v>1.1000000000000001</v>
      </c>
      <c r="Q2106" s="26">
        <v>0</v>
      </c>
      <c r="R2106" s="26"/>
      <c r="S2106" s="26">
        <v>0</v>
      </c>
      <c r="T2106" s="26">
        <v>0</v>
      </c>
      <c r="U2106" s="26">
        <v>0</v>
      </c>
      <c r="V2106" s="28">
        <v>0</v>
      </c>
      <c r="W2106" s="26">
        <v>0</v>
      </c>
      <c r="X2106" s="26">
        <v>0</v>
      </c>
      <c r="Y2106" s="26">
        <v>0</v>
      </c>
      <c r="Z2106" s="26">
        <v>0</v>
      </c>
    </row>
    <row r="2107" spans="1:26" x14ac:dyDescent="0.2">
      <c r="A2107">
        <f t="shared" si="66"/>
        <v>5</v>
      </c>
      <c r="B2107">
        <f t="shared" si="67"/>
        <v>19</v>
      </c>
      <c r="C2107" s="27">
        <v>46151</v>
      </c>
      <c r="D2107" s="26" t="s">
        <v>26</v>
      </c>
      <c r="E2107" s="26" t="s">
        <v>49</v>
      </c>
      <c r="F2107" s="26" t="s">
        <v>50</v>
      </c>
      <c r="G2107" s="26" t="s">
        <v>29</v>
      </c>
      <c r="H2107" s="26" t="s">
        <v>30</v>
      </c>
      <c r="I2107" s="26" t="s">
        <v>51</v>
      </c>
      <c r="J2107" s="26" t="s">
        <v>42</v>
      </c>
      <c r="K2107" s="26" t="s">
        <v>1403</v>
      </c>
      <c r="L2107" s="26">
        <v>1</v>
      </c>
      <c r="M2107" s="26">
        <v>1</v>
      </c>
      <c r="N2107" s="28">
        <v>1</v>
      </c>
      <c r="O2107" s="26">
        <v>1</v>
      </c>
      <c r="P2107" s="26">
        <v>1</v>
      </c>
      <c r="Q2107" s="26">
        <v>0</v>
      </c>
      <c r="R2107" s="26"/>
      <c r="S2107" s="26">
        <v>0</v>
      </c>
      <c r="T2107" s="26">
        <v>0</v>
      </c>
      <c r="U2107" s="26">
        <v>0</v>
      </c>
      <c r="V2107" s="28">
        <v>0</v>
      </c>
      <c r="W2107" s="26">
        <v>0</v>
      </c>
      <c r="X2107" s="26">
        <v>0</v>
      </c>
      <c r="Y2107" s="26">
        <v>0</v>
      </c>
      <c r="Z2107" s="26">
        <v>0</v>
      </c>
    </row>
    <row r="2108" spans="1:26" x14ac:dyDescent="0.2">
      <c r="A2108">
        <f t="shared" ref="A2108:A2171" si="68">MONTH(C2108)</f>
        <v>5</v>
      </c>
      <c r="B2108">
        <f t="shared" ref="B2108:B2171" si="69">WEEKNUM(C2108,1)</f>
        <v>21</v>
      </c>
      <c r="C2108" s="27">
        <v>46161</v>
      </c>
      <c r="D2108" s="26" t="s">
        <v>26</v>
      </c>
      <c r="E2108" s="26" t="s">
        <v>49</v>
      </c>
      <c r="F2108" s="26" t="s">
        <v>50</v>
      </c>
      <c r="G2108" s="26" t="s">
        <v>29</v>
      </c>
      <c r="H2108" s="26" t="s">
        <v>30</v>
      </c>
      <c r="I2108" s="26" t="s">
        <v>51</v>
      </c>
      <c r="J2108" s="26" t="s">
        <v>42</v>
      </c>
      <c r="K2108" s="26" t="s">
        <v>1404</v>
      </c>
      <c r="L2108" s="26">
        <v>3</v>
      </c>
      <c r="M2108" s="26">
        <v>1</v>
      </c>
      <c r="N2108" s="28">
        <v>0.33333299999999999</v>
      </c>
      <c r="O2108" s="26">
        <v>0.6</v>
      </c>
      <c r="P2108" s="26">
        <v>0.6</v>
      </c>
      <c r="Q2108" s="26">
        <v>0</v>
      </c>
      <c r="R2108" s="26"/>
      <c r="S2108" s="26">
        <v>0</v>
      </c>
      <c r="T2108" s="26">
        <v>0</v>
      </c>
      <c r="U2108" s="26">
        <v>0</v>
      </c>
      <c r="V2108" s="28">
        <v>0</v>
      </c>
      <c r="W2108" s="26">
        <v>0</v>
      </c>
      <c r="X2108" s="26">
        <v>0</v>
      </c>
      <c r="Y2108" s="26">
        <v>0</v>
      </c>
      <c r="Z2108" s="26">
        <v>0</v>
      </c>
    </row>
    <row r="2109" spans="1:26" x14ac:dyDescent="0.2">
      <c r="A2109">
        <f t="shared" si="68"/>
        <v>5</v>
      </c>
      <c r="B2109">
        <f t="shared" si="69"/>
        <v>20</v>
      </c>
      <c r="C2109" s="27">
        <v>46157</v>
      </c>
      <c r="D2109" s="26" t="s">
        <v>26</v>
      </c>
      <c r="E2109" s="26" t="s">
        <v>39</v>
      </c>
      <c r="F2109" s="26" t="s">
        <v>40</v>
      </c>
      <c r="G2109" s="26" t="s">
        <v>29</v>
      </c>
      <c r="H2109" s="26" t="s">
        <v>30</v>
      </c>
      <c r="I2109" s="26" t="s">
        <v>1405</v>
      </c>
      <c r="J2109" s="26" t="s">
        <v>42</v>
      </c>
      <c r="K2109" s="26" t="s">
        <v>609</v>
      </c>
      <c r="L2109" s="26">
        <v>55</v>
      </c>
      <c r="M2109" s="26">
        <v>2</v>
      </c>
      <c r="N2109" s="28">
        <v>3.6364E-2</v>
      </c>
      <c r="O2109" s="26">
        <v>0.66</v>
      </c>
      <c r="P2109" s="26">
        <v>1.32</v>
      </c>
      <c r="Q2109" s="26">
        <v>17.09</v>
      </c>
      <c r="R2109" s="28">
        <v>7.7238000000000001E-2</v>
      </c>
      <c r="S2109" s="26">
        <v>12.95</v>
      </c>
      <c r="T2109" s="26">
        <v>1</v>
      </c>
      <c r="U2109" s="26">
        <v>1</v>
      </c>
      <c r="V2109" s="28">
        <v>0.5</v>
      </c>
      <c r="W2109" s="26">
        <v>0</v>
      </c>
      <c r="X2109" s="26">
        <v>1</v>
      </c>
      <c r="Y2109" s="26">
        <v>0</v>
      </c>
      <c r="Z2109" s="26">
        <v>17.09</v>
      </c>
    </row>
    <row r="2110" spans="1:26" x14ac:dyDescent="0.2">
      <c r="A2110">
        <f t="shared" si="68"/>
        <v>5</v>
      </c>
      <c r="B2110">
        <f t="shared" si="69"/>
        <v>21</v>
      </c>
      <c r="C2110" s="27">
        <v>46160</v>
      </c>
      <c r="D2110" s="26" t="s">
        <v>26</v>
      </c>
      <c r="E2110" s="26" t="s">
        <v>39</v>
      </c>
      <c r="F2110" s="26" t="s">
        <v>40</v>
      </c>
      <c r="G2110" s="26" t="s">
        <v>29</v>
      </c>
      <c r="H2110" s="26" t="s">
        <v>30</v>
      </c>
      <c r="I2110" s="26" t="s">
        <v>1405</v>
      </c>
      <c r="J2110" s="26" t="s">
        <v>42</v>
      </c>
      <c r="K2110" s="26" t="s">
        <v>609</v>
      </c>
      <c r="L2110" s="26">
        <v>62</v>
      </c>
      <c r="M2110" s="26">
        <v>2</v>
      </c>
      <c r="N2110" s="28">
        <v>3.2258000000000002E-2</v>
      </c>
      <c r="O2110" s="26">
        <v>0.66</v>
      </c>
      <c r="P2110" s="26">
        <v>1.32</v>
      </c>
      <c r="Q2110" s="26">
        <v>0</v>
      </c>
      <c r="R2110" s="26"/>
      <c r="S2110" s="26">
        <v>0</v>
      </c>
      <c r="T2110" s="26">
        <v>0</v>
      </c>
      <c r="U2110" s="26">
        <v>0</v>
      </c>
      <c r="V2110" s="28">
        <v>0</v>
      </c>
      <c r="W2110" s="26">
        <v>0</v>
      </c>
      <c r="X2110" s="26">
        <v>0</v>
      </c>
      <c r="Y2110" s="26">
        <v>0</v>
      </c>
      <c r="Z2110" s="26">
        <v>0</v>
      </c>
    </row>
    <row r="2111" spans="1:26" x14ac:dyDescent="0.2">
      <c r="A2111">
        <f t="shared" si="68"/>
        <v>5</v>
      </c>
      <c r="B2111">
        <f t="shared" si="69"/>
        <v>21</v>
      </c>
      <c r="C2111" s="27">
        <v>46163</v>
      </c>
      <c r="D2111" s="26" t="s">
        <v>26</v>
      </c>
      <c r="E2111" s="26" t="s">
        <v>39</v>
      </c>
      <c r="F2111" s="26" t="s">
        <v>40</v>
      </c>
      <c r="G2111" s="26" t="s">
        <v>29</v>
      </c>
      <c r="H2111" s="26" t="s">
        <v>30</v>
      </c>
      <c r="I2111" s="26" t="s">
        <v>1405</v>
      </c>
      <c r="J2111" s="26" t="s">
        <v>42</v>
      </c>
      <c r="K2111" s="26" t="s">
        <v>609</v>
      </c>
      <c r="L2111" s="26">
        <v>56</v>
      </c>
      <c r="M2111" s="26">
        <v>1</v>
      </c>
      <c r="N2111" s="28">
        <v>1.7857000000000001E-2</v>
      </c>
      <c r="O2111" s="26">
        <v>0.7</v>
      </c>
      <c r="P2111" s="26">
        <v>0.7</v>
      </c>
      <c r="Q2111" s="26">
        <v>0</v>
      </c>
      <c r="R2111" s="26"/>
      <c r="S2111" s="26">
        <v>0</v>
      </c>
      <c r="T2111" s="26">
        <v>0</v>
      </c>
      <c r="U2111" s="26">
        <v>0</v>
      </c>
      <c r="V2111" s="28">
        <v>0</v>
      </c>
      <c r="W2111" s="26">
        <v>0</v>
      </c>
      <c r="X2111" s="26">
        <v>0</v>
      </c>
      <c r="Y2111" s="26">
        <v>0</v>
      </c>
      <c r="Z2111" s="26">
        <v>0</v>
      </c>
    </row>
    <row r="2112" spans="1:26" x14ac:dyDescent="0.2">
      <c r="A2112">
        <f t="shared" si="68"/>
        <v>5</v>
      </c>
      <c r="B2112">
        <f t="shared" si="69"/>
        <v>21</v>
      </c>
      <c r="C2112" s="27">
        <v>46161</v>
      </c>
      <c r="D2112" s="26" t="s">
        <v>26</v>
      </c>
      <c r="E2112" s="26" t="s">
        <v>49</v>
      </c>
      <c r="F2112" s="26" t="s">
        <v>50</v>
      </c>
      <c r="G2112" s="26" t="s">
        <v>29</v>
      </c>
      <c r="H2112" s="26" t="s">
        <v>30</v>
      </c>
      <c r="I2112" s="26" t="s">
        <v>51</v>
      </c>
      <c r="J2112" s="26" t="s">
        <v>42</v>
      </c>
      <c r="K2112" s="26" t="s">
        <v>1406</v>
      </c>
      <c r="L2112" s="26">
        <v>4</v>
      </c>
      <c r="M2112" s="26">
        <v>1</v>
      </c>
      <c r="N2112" s="28">
        <v>0.25</v>
      </c>
      <c r="O2112" s="26">
        <v>0.57999999999999996</v>
      </c>
      <c r="P2112" s="26">
        <v>0.57999999999999996</v>
      </c>
      <c r="Q2112" s="26">
        <v>0</v>
      </c>
      <c r="R2112" s="26"/>
      <c r="S2112" s="26">
        <v>0</v>
      </c>
      <c r="T2112" s="26">
        <v>0</v>
      </c>
      <c r="U2112" s="26">
        <v>0</v>
      </c>
      <c r="V2112" s="28">
        <v>0</v>
      </c>
      <c r="W2112" s="26">
        <v>0</v>
      </c>
      <c r="X2112" s="26">
        <v>0</v>
      </c>
      <c r="Y2112" s="26">
        <v>0</v>
      </c>
      <c r="Z2112" s="26">
        <v>0</v>
      </c>
    </row>
    <row r="2113" spans="1:26" x14ac:dyDescent="0.2">
      <c r="A2113">
        <f t="shared" si="68"/>
        <v>5</v>
      </c>
      <c r="B2113">
        <f t="shared" si="69"/>
        <v>19</v>
      </c>
      <c r="C2113" s="27">
        <v>46147</v>
      </c>
      <c r="D2113" s="26" t="s">
        <v>26</v>
      </c>
      <c r="E2113" s="26" t="s">
        <v>49</v>
      </c>
      <c r="F2113" s="26" t="s">
        <v>50</v>
      </c>
      <c r="G2113" s="26" t="s">
        <v>29</v>
      </c>
      <c r="H2113" s="26" t="s">
        <v>30</v>
      </c>
      <c r="I2113" s="26" t="s">
        <v>51</v>
      </c>
      <c r="J2113" s="26" t="s">
        <v>42</v>
      </c>
      <c r="K2113" s="26" t="s">
        <v>1407</v>
      </c>
      <c r="L2113" s="26">
        <v>2</v>
      </c>
      <c r="M2113" s="26">
        <v>1</v>
      </c>
      <c r="N2113" s="28">
        <v>0.5</v>
      </c>
      <c r="O2113" s="26">
        <v>1.3</v>
      </c>
      <c r="P2113" s="26">
        <v>1.3</v>
      </c>
      <c r="Q2113" s="26">
        <v>0</v>
      </c>
      <c r="R2113" s="26"/>
      <c r="S2113" s="26">
        <v>0</v>
      </c>
      <c r="T2113" s="26">
        <v>0</v>
      </c>
      <c r="U2113" s="26">
        <v>0</v>
      </c>
      <c r="V2113" s="28">
        <v>0</v>
      </c>
      <c r="W2113" s="26">
        <v>0</v>
      </c>
      <c r="X2113" s="26">
        <v>0</v>
      </c>
      <c r="Y2113" s="26">
        <v>0</v>
      </c>
      <c r="Z2113" s="26">
        <v>0</v>
      </c>
    </row>
    <row r="2114" spans="1:26" x14ac:dyDescent="0.2">
      <c r="A2114">
        <f t="shared" si="68"/>
        <v>5</v>
      </c>
      <c r="B2114">
        <f t="shared" si="69"/>
        <v>20</v>
      </c>
      <c r="C2114" s="27">
        <v>46152</v>
      </c>
      <c r="D2114" s="26" t="s">
        <v>26</v>
      </c>
      <c r="E2114" s="26" t="s">
        <v>49</v>
      </c>
      <c r="F2114" s="26" t="s">
        <v>50</v>
      </c>
      <c r="G2114" s="26" t="s">
        <v>29</v>
      </c>
      <c r="H2114" s="26" t="s">
        <v>30</v>
      </c>
      <c r="I2114" s="26" t="s">
        <v>51</v>
      </c>
      <c r="J2114" s="26" t="s">
        <v>42</v>
      </c>
      <c r="K2114" s="26" t="s">
        <v>1407</v>
      </c>
      <c r="L2114" s="26">
        <v>19</v>
      </c>
      <c r="M2114" s="26">
        <v>1</v>
      </c>
      <c r="N2114" s="28">
        <v>5.2631999999999998E-2</v>
      </c>
      <c r="O2114" s="26">
        <v>0.87</v>
      </c>
      <c r="P2114" s="26">
        <v>0.87</v>
      </c>
      <c r="Q2114" s="26">
        <v>0</v>
      </c>
      <c r="R2114" s="26"/>
      <c r="S2114" s="26">
        <v>0</v>
      </c>
      <c r="T2114" s="26">
        <v>0</v>
      </c>
      <c r="U2114" s="26">
        <v>0</v>
      </c>
      <c r="V2114" s="28">
        <v>0</v>
      </c>
      <c r="W2114" s="26">
        <v>0</v>
      </c>
      <c r="X2114" s="26">
        <v>0</v>
      </c>
      <c r="Y2114" s="26">
        <v>0</v>
      </c>
      <c r="Z2114" s="26">
        <v>0</v>
      </c>
    </row>
    <row r="2115" spans="1:26" x14ac:dyDescent="0.2">
      <c r="A2115">
        <f t="shared" si="68"/>
        <v>5</v>
      </c>
      <c r="B2115">
        <f t="shared" si="69"/>
        <v>21</v>
      </c>
      <c r="C2115" s="27">
        <v>46162</v>
      </c>
      <c r="D2115" s="26" t="s">
        <v>26</v>
      </c>
      <c r="E2115" s="26" t="s">
        <v>49</v>
      </c>
      <c r="F2115" s="26" t="s">
        <v>50</v>
      </c>
      <c r="G2115" s="26" t="s">
        <v>29</v>
      </c>
      <c r="H2115" s="26" t="s">
        <v>30</v>
      </c>
      <c r="I2115" s="26" t="s">
        <v>51</v>
      </c>
      <c r="J2115" s="26" t="s">
        <v>42</v>
      </c>
      <c r="K2115" s="26" t="s">
        <v>1408</v>
      </c>
      <c r="L2115" s="26">
        <v>3</v>
      </c>
      <c r="M2115" s="26">
        <v>1</v>
      </c>
      <c r="N2115" s="28">
        <v>0.33333299999999999</v>
      </c>
      <c r="O2115" s="26">
        <v>0.1</v>
      </c>
      <c r="P2115" s="26">
        <v>0.1</v>
      </c>
      <c r="Q2115" s="26">
        <v>17.47</v>
      </c>
      <c r="R2115" s="28">
        <v>5.7239999999999999E-3</v>
      </c>
      <c r="S2115" s="26">
        <v>174.7</v>
      </c>
      <c r="T2115" s="26">
        <v>1</v>
      </c>
      <c r="U2115" s="26">
        <v>1</v>
      </c>
      <c r="V2115" s="28">
        <v>1</v>
      </c>
      <c r="W2115" s="26">
        <v>1</v>
      </c>
      <c r="X2115" s="26">
        <v>0</v>
      </c>
      <c r="Y2115" s="26">
        <v>17.47</v>
      </c>
      <c r="Z2115" s="26">
        <v>0</v>
      </c>
    </row>
    <row r="2116" spans="1:26" x14ac:dyDescent="0.2">
      <c r="A2116">
        <f t="shared" si="68"/>
        <v>5</v>
      </c>
      <c r="B2116">
        <f t="shared" si="69"/>
        <v>18</v>
      </c>
      <c r="C2116" s="27">
        <v>46144</v>
      </c>
      <c r="D2116" s="26" t="s">
        <v>26</v>
      </c>
      <c r="E2116" s="26" t="s">
        <v>112</v>
      </c>
      <c r="F2116" s="26" t="s">
        <v>113</v>
      </c>
      <c r="G2116" s="26" t="s">
        <v>29</v>
      </c>
      <c r="H2116" s="26" t="s">
        <v>30</v>
      </c>
      <c r="I2116" s="26" t="s">
        <v>238</v>
      </c>
      <c r="J2116" s="26" t="s">
        <v>32</v>
      </c>
      <c r="K2116" s="26" t="s">
        <v>97</v>
      </c>
      <c r="L2116" s="26">
        <v>21</v>
      </c>
      <c r="M2116" s="26">
        <v>1</v>
      </c>
      <c r="N2116" s="28">
        <v>4.7619000000000002E-2</v>
      </c>
      <c r="O2116" s="26">
        <v>4.25</v>
      </c>
      <c r="P2116" s="26">
        <v>4.25</v>
      </c>
      <c r="Q2116" s="26">
        <v>0</v>
      </c>
      <c r="R2116" s="26"/>
      <c r="S2116" s="26">
        <v>0</v>
      </c>
      <c r="T2116" s="26">
        <v>0</v>
      </c>
      <c r="U2116" s="26">
        <v>0</v>
      </c>
      <c r="V2116" s="28">
        <v>0</v>
      </c>
      <c r="W2116" s="26">
        <v>0</v>
      </c>
      <c r="X2116" s="26">
        <v>0</v>
      </c>
      <c r="Y2116" s="26">
        <v>0</v>
      </c>
      <c r="Z2116" s="26">
        <v>0</v>
      </c>
    </row>
    <row r="2117" spans="1:26" x14ac:dyDescent="0.2">
      <c r="A2117">
        <f t="shared" si="68"/>
        <v>5</v>
      </c>
      <c r="B2117">
        <f t="shared" si="69"/>
        <v>19</v>
      </c>
      <c r="C2117" s="27">
        <v>46146</v>
      </c>
      <c r="D2117" s="26" t="s">
        <v>26</v>
      </c>
      <c r="E2117" s="26" t="s">
        <v>112</v>
      </c>
      <c r="F2117" s="26" t="s">
        <v>113</v>
      </c>
      <c r="G2117" s="26" t="s">
        <v>29</v>
      </c>
      <c r="H2117" s="26" t="s">
        <v>30</v>
      </c>
      <c r="I2117" s="26" t="s">
        <v>238</v>
      </c>
      <c r="J2117" s="26" t="s">
        <v>32</v>
      </c>
      <c r="K2117" s="26" t="s">
        <v>97</v>
      </c>
      <c r="L2117" s="26">
        <v>39</v>
      </c>
      <c r="M2117" s="26">
        <v>1</v>
      </c>
      <c r="N2117" s="28">
        <v>2.5641000000000001E-2</v>
      </c>
      <c r="O2117" s="26">
        <v>2.21</v>
      </c>
      <c r="P2117" s="26">
        <v>2.21</v>
      </c>
      <c r="Q2117" s="26">
        <v>0</v>
      </c>
      <c r="R2117" s="26"/>
      <c r="S2117" s="26">
        <v>0</v>
      </c>
      <c r="T2117" s="26">
        <v>0</v>
      </c>
      <c r="U2117" s="26">
        <v>0</v>
      </c>
      <c r="V2117" s="28">
        <v>0</v>
      </c>
      <c r="W2117" s="26">
        <v>0</v>
      </c>
      <c r="X2117" s="26">
        <v>0</v>
      </c>
      <c r="Y2117" s="26">
        <v>0</v>
      </c>
      <c r="Z2117" s="26">
        <v>0</v>
      </c>
    </row>
    <row r="2118" spans="1:26" x14ac:dyDescent="0.2">
      <c r="A2118">
        <f t="shared" si="68"/>
        <v>5</v>
      </c>
      <c r="B2118">
        <f t="shared" si="69"/>
        <v>19</v>
      </c>
      <c r="C2118" s="27">
        <v>46149</v>
      </c>
      <c r="D2118" s="26" t="s">
        <v>26</v>
      </c>
      <c r="E2118" s="26" t="s">
        <v>112</v>
      </c>
      <c r="F2118" s="26" t="s">
        <v>113</v>
      </c>
      <c r="G2118" s="26" t="s">
        <v>29</v>
      </c>
      <c r="H2118" s="26" t="s">
        <v>30</v>
      </c>
      <c r="I2118" s="26" t="s">
        <v>177</v>
      </c>
      <c r="J2118" s="26" t="s">
        <v>32</v>
      </c>
      <c r="K2118" s="26" t="s">
        <v>97</v>
      </c>
      <c r="L2118" s="26">
        <v>37</v>
      </c>
      <c r="M2118" s="26">
        <v>1</v>
      </c>
      <c r="N2118" s="28">
        <v>2.7026999999999999E-2</v>
      </c>
      <c r="O2118" s="26">
        <v>1.78</v>
      </c>
      <c r="P2118" s="26">
        <v>1.78</v>
      </c>
      <c r="Q2118" s="26">
        <v>0</v>
      </c>
      <c r="R2118" s="26"/>
      <c r="S2118" s="26">
        <v>0</v>
      </c>
      <c r="T2118" s="26">
        <v>0</v>
      </c>
      <c r="U2118" s="26">
        <v>0</v>
      </c>
      <c r="V2118" s="28">
        <v>0</v>
      </c>
      <c r="W2118" s="26">
        <v>0</v>
      </c>
      <c r="X2118" s="26">
        <v>0</v>
      </c>
      <c r="Y2118" s="26">
        <v>0</v>
      </c>
      <c r="Z2118" s="26">
        <v>0</v>
      </c>
    </row>
    <row r="2119" spans="1:26" x14ac:dyDescent="0.2">
      <c r="A2119">
        <f t="shared" si="68"/>
        <v>5</v>
      </c>
      <c r="B2119">
        <f t="shared" si="69"/>
        <v>19</v>
      </c>
      <c r="C2119" s="27">
        <v>46145</v>
      </c>
      <c r="D2119" s="26" t="s">
        <v>26</v>
      </c>
      <c r="E2119" s="26" t="s">
        <v>27</v>
      </c>
      <c r="F2119" s="26" t="s">
        <v>28</v>
      </c>
      <c r="G2119" s="26" t="s">
        <v>29</v>
      </c>
      <c r="H2119" s="26" t="s">
        <v>30</v>
      </c>
      <c r="I2119" s="26" t="s">
        <v>101</v>
      </c>
      <c r="J2119" s="26" t="s">
        <v>32</v>
      </c>
      <c r="K2119" s="26" t="s">
        <v>1409</v>
      </c>
      <c r="L2119" s="26">
        <v>1</v>
      </c>
      <c r="M2119" s="26">
        <v>1</v>
      </c>
      <c r="N2119" s="28">
        <v>1</v>
      </c>
      <c r="O2119" s="26">
        <v>0.4</v>
      </c>
      <c r="P2119" s="26">
        <v>0.4</v>
      </c>
      <c r="Q2119" s="26">
        <v>0</v>
      </c>
      <c r="R2119" s="26"/>
      <c r="S2119" s="26">
        <v>0</v>
      </c>
      <c r="T2119" s="26">
        <v>0</v>
      </c>
      <c r="U2119" s="26">
        <v>0</v>
      </c>
      <c r="V2119" s="28">
        <v>0</v>
      </c>
      <c r="W2119" s="26">
        <v>0</v>
      </c>
      <c r="X2119" s="26">
        <v>0</v>
      </c>
      <c r="Y2119" s="26">
        <v>0</v>
      </c>
      <c r="Z2119" s="26">
        <v>0</v>
      </c>
    </row>
    <row r="2120" spans="1:26" x14ac:dyDescent="0.2">
      <c r="A2120">
        <f t="shared" si="68"/>
        <v>5</v>
      </c>
      <c r="B2120">
        <f t="shared" si="69"/>
        <v>18</v>
      </c>
      <c r="C2120" s="27">
        <v>46144</v>
      </c>
      <c r="D2120" s="26" t="s">
        <v>26</v>
      </c>
      <c r="E2120" s="26" t="s">
        <v>27</v>
      </c>
      <c r="F2120" s="26" t="s">
        <v>28</v>
      </c>
      <c r="G2120" s="26" t="s">
        <v>29</v>
      </c>
      <c r="H2120" s="26" t="s">
        <v>30</v>
      </c>
      <c r="I2120" s="26" t="s">
        <v>101</v>
      </c>
      <c r="J2120" s="26" t="s">
        <v>32</v>
      </c>
      <c r="K2120" s="26" t="s">
        <v>713</v>
      </c>
      <c r="L2120" s="26">
        <v>5</v>
      </c>
      <c r="M2120" s="26">
        <v>1</v>
      </c>
      <c r="N2120" s="28">
        <v>0.2</v>
      </c>
      <c r="O2120" s="26">
        <v>0.21</v>
      </c>
      <c r="P2120" s="26">
        <v>0.21</v>
      </c>
      <c r="Q2120" s="26">
        <v>0</v>
      </c>
      <c r="R2120" s="26"/>
      <c r="S2120" s="26">
        <v>0</v>
      </c>
      <c r="T2120" s="26">
        <v>0</v>
      </c>
      <c r="U2120" s="26">
        <v>0</v>
      </c>
      <c r="V2120" s="28">
        <v>0</v>
      </c>
      <c r="W2120" s="26">
        <v>0</v>
      </c>
      <c r="X2120" s="26">
        <v>0</v>
      </c>
      <c r="Y2120" s="26">
        <v>0</v>
      </c>
      <c r="Z2120" s="26">
        <v>0</v>
      </c>
    </row>
    <row r="2121" spans="1:26" x14ac:dyDescent="0.2">
      <c r="A2121">
        <f t="shared" si="68"/>
        <v>5</v>
      </c>
      <c r="B2121">
        <f t="shared" si="69"/>
        <v>19</v>
      </c>
      <c r="C2121" s="27">
        <v>46148</v>
      </c>
      <c r="D2121" s="26" t="s">
        <v>26</v>
      </c>
      <c r="E2121" s="26" t="s">
        <v>27</v>
      </c>
      <c r="F2121" s="26" t="s">
        <v>28</v>
      </c>
      <c r="G2121" s="26" t="s">
        <v>29</v>
      </c>
      <c r="H2121" s="26" t="s">
        <v>30</v>
      </c>
      <c r="I2121" s="26" t="s">
        <v>101</v>
      </c>
      <c r="J2121" s="26" t="s">
        <v>32</v>
      </c>
      <c r="K2121" s="26" t="s">
        <v>1410</v>
      </c>
      <c r="L2121" s="26">
        <v>1</v>
      </c>
      <c r="M2121" s="26">
        <v>1</v>
      </c>
      <c r="N2121" s="28">
        <v>1</v>
      </c>
      <c r="O2121" s="26">
        <v>0.21</v>
      </c>
      <c r="P2121" s="26">
        <v>0.21</v>
      </c>
      <c r="Q2121" s="26">
        <v>0</v>
      </c>
      <c r="R2121" s="26"/>
      <c r="S2121" s="26">
        <v>0</v>
      </c>
      <c r="T2121" s="26">
        <v>0</v>
      </c>
      <c r="U2121" s="26">
        <v>0</v>
      </c>
      <c r="V2121" s="28">
        <v>0</v>
      </c>
      <c r="W2121" s="26">
        <v>0</v>
      </c>
      <c r="X2121" s="26">
        <v>0</v>
      </c>
      <c r="Y2121" s="26">
        <v>0</v>
      </c>
      <c r="Z2121" s="26">
        <v>0</v>
      </c>
    </row>
    <row r="2122" spans="1:26" x14ac:dyDescent="0.2">
      <c r="A2122">
        <f t="shared" si="68"/>
        <v>5</v>
      </c>
      <c r="B2122">
        <f t="shared" si="69"/>
        <v>18</v>
      </c>
      <c r="C2122" s="27">
        <v>46144</v>
      </c>
      <c r="D2122" s="26" t="s">
        <v>26</v>
      </c>
      <c r="E2122" s="26" t="s">
        <v>27</v>
      </c>
      <c r="F2122" s="26" t="s">
        <v>28</v>
      </c>
      <c r="G2122" s="26" t="s">
        <v>29</v>
      </c>
      <c r="H2122" s="26" t="s">
        <v>30</v>
      </c>
      <c r="I2122" s="26" t="s">
        <v>253</v>
      </c>
      <c r="J2122" s="26" t="s">
        <v>32</v>
      </c>
      <c r="K2122" s="26" t="s">
        <v>1411</v>
      </c>
      <c r="L2122" s="26">
        <v>1</v>
      </c>
      <c r="M2122" s="26">
        <v>1</v>
      </c>
      <c r="N2122" s="28">
        <v>1</v>
      </c>
      <c r="O2122" s="26">
        <v>0.4</v>
      </c>
      <c r="P2122" s="26">
        <v>0.4</v>
      </c>
      <c r="Q2122" s="26">
        <v>0</v>
      </c>
      <c r="R2122" s="26"/>
      <c r="S2122" s="26">
        <v>0</v>
      </c>
      <c r="T2122" s="26">
        <v>0</v>
      </c>
      <c r="U2122" s="26">
        <v>0</v>
      </c>
      <c r="V2122" s="28">
        <v>0</v>
      </c>
      <c r="W2122" s="26">
        <v>0</v>
      </c>
      <c r="X2122" s="26">
        <v>0</v>
      </c>
      <c r="Y2122" s="26">
        <v>0</v>
      </c>
      <c r="Z2122" s="26">
        <v>0</v>
      </c>
    </row>
    <row r="2123" spans="1:26" x14ac:dyDescent="0.2">
      <c r="A2123">
        <f t="shared" si="68"/>
        <v>5</v>
      </c>
      <c r="B2123">
        <f t="shared" si="69"/>
        <v>19</v>
      </c>
      <c r="C2123" s="27">
        <v>46148</v>
      </c>
      <c r="D2123" s="26" t="s">
        <v>26</v>
      </c>
      <c r="E2123" s="26" t="s">
        <v>27</v>
      </c>
      <c r="F2123" s="26" t="s">
        <v>28</v>
      </c>
      <c r="G2123" s="26" t="s">
        <v>29</v>
      </c>
      <c r="H2123" s="26" t="s">
        <v>30</v>
      </c>
      <c r="I2123" s="26" t="s">
        <v>44</v>
      </c>
      <c r="J2123" s="26" t="s">
        <v>32</v>
      </c>
      <c r="K2123" s="26" t="s">
        <v>715</v>
      </c>
      <c r="L2123" s="26">
        <v>3</v>
      </c>
      <c r="M2123" s="26">
        <v>1</v>
      </c>
      <c r="N2123" s="28">
        <v>0.33333299999999999</v>
      </c>
      <c r="O2123" s="26">
        <v>0.23</v>
      </c>
      <c r="P2123" s="26">
        <v>0.23</v>
      </c>
      <c r="Q2123" s="26">
        <v>0</v>
      </c>
      <c r="R2123" s="26"/>
      <c r="S2123" s="26">
        <v>0</v>
      </c>
      <c r="T2123" s="26">
        <v>0</v>
      </c>
      <c r="U2123" s="26">
        <v>0</v>
      </c>
      <c r="V2123" s="28">
        <v>0</v>
      </c>
      <c r="W2123" s="26">
        <v>0</v>
      </c>
      <c r="X2123" s="26">
        <v>0</v>
      </c>
      <c r="Y2123" s="26">
        <v>0</v>
      </c>
      <c r="Z2123" s="26">
        <v>0</v>
      </c>
    </row>
    <row r="2124" spans="1:26" x14ac:dyDescent="0.2">
      <c r="A2124">
        <f t="shared" si="68"/>
        <v>5</v>
      </c>
      <c r="B2124">
        <f t="shared" si="69"/>
        <v>21</v>
      </c>
      <c r="C2124" s="27">
        <v>46162</v>
      </c>
      <c r="D2124" s="26" t="s">
        <v>26</v>
      </c>
      <c r="E2124" s="26" t="s">
        <v>49</v>
      </c>
      <c r="F2124" s="26" t="s">
        <v>50</v>
      </c>
      <c r="G2124" s="26" t="s">
        <v>29</v>
      </c>
      <c r="H2124" s="26" t="s">
        <v>30</v>
      </c>
      <c r="I2124" s="26" t="s">
        <v>95</v>
      </c>
      <c r="J2124" s="26" t="s">
        <v>42</v>
      </c>
      <c r="K2124" s="26" t="s">
        <v>1412</v>
      </c>
      <c r="L2124" s="26">
        <v>2</v>
      </c>
      <c r="M2124" s="26">
        <v>1</v>
      </c>
      <c r="N2124" s="28">
        <v>0.5</v>
      </c>
      <c r="O2124" s="26">
        <v>0.56000000000000005</v>
      </c>
      <c r="P2124" s="26">
        <v>0.56000000000000005</v>
      </c>
      <c r="Q2124" s="26">
        <v>0</v>
      </c>
      <c r="R2124" s="26"/>
      <c r="S2124" s="26">
        <v>0</v>
      </c>
      <c r="T2124" s="26">
        <v>0</v>
      </c>
      <c r="U2124" s="26">
        <v>0</v>
      </c>
      <c r="V2124" s="28">
        <v>0</v>
      </c>
      <c r="W2124" s="26">
        <v>0</v>
      </c>
      <c r="X2124" s="26">
        <v>0</v>
      </c>
      <c r="Y2124" s="26">
        <v>0</v>
      </c>
      <c r="Z2124" s="26">
        <v>0</v>
      </c>
    </row>
    <row r="2125" spans="1:26" x14ac:dyDescent="0.2">
      <c r="A2125">
        <f t="shared" si="68"/>
        <v>5</v>
      </c>
      <c r="B2125">
        <f t="shared" si="69"/>
        <v>19</v>
      </c>
      <c r="C2125" s="27">
        <v>46148</v>
      </c>
      <c r="D2125" s="26" t="s">
        <v>26</v>
      </c>
      <c r="E2125" s="26" t="s">
        <v>27</v>
      </c>
      <c r="F2125" s="26" t="s">
        <v>28</v>
      </c>
      <c r="G2125" s="26" t="s">
        <v>29</v>
      </c>
      <c r="H2125" s="26" t="s">
        <v>30</v>
      </c>
      <c r="I2125" s="26" t="s">
        <v>253</v>
      </c>
      <c r="J2125" s="26" t="s">
        <v>32</v>
      </c>
      <c r="K2125" s="26" t="s">
        <v>1413</v>
      </c>
      <c r="L2125" s="26">
        <v>3</v>
      </c>
      <c r="M2125" s="26">
        <v>1</v>
      </c>
      <c r="N2125" s="28">
        <v>0.33333299999999999</v>
      </c>
      <c r="O2125" s="26">
        <v>0.21</v>
      </c>
      <c r="P2125" s="26">
        <v>0.21</v>
      </c>
      <c r="Q2125" s="26">
        <v>0</v>
      </c>
      <c r="R2125" s="26"/>
      <c r="S2125" s="26">
        <v>0</v>
      </c>
      <c r="T2125" s="26">
        <v>0</v>
      </c>
      <c r="U2125" s="26">
        <v>0</v>
      </c>
      <c r="V2125" s="28">
        <v>0</v>
      </c>
      <c r="W2125" s="26">
        <v>0</v>
      </c>
      <c r="X2125" s="26">
        <v>0</v>
      </c>
      <c r="Y2125" s="26">
        <v>0</v>
      </c>
      <c r="Z2125" s="26">
        <v>0</v>
      </c>
    </row>
    <row r="2126" spans="1:26" x14ac:dyDescent="0.2">
      <c r="A2126">
        <f t="shared" si="68"/>
        <v>5</v>
      </c>
      <c r="B2126">
        <f t="shared" si="69"/>
        <v>19</v>
      </c>
      <c r="C2126" s="27">
        <v>46150</v>
      </c>
      <c r="D2126" s="26" t="s">
        <v>26</v>
      </c>
      <c r="E2126" s="26" t="s">
        <v>112</v>
      </c>
      <c r="F2126" s="26" t="s">
        <v>113</v>
      </c>
      <c r="G2126" s="26" t="s">
        <v>29</v>
      </c>
      <c r="H2126" s="26" t="s">
        <v>30</v>
      </c>
      <c r="I2126" s="26" t="s">
        <v>109</v>
      </c>
      <c r="J2126" s="26" t="s">
        <v>87</v>
      </c>
      <c r="K2126" s="26" t="s">
        <v>109</v>
      </c>
      <c r="L2126" s="26">
        <v>204</v>
      </c>
      <c r="M2126" s="26">
        <v>1</v>
      </c>
      <c r="N2126" s="28">
        <v>4.9020000000000001E-3</v>
      </c>
      <c r="O2126" s="26">
        <v>3.68</v>
      </c>
      <c r="P2126" s="26">
        <v>3.68</v>
      </c>
      <c r="Q2126" s="26">
        <v>0</v>
      </c>
      <c r="R2126" s="26"/>
      <c r="S2126" s="26">
        <v>0</v>
      </c>
      <c r="T2126" s="26">
        <v>0</v>
      </c>
      <c r="U2126" s="26">
        <v>0</v>
      </c>
      <c r="V2126" s="28">
        <v>0</v>
      </c>
      <c r="W2126" s="26">
        <v>0</v>
      </c>
      <c r="X2126" s="26">
        <v>0</v>
      </c>
      <c r="Y2126" s="26">
        <v>0</v>
      </c>
      <c r="Z2126" s="26">
        <v>0</v>
      </c>
    </row>
    <row r="2127" spans="1:26" x14ac:dyDescent="0.2">
      <c r="A2127">
        <f t="shared" si="68"/>
        <v>5</v>
      </c>
      <c r="B2127">
        <f t="shared" si="69"/>
        <v>18</v>
      </c>
      <c r="C2127" s="27">
        <v>46143</v>
      </c>
      <c r="D2127" s="26" t="s">
        <v>26</v>
      </c>
      <c r="E2127" s="26" t="s">
        <v>1414</v>
      </c>
      <c r="F2127" s="26" t="s">
        <v>113</v>
      </c>
      <c r="G2127" s="26" t="s">
        <v>29</v>
      </c>
      <c r="H2127" s="26" t="s">
        <v>30</v>
      </c>
      <c r="I2127" s="26" t="s">
        <v>47</v>
      </c>
      <c r="J2127" s="26" t="s">
        <v>42</v>
      </c>
      <c r="K2127" s="26" t="s">
        <v>109</v>
      </c>
      <c r="L2127" s="26">
        <v>2</v>
      </c>
      <c r="M2127" s="26">
        <v>1</v>
      </c>
      <c r="N2127" s="28">
        <v>0.5</v>
      </c>
      <c r="O2127" s="26">
        <v>0.5</v>
      </c>
      <c r="P2127" s="26">
        <v>0.5</v>
      </c>
      <c r="Q2127" s="26">
        <v>0</v>
      </c>
      <c r="R2127" s="26"/>
      <c r="S2127" s="26">
        <v>0</v>
      </c>
      <c r="T2127" s="26">
        <v>0</v>
      </c>
      <c r="U2127" s="26">
        <v>0</v>
      </c>
      <c r="V2127" s="28">
        <v>0</v>
      </c>
      <c r="W2127" s="26">
        <v>0</v>
      </c>
      <c r="X2127" s="26">
        <v>0</v>
      </c>
      <c r="Y2127" s="26">
        <v>0</v>
      </c>
      <c r="Z2127" s="26">
        <v>0</v>
      </c>
    </row>
    <row r="2128" spans="1:26" x14ac:dyDescent="0.2">
      <c r="A2128">
        <f t="shared" si="68"/>
        <v>5</v>
      </c>
      <c r="B2128">
        <f t="shared" si="69"/>
        <v>19</v>
      </c>
      <c r="C2128" s="27">
        <v>46150</v>
      </c>
      <c r="D2128" s="26" t="s">
        <v>26</v>
      </c>
      <c r="E2128" s="26" t="s">
        <v>1414</v>
      </c>
      <c r="F2128" s="26" t="s">
        <v>113</v>
      </c>
      <c r="G2128" s="26" t="s">
        <v>29</v>
      </c>
      <c r="H2128" s="26" t="s">
        <v>30</v>
      </c>
      <c r="I2128" s="26" t="s">
        <v>47</v>
      </c>
      <c r="J2128" s="26" t="s">
        <v>42</v>
      </c>
      <c r="K2128" s="26" t="s">
        <v>431</v>
      </c>
      <c r="L2128" s="26">
        <v>3</v>
      </c>
      <c r="M2128" s="26">
        <v>1</v>
      </c>
      <c r="N2128" s="28">
        <v>0.33333299999999999</v>
      </c>
      <c r="O2128" s="26">
        <v>0.5</v>
      </c>
      <c r="P2128" s="26">
        <v>0.5</v>
      </c>
      <c r="Q2128" s="26">
        <v>0</v>
      </c>
      <c r="R2128" s="26"/>
      <c r="S2128" s="26">
        <v>0</v>
      </c>
      <c r="T2128" s="26">
        <v>0</v>
      </c>
      <c r="U2128" s="26">
        <v>0</v>
      </c>
      <c r="V2128" s="28">
        <v>0</v>
      </c>
      <c r="W2128" s="26">
        <v>0</v>
      </c>
      <c r="X2128" s="26">
        <v>0</v>
      </c>
      <c r="Y2128" s="26">
        <v>0</v>
      </c>
      <c r="Z2128" s="26">
        <v>0</v>
      </c>
    </row>
    <row r="2129" spans="1:26" x14ac:dyDescent="0.2">
      <c r="A2129">
        <f t="shared" si="68"/>
        <v>5</v>
      </c>
      <c r="B2129">
        <f t="shared" si="69"/>
        <v>21</v>
      </c>
      <c r="C2129" s="27">
        <v>46162</v>
      </c>
      <c r="D2129" s="26" t="s">
        <v>26</v>
      </c>
      <c r="E2129" s="26" t="s">
        <v>39</v>
      </c>
      <c r="F2129" s="26" t="s">
        <v>40</v>
      </c>
      <c r="G2129" s="26" t="s">
        <v>29</v>
      </c>
      <c r="H2129" s="26" t="s">
        <v>30</v>
      </c>
      <c r="I2129" s="26" t="s">
        <v>1405</v>
      </c>
      <c r="J2129" s="26" t="s">
        <v>42</v>
      </c>
      <c r="K2129" s="26" t="s">
        <v>721</v>
      </c>
      <c r="L2129" s="26">
        <v>2</v>
      </c>
      <c r="M2129" s="26">
        <v>1</v>
      </c>
      <c r="N2129" s="28">
        <v>0.5</v>
      </c>
      <c r="O2129" s="26">
        <v>0.7</v>
      </c>
      <c r="P2129" s="26">
        <v>0.7</v>
      </c>
      <c r="Q2129" s="26">
        <v>0</v>
      </c>
      <c r="R2129" s="26"/>
      <c r="S2129" s="26">
        <v>0</v>
      </c>
      <c r="T2129" s="26">
        <v>0</v>
      </c>
      <c r="U2129" s="26">
        <v>0</v>
      </c>
      <c r="V2129" s="28">
        <v>0</v>
      </c>
      <c r="W2129" s="26">
        <v>0</v>
      </c>
      <c r="X2129" s="26">
        <v>0</v>
      </c>
      <c r="Y2129" s="26">
        <v>0</v>
      </c>
      <c r="Z2129" s="26">
        <v>0</v>
      </c>
    </row>
    <row r="2130" spans="1:26" x14ac:dyDescent="0.2">
      <c r="A2130">
        <f t="shared" si="68"/>
        <v>5</v>
      </c>
      <c r="B2130">
        <f t="shared" si="69"/>
        <v>20</v>
      </c>
      <c r="C2130" s="27">
        <v>46158</v>
      </c>
      <c r="D2130" s="26" t="s">
        <v>26</v>
      </c>
      <c r="E2130" s="26" t="s">
        <v>27</v>
      </c>
      <c r="F2130" s="26" t="s">
        <v>28</v>
      </c>
      <c r="G2130" s="26" t="s">
        <v>29</v>
      </c>
      <c r="H2130" s="26" t="s">
        <v>30</v>
      </c>
      <c r="I2130" s="26" t="s">
        <v>101</v>
      </c>
      <c r="J2130" s="26" t="s">
        <v>32</v>
      </c>
      <c r="K2130" s="26" t="s">
        <v>1415</v>
      </c>
      <c r="L2130" s="26">
        <v>4</v>
      </c>
      <c r="M2130" s="26">
        <v>1</v>
      </c>
      <c r="N2130" s="28">
        <v>0.25</v>
      </c>
      <c r="O2130" s="26">
        <v>0.08</v>
      </c>
      <c r="P2130" s="26">
        <v>0.08</v>
      </c>
      <c r="Q2130" s="26">
        <v>0</v>
      </c>
      <c r="R2130" s="26"/>
      <c r="S2130" s="26">
        <v>0</v>
      </c>
      <c r="T2130" s="26">
        <v>0</v>
      </c>
      <c r="U2130" s="26">
        <v>0</v>
      </c>
      <c r="V2130" s="28">
        <v>0</v>
      </c>
      <c r="W2130" s="26">
        <v>0</v>
      </c>
      <c r="X2130" s="26">
        <v>0</v>
      </c>
      <c r="Y2130" s="26">
        <v>0</v>
      </c>
      <c r="Z2130" s="26">
        <v>0</v>
      </c>
    </row>
    <row r="2131" spans="1:26" x14ac:dyDescent="0.2">
      <c r="A2131">
        <f t="shared" si="68"/>
        <v>5</v>
      </c>
      <c r="B2131">
        <f t="shared" si="69"/>
        <v>21</v>
      </c>
      <c r="C2131" s="27">
        <v>46163</v>
      </c>
      <c r="D2131" s="26" t="s">
        <v>26</v>
      </c>
      <c r="E2131" s="26" t="s">
        <v>27</v>
      </c>
      <c r="F2131" s="26" t="s">
        <v>28</v>
      </c>
      <c r="G2131" s="26" t="s">
        <v>29</v>
      </c>
      <c r="H2131" s="26" t="s">
        <v>30</v>
      </c>
      <c r="I2131" s="26" t="s">
        <v>50</v>
      </c>
      <c r="J2131" s="26" t="s">
        <v>32</v>
      </c>
      <c r="K2131" s="26" t="s">
        <v>1416</v>
      </c>
      <c r="L2131" s="26">
        <v>1</v>
      </c>
      <c r="M2131" s="26">
        <v>1</v>
      </c>
      <c r="N2131" s="28">
        <v>1</v>
      </c>
      <c r="O2131" s="26">
        <v>0.21</v>
      </c>
      <c r="P2131" s="26">
        <v>0.21</v>
      </c>
      <c r="Q2131" s="26">
        <v>0</v>
      </c>
      <c r="R2131" s="26"/>
      <c r="S2131" s="26">
        <v>0</v>
      </c>
      <c r="T2131" s="26">
        <v>0</v>
      </c>
      <c r="U2131" s="26">
        <v>0</v>
      </c>
      <c r="V2131" s="28">
        <v>0</v>
      </c>
      <c r="W2131" s="26">
        <v>0</v>
      </c>
      <c r="X2131" s="26">
        <v>0</v>
      </c>
      <c r="Y2131" s="26">
        <v>0</v>
      </c>
      <c r="Z2131" s="26">
        <v>0</v>
      </c>
    </row>
    <row r="2132" spans="1:26" x14ac:dyDescent="0.2">
      <c r="A2132">
        <f t="shared" si="68"/>
        <v>5</v>
      </c>
      <c r="B2132">
        <f t="shared" si="69"/>
        <v>20</v>
      </c>
      <c r="C2132" s="27">
        <v>46156</v>
      </c>
      <c r="D2132" s="26" t="s">
        <v>26</v>
      </c>
      <c r="E2132" s="26" t="s">
        <v>27</v>
      </c>
      <c r="F2132" s="26" t="s">
        <v>28</v>
      </c>
      <c r="G2132" s="26" t="s">
        <v>29</v>
      </c>
      <c r="H2132" s="26" t="s">
        <v>30</v>
      </c>
      <c r="I2132" s="26" t="s">
        <v>101</v>
      </c>
      <c r="J2132" s="26" t="s">
        <v>32</v>
      </c>
      <c r="K2132" s="26" t="s">
        <v>1167</v>
      </c>
      <c r="L2132" s="26">
        <v>3</v>
      </c>
      <c r="M2132" s="26">
        <v>1</v>
      </c>
      <c r="N2132" s="28">
        <v>0.33333299999999999</v>
      </c>
      <c r="O2132" s="26">
        <v>0.21</v>
      </c>
      <c r="P2132" s="26">
        <v>0.21</v>
      </c>
      <c r="Q2132" s="26">
        <v>0</v>
      </c>
      <c r="R2132" s="26"/>
      <c r="S2132" s="26">
        <v>0</v>
      </c>
      <c r="T2132" s="26">
        <v>0</v>
      </c>
      <c r="U2132" s="26">
        <v>0</v>
      </c>
      <c r="V2132" s="28">
        <v>0</v>
      </c>
      <c r="W2132" s="26">
        <v>0</v>
      </c>
      <c r="X2132" s="26">
        <v>0</v>
      </c>
      <c r="Y2132" s="26">
        <v>0</v>
      </c>
      <c r="Z2132" s="26">
        <v>0</v>
      </c>
    </row>
    <row r="2133" spans="1:26" x14ac:dyDescent="0.2">
      <c r="A2133">
        <f t="shared" si="68"/>
        <v>5</v>
      </c>
      <c r="B2133">
        <f t="shared" si="69"/>
        <v>21</v>
      </c>
      <c r="C2133" s="27">
        <v>46159</v>
      </c>
      <c r="D2133" s="26" t="s">
        <v>26</v>
      </c>
      <c r="E2133" s="26" t="s">
        <v>27</v>
      </c>
      <c r="F2133" s="26" t="s">
        <v>28</v>
      </c>
      <c r="G2133" s="26" t="s">
        <v>29</v>
      </c>
      <c r="H2133" s="26" t="s">
        <v>30</v>
      </c>
      <c r="I2133" s="26" t="s">
        <v>243</v>
      </c>
      <c r="J2133" s="26" t="s">
        <v>32</v>
      </c>
      <c r="K2133" s="26" t="s">
        <v>1417</v>
      </c>
      <c r="L2133" s="26">
        <v>1</v>
      </c>
      <c r="M2133" s="26">
        <v>1</v>
      </c>
      <c r="N2133" s="28">
        <v>1</v>
      </c>
      <c r="O2133" s="26">
        <v>0.21</v>
      </c>
      <c r="P2133" s="26">
        <v>0.21</v>
      </c>
      <c r="Q2133" s="26">
        <v>0</v>
      </c>
      <c r="R2133" s="26"/>
      <c r="S2133" s="26">
        <v>0</v>
      </c>
      <c r="T2133" s="26">
        <v>0</v>
      </c>
      <c r="U2133" s="26">
        <v>0</v>
      </c>
      <c r="V2133" s="28">
        <v>0</v>
      </c>
      <c r="W2133" s="26">
        <v>0</v>
      </c>
      <c r="X2133" s="26">
        <v>0</v>
      </c>
      <c r="Y2133" s="26">
        <v>0</v>
      </c>
      <c r="Z2133" s="26">
        <v>0</v>
      </c>
    </row>
    <row r="2134" spans="1:26" x14ac:dyDescent="0.2">
      <c r="A2134">
        <f t="shared" si="68"/>
        <v>5</v>
      </c>
      <c r="B2134">
        <f t="shared" si="69"/>
        <v>20</v>
      </c>
      <c r="C2134" s="27">
        <v>46158</v>
      </c>
      <c r="D2134" s="26" t="s">
        <v>26</v>
      </c>
      <c r="E2134" s="26" t="s">
        <v>27</v>
      </c>
      <c r="F2134" s="26" t="s">
        <v>28</v>
      </c>
      <c r="G2134" s="26" t="s">
        <v>29</v>
      </c>
      <c r="H2134" s="26" t="s">
        <v>30</v>
      </c>
      <c r="I2134" s="26" t="s">
        <v>154</v>
      </c>
      <c r="J2134" s="26" t="s">
        <v>32</v>
      </c>
      <c r="K2134" s="26" t="s">
        <v>1418</v>
      </c>
      <c r="L2134" s="26">
        <v>2</v>
      </c>
      <c r="M2134" s="26">
        <v>1</v>
      </c>
      <c r="N2134" s="28">
        <v>0.5</v>
      </c>
      <c r="O2134" s="26">
        <v>0.21</v>
      </c>
      <c r="P2134" s="26">
        <v>0.21</v>
      </c>
      <c r="Q2134" s="26">
        <v>0</v>
      </c>
      <c r="R2134" s="26"/>
      <c r="S2134" s="26">
        <v>0</v>
      </c>
      <c r="T2134" s="26">
        <v>0</v>
      </c>
      <c r="U2134" s="26">
        <v>0</v>
      </c>
      <c r="V2134" s="28">
        <v>0</v>
      </c>
      <c r="W2134" s="26">
        <v>0</v>
      </c>
      <c r="X2134" s="26">
        <v>0</v>
      </c>
      <c r="Y2134" s="26">
        <v>0</v>
      </c>
      <c r="Z2134" s="26">
        <v>0</v>
      </c>
    </row>
    <row r="2135" spans="1:26" x14ac:dyDescent="0.2">
      <c r="A2135">
        <f t="shared" si="68"/>
        <v>5</v>
      </c>
      <c r="B2135">
        <f t="shared" si="69"/>
        <v>20</v>
      </c>
      <c r="C2135" s="27">
        <v>46155</v>
      </c>
      <c r="D2135" s="26" t="s">
        <v>26</v>
      </c>
      <c r="E2135" s="26" t="s">
        <v>27</v>
      </c>
      <c r="F2135" s="26" t="s">
        <v>28</v>
      </c>
      <c r="G2135" s="26" t="s">
        <v>29</v>
      </c>
      <c r="H2135" s="26" t="s">
        <v>30</v>
      </c>
      <c r="I2135" s="26" t="s">
        <v>119</v>
      </c>
      <c r="J2135" s="26" t="s">
        <v>32</v>
      </c>
      <c r="K2135" s="26" t="s">
        <v>1419</v>
      </c>
      <c r="L2135" s="26">
        <v>1</v>
      </c>
      <c r="M2135" s="26">
        <v>1</v>
      </c>
      <c r="N2135" s="28">
        <v>1</v>
      </c>
      <c r="O2135" s="26">
        <v>0.16</v>
      </c>
      <c r="P2135" s="26">
        <v>0.16</v>
      </c>
      <c r="Q2135" s="26">
        <v>0</v>
      </c>
      <c r="R2135" s="26"/>
      <c r="S2135" s="26">
        <v>0</v>
      </c>
      <c r="T2135" s="26">
        <v>0</v>
      </c>
      <c r="U2135" s="26">
        <v>0</v>
      </c>
      <c r="V2135" s="28">
        <v>0</v>
      </c>
      <c r="W2135" s="26">
        <v>0</v>
      </c>
      <c r="X2135" s="26">
        <v>0</v>
      </c>
      <c r="Y2135" s="26">
        <v>0</v>
      </c>
      <c r="Z2135" s="26">
        <v>0</v>
      </c>
    </row>
    <row r="2136" spans="1:26" x14ac:dyDescent="0.2">
      <c r="A2136">
        <f t="shared" si="68"/>
        <v>5</v>
      </c>
      <c r="B2136">
        <f t="shared" si="69"/>
        <v>19</v>
      </c>
      <c r="C2136" s="27">
        <v>46145</v>
      </c>
      <c r="D2136" s="26" t="s">
        <v>26</v>
      </c>
      <c r="E2136" s="26" t="s">
        <v>39</v>
      </c>
      <c r="F2136" s="26" t="s">
        <v>40</v>
      </c>
      <c r="G2136" s="26" t="s">
        <v>29</v>
      </c>
      <c r="H2136" s="26" t="s">
        <v>30</v>
      </c>
      <c r="I2136" s="26" t="s">
        <v>1134</v>
      </c>
      <c r="J2136" s="26" t="s">
        <v>42</v>
      </c>
      <c r="K2136" s="26" t="s">
        <v>1420</v>
      </c>
      <c r="L2136" s="26">
        <v>1</v>
      </c>
      <c r="M2136" s="26">
        <v>1</v>
      </c>
      <c r="N2136" s="28">
        <v>1</v>
      </c>
      <c r="O2136" s="26">
        <v>0.59</v>
      </c>
      <c r="P2136" s="26">
        <v>0.59</v>
      </c>
      <c r="Q2136" s="26">
        <v>0</v>
      </c>
      <c r="R2136" s="26"/>
      <c r="S2136" s="26">
        <v>0</v>
      </c>
      <c r="T2136" s="26">
        <v>0</v>
      </c>
      <c r="U2136" s="26">
        <v>0</v>
      </c>
      <c r="V2136" s="28">
        <v>0</v>
      </c>
      <c r="W2136" s="26">
        <v>0</v>
      </c>
      <c r="X2136" s="26">
        <v>0</v>
      </c>
      <c r="Y2136" s="26">
        <v>0</v>
      </c>
      <c r="Z2136" s="26">
        <v>0</v>
      </c>
    </row>
    <row r="2137" spans="1:26" x14ac:dyDescent="0.2">
      <c r="A2137">
        <f t="shared" si="68"/>
        <v>5</v>
      </c>
      <c r="B2137">
        <f t="shared" si="69"/>
        <v>19</v>
      </c>
      <c r="C2137" s="27">
        <v>46149</v>
      </c>
      <c r="D2137" s="26" t="s">
        <v>26</v>
      </c>
      <c r="E2137" s="26" t="s">
        <v>27</v>
      </c>
      <c r="F2137" s="26" t="s">
        <v>28</v>
      </c>
      <c r="G2137" s="26" t="s">
        <v>29</v>
      </c>
      <c r="H2137" s="26" t="s">
        <v>30</v>
      </c>
      <c r="I2137" s="26" t="s">
        <v>50</v>
      </c>
      <c r="J2137" s="26" t="s">
        <v>32</v>
      </c>
      <c r="K2137" s="26" t="s">
        <v>1421</v>
      </c>
      <c r="L2137" s="26">
        <v>1</v>
      </c>
      <c r="M2137" s="26">
        <v>1</v>
      </c>
      <c r="N2137" s="28">
        <v>1</v>
      </c>
      <c r="O2137" s="26">
        <v>0.21</v>
      </c>
      <c r="P2137" s="26">
        <v>0.21</v>
      </c>
      <c r="Q2137" s="26">
        <v>0</v>
      </c>
      <c r="R2137" s="26"/>
      <c r="S2137" s="26">
        <v>0</v>
      </c>
      <c r="T2137" s="26">
        <v>0</v>
      </c>
      <c r="U2137" s="26">
        <v>0</v>
      </c>
      <c r="V2137" s="28">
        <v>0</v>
      </c>
      <c r="W2137" s="26">
        <v>0</v>
      </c>
      <c r="X2137" s="26">
        <v>0</v>
      </c>
      <c r="Y2137" s="26">
        <v>0</v>
      </c>
      <c r="Z2137" s="26">
        <v>0</v>
      </c>
    </row>
    <row r="2138" spans="1:26" x14ac:dyDescent="0.2">
      <c r="A2138">
        <f t="shared" si="68"/>
        <v>5</v>
      </c>
      <c r="B2138">
        <f t="shared" si="69"/>
        <v>18</v>
      </c>
      <c r="C2138" s="27">
        <v>46143</v>
      </c>
      <c r="D2138" s="26" t="s">
        <v>26</v>
      </c>
      <c r="E2138" s="26" t="s">
        <v>27</v>
      </c>
      <c r="F2138" s="26" t="s">
        <v>28</v>
      </c>
      <c r="G2138" s="26" t="s">
        <v>29</v>
      </c>
      <c r="H2138" s="26" t="s">
        <v>30</v>
      </c>
      <c r="I2138" s="26" t="s">
        <v>243</v>
      </c>
      <c r="J2138" s="26" t="s">
        <v>32</v>
      </c>
      <c r="K2138" s="26" t="s">
        <v>1422</v>
      </c>
      <c r="L2138" s="26">
        <v>1</v>
      </c>
      <c r="M2138" s="26">
        <v>1</v>
      </c>
      <c r="N2138" s="28">
        <v>1</v>
      </c>
      <c r="O2138" s="26">
        <v>0.4</v>
      </c>
      <c r="P2138" s="26">
        <v>0.4</v>
      </c>
      <c r="Q2138" s="26">
        <v>17.47</v>
      </c>
      <c r="R2138" s="28">
        <v>2.2896E-2</v>
      </c>
      <c r="S2138" s="26">
        <v>43.68</v>
      </c>
      <c r="T2138" s="26">
        <v>1</v>
      </c>
      <c r="U2138" s="26">
        <v>1</v>
      </c>
      <c r="V2138" s="28">
        <v>1</v>
      </c>
      <c r="W2138" s="26">
        <v>1</v>
      </c>
      <c r="X2138" s="26">
        <v>0</v>
      </c>
      <c r="Y2138" s="26">
        <v>17.47</v>
      </c>
      <c r="Z2138" s="26">
        <v>0</v>
      </c>
    </row>
    <row r="2139" spans="1:26" x14ac:dyDescent="0.2">
      <c r="A2139">
        <f t="shared" si="68"/>
        <v>5</v>
      </c>
      <c r="B2139">
        <f t="shared" si="69"/>
        <v>21</v>
      </c>
      <c r="C2139" s="27">
        <v>46161</v>
      </c>
      <c r="D2139" s="26" t="s">
        <v>26</v>
      </c>
      <c r="E2139" s="26" t="s">
        <v>27</v>
      </c>
      <c r="F2139" s="26" t="s">
        <v>28</v>
      </c>
      <c r="G2139" s="26" t="s">
        <v>29</v>
      </c>
      <c r="H2139" s="26" t="s">
        <v>30</v>
      </c>
      <c r="I2139" s="26" t="s">
        <v>101</v>
      </c>
      <c r="J2139" s="26" t="s">
        <v>32</v>
      </c>
      <c r="K2139" s="26" t="s">
        <v>618</v>
      </c>
      <c r="L2139" s="26">
        <v>3</v>
      </c>
      <c r="M2139" s="26">
        <v>1</v>
      </c>
      <c r="N2139" s="28">
        <v>0.33333299999999999</v>
      </c>
      <c r="O2139" s="26">
        <v>0.21</v>
      </c>
      <c r="P2139" s="26">
        <v>0.21</v>
      </c>
      <c r="Q2139" s="26">
        <v>0</v>
      </c>
      <c r="R2139" s="26"/>
      <c r="S2139" s="26">
        <v>0</v>
      </c>
      <c r="T2139" s="26">
        <v>0</v>
      </c>
      <c r="U2139" s="26">
        <v>0</v>
      </c>
      <c r="V2139" s="28">
        <v>0</v>
      </c>
      <c r="W2139" s="26">
        <v>0</v>
      </c>
      <c r="X2139" s="26">
        <v>0</v>
      </c>
      <c r="Y2139" s="26">
        <v>0</v>
      </c>
      <c r="Z2139" s="26">
        <v>0</v>
      </c>
    </row>
    <row r="2140" spans="1:26" x14ac:dyDescent="0.2">
      <c r="A2140">
        <f t="shared" si="68"/>
        <v>5</v>
      </c>
      <c r="B2140">
        <f t="shared" si="69"/>
        <v>19</v>
      </c>
      <c r="C2140" s="27">
        <v>46145</v>
      </c>
      <c r="D2140" s="26" t="s">
        <v>26</v>
      </c>
      <c r="E2140" s="26" t="s">
        <v>61</v>
      </c>
      <c r="F2140" s="26" t="s">
        <v>62</v>
      </c>
      <c r="G2140" s="26" t="s">
        <v>29</v>
      </c>
      <c r="H2140" s="26" t="s">
        <v>30</v>
      </c>
      <c r="I2140" s="26" t="s">
        <v>95</v>
      </c>
      <c r="J2140" s="26" t="s">
        <v>42</v>
      </c>
      <c r="K2140" s="26" t="s">
        <v>1423</v>
      </c>
      <c r="L2140" s="26">
        <v>29</v>
      </c>
      <c r="M2140" s="26">
        <v>1</v>
      </c>
      <c r="N2140" s="28">
        <v>3.4483E-2</v>
      </c>
      <c r="O2140" s="26">
        <v>1.41</v>
      </c>
      <c r="P2140" s="26">
        <v>1.41</v>
      </c>
      <c r="Q2140" s="26">
        <v>0</v>
      </c>
      <c r="R2140" s="26"/>
      <c r="S2140" s="26">
        <v>0</v>
      </c>
      <c r="T2140" s="26">
        <v>0</v>
      </c>
      <c r="U2140" s="26">
        <v>0</v>
      </c>
      <c r="V2140" s="28">
        <v>0</v>
      </c>
      <c r="W2140" s="26">
        <v>0</v>
      </c>
      <c r="X2140" s="26">
        <v>0</v>
      </c>
      <c r="Y2140" s="26">
        <v>0</v>
      </c>
      <c r="Z2140" s="26">
        <v>0</v>
      </c>
    </row>
    <row r="2141" spans="1:26" x14ac:dyDescent="0.2">
      <c r="A2141">
        <f t="shared" si="68"/>
        <v>5</v>
      </c>
      <c r="B2141">
        <f t="shared" si="69"/>
        <v>18</v>
      </c>
      <c r="C2141" s="27">
        <v>46144</v>
      </c>
      <c r="D2141" s="26" t="s">
        <v>26</v>
      </c>
      <c r="E2141" s="26" t="s">
        <v>27</v>
      </c>
      <c r="F2141" s="26" t="s">
        <v>28</v>
      </c>
      <c r="G2141" s="26" t="s">
        <v>29</v>
      </c>
      <c r="H2141" s="26" t="s">
        <v>30</v>
      </c>
      <c r="I2141" s="26" t="s">
        <v>31</v>
      </c>
      <c r="J2141" s="26" t="s">
        <v>32</v>
      </c>
      <c r="K2141" s="26" t="s">
        <v>1424</v>
      </c>
      <c r="L2141" s="26">
        <v>3</v>
      </c>
      <c r="M2141" s="26">
        <v>1</v>
      </c>
      <c r="N2141" s="28">
        <v>0.33333299999999999</v>
      </c>
      <c r="O2141" s="26">
        <v>0.21</v>
      </c>
      <c r="P2141" s="26">
        <v>0.21</v>
      </c>
      <c r="Q2141" s="26">
        <v>0</v>
      </c>
      <c r="R2141" s="26"/>
      <c r="S2141" s="26">
        <v>0</v>
      </c>
      <c r="T2141" s="26">
        <v>0</v>
      </c>
      <c r="U2141" s="26">
        <v>0</v>
      </c>
      <c r="V2141" s="28">
        <v>0</v>
      </c>
      <c r="W2141" s="26">
        <v>0</v>
      </c>
      <c r="X2141" s="26">
        <v>0</v>
      </c>
      <c r="Y2141" s="26">
        <v>0</v>
      </c>
      <c r="Z2141" s="26">
        <v>0</v>
      </c>
    </row>
    <row r="2142" spans="1:26" x14ac:dyDescent="0.2">
      <c r="A2142">
        <f t="shared" si="68"/>
        <v>5</v>
      </c>
      <c r="B2142">
        <f t="shared" si="69"/>
        <v>20</v>
      </c>
      <c r="C2142" s="27">
        <v>46158</v>
      </c>
      <c r="D2142" s="26" t="s">
        <v>26</v>
      </c>
      <c r="E2142" s="26" t="s">
        <v>27</v>
      </c>
      <c r="F2142" s="26" t="s">
        <v>28</v>
      </c>
      <c r="G2142" s="26" t="s">
        <v>29</v>
      </c>
      <c r="H2142" s="26" t="s">
        <v>30</v>
      </c>
      <c r="I2142" s="26" t="s">
        <v>50</v>
      </c>
      <c r="J2142" s="26" t="s">
        <v>32</v>
      </c>
      <c r="K2142" s="26" t="s">
        <v>1425</v>
      </c>
      <c r="L2142" s="26">
        <v>1</v>
      </c>
      <c r="M2142" s="26">
        <v>1</v>
      </c>
      <c r="N2142" s="28">
        <v>1</v>
      </c>
      <c r="O2142" s="26">
        <v>0.21</v>
      </c>
      <c r="P2142" s="26">
        <v>0.21</v>
      </c>
      <c r="Q2142" s="26">
        <v>0</v>
      </c>
      <c r="R2142" s="26"/>
      <c r="S2142" s="26">
        <v>0</v>
      </c>
      <c r="T2142" s="26">
        <v>0</v>
      </c>
      <c r="U2142" s="26">
        <v>0</v>
      </c>
      <c r="V2142" s="28">
        <v>0</v>
      </c>
      <c r="W2142" s="26">
        <v>0</v>
      </c>
      <c r="X2142" s="26">
        <v>0</v>
      </c>
      <c r="Y2142" s="26">
        <v>0</v>
      </c>
      <c r="Z2142" s="26">
        <v>0</v>
      </c>
    </row>
    <row r="2143" spans="1:26" x14ac:dyDescent="0.2">
      <c r="A2143">
        <f t="shared" si="68"/>
        <v>5</v>
      </c>
      <c r="B2143">
        <f t="shared" si="69"/>
        <v>20</v>
      </c>
      <c r="C2143" s="27">
        <v>46158</v>
      </c>
      <c r="D2143" s="26" t="s">
        <v>26</v>
      </c>
      <c r="E2143" s="26" t="s">
        <v>27</v>
      </c>
      <c r="F2143" s="26" t="s">
        <v>28</v>
      </c>
      <c r="G2143" s="26" t="s">
        <v>29</v>
      </c>
      <c r="H2143" s="26" t="s">
        <v>30</v>
      </c>
      <c r="I2143" s="26" t="s">
        <v>119</v>
      </c>
      <c r="J2143" s="26" t="s">
        <v>32</v>
      </c>
      <c r="K2143" s="26" t="s">
        <v>1426</v>
      </c>
      <c r="L2143" s="26">
        <v>1</v>
      </c>
      <c r="M2143" s="26">
        <v>1</v>
      </c>
      <c r="N2143" s="28">
        <v>1</v>
      </c>
      <c r="O2143" s="26">
        <v>0.16</v>
      </c>
      <c r="P2143" s="26">
        <v>0.16</v>
      </c>
      <c r="Q2143" s="26">
        <v>0</v>
      </c>
      <c r="R2143" s="26"/>
      <c r="S2143" s="26">
        <v>0</v>
      </c>
      <c r="T2143" s="26">
        <v>0</v>
      </c>
      <c r="U2143" s="26">
        <v>0</v>
      </c>
      <c r="V2143" s="28">
        <v>0</v>
      </c>
      <c r="W2143" s="26">
        <v>0</v>
      </c>
      <c r="X2143" s="26">
        <v>0</v>
      </c>
      <c r="Y2143" s="26">
        <v>0</v>
      </c>
      <c r="Z2143" s="26">
        <v>0</v>
      </c>
    </row>
    <row r="2144" spans="1:26" x14ac:dyDescent="0.2">
      <c r="A2144">
        <f t="shared" si="68"/>
        <v>5</v>
      </c>
      <c r="B2144">
        <f t="shared" si="69"/>
        <v>19</v>
      </c>
      <c r="C2144" s="27">
        <v>46149</v>
      </c>
      <c r="D2144" s="26" t="s">
        <v>26</v>
      </c>
      <c r="E2144" s="26" t="s">
        <v>27</v>
      </c>
      <c r="F2144" s="26" t="s">
        <v>28</v>
      </c>
      <c r="G2144" s="26" t="s">
        <v>29</v>
      </c>
      <c r="H2144" s="26" t="s">
        <v>30</v>
      </c>
      <c r="I2144" s="26" t="s">
        <v>119</v>
      </c>
      <c r="J2144" s="26" t="s">
        <v>32</v>
      </c>
      <c r="K2144" s="26" t="s">
        <v>1427</v>
      </c>
      <c r="L2144" s="26">
        <v>6</v>
      </c>
      <c r="M2144" s="26">
        <v>1</v>
      </c>
      <c r="N2144" s="28">
        <v>0.16666700000000001</v>
      </c>
      <c r="O2144" s="26">
        <v>0.16</v>
      </c>
      <c r="P2144" s="26">
        <v>0.16</v>
      </c>
      <c r="Q2144" s="26">
        <v>0</v>
      </c>
      <c r="R2144" s="26"/>
      <c r="S2144" s="26">
        <v>0</v>
      </c>
      <c r="T2144" s="26">
        <v>0</v>
      </c>
      <c r="U2144" s="26">
        <v>0</v>
      </c>
      <c r="V2144" s="28">
        <v>0</v>
      </c>
      <c r="W2144" s="26">
        <v>0</v>
      </c>
      <c r="X2144" s="26">
        <v>0</v>
      </c>
      <c r="Y2144" s="26">
        <v>0</v>
      </c>
      <c r="Z2144" s="26">
        <v>0</v>
      </c>
    </row>
    <row r="2145" spans="1:26" x14ac:dyDescent="0.2">
      <c r="A2145">
        <f t="shared" si="68"/>
        <v>5</v>
      </c>
      <c r="B2145">
        <f t="shared" si="69"/>
        <v>19</v>
      </c>
      <c r="C2145" s="27">
        <v>46147</v>
      </c>
      <c r="D2145" s="26" t="s">
        <v>26</v>
      </c>
      <c r="E2145" s="26" t="s">
        <v>27</v>
      </c>
      <c r="F2145" s="26" t="s">
        <v>28</v>
      </c>
      <c r="G2145" s="26" t="s">
        <v>29</v>
      </c>
      <c r="H2145" s="26" t="s">
        <v>30</v>
      </c>
      <c r="I2145" s="26" t="s">
        <v>50</v>
      </c>
      <c r="J2145" s="26" t="s">
        <v>32</v>
      </c>
      <c r="K2145" s="26" t="s">
        <v>1428</v>
      </c>
      <c r="L2145" s="26">
        <v>1</v>
      </c>
      <c r="M2145" s="26">
        <v>1</v>
      </c>
      <c r="N2145" s="28">
        <v>1</v>
      </c>
      <c r="O2145" s="26">
        <v>0.21</v>
      </c>
      <c r="P2145" s="26">
        <v>0.21</v>
      </c>
      <c r="Q2145" s="26">
        <v>0</v>
      </c>
      <c r="R2145" s="26"/>
      <c r="S2145" s="26">
        <v>0</v>
      </c>
      <c r="T2145" s="26">
        <v>0</v>
      </c>
      <c r="U2145" s="26">
        <v>0</v>
      </c>
      <c r="V2145" s="28">
        <v>0</v>
      </c>
      <c r="W2145" s="26">
        <v>0</v>
      </c>
      <c r="X2145" s="26">
        <v>0</v>
      </c>
      <c r="Y2145" s="26">
        <v>0</v>
      </c>
      <c r="Z2145" s="26">
        <v>0</v>
      </c>
    </row>
    <row r="2146" spans="1:26" x14ac:dyDescent="0.2">
      <c r="A2146">
        <f t="shared" si="68"/>
        <v>5</v>
      </c>
      <c r="B2146">
        <f t="shared" si="69"/>
        <v>21</v>
      </c>
      <c r="C2146" s="27">
        <v>46161</v>
      </c>
      <c r="D2146" s="26" t="s">
        <v>26</v>
      </c>
      <c r="E2146" s="26" t="s">
        <v>49</v>
      </c>
      <c r="F2146" s="26" t="s">
        <v>50</v>
      </c>
      <c r="G2146" s="26" t="s">
        <v>29</v>
      </c>
      <c r="H2146" s="26" t="s">
        <v>30</v>
      </c>
      <c r="I2146" s="26" t="s">
        <v>95</v>
      </c>
      <c r="J2146" s="26" t="s">
        <v>42</v>
      </c>
      <c r="K2146" s="26" t="s">
        <v>1429</v>
      </c>
      <c r="L2146" s="26">
        <v>3</v>
      </c>
      <c r="M2146" s="26">
        <v>1</v>
      </c>
      <c r="N2146" s="28">
        <v>0.33333299999999999</v>
      </c>
      <c r="O2146" s="26">
        <v>0.56000000000000005</v>
      </c>
      <c r="P2146" s="26">
        <v>0.56000000000000005</v>
      </c>
      <c r="Q2146" s="26">
        <v>0</v>
      </c>
      <c r="R2146" s="26"/>
      <c r="S2146" s="26">
        <v>0</v>
      </c>
      <c r="T2146" s="26">
        <v>0</v>
      </c>
      <c r="U2146" s="26">
        <v>0</v>
      </c>
      <c r="V2146" s="28">
        <v>0</v>
      </c>
      <c r="W2146" s="26">
        <v>0</v>
      </c>
      <c r="X2146" s="26">
        <v>0</v>
      </c>
      <c r="Y2146" s="26">
        <v>0</v>
      </c>
      <c r="Z2146" s="26">
        <v>0</v>
      </c>
    </row>
    <row r="2147" spans="1:26" x14ac:dyDescent="0.2">
      <c r="A2147">
        <f t="shared" si="68"/>
        <v>5</v>
      </c>
      <c r="B2147">
        <f t="shared" si="69"/>
        <v>20</v>
      </c>
      <c r="C2147" s="27">
        <v>46156</v>
      </c>
      <c r="D2147" s="26" t="s">
        <v>26</v>
      </c>
      <c r="E2147" s="26" t="s">
        <v>27</v>
      </c>
      <c r="F2147" s="26" t="s">
        <v>28</v>
      </c>
      <c r="G2147" s="26" t="s">
        <v>29</v>
      </c>
      <c r="H2147" s="26" t="s">
        <v>30</v>
      </c>
      <c r="I2147" s="26" t="s">
        <v>101</v>
      </c>
      <c r="J2147" s="26" t="s">
        <v>32</v>
      </c>
      <c r="K2147" s="26" t="s">
        <v>340</v>
      </c>
      <c r="L2147" s="26">
        <v>1</v>
      </c>
      <c r="M2147" s="26">
        <v>1</v>
      </c>
      <c r="N2147" s="28">
        <v>1</v>
      </c>
      <c r="O2147" s="26">
        <v>0.21</v>
      </c>
      <c r="P2147" s="26">
        <v>0.21</v>
      </c>
      <c r="Q2147" s="26">
        <v>0</v>
      </c>
      <c r="R2147" s="26"/>
      <c r="S2147" s="26">
        <v>0</v>
      </c>
      <c r="T2147" s="26">
        <v>0</v>
      </c>
      <c r="U2147" s="26">
        <v>0</v>
      </c>
      <c r="V2147" s="28">
        <v>0</v>
      </c>
      <c r="W2147" s="26">
        <v>0</v>
      </c>
      <c r="X2147" s="26">
        <v>0</v>
      </c>
      <c r="Y2147" s="26">
        <v>0</v>
      </c>
      <c r="Z2147" s="26">
        <v>0</v>
      </c>
    </row>
    <row r="2148" spans="1:26" x14ac:dyDescent="0.2">
      <c r="A2148">
        <f t="shared" si="68"/>
        <v>5</v>
      </c>
      <c r="B2148">
        <f t="shared" si="69"/>
        <v>19</v>
      </c>
      <c r="C2148" s="27">
        <v>46148</v>
      </c>
      <c r="D2148" s="26" t="s">
        <v>26</v>
      </c>
      <c r="E2148" s="26" t="s">
        <v>49</v>
      </c>
      <c r="F2148" s="26" t="s">
        <v>50</v>
      </c>
      <c r="G2148" s="26" t="s">
        <v>29</v>
      </c>
      <c r="H2148" s="26" t="s">
        <v>30</v>
      </c>
      <c r="I2148" s="26" t="s">
        <v>95</v>
      </c>
      <c r="J2148" s="26" t="s">
        <v>42</v>
      </c>
      <c r="K2148" s="26" t="s">
        <v>1430</v>
      </c>
      <c r="L2148" s="26">
        <v>1</v>
      </c>
      <c r="M2148" s="26">
        <v>1</v>
      </c>
      <c r="N2148" s="28">
        <v>1</v>
      </c>
      <c r="O2148" s="26">
        <v>0.6</v>
      </c>
      <c r="P2148" s="26">
        <v>0.6</v>
      </c>
      <c r="Q2148" s="26">
        <v>0</v>
      </c>
      <c r="R2148" s="26"/>
      <c r="S2148" s="26">
        <v>0</v>
      </c>
      <c r="T2148" s="26">
        <v>0</v>
      </c>
      <c r="U2148" s="26">
        <v>0</v>
      </c>
      <c r="V2148" s="28">
        <v>0</v>
      </c>
      <c r="W2148" s="26">
        <v>0</v>
      </c>
      <c r="X2148" s="26">
        <v>0</v>
      </c>
      <c r="Y2148" s="26">
        <v>0</v>
      </c>
      <c r="Z2148" s="26">
        <v>0</v>
      </c>
    </row>
    <row r="2149" spans="1:26" x14ac:dyDescent="0.2">
      <c r="A2149">
        <f t="shared" si="68"/>
        <v>5</v>
      </c>
      <c r="B2149">
        <f t="shared" si="69"/>
        <v>19</v>
      </c>
      <c r="C2149" s="27">
        <v>46148</v>
      </c>
      <c r="D2149" s="26" t="s">
        <v>26</v>
      </c>
      <c r="E2149" s="26" t="s">
        <v>27</v>
      </c>
      <c r="F2149" s="26" t="s">
        <v>28</v>
      </c>
      <c r="G2149" s="26" t="s">
        <v>29</v>
      </c>
      <c r="H2149" s="26" t="s">
        <v>30</v>
      </c>
      <c r="I2149" s="26" t="s">
        <v>44</v>
      </c>
      <c r="J2149" s="26" t="s">
        <v>32</v>
      </c>
      <c r="K2149" s="26" t="s">
        <v>1431</v>
      </c>
      <c r="L2149" s="26">
        <v>1</v>
      </c>
      <c r="M2149" s="26">
        <v>1</v>
      </c>
      <c r="N2149" s="28">
        <v>1</v>
      </c>
      <c r="O2149" s="26">
        <v>0.23</v>
      </c>
      <c r="P2149" s="26">
        <v>0.23</v>
      </c>
      <c r="Q2149" s="26">
        <v>0</v>
      </c>
      <c r="R2149" s="26"/>
      <c r="S2149" s="26">
        <v>0</v>
      </c>
      <c r="T2149" s="26">
        <v>0</v>
      </c>
      <c r="U2149" s="26">
        <v>0</v>
      </c>
      <c r="V2149" s="28">
        <v>0</v>
      </c>
      <c r="W2149" s="26">
        <v>0</v>
      </c>
      <c r="X2149" s="26">
        <v>0</v>
      </c>
      <c r="Y2149" s="26">
        <v>0</v>
      </c>
      <c r="Z2149" s="26">
        <v>0</v>
      </c>
    </row>
    <row r="2150" spans="1:26" x14ac:dyDescent="0.2">
      <c r="A2150">
        <f t="shared" si="68"/>
        <v>5</v>
      </c>
      <c r="B2150">
        <f t="shared" si="69"/>
        <v>21</v>
      </c>
      <c r="C2150" s="27">
        <v>46159</v>
      </c>
      <c r="D2150" s="26" t="s">
        <v>26</v>
      </c>
      <c r="E2150" s="26" t="s">
        <v>27</v>
      </c>
      <c r="F2150" s="26" t="s">
        <v>28</v>
      </c>
      <c r="G2150" s="26" t="s">
        <v>29</v>
      </c>
      <c r="H2150" s="26" t="s">
        <v>30</v>
      </c>
      <c r="I2150" s="26" t="s">
        <v>542</v>
      </c>
      <c r="J2150" s="26" t="s">
        <v>32</v>
      </c>
      <c r="K2150" s="26" t="s">
        <v>1432</v>
      </c>
      <c r="L2150" s="26">
        <v>2</v>
      </c>
      <c r="M2150" s="26">
        <v>1</v>
      </c>
      <c r="N2150" s="28">
        <v>0.5</v>
      </c>
      <c r="O2150" s="26">
        <v>0.16</v>
      </c>
      <c r="P2150" s="26">
        <v>0.16</v>
      </c>
      <c r="Q2150" s="26">
        <v>0</v>
      </c>
      <c r="R2150" s="26"/>
      <c r="S2150" s="26">
        <v>0</v>
      </c>
      <c r="T2150" s="26">
        <v>0</v>
      </c>
      <c r="U2150" s="26">
        <v>0</v>
      </c>
      <c r="V2150" s="28">
        <v>0</v>
      </c>
      <c r="W2150" s="26">
        <v>0</v>
      </c>
      <c r="X2150" s="26">
        <v>0</v>
      </c>
      <c r="Y2150" s="26">
        <v>0</v>
      </c>
      <c r="Z2150" s="26">
        <v>0</v>
      </c>
    </row>
    <row r="2151" spans="1:26" x14ac:dyDescent="0.2">
      <c r="A2151">
        <f t="shared" si="68"/>
        <v>5</v>
      </c>
      <c r="B2151">
        <f t="shared" si="69"/>
        <v>21</v>
      </c>
      <c r="C2151" s="27">
        <v>46160</v>
      </c>
      <c r="D2151" s="26" t="s">
        <v>26</v>
      </c>
      <c r="E2151" s="26" t="s">
        <v>27</v>
      </c>
      <c r="F2151" s="26" t="s">
        <v>28</v>
      </c>
      <c r="G2151" s="26" t="s">
        <v>29</v>
      </c>
      <c r="H2151" s="26" t="s">
        <v>30</v>
      </c>
      <c r="I2151" s="26" t="s">
        <v>31</v>
      </c>
      <c r="J2151" s="26" t="s">
        <v>32</v>
      </c>
      <c r="K2151" s="26" t="s">
        <v>901</v>
      </c>
      <c r="L2151" s="26">
        <v>2</v>
      </c>
      <c r="M2151" s="26">
        <v>1</v>
      </c>
      <c r="N2151" s="28">
        <v>0.5</v>
      </c>
      <c r="O2151" s="26">
        <v>0.21</v>
      </c>
      <c r="P2151" s="26">
        <v>0.21</v>
      </c>
      <c r="Q2151" s="26">
        <v>0</v>
      </c>
      <c r="R2151" s="26"/>
      <c r="S2151" s="26">
        <v>0</v>
      </c>
      <c r="T2151" s="26">
        <v>0</v>
      </c>
      <c r="U2151" s="26">
        <v>0</v>
      </c>
      <c r="V2151" s="28">
        <v>0</v>
      </c>
      <c r="W2151" s="26">
        <v>0</v>
      </c>
      <c r="X2151" s="26">
        <v>0</v>
      </c>
      <c r="Y2151" s="26">
        <v>0</v>
      </c>
      <c r="Z2151" s="26">
        <v>0</v>
      </c>
    </row>
    <row r="2152" spans="1:26" x14ac:dyDescent="0.2">
      <c r="A2152">
        <f t="shared" si="68"/>
        <v>5</v>
      </c>
      <c r="B2152">
        <f t="shared" si="69"/>
        <v>20</v>
      </c>
      <c r="C2152" s="27">
        <v>46155</v>
      </c>
      <c r="D2152" s="26" t="s">
        <v>26</v>
      </c>
      <c r="E2152" s="26" t="s">
        <v>27</v>
      </c>
      <c r="F2152" s="26" t="s">
        <v>28</v>
      </c>
      <c r="G2152" s="26" t="s">
        <v>29</v>
      </c>
      <c r="H2152" s="26" t="s">
        <v>30</v>
      </c>
      <c r="I2152" s="26" t="s">
        <v>133</v>
      </c>
      <c r="J2152" s="26" t="s">
        <v>32</v>
      </c>
      <c r="K2152" s="26" t="s">
        <v>1433</v>
      </c>
      <c r="L2152" s="26">
        <v>1</v>
      </c>
      <c r="M2152" s="26">
        <v>1</v>
      </c>
      <c r="N2152" s="28">
        <v>1</v>
      </c>
      <c r="O2152" s="26">
        <v>0.21</v>
      </c>
      <c r="P2152" s="26">
        <v>0.21</v>
      </c>
      <c r="Q2152" s="26">
        <v>0</v>
      </c>
      <c r="R2152" s="26"/>
      <c r="S2152" s="26">
        <v>0</v>
      </c>
      <c r="T2152" s="26">
        <v>0</v>
      </c>
      <c r="U2152" s="26">
        <v>0</v>
      </c>
      <c r="V2152" s="28">
        <v>0</v>
      </c>
      <c r="W2152" s="26">
        <v>0</v>
      </c>
      <c r="X2152" s="26">
        <v>0</v>
      </c>
      <c r="Y2152" s="26">
        <v>0</v>
      </c>
      <c r="Z2152" s="26">
        <v>0</v>
      </c>
    </row>
    <row r="2153" spans="1:26" x14ac:dyDescent="0.2">
      <c r="A2153">
        <f t="shared" si="68"/>
        <v>5</v>
      </c>
      <c r="B2153">
        <f t="shared" si="69"/>
        <v>20</v>
      </c>
      <c r="C2153" s="27">
        <v>46157</v>
      </c>
      <c r="D2153" s="26" t="s">
        <v>26</v>
      </c>
      <c r="E2153" s="26" t="s">
        <v>27</v>
      </c>
      <c r="F2153" s="26" t="s">
        <v>28</v>
      </c>
      <c r="G2153" s="26" t="s">
        <v>29</v>
      </c>
      <c r="H2153" s="26" t="s">
        <v>30</v>
      </c>
      <c r="I2153" s="26" t="s">
        <v>133</v>
      </c>
      <c r="J2153" s="26" t="s">
        <v>32</v>
      </c>
      <c r="K2153" s="26" t="s">
        <v>1434</v>
      </c>
      <c r="L2153" s="26">
        <v>1</v>
      </c>
      <c r="M2153" s="26">
        <v>1</v>
      </c>
      <c r="N2153" s="28">
        <v>1</v>
      </c>
      <c r="O2153" s="26">
        <v>0.08</v>
      </c>
      <c r="P2153" s="26">
        <v>0.08</v>
      </c>
      <c r="Q2153" s="26">
        <v>0</v>
      </c>
      <c r="R2153" s="26"/>
      <c r="S2153" s="26">
        <v>0</v>
      </c>
      <c r="T2153" s="26">
        <v>0</v>
      </c>
      <c r="U2153" s="26">
        <v>0</v>
      </c>
      <c r="V2153" s="28">
        <v>0</v>
      </c>
      <c r="W2153" s="26">
        <v>0</v>
      </c>
      <c r="X2153" s="26">
        <v>0</v>
      </c>
      <c r="Y2153" s="26">
        <v>0</v>
      </c>
      <c r="Z2153" s="26">
        <v>0</v>
      </c>
    </row>
    <row r="2154" spans="1:26" x14ac:dyDescent="0.2">
      <c r="A2154">
        <f t="shared" si="68"/>
        <v>5</v>
      </c>
      <c r="B2154">
        <f t="shared" si="69"/>
        <v>19</v>
      </c>
      <c r="C2154" s="27">
        <v>46151</v>
      </c>
      <c r="D2154" s="26" t="s">
        <v>26</v>
      </c>
      <c r="E2154" s="26" t="s">
        <v>27</v>
      </c>
      <c r="F2154" s="26" t="s">
        <v>28</v>
      </c>
      <c r="G2154" s="26" t="s">
        <v>29</v>
      </c>
      <c r="H2154" s="26" t="s">
        <v>30</v>
      </c>
      <c r="I2154" s="26" t="s">
        <v>31</v>
      </c>
      <c r="J2154" s="26" t="s">
        <v>32</v>
      </c>
      <c r="K2154" s="26" t="s">
        <v>1435</v>
      </c>
      <c r="L2154" s="26">
        <v>2</v>
      </c>
      <c r="M2154" s="26">
        <v>1</v>
      </c>
      <c r="N2154" s="28">
        <v>0.5</v>
      </c>
      <c r="O2154" s="26">
        <v>0.21</v>
      </c>
      <c r="P2154" s="26">
        <v>0.21</v>
      </c>
      <c r="Q2154" s="26">
        <v>0</v>
      </c>
      <c r="R2154" s="26"/>
      <c r="S2154" s="26">
        <v>0</v>
      </c>
      <c r="T2154" s="26">
        <v>0</v>
      </c>
      <c r="U2154" s="26">
        <v>0</v>
      </c>
      <c r="V2154" s="28">
        <v>0</v>
      </c>
      <c r="W2154" s="26">
        <v>0</v>
      </c>
      <c r="X2154" s="26">
        <v>0</v>
      </c>
      <c r="Y2154" s="26">
        <v>0</v>
      </c>
      <c r="Z2154" s="26">
        <v>0</v>
      </c>
    </row>
    <row r="2155" spans="1:26" x14ac:dyDescent="0.2">
      <c r="A2155">
        <f t="shared" si="68"/>
        <v>5</v>
      </c>
      <c r="B2155">
        <f t="shared" si="69"/>
        <v>20</v>
      </c>
      <c r="C2155" s="27">
        <v>46158</v>
      </c>
      <c r="D2155" s="26" t="s">
        <v>26</v>
      </c>
      <c r="E2155" s="26" t="s">
        <v>27</v>
      </c>
      <c r="F2155" s="26" t="s">
        <v>28</v>
      </c>
      <c r="G2155" s="26" t="s">
        <v>29</v>
      </c>
      <c r="H2155" s="26" t="s">
        <v>30</v>
      </c>
      <c r="I2155" s="26" t="s">
        <v>31</v>
      </c>
      <c r="J2155" s="26" t="s">
        <v>32</v>
      </c>
      <c r="K2155" s="26" t="s">
        <v>1436</v>
      </c>
      <c r="L2155" s="26">
        <v>6</v>
      </c>
      <c r="M2155" s="26">
        <v>1</v>
      </c>
      <c r="N2155" s="28">
        <v>0.16666700000000001</v>
      </c>
      <c r="O2155" s="26">
        <v>0.21</v>
      </c>
      <c r="P2155" s="26">
        <v>0.21</v>
      </c>
      <c r="Q2155" s="26">
        <v>0</v>
      </c>
      <c r="R2155" s="26"/>
      <c r="S2155" s="26">
        <v>0</v>
      </c>
      <c r="T2155" s="26">
        <v>0</v>
      </c>
      <c r="U2155" s="26">
        <v>0</v>
      </c>
      <c r="V2155" s="28">
        <v>0</v>
      </c>
      <c r="W2155" s="26">
        <v>0</v>
      </c>
      <c r="X2155" s="26">
        <v>0</v>
      </c>
      <c r="Y2155" s="26">
        <v>0</v>
      </c>
      <c r="Z2155" s="26">
        <v>0</v>
      </c>
    </row>
    <row r="2156" spans="1:26" x14ac:dyDescent="0.2">
      <c r="A2156">
        <f t="shared" si="68"/>
        <v>5</v>
      </c>
      <c r="B2156">
        <f t="shared" si="69"/>
        <v>18</v>
      </c>
      <c r="C2156" s="27">
        <v>46144</v>
      </c>
      <c r="D2156" s="26" t="s">
        <v>26</v>
      </c>
      <c r="E2156" s="26" t="s">
        <v>27</v>
      </c>
      <c r="F2156" s="26" t="s">
        <v>28</v>
      </c>
      <c r="G2156" s="26" t="s">
        <v>29</v>
      </c>
      <c r="H2156" s="26" t="s">
        <v>30</v>
      </c>
      <c r="I2156" s="26" t="s">
        <v>542</v>
      </c>
      <c r="J2156" s="26" t="s">
        <v>32</v>
      </c>
      <c r="K2156" s="26" t="s">
        <v>1437</v>
      </c>
      <c r="L2156" s="26">
        <v>2</v>
      </c>
      <c r="M2156" s="26">
        <v>1</v>
      </c>
      <c r="N2156" s="28">
        <v>0.5</v>
      </c>
      <c r="O2156" s="26">
        <v>0.21</v>
      </c>
      <c r="P2156" s="26">
        <v>0.21</v>
      </c>
      <c r="Q2156" s="26">
        <v>0</v>
      </c>
      <c r="R2156" s="26"/>
      <c r="S2156" s="26">
        <v>0</v>
      </c>
      <c r="T2156" s="26">
        <v>0</v>
      </c>
      <c r="U2156" s="26">
        <v>0</v>
      </c>
      <c r="V2156" s="28">
        <v>0</v>
      </c>
      <c r="W2156" s="26">
        <v>0</v>
      </c>
      <c r="X2156" s="26">
        <v>0</v>
      </c>
      <c r="Y2156" s="26">
        <v>0</v>
      </c>
      <c r="Z2156" s="26">
        <v>0</v>
      </c>
    </row>
    <row r="2157" spans="1:26" x14ac:dyDescent="0.2">
      <c r="A2157">
        <f t="shared" si="68"/>
        <v>5</v>
      </c>
      <c r="B2157">
        <f t="shared" si="69"/>
        <v>21</v>
      </c>
      <c r="C2157" s="27">
        <v>46162</v>
      </c>
      <c r="D2157" s="26" t="s">
        <v>26</v>
      </c>
      <c r="E2157" s="26" t="s">
        <v>27</v>
      </c>
      <c r="F2157" s="26" t="s">
        <v>28</v>
      </c>
      <c r="G2157" s="26" t="s">
        <v>29</v>
      </c>
      <c r="H2157" s="26" t="s">
        <v>30</v>
      </c>
      <c r="I2157" s="26" t="s">
        <v>243</v>
      </c>
      <c r="J2157" s="26" t="s">
        <v>32</v>
      </c>
      <c r="K2157" s="26" t="s">
        <v>1438</v>
      </c>
      <c r="L2157" s="26">
        <v>1</v>
      </c>
      <c r="M2157" s="26">
        <v>1</v>
      </c>
      <c r="N2157" s="28">
        <v>1</v>
      </c>
      <c r="O2157" s="26">
        <v>0.21</v>
      </c>
      <c r="P2157" s="26">
        <v>0.21</v>
      </c>
      <c r="Q2157" s="26">
        <v>0</v>
      </c>
      <c r="R2157" s="26"/>
      <c r="S2157" s="26">
        <v>0</v>
      </c>
      <c r="T2157" s="26">
        <v>0</v>
      </c>
      <c r="U2157" s="26">
        <v>0</v>
      </c>
      <c r="V2157" s="28">
        <v>0</v>
      </c>
      <c r="W2157" s="26">
        <v>0</v>
      </c>
      <c r="X2157" s="26">
        <v>0</v>
      </c>
      <c r="Y2157" s="26">
        <v>0</v>
      </c>
      <c r="Z2157" s="26">
        <v>0</v>
      </c>
    </row>
    <row r="2158" spans="1:26" x14ac:dyDescent="0.2">
      <c r="A2158">
        <f t="shared" si="68"/>
        <v>5</v>
      </c>
      <c r="B2158">
        <f t="shared" si="69"/>
        <v>21</v>
      </c>
      <c r="C2158" s="27">
        <v>46161</v>
      </c>
      <c r="D2158" s="26" t="s">
        <v>26</v>
      </c>
      <c r="E2158" s="26" t="s">
        <v>27</v>
      </c>
      <c r="F2158" s="26" t="s">
        <v>28</v>
      </c>
      <c r="G2158" s="26" t="s">
        <v>29</v>
      </c>
      <c r="H2158" s="26" t="s">
        <v>30</v>
      </c>
      <c r="I2158" s="26" t="s">
        <v>119</v>
      </c>
      <c r="J2158" s="26" t="s">
        <v>32</v>
      </c>
      <c r="K2158" s="26" t="s">
        <v>1439</v>
      </c>
      <c r="L2158" s="26">
        <v>1</v>
      </c>
      <c r="M2158" s="26">
        <v>1</v>
      </c>
      <c r="N2158" s="28">
        <v>1</v>
      </c>
      <c r="O2158" s="26">
        <v>0.15</v>
      </c>
      <c r="P2158" s="26">
        <v>0.15</v>
      </c>
      <c r="Q2158" s="26">
        <v>0</v>
      </c>
      <c r="R2158" s="26"/>
      <c r="S2158" s="26">
        <v>0</v>
      </c>
      <c r="T2158" s="26">
        <v>0</v>
      </c>
      <c r="U2158" s="26">
        <v>0</v>
      </c>
      <c r="V2158" s="28">
        <v>0</v>
      </c>
      <c r="W2158" s="26">
        <v>0</v>
      </c>
      <c r="X2158" s="26">
        <v>0</v>
      </c>
      <c r="Y2158" s="26">
        <v>0</v>
      </c>
      <c r="Z2158" s="26">
        <v>0</v>
      </c>
    </row>
    <row r="2159" spans="1:26" x14ac:dyDescent="0.2">
      <c r="A2159">
        <f t="shared" si="68"/>
        <v>5</v>
      </c>
      <c r="B2159">
        <f t="shared" si="69"/>
        <v>20</v>
      </c>
      <c r="C2159" s="27">
        <v>46152</v>
      </c>
      <c r="D2159" s="26" t="s">
        <v>26</v>
      </c>
      <c r="E2159" s="26" t="s">
        <v>27</v>
      </c>
      <c r="F2159" s="26" t="s">
        <v>28</v>
      </c>
      <c r="G2159" s="26" t="s">
        <v>29</v>
      </c>
      <c r="H2159" s="26" t="s">
        <v>30</v>
      </c>
      <c r="I2159" s="26" t="s">
        <v>31</v>
      </c>
      <c r="J2159" s="26" t="s">
        <v>32</v>
      </c>
      <c r="K2159" s="26" t="s">
        <v>1440</v>
      </c>
      <c r="L2159" s="26">
        <v>3</v>
      </c>
      <c r="M2159" s="26">
        <v>1</v>
      </c>
      <c r="N2159" s="28">
        <v>0.33333299999999999</v>
      </c>
      <c r="O2159" s="26">
        <v>0.21</v>
      </c>
      <c r="P2159" s="26">
        <v>0.21</v>
      </c>
      <c r="Q2159" s="26">
        <v>0</v>
      </c>
      <c r="R2159" s="26"/>
      <c r="S2159" s="26">
        <v>0</v>
      </c>
      <c r="T2159" s="26">
        <v>0</v>
      </c>
      <c r="U2159" s="26">
        <v>0</v>
      </c>
      <c r="V2159" s="28">
        <v>0</v>
      </c>
      <c r="W2159" s="26">
        <v>0</v>
      </c>
      <c r="X2159" s="26">
        <v>0</v>
      </c>
      <c r="Y2159" s="26">
        <v>0</v>
      </c>
      <c r="Z2159" s="26">
        <v>0</v>
      </c>
    </row>
    <row r="2160" spans="1:26" x14ac:dyDescent="0.2">
      <c r="A2160">
        <f t="shared" si="68"/>
        <v>5</v>
      </c>
      <c r="B2160">
        <f t="shared" si="69"/>
        <v>20</v>
      </c>
      <c r="C2160" s="27">
        <v>46158</v>
      </c>
      <c r="D2160" s="26" t="s">
        <v>26</v>
      </c>
      <c r="E2160" s="26" t="s">
        <v>49</v>
      </c>
      <c r="F2160" s="26" t="s">
        <v>50</v>
      </c>
      <c r="G2160" s="26" t="s">
        <v>29</v>
      </c>
      <c r="H2160" s="26" t="s">
        <v>30</v>
      </c>
      <c r="I2160" s="26" t="s">
        <v>47</v>
      </c>
      <c r="J2160" s="26" t="s">
        <v>42</v>
      </c>
      <c r="K2160" s="26" t="s">
        <v>1441</v>
      </c>
      <c r="L2160" s="26">
        <v>1</v>
      </c>
      <c r="M2160" s="26">
        <v>1</v>
      </c>
      <c r="N2160" s="28">
        <v>1</v>
      </c>
      <c r="O2160" s="26">
        <v>1.37</v>
      </c>
      <c r="P2160" s="26">
        <v>1.37</v>
      </c>
      <c r="Q2160" s="26">
        <v>0</v>
      </c>
      <c r="R2160" s="26"/>
      <c r="S2160" s="26">
        <v>0</v>
      </c>
      <c r="T2160" s="26">
        <v>0</v>
      </c>
      <c r="U2160" s="26">
        <v>0</v>
      </c>
      <c r="V2160" s="28">
        <v>0</v>
      </c>
      <c r="W2160" s="26">
        <v>0</v>
      </c>
      <c r="X2160" s="26">
        <v>0</v>
      </c>
      <c r="Y2160" s="26">
        <v>0</v>
      </c>
      <c r="Z2160" s="26">
        <v>0</v>
      </c>
    </row>
    <row r="2161" spans="1:26" x14ac:dyDescent="0.2">
      <c r="A2161">
        <f t="shared" si="68"/>
        <v>5</v>
      </c>
      <c r="B2161">
        <f t="shared" si="69"/>
        <v>20</v>
      </c>
      <c r="C2161" s="27">
        <v>46156</v>
      </c>
      <c r="D2161" s="26" t="s">
        <v>26</v>
      </c>
      <c r="E2161" s="26" t="s">
        <v>27</v>
      </c>
      <c r="F2161" s="26" t="s">
        <v>28</v>
      </c>
      <c r="G2161" s="26" t="s">
        <v>29</v>
      </c>
      <c r="H2161" s="26" t="s">
        <v>30</v>
      </c>
      <c r="I2161" s="26" t="s">
        <v>156</v>
      </c>
      <c r="J2161" s="26" t="s">
        <v>32</v>
      </c>
      <c r="K2161" s="26" t="s">
        <v>1442</v>
      </c>
      <c r="L2161" s="26">
        <v>1</v>
      </c>
      <c r="M2161" s="26">
        <v>1</v>
      </c>
      <c r="N2161" s="28">
        <v>1</v>
      </c>
      <c r="O2161" s="26">
        <v>0.21</v>
      </c>
      <c r="P2161" s="26">
        <v>0.21</v>
      </c>
      <c r="Q2161" s="26">
        <v>0</v>
      </c>
      <c r="R2161" s="26"/>
      <c r="S2161" s="26">
        <v>0</v>
      </c>
      <c r="T2161" s="26">
        <v>0</v>
      </c>
      <c r="U2161" s="26">
        <v>0</v>
      </c>
      <c r="V2161" s="28">
        <v>0</v>
      </c>
      <c r="W2161" s="26">
        <v>0</v>
      </c>
      <c r="X2161" s="26">
        <v>0</v>
      </c>
      <c r="Y2161" s="26">
        <v>0</v>
      </c>
      <c r="Z2161" s="26">
        <v>0</v>
      </c>
    </row>
    <row r="2162" spans="1:26" x14ac:dyDescent="0.2">
      <c r="A2162">
        <f t="shared" si="68"/>
        <v>5</v>
      </c>
      <c r="B2162">
        <f t="shared" si="69"/>
        <v>21</v>
      </c>
      <c r="C2162" s="27">
        <v>46159</v>
      </c>
      <c r="D2162" s="26" t="s">
        <v>26</v>
      </c>
      <c r="E2162" s="26" t="s">
        <v>27</v>
      </c>
      <c r="F2162" s="26" t="s">
        <v>28</v>
      </c>
      <c r="G2162" s="26" t="s">
        <v>29</v>
      </c>
      <c r="H2162" s="26" t="s">
        <v>30</v>
      </c>
      <c r="I2162" s="26" t="s">
        <v>31</v>
      </c>
      <c r="J2162" s="26" t="s">
        <v>32</v>
      </c>
      <c r="K2162" s="26" t="s">
        <v>1443</v>
      </c>
      <c r="L2162" s="26">
        <v>1</v>
      </c>
      <c r="M2162" s="26">
        <v>1</v>
      </c>
      <c r="N2162" s="28">
        <v>1</v>
      </c>
      <c r="O2162" s="26">
        <v>0.2</v>
      </c>
      <c r="P2162" s="26">
        <v>0.2</v>
      </c>
      <c r="Q2162" s="26">
        <v>0</v>
      </c>
      <c r="R2162" s="26"/>
      <c r="S2162" s="26">
        <v>0</v>
      </c>
      <c r="T2162" s="26">
        <v>0</v>
      </c>
      <c r="U2162" s="26">
        <v>0</v>
      </c>
      <c r="V2162" s="28">
        <v>0</v>
      </c>
      <c r="W2162" s="26">
        <v>0</v>
      </c>
      <c r="X2162" s="26">
        <v>0</v>
      </c>
      <c r="Y2162" s="26">
        <v>0</v>
      </c>
      <c r="Z2162" s="26">
        <v>0</v>
      </c>
    </row>
    <row r="2163" spans="1:26" x14ac:dyDescent="0.2">
      <c r="A2163">
        <f t="shared" si="68"/>
        <v>5</v>
      </c>
      <c r="B2163">
        <f t="shared" si="69"/>
        <v>21</v>
      </c>
      <c r="C2163" s="27">
        <v>46159</v>
      </c>
      <c r="D2163" s="26" t="s">
        <v>26</v>
      </c>
      <c r="E2163" s="26" t="s">
        <v>27</v>
      </c>
      <c r="F2163" s="26" t="s">
        <v>28</v>
      </c>
      <c r="G2163" s="26" t="s">
        <v>29</v>
      </c>
      <c r="H2163" s="26" t="s">
        <v>30</v>
      </c>
      <c r="I2163" s="26" t="s">
        <v>272</v>
      </c>
      <c r="J2163" s="26" t="s">
        <v>32</v>
      </c>
      <c r="K2163" s="26" t="s">
        <v>156</v>
      </c>
      <c r="L2163" s="26">
        <v>1</v>
      </c>
      <c r="M2163" s="26">
        <v>1</v>
      </c>
      <c r="N2163" s="28">
        <v>1</v>
      </c>
      <c r="O2163" s="26">
        <v>0.2</v>
      </c>
      <c r="P2163" s="26">
        <v>0.2</v>
      </c>
      <c r="Q2163" s="26">
        <v>0</v>
      </c>
      <c r="R2163" s="26"/>
      <c r="S2163" s="26">
        <v>0</v>
      </c>
      <c r="T2163" s="26">
        <v>0</v>
      </c>
      <c r="U2163" s="26">
        <v>0</v>
      </c>
      <c r="V2163" s="28">
        <v>0</v>
      </c>
      <c r="W2163" s="26">
        <v>0</v>
      </c>
      <c r="X2163" s="26">
        <v>0</v>
      </c>
      <c r="Y2163" s="26">
        <v>0</v>
      </c>
      <c r="Z2163" s="26">
        <v>0</v>
      </c>
    </row>
    <row r="2164" spans="1:26" x14ac:dyDescent="0.2">
      <c r="A2164">
        <f t="shared" si="68"/>
        <v>5</v>
      </c>
      <c r="B2164">
        <f t="shared" si="69"/>
        <v>21</v>
      </c>
      <c r="C2164" s="27">
        <v>46161</v>
      </c>
      <c r="D2164" s="26" t="s">
        <v>26</v>
      </c>
      <c r="E2164" s="26" t="s">
        <v>49</v>
      </c>
      <c r="F2164" s="26" t="s">
        <v>50</v>
      </c>
      <c r="G2164" s="26" t="s">
        <v>29</v>
      </c>
      <c r="H2164" s="26" t="s">
        <v>30</v>
      </c>
      <c r="I2164" s="26" t="s">
        <v>47</v>
      </c>
      <c r="J2164" s="26" t="s">
        <v>42</v>
      </c>
      <c r="K2164" s="26" t="s">
        <v>158</v>
      </c>
      <c r="L2164" s="26">
        <v>2</v>
      </c>
      <c r="M2164" s="26">
        <v>1</v>
      </c>
      <c r="N2164" s="28">
        <v>0.5</v>
      </c>
      <c r="O2164" s="26">
        <v>0.85</v>
      </c>
      <c r="P2164" s="26">
        <v>0.85</v>
      </c>
      <c r="Q2164" s="26">
        <v>17.47</v>
      </c>
      <c r="R2164" s="28">
        <v>4.8654999999999997E-2</v>
      </c>
      <c r="S2164" s="26">
        <v>20.55</v>
      </c>
      <c r="T2164" s="26">
        <v>1</v>
      </c>
      <c r="U2164" s="26">
        <v>1</v>
      </c>
      <c r="V2164" s="28">
        <v>1</v>
      </c>
      <c r="W2164" s="26">
        <v>1</v>
      </c>
      <c r="X2164" s="26">
        <v>0</v>
      </c>
      <c r="Y2164" s="26">
        <v>17.47</v>
      </c>
      <c r="Z2164" s="26">
        <v>0</v>
      </c>
    </row>
    <row r="2165" spans="1:26" x14ac:dyDescent="0.2">
      <c r="A2165">
        <f t="shared" si="68"/>
        <v>5</v>
      </c>
      <c r="B2165">
        <f t="shared" si="69"/>
        <v>20</v>
      </c>
      <c r="C2165" s="27">
        <v>46158</v>
      </c>
      <c r="D2165" s="26" t="s">
        <v>26</v>
      </c>
      <c r="E2165" s="26" t="s">
        <v>27</v>
      </c>
      <c r="F2165" s="26" t="s">
        <v>28</v>
      </c>
      <c r="G2165" s="26" t="s">
        <v>29</v>
      </c>
      <c r="H2165" s="26" t="s">
        <v>30</v>
      </c>
      <c r="I2165" s="26" t="s">
        <v>31</v>
      </c>
      <c r="J2165" s="26" t="s">
        <v>32</v>
      </c>
      <c r="K2165" s="26" t="s">
        <v>1444</v>
      </c>
      <c r="L2165" s="26">
        <v>3</v>
      </c>
      <c r="M2165" s="26">
        <v>1</v>
      </c>
      <c r="N2165" s="28">
        <v>0.33333299999999999</v>
      </c>
      <c r="O2165" s="26">
        <v>0.21</v>
      </c>
      <c r="P2165" s="26">
        <v>0.21</v>
      </c>
      <c r="Q2165" s="26">
        <v>0</v>
      </c>
      <c r="R2165" s="26"/>
      <c r="S2165" s="26">
        <v>0</v>
      </c>
      <c r="T2165" s="26">
        <v>0</v>
      </c>
      <c r="U2165" s="26">
        <v>0</v>
      </c>
      <c r="V2165" s="28">
        <v>0</v>
      </c>
      <c r="W2165" s="26">
        <v>0</v>
      </c>
      <c r="X2165" s="26">
        <v>0</v>
      </c>
      <c r="Y2165" s="26">
        <v>0</v>
      </c>
      <c r="Z2165" s="26">
        <v>0</v>
      </c>
    </row>
    <row r="2166" spans="1:26" x14ac:dyDescent="0.2">
      <c r="A2166">
        <f t="shared" si="68"/>
        <v>5</v>
      </c>
      <c r="B2166">
        <f t="shared" si="69"/>
        <v>21</v>
      </c>
      <c r="C2166" s="27">
        <v>46159</v>
      </c>
      <c r="D2166" s="26" t="s">
        <v>26</v>
      </c>
      <c r="E2166" s="26" t="s">
        <v>27</v>
      </c>
      <c r="F2166" s="26" t="s">
        <v>28</v>
      </c>
      <c r="G2166" s="26" t="s">
        <v>29</v>
      </c>
      <c r="H2166" s="26" t="s">
        <v>30</v>
      </c>
      <c r="I2166" s="26" t="s">
        <v>154</v>
      </c>
      <c r="J2166" s="26" t="s">
        <v>32</v>
      </c>
      <c r="K2166" s="26" t="s">
        <v>1445</v>
      </c>
      <c r="L2166" s="26">
        <v>1</v>
      </c>
      <c r="M2166" s="26">
        <v>1</v>
      </c>
      <c r="N2166" s="28">
        <v>1</v>
      </c>
      <c r="O2166" s="26">
        <v>0.21</v>
      </c>
      <c r="P2166" s="26">
        <v>0.21</v>
      </c>
      <c r="Q2166" s="26">
        <v>0</v>
      </c>
      <c r="R2166" s="26"/>
      <c r="S2166" s="26">
        <v>0</v>
      </c>
      <c r="T2166" s="26">
        <v>0</v>
      </c>
      <c r="U2166" s="26">
        <v>0</v>
      </c>
      <c r="V2166" s="28">
        <v>0</v>
      </c>
      <c r="W2166" s="26">
        <v>0</v>
      </c>
      <c r="X2166" s="26">
        <v>0</v>
      </c>
      <c r="Y2166" s="26">
        <v>0</v>
      </c>
      <c r="Z2166" s="26">
        <v>0</v>
      </c>
    </row>
    <row r="2167" spans="1:26" x14ac:dyDescent="0.2">
      <c r="A2167">
        <f t="shared" si="68"/>
        <v>5</v>
      </c>
      <c r="B2167">
        <f t="shared" si="69"/>
        <v>21</v>
      </c>
      <c r="C2167" s="27">
        <v>46160</v>
      </c>
      <c r="D2167" s="26" t="s">
        <v>26</v>
      </c>
      <c r="E2167" s="26" t="s">
        <v>27</v>
      </c>
      <c r="F2167" s="26" t="s">
        <v>28</v>
      </c>
      <c r="G2167" s="26" t="s">
        <v>29</v>
      </c>
      <c r="H2167" s="26" t="s">
        <v>30</v>
      </c>
      <c r="I2167" s="26" t="s">
        <v>44</v>
      </c>
      <c r="J2167" s="26" t="s">
        <v>32</v>
      </c>
      <c r="K2167" s="26" t="s">
        <v>1446</v>
      </c>
      <c r="L2167" s="26">
        <v>1</v>
      </c>
      <c r="M2167" s="26">
        <v>1</v>
      </c>
      <c r="N2167" s="28">
        <v>1</v>
      </c>
      <c r="O2167" s="26">
        <v>0.21</v>
      </c>
      <c r="P2167" s="26">
        <v>0.21</v>
      </c>
      <c r="Q2167" s="26">
        <v>0</v>
      </c>
      <c r="R2167" s="26"/>
      <c r="S2167" s="26">
        <v>0</v>
      </c>
      <c r="T2167" s="26">
        <v>0</v>
      </c>
      <c r="U2167" s="26">
        <v>0</v>
      </c>
      <c r="V2167" s="28">
        <v>0</v>
      </c>
      <c r="W2167" s="26">
        <v>0</v>
      </c>
      <c r="X2167" s="26">
        <v>0</v>
      </c>
      <c r="Y2167" s="26">
        <v>0</v>
      </c>
      <c r="Z2167" s="26">
        <v>0</v>
      </c>
    </row>
    <row r="2168" spans="1:26" x14ac:dyDescent="0.2">
      <c r="A2168">
        <f t="shared" si="68"/>
        <v>5</v>
      </c>
      <c r="B2168">
        <f t="shared" si="69"/>
        <v>19</v>
      </c>
      <c r="C2168" s="27">
        <v>46145</v>
      </c>
      <c r="D2168" s="26" t="s">
        <v>26</v>
      </c>
      <c r="E2168" s="26" t="s">
        <v>27</v>
      </c>
      <c r="F2168" s="26" t="s">
        <v>28</v>
      </c>
      <c r="G2168" s="26" t="s">
        <v>29</v>
      </c>
      <c r="H2168" s="26" t="s">
        <v>30</v>
      </c>
      <c r="I2168" s="26" t="s">
        <v>119</v>
      </c>
      <c r="J2168" s="26" t="s">
        <v>32</v>
      </c>
      <c r="K2168" s="26" t="s">
        <v>1447</v>
      </c>
      <c r="L2168" s="26">
        <v>1</v>
      </c>
      <c r="M2168" s="26">
        <v>1</v>
      </c>
      <c r="N2168" s="28">
        <v>1</v>
      </c>
      <c r="O2168" s="26">
        <v>0.16</v>
      </c>
      <c r="P2168" s="26">
        <v>0.16</v>
      </c>
      <c r="Q2168" s="26">
        <v>0</v>
      </c>
      <c r="R2168" s="26"/>
      <c r="S2168" s="26">
        <v>0</v>
      </c>
      <c r="T2168" s="26">
        <v>0</v>
      </c>
      <c r="U2168" s="26">
        <v>0</v>
      </c>
      <c r="V2168" s="28">
        <v>0</v>
      </c>
      <c r="W2168" s="26">
        <v>0</v>
      </c>
      <c r="X2168" s="26">
        <v>0</v>
      </c>
      <c r="Y2168" s="26">
        <v>0</v>
      </c>
      <c r="Z2168" s="26">
        <v>0</v>
      </c>
    </row>
    <row r="2169" spans="1:26" x14ac:dyDescent="0.2">
      <c r="A2169">
        <f t="shared" si="68"/>
        <v>5</v>
      </c>
      <c r="B2169">
        <f t="shared" si="69"/>
        <v>19</v>
      </c>
      <c r="C2169" s="27">
        <v>46146</v>
      </c>
      <c r="D2169" s="26" t="s">
        <v>26</v>
      </c>
      <c r="E2169" s="26" t="s">
        <v>27</v>
      </c>
      <c r="F2169" s="26" t="s">
        <v>28</v>
      </c>
      <c r="G2169" s="26" t="s">
        <v>29</v>
      </c>
      <c r="H2169" s="26" t="s">
        <v>30</v>
      </c>
      <c r="I2169" s="26" t="s">
        <v>31</v>
      </c>
      <c r="J2169" s="26" t="s">
        <v>32</v>
      </c>
      <c r="K2169" s="26" t="s">
        <v>1448</v>
      </c>
      <c r="L2169" s="26">
        <v>1</v>
      </c>
      <c r="M2169" s="26">
        <v>1</v>
      </c>
      <c r="N2169" s="28">
        <v>1</v>
      </c>
      <c r="O2169" s="26">
        <v>0.21</v>
      </c>
      <c r="P2169" s="26">
        <v>0.21</v>
      </c>
      <c r="Q2169" s="26">
        <v>0</v>
      </c>
      <c r="R2169" s="26"/>
      <c r="S2169" s="26">
        <v>0</v>
      </c>
      <c r="T2169" s="26">
        <v>0</v>
      </c>
      <c r="U2169" s="26">
        <v>0</v>
      </c>
      <c r="V2169" s="28">
        <v>0</v>
      </c>
      <c r="W2169" s="26">
        <v>0</v>
      </c>
      <c r="X2169" s="26">
        <v>0</v>
      </c>
      <c r="Y2169" s="26">
        <v>0</v>
      </c>
      <c r="Z2169" s="26">
        <v>0</v>
      </c>
    </row>
    <row r="2170" spans="1:26" x14ac:dyDescent="0.2">
      <c r="A2170">
        <f t="shared" si="68"/>
        <v>5</v>
      </c>
      <c r="B2170">
        <f t="shared" si="69"/>
        <v>21</v>
      </c>
      <c r="C2170" s="27">
        <v>46161</v>
      </c>
      <c r="D2170" s="26" t="s">
        <v>26</v>
      </c>
      <c r="E2170" s="26" t="s">
        <v>27</v>
      </c>
      <c r="F2170" s="26" t="s">
        <v>28</v>
      </c>
      <c r="G2170" s="26" t="s">
        <v>29</v>
      </c>
      <c r="H2170" s="26" t="s">
        <v>30</v>
      </c>
      <c r="I2170" s="26" t="s">
        <v>119</v>
      </c>
      <c r="J2170" s="26" t="s">
        <v>32</v>
      </c>
      <c r="K2170" s="26" t="s">
        <v>165</v>
      </c>
      <c r="L2170" s="26">
        <v>3</v>
      </c>
      <c r="M2170" s="26">
        <v>2</v>
      </c>
      <c r="N2170" s="28">
        <v>0.66666700000000001</v>
      </c>
      <c r="O2170" s="26">
        <v>0.16</v>
      </c>
      <c r="P2170" s="26">
        <v>0.32</v>
      </c>
      <c r="Q2170" s="26">
        <v>0</v>
      </c>
      <c r="R2170" s="26"/>
      <c r="S2170" s="26">
        <v>0</v>
      </c>
      <c r="T2170" s="26">
        <v>0</v>
      </c>
      <c r="U2170" s="26">
        <v>0</v>
      </c>
      <c r="V2170" s="28">
        <v>0</v>
      </c>
      <c r="W2170" s="26">
        <v>0</v>
      </c>
      <c r="X2170" s="26">
        <v>0</v>
      </c>
      <c r="Y2170" s="26">
        <v>0</v>
      </c>
      <c r="Z2170" s="26">
        <v>0</v>
      </c>
    </row>
    <row r="2171" spans="1:26" x14ac:dyDescent="0.2">
      <c r="A2171">
        <f t="shared" si="68"/>
        <v>5</v>
      </c>
      <c r="B2171">
        <f t="shared" si="69"/>
        <v>21</v>
      </c>
      <c r="C2171" s="27">
        <v>46163</v>
      </c>
      <c r="D2171" s="26" t="s">
        <v>26</v>
      </c>
      <c r="E2171" s="26" t="s">
        <v>27</v>
      </c>
      <c r="F2171" s="26" t="s">
        <v>28</v>
      </c>
      <c r="G2171" s="26" t="s">
        <v>29</v>
      </c>
      <c r="H2171" s="26" t="s">
        <v>30</v>
      </c>
      <c r="I2171" s="26" t="s">
        <v>31</v>
      </c>
      <c r="J2171" s="26" t="s">
        <v>32</v>
      </c>
      <c r="K2171" s="26" t="s">
        <v>1449</v>
      </c>
      <c r="L2171" s="26">
        <v>1</v>
      </c>
      <c r="M2171" s="26">
        <v>1</v>
      </c>
      <c r="N2171" s="28">
        <v>1</v>
      </c>
      <c r="O2171" s="26">
        <v>0.21</v>
      </c>
      <c r="P2171" s="26">
        <v>0.21</v>
      </c>
      <c r="Q2171" s="26">
        <v>0</v>
      </c>
      <c r="R2171" s="26"/>
      <c r="S2171" s="26">
        <v>0</v>
      </c>
      <c r="T2171" s="26">
        <v>0</v>
      </c>
      <c r="U2171" s="26">
        <v>0</v>
      </c>
      <c r="V2171" s="28">
        <v>0</v>
      </c>
      <c r="W2171" s="26">
        <v>0</v>
      </c>
      <c r="X2171" s="26">
        <v>0</v>
      </c>
      <c r="Y2171" s="26">
        <v>0</v>
      </c>
      <c r="Z2171" s="26">
        <v>0</v>
      </c>
    </row>
    <row r="2172" spans="1:26" x14ac:dyDescent="0.2">
      <c r="A2172">
        <f t="shared" ref="A2172:A2235" si="70">MONTH(C2172)</f>
        <v>5</v>
      </c>
      <c r="B2172">
        <f t="shared" ref="B2172:B2235" si="71">WEEKNUM(C2172,1)</f>
        <v>20</v>
      </c>
      <c r="C2172" s="27">
        <v>46158</v>
      </c>
      <c r="D2172" s="26" t="s">
        <v>26</v>
      </c>
      <c r="E2172" s="26" t="s">
        <v>27</v>
      </c>
      <c r="F2172" s="26" t="s">
        <v>28</v>
      </c>
      <c r="G2172" s="26" t="s">
        <v>29</v>
      </c>
      <c r="H2172" s="26" t="s">
        <v>30</v>
      </c>
      <c r="I2172" s="26" t="s">
        <v>50</v>
      </c>
      <c r="J2172" s="26" t="s">
        <v>32</v>
      </c>
      <c r="K2172" s="26" t="s">
        <v>1450</v>
      </c>
      <c r="L2172" s="26">
        <v>1</v>
      </c>
      <c r="M2172" s="26">
        <v>1</v>
      </c>
      <c r="N2172" s="28">
        <v>1</v>
      </c>
      <c r="O2172" s="26">
        <v>0.21</v>
      </c>
      <c r="P2172" s="26">
        <v>0.21</v>
      </c>
      <c r="Q2172" s="26">
        <v>0</v>
      </c>
      <c r="R2172" s="26"/>
      <c r="S2172" s="26">
        <v>0</v>
      </c>
      <c r="T2172" s="26">
        <v>0</v>
      </c>
      <c r="U2172" s="26">
        <v>0</v>
      </c>
      <c r="V2172" s="28">
        <v>0</v>
      </c>
      <c r="W2172" s="26">
        <v>0</v>
      </c>
      <c r="X2172" s="26">
        <v>0</v>
      </c>
      <c r="Y2172" s="26">
        <v>0</v>
      </c>
      <c r="Z2172" s="26">
        <v>0</v>
      </c>
    </row>
    <row r="2173" spans="1:26" x14ac:dyDescent="0.2">
      <c r="A2173">
        <f t="shared" si="70"/>
        <v>5</v>
      </c>
      <c r="B2173">
        <f t="shared" si="71"/>
        <v>19</v>
      </c>
      <c r="C2173" s="27">
        <v>46146</v>
      </c>
      <c r="D2173" s="26" t="s">
        <v>26</v>
      </c>
      <c r="E2173" s="26" t="s">
        <v>61</v>
      </c>
      <c r="F2173" s="26" t="s">
        <v>62</v>
      </c>
      <c r="G2173" s="26" t="s">
        <v>29</v>
      </c>
      <c r="H2173" s="26" t="s">
        <v>30</v>
      </c>
      <c r="I2173" s="26" t="s">
        <v>95</v>
      </c>
      <c r="J2173" s="26" t="s">
        <v>42</v>
      </c>
      <c r="K2173" s="26" t="s">
        <v>1451</v>
      </c>
      <c r="L2173" s="26">
        <v>2</v>
      </c>
      <c r="M2173" s="26">
        <v>1</v>
      </c>
      <c r="N2173" s="28">
        <v>0.5</v>
      </c>
      <c r="O2173" s="26">
        <v>1.35</v>
      </c>
      <c r="P2173" s="26">
        <v>1.35</v>
      </c>
      <c r="Q2173" s="26">
        <v>0</v>
      </c>
      <c r="R2173" s="26"/>
      <c r="S2173" s="26">
        <v>0</v>
      </c>
      <c r="T2173" s="26">
        <v>0</v>
      </c>
      <c r="U2173" s="26">
        <v>0</v>
      </c>
      <c r="V2173" s="28">
        <v>0</v>
      </c>
      <c r="W2173" s="26">
        <v>0</v>
      </c>
      <c r="X2173" s="26">
        <v>0</v>
      </c>
      <c r="Y2173" s="26">
        <v>0</v>
      </c>
      <c r="Z2173" s="26">
        <v>0</v>
      </c>
    </row>
    <row r="2174" spans="1:26" x14ac:dyDescent="0.2">
      <c r="A2174">
        <f t="shared" si="70"/>
        <v>5</v>
      </c>
      <c r="B2174">
        <f t="shared" si="71"/>
        <v>18</v>
      </c>
      <c r="C2174" s="27">
        <v>46144</v>
      </c>
      <c r="D2174" s="26" t="s">
        <v>26</v>
      </c>
      <c r="E2174" s="26" t="s">
        <v>61</v>
      </c>
      <c r="F2174" s="26" t="s">
        <v>62</v>
      </c>
      <c r="G2174" s="26" t="s">
        <v>29</v>
      </c>
      <c r="H2174" s="26" t="s">
        <v>30</v>
      </c>
      <c r="I2174" s="26" t="s">
        <v>95</v>
      </c>
      <c r="J2174" s="26" t="s">
        <v>42</v>
      </c>
      <c r="K2174" s="26" t="s">
        <v>1217</v>
      </c>
      <c r="L2174" s="26">
        <v>2</v>
      </c>
      <c r="M2174" s="26">
        <v>1</v>
      </c>
      <c r="N2174" s="28">
        <v>0.5</v>
      </c>
      <c r="O2174" s="26">
        <v>1.65</v>
      </c>
      <c r="P2174" s="26">
        <v>1.65</v>
      </c>
      <c r="Q2174" s="26">
        <v>0</v>
      </c>
      <c r="R2174" s="26"/>
      <c r="S2174" s="26">
        <v>0</v>
      </c>
      <c r="T2174" s="26">
        <v>0</v>
      </c>
      <c r="U2174" s="26">
        <v>0</v>
      </c>
      <c r="V2174" s="28">
        <v>0</v>
      </c>
      <c r="W2174" s="26">
        <v>0</v>
      </c>
      <c r="X2174" s="26">
        <v>0</v>
      </c>
      <c r="Y2174" s="26">
        <v>0</v>
      </c>
      <c r="Z2174" s="26">
        <v>0</v>
      </c>
    </row>
    <row r="2175" spans="1:26" x14ac:dyDescent="0.2">
      <c r="A2175">
        <f t="shared" si="70"/>
        <v>5</v>
      </c>
      <c r="B2175">
        <f t="shared" si="71"/>
        <v>19</v>
      </c>
      <c r="C2175" s="27">
        <v>46149</v>
      </c>
      <c r="D2175" s="26" t="s">
        <v>26</v>
      </c>
      <c r="E2175" s="26" t="s">
        <v>112</v>
      </c>
      <c r="F2175" s="26" t="s">
        <v>113</v>
      </c>
      <c r="G2175" s="26" t="s">
        <v>29</v>
      </c>
      <c r="H2175" s="26" t="s">
        <v>30</v>
      </c>
      <c r="I2175" s="26" t="s">
        <v>238</v>
      </c>
      <c r="J2175" s="26" t="s">
        <v>32</v>
      </c>
      <c r="K2175" s="26" t="s">
        <v>1220</v>
      </c>
      <c r="L2175" s="26">
        <v>19</v>
      </c>
      <c r="M2175" s="26">
        <v>1</v>
      </c>
      <c r="N2175" s="28">
        <v>5.2631999999999998E-2</v>
      </c>
      <c r="O2175" s="26">
        <v>4.25</v>
      </c>
      <c r="P2175" s="26">
        <v>4.25</v>
      </c>
      <c r="Q2175" s="26">
        <v>0</v>
      </c>
      <c r="R2175" s="26"/>
      <c r="S2175" s="26">
        <v>0</v>
      </c>
      <c r="T2175" s="26">
        <v>0</v>
      </c>
      <c r="U2175" s="26">
        <v>0</v>
      </c>
      <c r="V2175" s="28">
        <v>0</v>
      </c>
      <c r="W2175" s="26">
        <v>0</v>
      </c>
      <c r="X2175" s="26">
        <v>0</v>
      </c>
      <c r="Y2175" s="26">
        <v>0</v>
      </c>
      <c r="Z2175" s="26">
        <v>0</v>
      </c>
    </row>
    <row r="2176" spans="1:26" x14ac:dyDescent="0.2">
      <c r="A2176">
        <f t="shared" si="70"/>
        <v>5</v>
      </c>
      <c r="B2176">
        <f t="shared" si="71"/>
        <v>20</v>
      </c>
      <c r="C2176" s="27">
        <v>46152</v>
      </c>
      <c r="D2176" s="26" t="s">
        <v>26</v>
      </c>
      <c r="E2176" s="26" t="s">
        <v>27</v>
      </c>
      <c r="F2176" s="26" t="s">
        <v>28</v>
      </c>
      <c r="G2176" s="26" t="s">
        <v>29</v>
      </c>
      <c r="H2176" s="26" t="s">
        <v>30</v>
      </c>
      <c r="I2176" s="26" t="s">
        <v>50</v>
      </c>
      <c r="J2176" s="26" t="s">
        <v>32</v>
      </c>
      <c r="K2176" s="26" t="s">
        <v>1452</v>
      </c>
      <c r="L2176" s="26">
        <v>1</v>
      </c>
      <c r="M2176" s="26">
        <v>1</v>
      </c>
      <c r="N2176" s="28">
        <v>1</v>
      </c>
      <c r="O2176" s="26">
        <v>0.4</v>
      </c>
      <c r="P2176" s="26">
        <v>0.4</v>
      </c>
      <c r="Q2176" s="26">
        <v>0</v>
      </c>
      <c r="R2176" s="26"/>
      <c r="S2176" s="26">
        <v>0</v>
      </c>
      <c r="T2176" s="26">
        <v>0</v>
      </c>
      <c r="U2176" s="26">
        <v>0</v>
      </c>
      <c r="V2176" s="28">
        <v>0</v>
      </c>
      <c r="W2176" s="26">
        <v>0</v>
      </c>
      <c r="X2176" s="26">
        <v>0</v>
      </c>
      <c r="Y2176" s="26">
        <v>0</v>
      </c>
      <c r="Z2176" s="26">
        <v>0</v>
      </c>
    </row>
    <row r="2177" spans="1:26" x14ac:dyDescent="0.2">
      <c r="A2177">
        <f t="shared" si="70"/>
        <v>5</v>
      </c>
      <c r="B2177">
        <f t="shared" si="71"/>
        <v>20</v>
      </c>
      <c r="C2177" s="27">
        <v>46157</v>
      </c>
      <c r="D2177" s="26" t="s">
        <v>26</v>
      </c>
      <c r="E2177" s="26" t="s">
        <v>27</v>
      </c>
      <c r="F2177" s="26" t="s">
        <v>28</v>
      </c>
      <c r="G2177" s="26" t="s">
        <v>29</v>
      </c>
      <c r="H2177" s="26" t="s">
        <v>30</v>
      </c>
      <c r="I2177" s="26" t="s">
        <v>119</v>
      </c>
      <c r="J2177" s="26" t="s">
        <v>32</v>
      </c>
      <c r="K2177" s="26" t="s">
        <v>631</v>
      </c>
      <c r="L2177" s="26">
        <v>1</v>
      </c>
      <c r="M2177" s="26">
        <v>1</v>
      </c>
      <c r="N2177" s="28">
        <v>1</v>
      </c>
      <c r="O2177" s="26">
        <v>0.16</v>
      </c>
      <c r="P2177" s="26">
        <v>0.16</v>
      </c>
      <c r="Q2177" s="26">
        <v>0</v>
      </c>
      <c r="R2177" s="26"/>
      <c r="S2177" s="26">
        <v>0</v>
      </c>
      <c r="T2177" s="26">
        <v>0</v>
      </c>
      <c r="U2177" s="26">
        <v>0</v>
      </c>
      <c r="V2177" s="28">
        <v>0</v>
      </c>
      <c r="W2177" s="26">
        <v>0</v>
      </c>
      <c r="X2177" s="26">
        <v>0</v>
      </c>
      <c r="Y2177" s="26">
        <v>0</v>
      </c>
      <c r="Z2177" s="26">
        <v>0</v>
      </c>
    </row>
    <row r="2178" spans="1:26" x14ac:dyDescent="0.2">
      <c r="A2178">
        <f t="shared" si="70"/>
        <v>5</v>
      </c>
      <c r="B2178">
        <f t="shared" si="71"/>
        <v>19</v>
      </c>
      <c r="C2178" s="27">
        <v>46146</v>
      </c>
      <c r="D2178" s="26" t="s">
        <v>26</v>
      </c>
      <c r="E2178" s="26" t="s">
        <v>27</v>
      </c>
      <c r="F2178" s="26" t="s">
        <v>28</v>
      </c>
      <c r="G2178" s="26" t="s">
        <v>29</v>
      </c>
      <c r="H2178" s="26" t="s">
        <v>30</v>
      </c>
      <c r="I2178" s="26" t="s">
        <v>31</v>
      </c>
      <c r="J2178" s="26" t="s">
        <v>32</v>
      </c>
      <c r="K2178" s="26" t="s">
        <v>1453</v>
      </c>
      <c r="L2178" s="26">
        <v>2</v>
      </c>
      <c r="M2178" s="26">
        <v>1</v>
      </c>
      <c r="N2178" s="28">
        <v>0.5</v>
      </c>
      <c r="O2178" s="26">
        <v>0.21</v>
      </c>
      <c r="P2178" s="26">
        <v>0.21</v>
      </c>
      <c r="Q2178" s="26">
        <v>0</v>
      </c>
      <c r="R2178" s="26"/>
      <c r="S2178" s="26">
        <v>0</v>
      </c>
      <c r="T2178" s="26">
        <v>0</v>
      </c>
      <c r="U2178" s="26">
        <v>0</v>
      </c>
      <c r="V2178" s="28">
        <v>0</v>
      </c>
      <c r="W2178" s="26">
        <v>0</v>
      </c>
      <c r="X2178" s="26">
        <v>0</v>
      </c>
      <c r="Y2178" s="26">
        <v>0</v>
      </c>
      <c r="Z2178" s="26">
        <v>0</v>
      </c>
    </row>
    <row r="2179" spans="1:26" x14ac:dyDescent="0.2">
      <c r="A2179">
        <f t="shared" si="70"/>
        <v>5</v>
      </c>
      <c r="B2179">
        <f t="shared" si="71"/>
        <v>18</v>
      </c>
      <c r="C2179" s="27">
        <v>46144</v>
      </c>
      <c r="D2179" s="26" t="s">
        <v>26</v>
      </c>
      <c r="E2179" s="26" t="s">
        <v>61</v>
      </c>
      <c r="F2179" s="26" t="s">
        <v>62</v>
      </c>
      <c r="G2179" s="26" t="s">
        <v>29</v>
      </c>
      <c r="H2179" s="26" t="s">
        <v>30</v>
      </c>
      <c r="I2179" s="26" t="s">
        <v>95</v>
      </c>
      <c r="J2179" s="26" t="s">
        <v>42</v>
      </c>
      <c r="K2179" s="26" t="s">
        <v>1454</v>
      </c>
      <c r="L2179" s="26">
        <v>1</v>
      </c>
      <c r="M2179" s="26">
        <v>1</v>
      </c>
      <c r="N2179" s="28">
        <v>1</v>
      </c>
      <c r="O2179" s="26">
        <v>1.65</v>
      </c>
      <c r="P2179" s="26">
        <v>1.65</v>
      </c>
      <c r="Q2179" s="26">
        <v>0</v>
      </c>
      <c r="R2179" s="26"/>
      <c r="S2179" s="26">
        <v>0</v>
      </c>
      <c r="T2179" s="26">
        <v>0</v>
      </c>
      <c r="U2179" s="26">
        <v>0</v>
      </c>
      <c r="V2179" s="28">
        <v>0</v>
      </c>
      <c r="W2179" s="26">
        <v>0</v>
      </c>
      <c r="X2179" s="26">
        <v>0</v>
      </c>
      <c r="Y2179" s="26">
        <v>0</v>
      </c>
      <c r="Z2179" s="26">
        <v>0</v>
      </c>
    </row>
    <row r="2180" spans="1:26" x14ac:dyDescent="0.2">
      <c r="A2180">
        <f t="shared" si="70"/>
        <v>5</v>
      </c>
      <c r="B2180">
        <f t="shared" si="71"/>
        <v>18</v>
      </c>
      <c r="C2180" s="27">
        <v>46143</v>
      </c>
      <c r="D2180" s="26" t="s">
        <v>26</v>
      </c>
      <c r="E2180" s="26" t="s">
        <v>61</v>
      </c>
      <c r="F2180" s="26" t="s">
        <v>62</v>
      </c>
      <c r="G2180" s="26" t="s">
        <v>29</v>
      </c>
      <c r="H2180" s="26" t="s">
        <v>30</v>
      </c>
      <c r="I2180" s="26" t="s">
        <v>95</v>
      </c>
      <c r="J2180" s="26" t="s">
        <v>42</v>
      </c>
      <c r="K2180" s="26" t="s">
        <v>1455</v>
      </c>
      <c r="L2180" s="26">
        <v>2</v>
      </c>
      <c r="M2180" s="26">
        <v>1</v>
      </c>
      <c r="N2180" s="28">
        <v>0.5</v>
      </c>
      <c r="O2180" s="26">
        <v>1.51</v>
      </c>
      <c r="P2180" s="26">
        <v>1.51</v>
      </c>
      <c r="Q2180" s="26">
        <v>0</v>
      </c>
      <c r="R2180" s="26"/>
      <c r="S2180" s="26">
        <v>0</v>
      </c>
      <c r="T2180" s="26">
        <v>0</v>
      </c>
      <c r="U2180" s="26">
        <v>0</v>
      </c>
      <c r="V2180" s="28">
        <v>0</v>
      </c>
      <c r="W2180" s="26">
        <v>0</v>
      </c>
      <c r="X2180" s="26">
        <v>0</v>
      </c>
      <c r="Y2180" s="26">
        <v>0</v>
      </c>
      <c r="Z2180" s="26">
        <v>0</v>
      </c>
    </row>
    <row r="2181" spans="1:26" x14ac:dyDescent="0.2">
      <c r="A2181">
        <f t="shared" si="70"/>
        <v>5</v>
      </c>
      <c r="B2181">
        <f t="shared" si="71"/>
        <v>19</v>
      </c>
      <c r="C2181" s="27">
        <v>46147</v>
      </c>
      <c r="D2181" s="26" t="s">
        <v>26</v>
      </c>
      <c r="E2181" s="26" t="s">
        <v>61</v>
      </c>
      <c r="F2181" s="26" t="s">
        <v>62</v>
      </c>
      <c r="G2181" s="26" t="s">
        <v>29</v>
      </c>
      <c r="H2181" s="26" t="s">
        <v>30</v>
      </c>
      <c r="I2181" s="26" t="s">
        <v>95</v>
      </c>
      <c r="J2181" s="26" t="s">
        <v>42</v>
      </c>
      <c r="K2181" s="26" t="s">
        <v>1455</v>
      </c>
      <c r="L2181" s="26">
        <v>2</v>
      </c>
      <c r="M2181" s="26">
        <v>1</v>
      </c>
      <c r="N2181" s="28">
        <v>0.5</v>
      </c>
      <c r="O2181" s="26">
        <v>1.25</v>
      </c>
      <c r="P2181" s="26">
        <v>1.25</v>
      </c>
      <c r="Q2181" s="26">
        <v>0</v>
      </c>
      <c r="R2181" s="26"/>
      <c r="S2181" s="26">
        <v>0</v>
      </c>
      <c r="T2181" s="26">
        <v>0</v>
      </c>
      <c r="U2181" s="26">
        <v>0</v>
      </c>
      <c r="V2181" s="28">
        <v>0</v>
      </c>
      <c r="W2181" s="26">
        <v>0</v>
      </c>
      <c r="X2181" s="26">
        <v>0</v>
      </c>
      <c r="Y2181" s="26">
        <v>0</v>
      </c>
      <c r="Z2181" s="26">
        <v>0</v>
      </c>
    </row>
    <row r="2182" spans="1:26" x14ac:dyDescent="0.2">
      <c r="A2182">
        <f t="shared" si="70"/>
        <v>5</v>
      </c>
      <c r="B2182">
        <f t="shared" si="71"/>
        <v>19</v>
      </c>
      <c r="C2182" s="27">
        <v>46146</v>
      </c>
      <c r="D2182" s="26" t="s">
        <v>26</v>
      </c>
      <c r="E2182" s="26" t="s">
        <v>27</v>
      </c>
      <c r="F2182" s="26" t="s">
        <v>28</v>
      </c>
      <c r="G2182" s="26" t="s">
        <v>29</v>
      </c>
      <c r="H2182" s="26" t="s">
        <v>30</v>
      </c>
      <c r="I2182" s="26" t="s">
        <v>50</v>
      </c>
      <c r="J2182" s="26" t="s">
        <v>32</v>
      </c>
      <c r="K2182" s="26" t="s">
        <v>1456</v>
      </c>
      <c r="L2182" s="26">
        <v>1</v>
      </c>
      <c r="M2182" s="26">
        <v>1</v>
      </c>
      <c r="N2182" s="28">
        <v>1</v>
      </c>
      <c r="O2182" s="26">
        <v>0.21</v>
      </c>
      <c r="P2182" s="26">
        <v>0.21</v>
      </c>
      <c r="Q2182" s="26">
        <v>0</v>
      </c>
      <c r="R2182" s="26"/>
      <c r="S2182" s="26">
        <v>0</v>
      </c>
      <c r="T2182" s="26">
        <v>0</v>
      </c>
      <c r="U2182" s="26">
        <v>0</v>
      </c>
      <c r="V2182" s="28">
        <v>0</v>
      </c>
      <c r="W2182" s="26">
        <v>0</v>
      </c>
      <c r="X2182" s="26">
        <v>0</v>
      </c>
      <c r="Y2182" s="26">
        <v>0</v>
      </c>
      <c r="Z2182" s="26">
        <v>0</v>
      </c>
    </row>
    <row r="2183" spans="1:26" x14ac:dyDescent="0.2">
      <c r="A2183">
        <f t="shared" si="70"/>
        <v>5</v>
      </c>
      <c r="B2183">
        <f t="shared" si="71"/>
        <v>19</v>
      </c>
      <c r="C2183" s="27">
        <v>46148</v>
      </c>
      <c r="D2183" s="26" t="s">
        <v>26</v>
      </c>
      <c r="E2183" s="26" t="s">
        <v>27</v>
      </c>
      <c r="F2183" s="26" t="s">
        <v>28</v>
      </c>
      <c r="G2183" s="26" t="s">
        <v>29</v>
      </c>
      <c r="H2183" s="26" t="s">
        <v>30</v>
      </c>
      <c r="I2183" s="26" t="s">
        <v>31</v>
      </c>
      <c r="J2183" s="26" t="s">
        <v>32</v>
      </c>
      <c r="K2183" s="26" t="s">
        <v>1457</v>
      </c>
      <c r="L2183" s="26">
        <v>3</v>
      </c>
      <c r="M2183" s="26">
        <v>1</v>
      </c>
      <c r="N2183" s="28">
        <v>0.33333299999999999</v>
      </c>
      <c r="O2183" s="26">
        <v>0.21</v>
      </c>
      <c r="P2183" s="26">
        <v>0.21</v>
      </c>
      <c r="Q2183" s="26">
        <v>0</v>
      </c>
      <c r="R2183" s="26"/>
      <c r="S2183" s="26">
        <v>0</v>
      </c>
      <c r="T2183" s="26">
        <v>0</v>
      </c>
      <c r="U2183" s="26">
        <v>0</v>
      </c>
      <c r="V2183" s="28">
        <v>0</v>
      </c>
      <c r="W2183" s="26">
        <v>0</v>
      </c>
      <c r="X2183" s="26">
        <v>0</v>
      </c>
      <c r="Y2183" s="26">
        <v>0</v>
      </c>
      <c r="Z2183" s="26">
        <v>0</v>
      </c>
    </row>
    <row r="2184" spans="1:26" x14ac:dyDescent="0.2">
      <c r="A2184">
        <f t="shared" si="70"/>
        <v>5</v>
      </c>
      <c r="B2184">
        <f t="shared" si="71"/>
        <v>21</v>
      </c>
      <c r="C2184" s="27">
        <v>46159</v>
      </c>
      <c r="D2184" s="26" t="s">
        <v>26</v>
      </c>
      <c r="E2184" s="26" t="s">
        <v>39</v>
      </c>
      <c r="F2184" s="26" t="s">
        <v>40</v>
      </c>
      <c r="G2184" s="26" t="s">
        <v>29</v>
      </c>
      <c r="H2184" s="26" t="s">
        <v>30</v>
      </c>
      <c r="I2184" s="26" t="s">
        <v>1134</v>
      </c>
      <c r="J2184" s="26" t="s">
        <v>42</v>
      </c>
      <c r="K2184" s="26" t="s">
        <v>207</v>
      </c>
      <c r="L2184" s="26">
        <v>5</v>
      </c>
      <c r="M2184" s="26">
        <v>1</v>
      </c>
      <c r="N2184" s="28">
        <v>0.2</v>
      </c>
      <c r="O2184" s="26">
        <v>0.6</v>
      </c>
      <c r="P2184" s="26">
        <v>0.6</v>
      </c>
      <c r="Q2184" s="26">
        <v>0</v>
      </c>
      <c r="R2184" s="26"/>
      <c r="S2184" s="26">
        <v>0</v>
      </c>
      <c r="T2184" s="26">
        <v>0</v>
      </c>
      <c r="U2184" s="26">
        <v>0</v>
      </c>
      <c r="V2184" s="28">
        <v>0</v>
      </c>
      <c r="W2184" s="26">
        <v>0</v>
      </c>
      <c r="X2184" s="26">
        <v>0</v>
      </c>
      <c r="Y2184" s="26">
        <v>0</v>
      </c>
      <c r="Z2184" s="26">
        <v>0</v>
      </c>
    </row>
    <row r="2185" spans="1:26" x14ac:dyDescent="0.2">
      <c r="A2185">
        <f t="shared" si="70"/>
        <v>5</v>
      </c>
      <c r="B2185">
        <f t="shared" si="71"/>
        <v>20</v>
      </c>
      <c r="C2185" s="27">
        <v>46154</v>
      </c>
      <c r="D2185" s="26" t="s">
        <v>26</v>
      </c>
      <c r="E2185" s="26" t="s">
        <v>27</v>
      </c>
      <c r="F2185" s="26" t="s">
        <v>28</v>
      </c>
      <c r="G2185" s="26" t="s">
        <v>29</v>
      </c>
      <c r="H2185" s="26" t="s">
        <v>30</v>
      </c>
      <c r="I2185" s="26" t="s">
        <v>50</v>
      </c>
      <c r="J2185" s="26" t="s">
        <v>32</v>
      </c>
      <c r="K2185" s="26" t="s">
        <v>207</v>
      </c>
      <c r="L2185" s="26">
        <v>23</v>
      </c>
      <c r="M2185" s="26">
        <v>1</v>
      </c>
      <c r="N2185" s="28">
        <v>4.3478000000000003E-2</v>
      </c>
      <c r="O2185" s="26">
        <v>0.08</v>
      </c>
      <c r="P2185" s="26">
        <v>0.08</v>
      </c>
      <c r="Q2185" s="26">
        <v>0</v>
      </c>
      <c r="R2185" s="26"/>
      <c r="S2185" s="26">
        <v>0</v>
      </c>
      <c r="T2185" s="26">
        <v>0</v>
      </c>
      <c r="U2185" s="26">
        <v>0</v>
      </c>
      <c r="V2185" s="28">
        <v>0</v>
      </c>
      <c r="W2185" s="26">
        <v>0</v>
      </c>
      <c r="X2185" s="26">
        <v>0</v>
      </c>
      <c r="Y2185" s="26">
        <v>0</v>
      </c>
      <c r="Z2185" s="26">
        <v>0</v>
      </c>
    </row>
    <row r="2186" spans="1:26" x14ac:dyDescent="0.2">
      <c r="A2186">
        <f t="shared" si="70"/>
        <v>5</v>
      </c>
      <c r="B2186">
        <f t="shared" si="71"/>
        <v>20</v>
      </c>
      <c r="C2186" s="27">
        <v>46155</v>
      </c>
      <c r="D2186" s="26" t="s">
        <v>26</v>
      </c>
      <c r="E2186" s="26" t="s">
        <v>27</v>
      </c>
      <c r="F2186" s="26" t="s">
        <v>28</v>
      </c>
      <c r="G2186" s="26" t="s">
        <v>29</v>
      </c>
      <c r="H2186" s="26" t="s">
        <v>30</v>
      </c>
      <c r="I2186" s="26" t="s">
        <v>31</v>
      </c>
      <c r="J2186" s="26" t="s">
        <v>32</v>
      </c>
      <c r="K2186" s="26" t="s">
        <v>1458</v>
      </c>
      <c r="L2186" s="26">
        <v>3</v>
      </c>
      <c r="M2186" s="26">
        <v>1</v>
      </c>
      <c r="N2186" s="28">
        <v>0.33333299999999999</v>
      </c>
      <c r="O2186" s="26">
        <v>0.21</v>
      </c>
      <c r="P2186" s="26">
        <v>0.21</v>
      </c>
      <c r="Q2186" s="26">
        <v>0</v>
      </c>
      <c r="R2186" s="26"/>
      <c r="S2186" s="26">
        <v>0</v>
      </c>
      <c r="T2186" s="26">
        <v>0</v>
      </c>
      <c r="U2186" s="26">
        <v>0</v>
      </c>
      <c r="V2186" s="28">
        <v>0</v>
      </c>
      <c r="W2186" s="26">
        <v>0</v>
      </c>
      <c r="X2186" s="26">
        <v>0</v>
      </c>
      <c r="Y2186" s="26">
        <v>0</v>
      </c>
      <c r="Z2186" s="26">
        <v>0</v>
      </c>
    </row>
    <row r="2187" spans="1:26" x14ac:dyDescent="0.2">
      <c r="A2187">
        <f t="shared" si="70"/>
        <v>5</v>
      </c>
      <c r="B2187">
        <f t="shared" si="71"/>
        <v>19</v>
      </c>
      <c r="C2187" s="27">
        <v>46145</v>
      </c>
      <c r="D2187" s="26" t="s">
        <v>26</v>
      </c>
      <c r="E2187" s="26" t="s">
        <v>27</v>
      </c>
      <c r="F2187" s="26" t="s">
        <v>28</v>
      </c>
      <c r="G2187" s="26" t="s">
        <v>29</v>
      </c>
      <c r="H2187" s="26" t="s">
        <v>30</v>
      </c>
      <c r="I2187" s="26" t="s">
        <v>50</v>
      </c>
      <c r="J2187" s="26" t="s">
        <v>32</v>
      </c>
      <c r="K2187" s="26" t="s">
        <v>1459</v>
      </c>
      <c r="L2187" s="26">
        <v>1</v>
      </c>
      <c r="M2187" s="26">
        <v>1</v>
      </c>
      <c r="N2187" s="28">
        <v>1</v>
      </c>
      <c r="O2187" s="26">
        <v>0.4</v>
      </c>
      <c r="P2187" s="26">
        <v>0.4</v>
      </c>
      <c r="Q2187" s="26">
        <v>0</v>
      </c>
      <c r="R2187" s="26"/>
      <c r="S2187" s="26">
        <v>0</v>
      </c>
      <c r="T2187" s="26">
        <v>0</v>
      </c>
      <c r="U2187" s="26">
        <v>0</v>
      </c>
      <c r="V2187" s="28">
        <v>0</v>
      </c>
      <c r="W2187" s="26">
        <v>0</v>
      </c>
      <c r="X2187" s="26">
        <v>0</v>
      </c>
      <c r="Y2187" s="26">
        <v>0</v>
      </c>
      <c r="Z2187" s="26">
        <v>0</v>
      </c>
    </row>
    <row r="2188" spans="1:26" x14ac:dyDescent="0.2">
      <c r="A2188">
        <f t="shared" si="70"/>
        <v>5</v>
      </c>
      <c r="B2188">
        <f t="shared" si="71"/>
        <v>20</v>
      </c>
      <c r="C2188" s="27">
        <v>46152</v>
      </c>
      <c r="D2188" s="26" t="s">
        <v>26</v>
      </c>
      <c r="E2188" s="26" t="s">
        <v>27</v>
      </c>
      <c r="F2188" s="26" t="s">
        <v>28</v>
      </c>
      <c r="G2188" s="26" t="s">
        <v>29</v>
      </c>
      <c r="H2188" s="26" t="s">
        <v>30</v>
      </c>
      <c r="I2188" s="26" t="s">
        <v>243</v>
      </c>
      <c r="J2188" s="26" t="s">
        <v>32</v>
      </c>
      <c r="K2188" s="26" t="s">
        <v>1460</v>
      </c>
      <c r="L2188" s="26">
        <v>2</v>
      </c>
      <c r="M2188" s="26">
        <v>1</v>
      </c>
      <c r="N2188" s="28">
        <v>0.5</v>
      </c>
      <c r="O2188" s="26">
        <v>0.21</v>
      </c>
      <c r="P2188" s="26">
        <v>0.21</v>
      </c>
      <c r="Q2188" s="26">
        <v>0</v>
      </c>
      <c r="R2188" s="26"/>
      <c r="S2188" s="26">
        <v>0</v>
      </c>
      <c r="T2188" s="26">
        <v>0</v>
      </c>
      <c r="U2188" s="26">
        <v>0</v>
      </c>
      <c r="V2188" s="28">
        <v>0</v>
      </c>
      <c r="W2188" s="26">
        <v>0</v>
      </c>
      <c r="X2188" s="26">
        <v>0</v>
      </c>
      <c r="Y2188" s="26">
        <v>0</v>
      </c>
      <c r="Z2188" s="26">
        <v>0</v>
      </c>
    </row>
    <row r="2189" spans="1:26" x14ac:dyDescent="0.2">
      <c r="A2189">
        <f t="shared" si="70"/>
        <v>5</v>
      </c>
      <c r="B2189">
        <f t="shared" si="71"/>
        <v>19</v>
      </c>
      <c r="C2189" s="27">
        <v>46149</v>
      </c>
      <c r="D2189" s="26" t="s">
        <v>26</v>
      </c>
      <c r="E2189" s="26" t="s">
        <v>27</v>
      </c>
      <c r="F2189" s="26" t="s">
        <v>28</v>
      </c>
      <c r="G2189" s="26" t="s">
        <v>29</v>
      </c>
      <c r="H2189" s="26" t="s">
        <v>30</v>
      </c>
      <c r="I2189" s="26" t="s">
        <v>50</v>
      </c>
      <c r="J2189" s="26" t="s">
        <v>32</v>
      </c>
      <c r="K2189" s="26" t="s">
        <v>1248</v>
      </c>
      <c r="L2189" s="26">
        <v>3</v>
      </c>
      <c r="M2189" s="26">
        <v>1</v>
      </c>
      <c r="N2189" s="28">
        <v>0.33333299999999999</v>
      </c>
      <c r="O2189" s="26">
        <v>0.08</v>
      </c>
      <c r="P2189" s="26">
        <v>0.08</v>
      </c>
      <c r="Q2189" s="26">
        <v>18.989999999999998</v>
      </c>
      <c r="R2189" s="28">
        <v>4.2129999999999997E-3</v>
      </c>
      <c r="S2189" s="26">
        <v>237.38</v>
      </c>
      <c r="T2189" s="26">
        <v>1</v>
      </c>
      <c r="U2189" s="26">
        <v>1</v>
      </c>
      <c r="V2189" s="28">
        <v>1</v>
      </c>
      <c r="W2189" s="26">
        <v>1</v>
      </c>
      <c r="X2189" s="26">
        <v>0</v>
      </c>
      <c r="Y2189" s="26">
        <v>18.989999999999998</v>
      </c>
      <c r="Z2189" s="26">
        <v>0</v>
      </c>
    </row>
    <row r="2190" spans="1:26" x14ac:dyDescent="0.2">
      <c r="A2190">
        <f t="shared" si="70"/>
        <v>5</v>
      </c>
      <c r="B2190">
        <f t="shared" si="71"/>
        <v>19</v>
      </c>
      <c r="C2190" s="27">
        <v>46148</v>
      </c>
      <c r="D2190" s="26" t="s">
        <v>26</v>
      </c>
      <c r="E2190" s="26" t="s">
        <v>27</v>
      </c>
      <c r="F2190" s="26" t="s">
        <v>28</v>
      </c>
      <c r="G2190" s="26" t="s">
        <v>29</v>
      </c>
      <c r="H2190" s="26" t="s">
        <v>30</v>
      </c>
      <c r="I2190" s="26" t="s">
        <v>50</v>
      </c>
      <c r="J2190" s="26" t="s">
        <v>32</v>
      </c>
      <c r="K2190" s="26" t="s">
        <v>1461</v>
      </c>
      <c r="L2190" s="26">
        <v>2</v>
      </c>
      <c r="M2190" s="26">
        <v>1</v>
      </c>
      <c r="N2190" s="28">
        <v>0.5</v>
      </c>
      <c r="O2190" s="26">
        <v>0.08</v>
      </c>
      <c r="P2190" s="26">
        <v>0.08</v>
      </c>
      <c r="Q2190" s="26">
        <v>0</v>
      </c>
      <c r="R2190" s="26"/>
      <c r="S2190" s="26">
        <v>0</v>
      </c>
      <c r="T2190" s="26">
        <v>0</v>
      </c>
      <c r="U2190" s="26">
        <v>0</v>
      </c>
      <c r="V2190" s="28">
        <v>0</v>
      </c>
      <c r="W2190" s="26">
        <v>0</v>
      </c>
      <c r="X2190" s="26">
        <v>0</v>
      </c>
      <c r="Y2190" s="26">
        <v>0</v>
      </c>
      <c r="Z2190" s="26">
        <v>0</v>
      </c>
    </row>
    <row r="2191" spans="1:26" x14ac:dyDescent="0.2">
      <c r="A2191">
        <f t="shared" si="70"/>
        <v>5</v>
      </c>
      <c r="B2191">
        <f t="shared" si="71"/>
        <v>20</v>
      </c>
      <c r="C2191" s="27">
        <v>46152</v>
      </c>
      <c r="D2191" s="26" t="s">
        <v>26</v>
      </c>
      <c r="E2191" s="26" t="s">
        <v>27</v>
      </c>
      <c r="F2191" s="26" t="s">
        <v>124</v>
      </c>
      <c r="G2191" s="26" t="s">
        <v>29</v>
      </c>
      <c r="H2191" s="26" t="s">
        <v>30</v>
      </c>
      <c r="I2191" s="26" t="s">
        <v>101</v>
      </c>
      <c r="J2191" s="26" t="s">
        <v>87</v>
      </c>
      <c r="K2191" s="26" t="s">
        <v>1461</v>
      </c>
      <c r="L2191" s="26">
        <v>3</v>
      </c>
      <c r="M2191" s="26">
        <v>1</v>
      </c>
      <c r="N2191" s="28">
        <v>0.33333299999999999</v>
      </c>
      <c r="O2191" s="26">
        <v>0</v>
      </c>
      <c r="P2191" s="26">
        <v>0</v>
      </c>
      <c r="Q2191" s="26">
        <v>0</v>
      </c>
      <c r="R2191" s="26"/>
      <c r="S2191" s="26"/>
      <c r="T2191" s="26">
        <v>0</v>
      </c>
      <c r="U2191" s="26">
        <v>0</v>
      </c>
      <c r="V2191" s="28">
        <v>0</v>
      </c>
      <c r="W2191" s="26">
        <v>0</v>
      </c>
      <c r="X2191" s="26">
        <v>0</v>
      </c>
      <c r="Y2191" s="26">
        <v>0</v>
      </c>
      <c r="Z2191" s="26">
        <v>0</v>
      </c>
    </row>
    <row r="2192" spans="1:26" x14ac:dyDescent="0.2">
      <c r="A2192">
        <f t="shared" si="70"/>
        <v>5</v>
      </c>
      <c r="B2192">
        <f t="shared" si="71"/>
        <v>20</v>
      </c>
      <c r="C2192" s="27">
        <v>46158</v>
      </c>
      <c r="D2192" s="26" t="s">
        <v>26</v>
      </c>
      <c r="E2192" s="26" t="s">
        <v>27</v>
      </c>
      <c r="F2192" s="26" t="s">
        <v>28</v>
      </c>
      <c r="G2192" s="26" t="s">
        <v>29</v>
      </c>
      <c r="H2192" s="26" t="s">
        <v>30</v>
      </c>
      <c r="I2192" s="26" t="s">
        <v>243</v>
      </c>
      <c r="J2192" s="26" t="s">
        <v>32</v>
      </c>
      <c r="K2192" s="26" t="s">
        <v>1462</v>
      </c>
      <c r="L2192" s="26">
        <v>3</v>
      </c>
      <c r="M2192" s="26">
        <v>1</v>
      </c>
      <c r="N2192" s="28">
        <v>0.33333299999999999</v>
      </c>
      <c r="O2192" s="26">
        <v>0.08</v>
      </c>
      <c r="P2192" s="26">
        <v>0.08</v>
      </c>
      <c r="Q2192" s="26">
        <v>0</v>
      </c>
      <c r="R2192" s="26"/>
      <c r="S2192" s="26">
        <v>0</v>
      </c>
      <c r="T2192" s="26">
        <v>0</v>
      </c>
      <c r="U2192" s="26">
        <v>0</v>
      </c>
      <c r="V2192" s="28">
        <v>0</v>
      </c>
      <c r="W2192" s="26">
        <v>0</v>
      </c>
      <c r="X2192" s="26">
        <v>0</v>
      </c>
      <c r="Y2192" s="26">
        <v>0</v>
      </c>
      <c r="Z2192" s="26">
        <v>0</v>
      </c>
    </row>
    <row r="2193" spans="1:26" x14ac:dyDescent="0.2">
      <c r="A2193">
        <f t="shared" si="70"/>
        <v>5</v>
      </c>
      <c r="B2193">
        <f t="shared" si="71"/>
        <v>21</v>
      </c>
      <c r="C2193" s="27">
        <v>46159</v>
      </c>
      <c r="D2193" s="26" t="s">
        <v>26</v>
      </c>
      <c r="E2193" s="26" t="s">
        <v>27</v>
      </c>
      <c r="F2193" s="26" t="s">
        <v>124</v>
      </c>
      <c r="G2193" s="26" t="s">
        <v>29</v>
      </c>
      <c r="H2193" s="26" t="s">
        <v>30</v>
      </c>
      <c r="I2193" s="26" t="s">
        <v>31</v>
      </c>
      <c r="J2193" s="26" t="s">
        <v>87</v>
      </c>
      <c r="K2193" s="26" t="s">
        <v>1463</v>
      </c>
      <c r="L2193" s="26">
        <v>1</v>
      </c>
      <c r="M2193" s="26">
        <v>1</v>
      </c>
      <c r="N2193" s="28">
        <v>1</v>
      </c>
      <c r="O2193" s="26">
        <v>0.4</v>
      </c>
      <c r="P2193" s="26">
        <v>0.4</v>
      </c>
      <c r="Q2193" s="26">
        <v>0</v>
      </c>
      <c r="R2193" s="26"/>
      <c r="S2193" s="26">
        <v>0</v>
      </c>
      <c r="T2193" s="26">
        <v>0</v>
      </c>
      <c r="U2193" s="26">
        <v>0</v>
      </c>
      <c r="V2193" s="28">
        <v>0</v>
      </c>
      <c r="W2193" s="26">
        <v>0</v>
      </c>
      <c r="X2193" s="26">
        <v>0</v>
      </c>
      <c r="Y2193" s="26">
        <v>0</v>
      </c>
      <c r="Z2193" s="26">
        <v>0</v>
      </c>
    </row>
    <row r="2194" spans="1:26" x14ac:dyDescent="0.2">
      <c r="A2194">
        <f t="shared" si="70"/>
        <v>5</v>
      </c>
      <c r="B2194">
        <f t="shared" si="71"/>
        <v>20</v>
      </c>
      <c r="C2194" s="27">
        <v>46157</v>
      </c>
      <c r="D2194" s="26" t="s">
        <v>26</v>
      </c>
      <c r="E2194" s="26" t="s">
        <v>27</v>
      </c>
      <c r="F2194" s="26" t="s">
        <v>28</v>
      </c>
      <c r="G2194" s="26" t="s">
        <v>29</v>
      </c>
      <c r="H2194" s="26" t="s">
        <v>30</v>
      </c>
      <c r="I2194" s="26" t="s">
        <v>44</v>
      </c>
      <c r="J2194" s="26" t="s">
        <v>32</v>
      </c>
      <c r="K2194" s="26" t="s">
        <v>1464</v>
      </c>
      <c r="L2194" s="26">
        <v>2</v>
      </c>
      <c r="M2194" s="26">
        <v>1</v>
      </c>
      <c r="N2194" s="28">
        <v>0.5</v>
      </c>
      <c r="O2194" s="26">
        <v>0.4</v>
      </c>
      <c r="P2194" s="26">
        <v>0.4</v>
      </c>
      <c r="Q2194" s="26">
        <v>0</v>
      </c>
      <c r="R2194" s="26"/>
      <c r="S2194" s="26">
        <v>0</v>
      </c>
      <c r="T2194" s="26">
        <v>0</v>
      </c>
      <c r="U2194" s="26">
        <v>0</v>
      </c>
      <c r="V2194" s="28">
        <v>0</v>
      </c>
      <c r="W2194" s="26">
        <v>0</v>
      </c>
      <c r="X2194" s="26">
        <v>0</v>
      </c>
      <c r="Y2194" s="26">
        <v>0</v>
      </c>
      <c r="Z2194" s="26">
        <v>0</v>
      </c>
    </row>
    <row r="2195" spans="1:26" x14ac:dyDescent="0.2">
      <c r="A2195">
        <f t="shared" si="70"/>
        <v>5</v>
      </c>
      <c r="B2195">
        <f t="shared" si="71"/>
        <v>18</v>
      </c>
      <c r="C2195" s="27">
        <v>46143</v>
      </c>
      <c r="D2195" s="26" t="s">
        <v>26</v>
      </c>
      <c r="E2195" s="26" t="s">
        <v>27</v>
      </c>
      <c r="F2195" s="26" t="s">
        <v>28</v>
      </c>
      <c r="G2195" s="26" t="s">
        <v>29</v>
      </c>
      <c r="H2195" s="26" t="s">
        <v>30</v>
      </c>
      <c r="I2195" s="26" t="s">
        <v>119</v>
      </c>
      <c r="J2195" s="26" t="s">
        <v>32</v>
      </c>
      <c r="K2195" s="26" t="s">
        <v>1465</v>
      </c>
      <c r="L2195" s="26">
        <v>1</v>
      </c>
      <c r="M2195" s="26">
        <v>1</v>
      </c>
      <c r="N2195" s="28">
        <v>1</v>
      </c>
      <c r="O2195" s="26">
        <v>0.16</v>
      </c>
      <c r="P2195" s="26">
        <v>0.16</v>
      </c>
      <c r="Q2195" s="26">
        <v>0</v>
      </c>
      <c r="R2195" s="26"/>
      <c r="S2195" s="26">
        <v>0</v>
      </c>
      <c r="T2195" s="26">
        <v>0</v>
      </c>
      <c r="U2195" s="26">
        <v>0</v>
      </c>
      <c r="V2195" s="28">
        <v>0</v>
      </c>
      <c r="W2195" s="26">
        <v>0</v>
      </c>
      <c r="X2195" s="26">
        <v>0</v>
      </c>
      <c r="Y2195" s="26">
        <v>0</v>
      </c>
      <c r="Z2195" s="26">
        <v>0</v>
      </c>
    </row>
    <row r="2196" spans="1:26" x14ac:dyDescent="0.2">
      <c r="A2196">
        <f t="shared" si="70"/>
        <v>5</v>
      </c>
      <c r="B2196">
        <f t="shared" si="71"/>
        <v>20</v>
      </c>
      <c r="C2196" s="27">
        <v>46157</v>
      </c>
      <c r="D2196" s="26" t="s">
        <v>26</v>
      </c>
      <c r="E2196" s="26" t="s">
        <v>27</v>
      </c>
      <c r="F2196" s="26" t="s">
        <v>28</v>
      </c>
      <c r="G2196" s="26" t="s">
        <v>29</v>
      </c>
      <c r="H2196" s="26" t="s">
        <v>30</v>
      </c>
      <c r="I2196" s="26" t="s">
        <v>119</v>
      </c>
      <c r="J2196" s="26" t="s">
        <v>32</v>
      </c>
      <c r="K2196" s="26" t="s">
        <v>1465</v>
      </c>
      <c r="L2196" s="26">
        <v>1</v>
      </c>
      <c r="M2196" s="26">
        <v>1</v>
      </c>
      <c r="N2196" s="28">
        <v>1</v>
      </c>
      <c r="O2196" s="26">
        <v>0.16</v>
      </c>
      <c r="P2196" s="26">
        <v>0.16</v>
      </c>
      <c r="Q2196" s="26">
        <v>0</v>
      </c>
      <c r="R2196" s="26"/>
      <c r="S2196" s="26">
        <v>0</v>
      </c>
      <c r="T2196" s="26">
        <v>0</v>
      </c>
      <c r="U2196" s="26">
        <v>0</v>
      </c>
      <c r="V2196" s="28">
        <v>0</v>
      </c>
      <c r="W2196" s="26">
        <v>0</v>
      </c>
      <c r="X2196" s="26">
        <v>0</v>
      </c>
      <c r="Y2196" s="26">
        <v>0</v>
      </c>
      <c r="Z2196" s="26">
        <v>0</v>
      </c>
    </row>
    <row r="2197" spans="1:26" x14ac:dyDescent="0.2">
      <c r="A2197">
        <f t="shared" si="70"/>
        <v>5</v>
      </c>
      <c r="B2197">
        <f t="shared" si="71"/>
        <v>21</v>
      </c>
      <c r="C2197" s="27">
        <v>46159</v>
      </c>
      <c r="D2197" s="26" t="s">
        <v>26</v>
      </c>
      <c r="E2197" s="26" t="s">
        <v>27</v>
      </c>
      <c r="F2197" s="26" t="s">
        <v>28</v>
      </c>
      <c r="G2197" s="26" t="s">
        <v>29</v>
      </c>
      <c r="H2197" s="26" t="s">
        <v>30</v>
      </c>
      <c r="I2197" s="26" t="s">
        <v>31</v>
      </c>
      <c r="J2197" s="26" t="s">
        <v>32</v>
      </c>
      <c r="K2197" s="26" t="s">
        <v>1466</v>
      </c>
      <c r="L2197" s="26">
        <v>1</v>
      </c>
      <c r="M2197" s="26">
        <v>1</v>
      </c>
      <c r="N2197" s="28">
        <v>1</v>
      </c>
      <c r="O2197" s="26">
        <v>0.21</v>
      </c>
      <c r="P2197" s="26">
        <v>0.21</v>
      </c>
      <c r="Q2197" s="26">
        <v>0</v>
      </c>
      <c r="R2197" s="26"/>
      <c r="S2197" s="26">
        <v>0</v>
      </c>
      <c r="T2197" s="26">
        <v>0</v>
      </c>
      <c r="U2197" s="26">
        <v>0</v>
      </c>
      <c r="V2197" s="28">
        <v>0</v>
      </c>
      <c r="W2197" s="26">
        <v>0</v>
      </c>
      <c r="X2197" s="26">
        <v>0</v>
      </c>
      <c r="Y2197" s="26">
        <v>0</v>
      </c>
      <c r="Z2197" s="26">
        <v>0</v>
      </c>
    </row>
    <row r="2198" spans="1:26" x14ac:dyDescent="0.2">
      <c r="A2198">
        <f t="shared" si="70"/>
        <v>5</v>
      </c>
      <c r="B2198">
        <f t="shared" si="71"/>
        <v>18</v>
      </c>
      <c r="C2198" s="27">
        <v>46144</v>
      </c>
      <c r="D2198" s="26" t="s">
        <v>26</v>
      </c>
      <c r="E2198" s="26" t="s">
        <v>27</v>
      </c>
      <c r="F2198" s="26" t="s">
        <v>28</v>
      </c>
      <c r="G2198" s="26" t="s">
        <v>29</v>
      </c>
      <c r="H2198" s="26" t="s">
        <v>30</v>
      </c>
      <c r="I2198" s="26" t="s">
        <v>119</v>
      </c>
      <c r="J2198" s="26" t="s">
        <v>32</v>
      </c>
      <c r="K2198" s="26" t="s">
        <v>1467</v>
      </c>
      <c r="L2198" s="26">
        <v>1</v>
      </c>
      <c r="M2198" s="26">
        <v>1</v>
      </c>
      <c r="N2198" s="28">
        <v>1</v>
      </c>
      <c r="O2198" s="26">
        <v>0.16</v>
      </c>
      <c r="P2198" s="26">
        <v>0.16</v>
      </c>
      <c r="Q2198" s="26">
        <v>0</v>
      </c>
      <c r="R2198" s="26"/>
      <c r="S2198" s="26">
        <v>0</v>
      </c>
      <c r="T2198" s="26">
        <v>0</v>
      </c>
      <c r="U2198" s="26">
        <v>0</v>
      </c>
      <c r="V2198" s="28">
        <v>0</v>
      </c>
      <c r="W2198" s="26">
        <v>0</v>
      </c>
      <c r="X2198" s="26">
        <v>0</v>
      </c>
      <c r="Y2198" s="26">
        <v>0</v>
      </c>
      <c r="Z2198" s="26">
        <v>0</v>
      </c>
    </row>
    <row r="2199" spans="1:26" x14ac:dyDescent="0.2">
      <c r="A2199">
        <f t="shared" si="70"/>
        <v>5</v>
      </c>
      <c r="B2199">
        <f t="shared" si="71"/>
        <v>18</v>
      </c>
      <c r="C2199" s="27">
        <v>46143</v>
      </c>
      <c r="D2199" s="26" t="s">
        <v>26</v>
      </c>
      <c r="E2199" s="26" t="s">
        <v>27</v>
      </c>
      <c r="F2199" s="26" t="s">
        <v>124</v>
      </c>
      <c r="G2199" s="26" t="s">
        <v>29</v>
      </c>
      <c r="H2199" s="26" t="s">
        <v>30</v>
      </c>
      <c r="I2199" s="26" t="s">
        <v>31</v>
      </c>
      <c r="J2199" s="26" t="s">
        <v>87</v>
      </c>
      <c r="K2199" s="26" t="s">
        <v>1468</v>
      </c>
      <c r="L2199" s="26">
        <v>1</v>
      </c>
      <c r="M2199" s="26">
        <v>1</v>
      </c>
      <c r="N2199" s="28">
        <v>1</v>
      </c>
      <c r="O2199" s="26">
        <v>0.2</v>
      </c>
      <c r="P2199" s="26">
        <v>0.2</v>
      </c>
      <c r="Q2199" s="26">
        <v>0</v>
      </c>
      <c r="R2199" s="26"/>
      <c r="S2199" s="26">
        <v>0</v>
      </c>
      <c r="T2199" s="26">
        <v>0</v>
      </c>
      <c r="U2199" s="26">
        <v>0</v>
      </c>
      <c r="V2199" s="28">
        <v>0</v>
      </c>
      <c r="W2199" s="26">
        <v>0</v>
      </c>
      <c r="X2199" s="26">
        <v>0</v>
      </c>
      <c r="Y2199" s="26">
        <v>0</v>
      </c>
      <c r="Z2199" s="26">
        <v>0</v>
      </c>
    </row>
    <row r="2200" spans="1:26" x14ac:dyDescent="0.2">
      <c r="A2200">
        <f t="shared" si="70"/>
        <v>5</v>
      </c>
      <c r="B2200">
        <f t="shared" si="71"/>
        <v>21</v>
      </c>
      <c r="C2200" s="27">
        <v>46163</v>
      </c>
      <c r="D2200" s="26" t="s">
        <v>26</v>
      </c>
      <c r="E2200" s="26" t="s">
        <v>27</v>
      </c>
      <c r="F2200" s="26" t="s">
        <v>28</v>
      </c>
      <c r="G2200" s="26" t="s">
        <v>29</v>
      </c>
      <c r="H2200" s="26" t="s">
        <v>30</v>
      </c>
      <c r="I2200" s="26" t="s">
        <v>845</v>
      </c>
      <c r="J2200" s="26" t="s">
        <v>32</v>
      </c>
      <c r="K2200" s="26" t="s">
        <v>1469</v>
      </c>
      <c r="L2200" s="26">
        <v>1</v>
      </c>
      <c r="M2200" s="26">
        <v>1</v>
      </c>
      <c r="N2200" s="28">
        <v>1</v>
      </c>
      <c r="O2200" s="26">
        <v>0.2</v>
      </c>
      <c r="P2200" s="26">
        <v>0.2</v>
      </c>
      <c r="Q2200" s="26">
        <v>0</v>
      </c>
      <c r="R2200" s="26"/>
      <c r="S2200" s="26">
        <v>0</v>
      </c>
      <c r="T2200" s="26">
        <v>0</v>
      </c>
      <c r="U2200" s="26">
        <v>0</v>
      </c>
      <c r="V2200" s="28">
        <v>0</v>
      </c>
      <c r="W2200" s="26">
        <v>0</v>
      </c>
      <c r="X2200" s="26">
        <v>0</v>
      </c>
      <c r="Y2200" s="26">
        <v>0</v>
      </c>
      <c r="Z2200" s="26">
        <v>0</v>
      </c>
    </row>
    <row r="2201" spans="1:26" x14ac:dyDescent="0.2">
      <c r="A2201">
        <f t="shared" si="70"/>
        <v>5</v>
      </c>
      <c r="B2201">
        <f t="shared" si="71"/>
        <v>19</v>
      </c>
      <c r="C2201" s="27">
        <v>46146</v>
      </c>
      <c r="D2201" s="26" t="s">
        <v>26</v>
      </c>
      <c r="E2201" s="26" t="s">
        <v>39</v>
      </c>
      <c r="F2201" s="26" t="s">
        <v>40</v>
      </c>
      <c r="G2201" s="26" t="s">
        <v>29</v>
      </c>
      <c r="H2201" s="26" t="s">
        <v>30</v>
      </c>
      <c r="I2201" s="26" t="s">
        <v>1134</v>
      </c>
      <c r="J2201" s="26" t="s">
        <v>42</v>
      </c>
      <c r="K2201" s="26" t="s">
        <v>1470</v>
      </c>
      <c r="L2201" s="26">
        <v>2</v>
      </c>
      <c r="M2201" s="26">
        <v>1</v>
      </c>
      <c r="N2201" s="28">
        <v>0.5</v>
      </c>
      <c r="O2201" s="26">
        <v>0.56999999999999995</v>
      </c>
      <c r="P2201" s="26">
        <v>0.56999999999999995</v>
      </c>
      <c r="Q2201" s="26">
        <v>0</v>
      </c>
      <c r="R2201" s="26"/>
      <c r="S2201" s="26">
        <v>0</v>
      </c>
      <c r="T2201" s="26">
        <v>0</v>
      </c>
      <c r="U2201" s="26">
        <v>0</v>
      </c>
      <c r="V2201" s="28">
        <v>0</v>
      </c>
      <c r="W2201" s="26">
        <v>0</v>
      </c>
      <c r="X2201" s="26">
        <v>0</v>
      </c>
      <c r="Y2201" s="26">
        <v>0</v>
      </c>
      <c r="Z2201" s="26">
        <v>0</v>
      </c>
    </row>
    <row r="2202" spans="1:26" x14ac:dyDescent="0.2">
      <c r="A2202">
        <f t="shared" si="70"/>
        <v>5</v>
      </c>
      <c r="B2202">
        <f t="shared" si="71"/>
        <v>20</v>
      </c>
      <c r="C2202" s="27">
        <v>46157</v>
      </c>
      <c r="D2202" s="26" t="s">
        <v>26</v>
      </c>
      <c r="E2202" s="26" t="s">
        <v>27</v>
      </c>
      <c r="F2202" s="26" t="s">
        <v>124</v>
      </c>
      <c r="G2202" s="26" t="s">
        <v>29</v>
      </c>
      <c r="H2202" s="26" t="s">
        <v>30</v>
      </c>
      <c r="I2202" s="26" t="s">
        <v>101</v>
      </c>
      <c r="J2202" s="26" t="s">
        <v>87</v>
      </c>
      <c r="K2202" s="26" t="s">
        <v>215</v>
      </c>
      <c r="L2202" s="26">
        <v>2</v>
      </c>
      <c r="M2202" s="26">
        <v>1</v>
      </c>
      <c r="N2202" s="28">
        <v>0.5</v>
      </c>
      <c r="O2202" s="26">
        <v>0.2</v>
      </c>
      <c r="P2202" s="26">
        <v>0.2</v>
      </c>
      <c r="Q2202" s="26">
        <v>0</v>
      </c>
      <c r="R2202" s="26"/>
      <c r="S2202" s="26">
        <v>0</v>
      </c>
      <c r="T2202" s="26">
        <v>0</v>
      </c>
      <c r="U2202" s="26">
        <v>0</v>
      </c>
      <c r="V2202" s="28">
        <v>0</v>
      </c>
      <c r="W2202" s="26">
        <v>0</v>
      </c>
      <c r="X2202" s="26">
        <v>0</v>
      </c>
      <c r="Y2202" s="26">
        <v>0</v>
      </c>
      <c r="Z2202" s="26">
        <v>0</v>
      </c>
    </row>
    <row r="2203" spans="1:26" x14ac:dyDescent="0.2">
      <c r="A2203">
        <f t="shared" si="70"/>
        <v>5</v>
      </c>
      <c r="B2203">
        <f t="shared" si="71"/>
        <v>18</v>
      </c>
      <c r="C2203" s="27">
        <v>46143</v>
      </c>
      <c r="D2203" s="26" t="s">
        <v>26</v>
      </c>
      <c r="E2203" s="26" t="s">
        <v>27</v>
      </c>
      <c r="F2203" s="26" t="s">
        <v>124</v>
      </c>
      <c r="G2203" s="26" t="s">
        <v>29</v>
      </c>
      <c r="H2203" s="26" t="s">
        <v>30</v>
      </c>
      <c r="I2203" s="26" t="s">
        <v>101</v>
      </c>
      <c r="J2203" s="26" t="s">
        <v>87</v>
      </c>
      <c r="K2203" s="26" t="s">
        <v>1471</v>
      </c>
      <c r="L2203" s="26">
        <v>4</v>
      </c>
      <c r="M2203" s="26">
        <v>1</v>
      </c>
      <c r="N2203" s="28">
        <v>0.25</v>
      </c>
      <c r="O2203" s="26">
        <v>0.2</v>
      </c>
      <c r="P2203" s="26">
        <v>0.2</v>
      </c>
      <c r="Q2203" s="26">
        <v>0</v>
      </c>
      <c r="R2203" s="26"/>
      <c r="S2203" s="26">
        <v>0</v>
      </c>
      <c r="T2203" s="26">
        <v>0</v>
      </c>
      <c r="U2203" s="26">
        <v>0</v>
      </c>
      <c r="V2203" s="28">
        <v>0</v>
      </c>
      <c r="W2203" s="26">
        <v>0</v>
      </c>
      <c r="X2203" s="26">
        <v>0</v>
      </c>
      <c r="Y2203" s="26">
        <v>0</v>
      </c>
      <c r="Z2203" s="26">
        <v>0</v>
      </c>
    </row>
    <row r="2204" spans="1:26" x14ac:dyDescent="0.2">
      <c r="A2204">
        <f t="shared" si="70"/>
        <v>5</v>
      </c>
      <c r="B2204">
        <f t="shared" si="71"/>
        <v>21</v>
      </c>
      <c r="C2204" s="27">
        <v>46163</v>
      </c>
      <c r="D2204" s="26" t="s">
        <v>26</v>
      </c>
      <c r="E2204" s="26" t="s">
        <v>49</v>
      </c>
      <c r="F2204" s="26" t="s">
        <v>50</v>
      </c>
      <c r="G2204" s="26" t="s">
        <v>29</v>
      </c>
      <c r="H2204" s="26" t="s">
        <v>30</v>
      </c>
      <c r="I2204" s="26" t="s">
        <v>95</v>
      </c>
      <c r="J2204" s="26" t="s">
        <v>42</v>
      </c>
      <c r="K2204" s="26" t="s">
        <v>1472</v>
      </c>
      <c r="L2204" s="26">
        <v>1</v>
      </c>
      <c r="M2204" s="26">
        <v>1</v>
      </c>
      <c r="N2204" s="28">
        <v>1</v>
      </c>
      <c r="O2204" s="26">
        <v>0.55000000000000004</v>
      </c>
      <c r="P2204" s="26">
        <v>0.55000000000000004</v>
      </c>
      <c r="Q2204" s="26">
        <v>0</v>
      </c>
      <c r="R2204" s="26"/>
      <c r="S2204" s="26">
        <v>0</v>
      </c>
      <c r="T2204" s="26">
        <v>0</v>
      </c>
      <c r="U2204" s="26">
        <v>0</v>
      </c>
      <c r="V2204" s="28">
        <v>0</v>
      </c>
      <c r="W2204" s="26">
        <v>0</v>
      </c>
      <c r="X2204" s="26">
        <v>0</v>
      </c>
      <c r="Y2204" s="26">
        <v>0</v>
      </c>
      <c r="Z2204" s="26">
        <v>0</v>
      </c>
    </row>
    <row r="2205" spans="1:26" x14ac:dyDescent="0.2">
      <c r="A2205">
        <f t="shared" si="70"/>
        <v>5</v>
      </c>
      <c r="B2205">
        <f t="shared" si="71"/>
        <v>21</v>
      </c>
      <c r="C2205" s="27">
        <v>46160</v>
      </c>
      <c r="D2205" s="26" t="s">
        <v>26</v>
      </c>
      <c r="E2205" s="26" t="s">
        <v>49</v>
      </c>
      <c r="F2205" s="26" t="s">
        <v>50</v>
      </c>
      <c r="G2205" s="26" t="s">
        <v>29</v>
      </c>
      <c r="H2205" s="26" t="s">
        <v>30</v>
      </c>
      <c r="I2205" s="26" t="s">
        <v>95</v>
      </c>
      <c r="J2205" s="26" t="s">
        <v>42</v>
      </c>
      <c r="K2205" s="26" t="s">
        <v>1473</v>
      </c>
      <c r="L2205" s="26">
        <v>2</v>
      </c>
      <c r="M2205" s="26">
        <v>1</v>
      </c>
      <c r="N2205" s="28">
        <v>0.5</v>
      </c>
      <c r="O2205" s="26">
        <v>0.5</v>
      </c>
      <c r="P2205" s="26">
        <v>0.5</v>
      </c>
      <c r="Q2205" s="26">
        <v>0</v>
      </c>
      <c r="R2205" s="26"/>
      <c r="S2205" s="26">
        <v>0</v>
      </c>
      <c r="T2205" s="26">
        <v>0</v>
      </c>
      <c r="U2205" s="26">
        <v>0</v>
      </c>
      <c r="V2205" s="28">
        <v>0</v>
      </c>
      <c r="W2205" s="26">
        <v>0</v>
      </c>
      <c r="X2205" s="26">
        <v>0</v>
      </c>
      <c r="Y2205" s="26">
        <v>0</v>
      </c>
      <c r="Z2205" s="26">
        <v>0</v>
      </c>
    </row>
    <row r="2206" spans="1:26" x14ac:dyDescent="0.2">
      <c r="A2206">
        <f t="shared" si="70"/>
        <v>5</v>
      </c>
      <c r="B2206">
        <f t="shared" si="71"/>
        <v>20</v>
      </c>
      <c r="C2206" s="27">
        <v>46153</v>
      </c>
      <c r="D2206" s="26" t="s">
        <v>26</v>
      </c>
      <c r="E2206" s="26" t="s">
        <v>1414</v>
      </c>
      <c r="F2206" s="26" t="s">
        <v>113</v>
      </c>
      <c r="G2206" s="26" t="s">
        <v>29</v>
      </c>
      <c r="H2206" s="26" t="s">
        <v>30</v>
      </c>
      <c r="I2206" s="26" t="s">
        <v>95</v>
      </c>
      <c r="J2206" s="26" t="s">
        <v>42</v>
      </c>
      <c r="K2206" s="26" t="s">
        <v>1474</v>
      </c>
      <c r="L2206" s="26">
        <v>1</v>
      </c>
      <c r="M2206" s="26">
        <v>1</v>
      </c>
      <c r="N2206" s="28">
        <v>1</v>
      </c>
      <c r="O2206" s="26">
        <v>0.2</v>
      </c>
      <c r="P2206" s="26">
        <v>0.2</v>
      </c>
      <c r="Q2206" s="26">
        <v>0</v>
      </c>
      <c r="R2206" s="26"/>
      <c r="S2206" s="26">
        <v>0</v>
      </c>
      <c r="T2206" s="26">
        <v>0</v>
      </c>
      <c r="U2206" s="26">
        <v>0</v>
      </c>
      <c r="V2206" s="28">
        <v>0</v>
      </c>
      <c r="W2206" s="26">
        <v>0</v>
      </c>
      <c r="X2206" s="26">
        <v>0</v>
      </c>
      <c r="Y2206" s="26">
        <v>0</v>
      </c>
      <c r="Z2206" s="26">
        <v>0</v>
      </c>
    </row>
    <row r="2207" spans="1:26" x14ac:dyDescent="0.2">
      <c r="A2207">
        <f t="shared" si="70"/>
        <v>5</v>
      </c>
      <c r="B2207">
        <f t="shared" si="71"/>
        <v>21</v>
      </c>
      <c r="C2207" s="27">
        <v>46163</v>
      </c>
      <c r="D2207" s="26" t="s">
        <v>26</v>
      </c>
      <c r="E2207" s="26" t="s">
        <v>27</v>
      </c>
      <c r="F2207" s="26" t="s">
        <v>28</v>
      </c>
      <c r="G2207" s="26" t="s">
        <v>29</v>
      </c>
      <c r="H2207" s="26" t="s">
        <v>30</v>
      </c>
      <c r="I2207" s="26" t="s">
        <v>31</v>
      </c>
      <c r="J2207" s="26" t="s">
        <v>32</v>
      </c>
      <c r="K2207" s="26" t="s">
        <v>1475</v>
      </c>
      <c r="L2207" s="26">
        <v>2</v>
      </c>
      <c r="M2207" s="26">
        <v>1</v>
      </c>
      <c r="N2207" s="28">
        <v>0.5</v>
      </c>
      <c r="O2207" s="26">
        <v>0.21</v>
      </c>
      <c r="P2207" s="26">
        <v>0.21</v>
      </c>
      <c r="Q2207" s="26">
        <v>0</v>
      </c>
      <c r="R2207" s="26"/>
      <c r="S2207" s="26">
        <v>0</v>
      </c>
      <c r="T2207" s="26">
        <v>0</v>
      </c>
      <c r="U2207" s="26">
        <v>0</v>
      </c>
      <c r="V2207" s="28">
        <v>0</v>
      </c>
      <c r="W2207" s="26">
        <v>0</v>
      </c>
      <c r="X2207" s="26">
        <v>0</v>
      </c>
      <c r="Y2207" s="26">
        <v>0</v>
      </c>
      <c r="Z2207" s="26">
        <v>0</v>
      </c>
    </row>
    <row r="2208" spans="1:26" x14ac:dyDescent="0.2">
      <c r="A2208">
        <f t="shared" si="70"/>
        <v>5</v>
      </c>
      <c r="B2208">
        <f t="shared" si="71"/>
        <v>20</v>
      </c>
      <c r="C2208" s="27">
        <v>46157</v>
      </c>
      <c r="D2208" s="26" t="s">
        <v>26</v>
      </c>
      <c r="E2208" s="26" t="s">
        <v>27</v>
      </c>
      <c r="F2208" s="26" t="s">
        <v>28</v>
      </c>
      <c r="G2208" s="26" t="s">
        <v>29</v>
      </c>
      <c r="H2208" s="26" t="s">
        <v>30</v>
      </c>
      <c r="I2208" s="26" t="s">
        <v>101</v>
      </c>
      <c r="J2208" s="26" t="s">
        <v>32</v>
      </c>
      <c r="K2208" s="26" t="s">
        <v>1476</v>
      </c>
      <c r="L2208" s="26">
        <v>1</v>
      </c>
      <c r="M2208" s="26">
        <v>1</v>
      </c>
      <c r="N2208" s="28">
        <v>1</v>
      </c>
      <c r="O2208" s="26">
        <v>0.21</v>
      </c>
      <c r="P2208" s="26">
        <v>0.21</v>
      </c>
      <c r="Q2208" s="26">
        <v>0</v>
      </c>
      <c r="R2208" s="26"/>
      <c r="S2208" s="26">
        <v>0</v>
      </c>
      <c r="T2208" s="26">
        <v>0</v>
      </c>
      <c r="U2208" s="26">
        <v>0</v>
      </c>
      <c r="V2208" s="28">
        <v>0</v>
      </c>
      <c r="W2208" s="26">
        <v>0</v>
      </c>
      <c r="X2208" s="26">
        <v>0</v>
      </c>
      <c r="Y2208" s="26">
        <v>0</v>
      </c>
      <c r="Z2208" s="26">
        <v>0</v>
      </c>
    </row>
    <row r="2209" spans="1:26" x14ac:dyDescent="0.2">
      <c r="A2209">
        <f t="shared" si="70"/>
        <v>5</v>
      </c>
      <c r="B2209">
        <f t="shared" si="71"/>
        <v>19</v>
      </c>
      <c r="C2209" s="27">
        <v>46146</v>
      </c>
      <c r="D2209" s="26" t="s">
        <v>26</v>
      </c>
      <c r="E2209" s="26" t="s">
        <v>27</v>
      </c>
      <c r="F2209" s="26" t="s">
        <v>28</v>
      </c>
      <c r="G2209" s="26" t="s">
        <v>29</v>
      </c>
      <c r="H2209" s="26" t="s">
        <v>30</v>
      </c>
      <c r="I2209" s="26" t="s">
        <v>119</v>
      </c>
      <c r="J2209" s="26" t="s">
        <v>32</v>
      </c>
      <c r="K2209" s="26" t="s">
        <v>1477</v>
      </c>
      <c r="L2209" s="26">
        <v>1</v>
      </c>
      <c r="M2209" s="26">
        <v>1</v>
      </c>
      <c r="N2209" s="28">
        <v>1</v>
      </c>
      <c r="O2209" s="26">
        <v>0.16</v>
      </c>
      <c r="P2209" s="26">
        <v>0.16</v>
      </c>
      <c r="Q2209" s="26">
        <v>0</v>
      </c>
      <c r="R2209" s="26"/>
      <c r="S2209" s="26">
        <v>0</v>
      </c>
      <c r="T2209" s="26">
        <v>0</v>
      </c>
      <c r="U2209" s="26">
        <v>0</v>
      </c>
      <c r="V2209" s="28">
        <v>0</v>
      </c>
      <c r="W2209" s="26">
        <v>0</v>
      </c>
      <c r="X2209" s="26">
        <v>0</v>
      </c>
      <c r="Y2209" s="26">
        <v>0</v>
      </c>
      <c r="Z2209" s="26">
        <v>0</v>
      </c>
    </row>
    <row r="2210" spans="1:26" x14ac:dyDescent="0.2">
      <c r="A2210">
        <f t="shared" si="70"/>
        <v>5</v>
      </c>
      <c r="B2210">
        <f t="shared" si="71"/>
        <v>19</v>
      </c>
      <c r="C2210" s="27">
        <v>46145</v>
      </c>
      <c r="D2210" s="26" t="s">
        <v>26</v>
      </c>
      <c r="E2210" s="26" t="s">
        <v>27</v>
      </c>
      <c r="F2210" s="26" t="s">
        <v>124</v>
      </c>
      <c r="G2210" s="26" t="s">
        <v>29</v>
      </c>
      <c r="H2210" s="26" t="s">
        <v>30</v>
      </c>
      <c r="I2210" s="26" t="s">
        <v>101</v>
      </c>
      <c r="J2210" s="26" t="s">
        <v>87</v>
      </c>
      <c r="K2210" s="26" t="s">
        <v>220</v>
      </c>
      <c r="L2210" s="26">
        <v>3</v>
      </c>
      <c r="M2210" s="26">
        <v>1</v>
      </c>
      <c r="N2210" s="28">
        <v>0.33333299999999999</v>
      </c>
      <c r="O2210" s="26">
        <v>0.2</v>
      </c>
      <c r="P2210" s="26">
        <v>0.2</v>
      </c>
      <c r="Q2210" s="26">
        <v>0</v>
      </c>
      <c r="R2210" s="26"/>
      <c r="S2210" s="26">
        <v>0</v>
      </c>
      <c r="T2210" s="26">
        <v>0</v>
      </c>
      <c r="U2210" s="26">
        <v>0</v>
      </c>
      <c r="V2210" s="28">
        <v>0</v>
      </c>
      <c r="W2210" s="26">
        <v>0</v>
      </c>
      <c r="X2210" s="26">
        <v>0</v>
      </c>
      <c r="Y2210" s="26">
        <v>0</v>
      </c>
      <c r="Z2210" s="26">
        <v>0</v>
      </c>
    </row>
    <row r="2211" spans="1:26" x14ac:dyDescent="0.2">
      <c r="A2211">
        <f t="shared" si="70"/>
        <v>5</v>
      </c>
      <c r="B2211">
        <f t="shared" si="71"/>
        <v>18</v>
      </c>
      <c r="C2211" s="27">
        <v>46144</v>
      </c>
      <c r="D2211" s="26" t="s">
        <v>26</v>
      </c>
      <c r="E2211" s="26" t="s">
        <v>61</v>
      </c>
      <c r="F2211" s="26" t="s">
        <v>62</v>
      </c>
      <c r="G2211" s="26" t="s">
        <v>29</v>
      </c>
      <c r="H2211" s="26" t="s">
        <v>30</v>
      </c>
      <c r="I2211" s="26" t="s">
        <v>95</v>
      </c>
      <c r="J2211" s="26" t="s">
        <v>42</v>
      </c>
      <c r="K2211" s="26" t="s">
        <v>1478</v>
      </c>
      <c r="L2211" s="26">
        <v>188</v>
      </c>
      <c r="M2211" s="26">
        <v>1</v>
      </c>
      <c r="N2211" s="28">
        <v>5.3189999999999999E-3</v>
      </c>
      <c r="O2211" s="26">
        <v>0.28000000000000003</v>
      </c>
      <c r="P2211" s="26">
        <v>0.28000000000000003</v>
      </c>
      <c r="Q2211" s="26">
        <v>0</v>
      </c>
      <c r="R2211" s="26"/>
      <c r="S2211" s="26">
        <v>0</v>
      </c>
      <c r="T2211" s="26">
        <v>0</v>
      </c>
      <c r="U2211" s="26">
        <v>0</v>
      </c>
      <c r="V2211" s="28">
        <v>0</v>
      </c>
      <c r="W2211" s="26">
        <v>0</v>
      </c>
      <c r="X2211" s="26">
        <v>0</v>
      </c>
      <c r="Y2211" s="26">
        <v>0</v>
      </c>
      <c r="Z2211" s="26">
        <v>0</v>
      </c>
    </row>
    <row r="2212" spans="1:26" x14ac:dyDescent="0.2">
      <c r="A2212">
        <f t="shared" si="70"/>
        <v>5</v>
      </c>
      <c r="B2212">
        <f t="shared" si="71"/>
        <v>19</v>
      </c>
      <c r="C2212" s="27">
        <v>46145</v>
      </c>
      <c r="D2212" s="26" t="s">
        <v>26</v>
      </c>
      <c r="E2212" s="26" t="s">
        <v>61</v>
      </c>
      <c r="F2212" s="26" t="s">
        <v>62</v>
      </c>
      <c r="G2212" s="26" t="s">
        <v>29</v>
      </c>
      <c r="H2212" s="26" t="s">
        <v>30</v>
      </c>
      <c r="I2212" s="26" t="s">
        <v>95</v>
      </c>
      <c r="J2212" s="26" t="s">
        <v>42</v>
      </c>
      <c r="K2212" s="26" t="s">
        <v>1478</v>
      </c>
      <c r="L2212" s="26">
        <v>65</v>
      </c>
      <c r="M2212" s="26">
        <v>1</v>
      </c>
      <c r="N2212" s="28">
        <v>1.5384999999999999E-2</v>
      </c>
      <c r="O2212" s="26">
        <v>0.3</v>
      </c>
      <c r="P2212" s="26">
        <v>0.3</v>
      </c>
      <c r="Q2212" s="26">
        <v>0</v>
      </c>
      <c r="R2212" s="26"/>
      <c r="S2212" s="26">
        <v>0</v>
      </c>
      <c r="T2212" s="26">
        <v>0</v>
      </c>
      <c r="U2212" s="26">
        <v>0</v>
      </c>
      <c r="V2212" s="28">
        <v>0</v>
      </c>
      <c r="W2212" s="26">
        <v>0</v>
      </c>
      <c r="X2212" s="26">
        <v>0</v>
      </c>
      <c r="Y2212" s="26">
        <v>0</v>
      </c>
      <c r="Z2212" s="26">
        <v>0</v>
      </c>
    </row>
    <row r="2213" spans="1:26" x14ac:dyDescent="0.2">
      <c r="A2213">
        <f t="shared" si="70"/>
        <v>5</v>
      </c>
      <c r="B2213">
        <f t="shared" si="71"/>
        <v>21</v>
      </c>
      <c r="C2213" s="27">
        <v>46159</v>
      </c>
      <c r="D2213" s="26" t="s">
        <v>26</v>
      </c>
      <c r="E2213" s="26" t="s">
        <v>49</v>
      </c>
      <c r="F2213" s="26" t="s">
        <v>50</v>
      </c>
      <c r="G2213" s="26" t="s">
        <v>29</v>
      </c>
      <c r="H2213" s="26" t="s">
        <v>30</v>
      </c>
      <c r="I2213" s="26" t="s">
        <v>95</v>
      </c>
      <c r="J2213" s="26" t="s">
        <v>42</v>
      </c>
      <c r="K2213" s="26" t="s">
        <v>1479</v>
      </c>
      <c r="L2213" s="26">
        <v>2</v>
      </c>
      <c r="M2213" s="26">
        <v>1</v>
      </c>
      <c r="N2213" s="28">
        <v>0.5</v>
      </c>
      <c r="O2213" s="26">
        <v>0.5</v>
      </c>
      <c r="P2213" s="26">
        <v>0.5</v>
      </c>
      <c r="Q2213" s="26">
        <v>0</v>
      </c>
      <c r="R2213" s="26"/>
      <c r="S2213" s="26">
        <v>0</v>
      </c>
      <c r="T2213" s="26">
        <v>0</v>
      </c>
      <c r="U2213" s="26">
        <v>0</v>
      </c>
      <c r="V2213" s="28">
        <v>0</v>
      </c>
      <c r="W2213" s="26">
        <v>0</v>
      </c>
      <c r="X2213" s="26">
        <v>0</v>
      </c>
      <c r="Y2213" s="26">
        <v>0</v>
      </c>
      <c r="Z2213" s="26">
        <v>0</v>
      </c>
    </row>
    <row r="2214" spans="1:26" x14ac:dyDescent="0.2">
      <c r="A2214">
        <f t="shared" si="70"/>
        <v>5</v>
      </c>
      <c r="B2214">
        <f t="shared" si="71"/>
        <v>20</v>
      </c>
      <c r="C2214" s="27">
        <v>46154</v>
      </c>
      <c r="D2214" s="26" t="s">
        <v>26</v>
      </c>
      <c r="E2214" s="26" t="s">
        <v>27</v>
      </c>
      <c r="F2214" s="26" t="s">
        <v>124</v>
      </c>
      <c r="G2214" s="26" t="s">
        <v>29</v>
      </c>
      <c r="H2214" s="26" t="s">
        <v>30</v>
      </c>
      <c r="I2214" s="26" t="s">
        <v>101</v>
      </c>
      <c r="J2214" s="26" t="s">
        <v>87</v>
      </c>
      <c r="K2214" s="26" t="s">
        <v>1480</v>
      </c>
      <c r="L2214" s="26">
        <v>1</v>
      </c>
      <c r="M2214" s="26">
        <v>1</v>
      </c>
      <c r="N2214" s="28">
        <v>1</v>
      </c>
      <c r="O2214" s="26">
        <v>0.21</v>
      </c>
      <c r="P2214" s="26">
        <v>0.21</v>
      </c>
      <c r="Q2214" s="26">
        <v>0</v>
      </c>
      <c r="R2214" s="26"/>
      <c r="S2214" s="26">
        <v>0</v>
      </c>
      <c r="T2214" s="26">
        <v>0</v>
      </c>
      <c r="U2214" s="26">
        <v>0</v>
      </c>
      <c r="V2214" s="28">
        <v>0</v>
      </c>
      <c r="W2214" s="26">
        <v>0</v>
      </c>
      <c r="X2214" s="26">
        <v>0</v>
      </c>
      <c r="Y2214" s="26">
        <v>0</v>
      </c>
      <c r="Z2214" s="26">
        <v>0</v>
      </c>
    </row>
    <row r="2215" spans="1:26" x14ac:dyDescent="0.2">
      <c r="A2215">
        <f t="shared" si="70"/>
        <v>5</v>
      </c>
      <c r="B2215">
        <f t="shared" si="71"/>
        <v>19</v>
      </c>
      <c r="C2215" s="27">
        <v>46147</v>
      </c>
      <c r="D2215" s="26" t="s">
        <v>26</v>
      </c>
      <c r="E2215" s="26" t="s">
        <v>112</v>
      </c>
      <c r="F2215" s="26" t="s">
        <v>113</v>
      </c>
      <c r="G2215" s="26" t="s">
        <v>29</v>
      </c>
      <c r="H2215" s="26" t="s">
        <v>30</v>
      </c>
      <c r="I2215" s="26" t="s">
        <v>109</v>
      </c>
      <c r="J2215" s="26" t="s">
        <v>32</v>
      </c>
      <c r="K2215" s="26" t="s">
        <v>1481</v>
      </c>
      <c r="L2215" s="26">
        <v>6</v>
      </c>
      <c r="M2215" s="26">
        <v>1</v>
      </c>
      <c r="N2215" s="28">
        <v>0.16666700000000001</v>
      </c>
      <c r="O2215" s="26">
        <v>2.34</v>
      </c>
      <c r="P2215" s="26">
        <v>2.34</v>
      </c>
      <c r="Q2215" s="26">
        <v>0</v>
      </c>
      <c r="R2215" s="26"/>
      <c r="S2215" s="26">
        <v>0</v>
      </c>
      <c r="T2215" s="26">
        <v>0</v>
      </c>
      <c r="U2215" s="26">
        <v>0</v>
      </c>
      <c r="V2215" s="28">
        <v>0</v>
      </c>
      <c r="W2215" s="26">
        <v>0</v>
      </c>
      <c r="X2215" s="26">
        <v>0</v>
      </c>
      <c r="Y2215" s="26">
        <v>0</v>
      </c>
      <c r="Z2215" s="26">
        <v>0</v>
      </c>
    </row>
    <row r="2216" spans="1:26" x14ac:dyDescent="0.2">
      <c r="A2216">
        <f t="shared" si="70"/>
        <v>5</v>
      </c>
      <c r="B2216">
        <f t="shared" si="71"/>
        <v>19</v>
      </c>
      <c r="C2216" s="27">
        <v>46145</v>
      </c>
      <c r="D2216" s="26" t="s">
        <v>26</v>
      </c>
      <c r="E2216" s="26" t="s">
        <v>112</v>
      </c>
      <c r="F2216" s="26" t="s">
        <v>113</v>
      </c>
      <c r="G2216" s="26" t="s">
        <v>29</v>
      </c>
      <c r="H2216" s="26" t="s">
        <v>30</v>
      </c>
      <c r="I2216" s="26" t="s">
        <v>109</v>
      </c>
      <c r="J2216" s="26" t="s">
        <v>32</v>
      </c>
      <c r="K2216" s="26" t="s">
        <v>1482</v>
      </c>
      <c r="L2216" s="26">
        <v>1</v>
      </c>
      <c r="M2216" s="26">
        <v>1</v>
      </c>
      <c r="N2216" s="28">
        <v>1</v>
      </c>
      <c r="O2216" s="26">
        <v>3.19</v>
      </c>
      <c r="P2216" s="26">
        <v>3.19</v>
      </c>
      <c r="Q2216" s="26">
        <v>0</v>
      </c>
      <c r="R2216" s="26"/>
      <c r="S2216" s="26">
        <v>0</v>
      </c>
      <c r="T2216" s="26">
        <v>0</v>
      </c>
      <c r="U2216" s="26">
        <v>0</v>
      </c>
      <c r="V2216" s="28">
        <v>0</v>
      </c>
      <c r="W2216" s="26">
        <v>0</v>
      </c>
      <c r="X2216" s="26">
        <v>0</v>
      </c>
      <c r="Y2216" s="26">
        <v>0</v>
      </c>
      <c r="Z2216" s="26">
        <v>0</v>
      </c>
    </row>
    <row r="2217" spans="1:26" x14ac:dyDescent="0.2">
      <c r="A2217">
        <f t="shared" si="70"/>
        <v>5</v>
      </c>
      <c r="B2217">
        <f t="shared" si="71"/>
        <v>18</v>
      </c>
      <c r="C2217" s="27">
        <v>46143</v>
      </c>
      <c r="D2217" s="26" t="s">
        <v>26</v>
      </c>
      <c r="E2217" s="26" t="s">
        <v>112</v>
      </c>
      <c r="F2217" s="26" t="s">
        <v>113</v>
      </c>
      <c r="G2217" s="26" t="s">
        <v>29</v>
      </c>
      <c r="H2217" s="26" t="s">
        <v>30</v>
      </c>
      <c r="I2217" s="26" t="s">
        <v>109</v>
      </c>
      <c r="J2217" s="26" t="s">
        <v>32</v>
      </c>
      <c r="K2217" s="26" t="s">
        <v>1483</v>
      </c>
      <c r="L2217" s="26">
        <v>1</v>
      </c>
      <c r="M2217" s="26">
        <v>1</v>
      </c>
      <c r="N2217" s="28">
        <v>1</v>
      </c>
      <c r="O2217" s="26">
        <v>3.38</v>
      </c>
      <c r="P2217" s="26">
        <v>3.38</v>
      </c>
      <c r="Q2217" s="26">
        <v>0</v>
      </c>
      <c r="R2217" s="26"/>
      <c r="S2217" s="26">
        <v>0</v>
      </c>
      <c r="T2217" s="26">
        <v>0</v>
      </c>
      <c r="U2217" s="26">
        <v>0</v>
      </c>
      <c r="V2217" s="28">
        <v>0</v>
      </c>
      <c r="W2217" s="26">
        <v>0</v>
      </c>
      <c r="X2217" s="26">
        <v>0</v>
      </c>
      <c r="Y2217" s="26">
        <v>0</v>
      </c>
      <c r="Z2217" s="26">
        <v>0</v>
      </c>
    </row>
    <row r="2218" spans="1:26" x14ac:dyDescent="0.2">
      <c r="A2218">
        <f t="shared" si="70"/>
        <v>5</v>
      </c>
      <c r="B2218">
        <f t="shared" si="71"/>
        <v>19</v>
      </c>
      <c r="C2218" s="27">
        <v>46148</v>
      </c>
      <c r="D2218" s="26" t="s">
        <v>26</v>
      </c>
      <c r="E2218" s="26" t="s">
        <v>112</v>
      </c>
      <c r="F2218" s="26" t="s">
        <v>113</v>
      </c>
      <c r="G2218" s="26" t="s">
        <v>29</v>
      </c>
      <c r="H2218" s="26" t="s">
        <v>30</v>
      </c>
      <c r="I2218" s="26" t="s">
        <v>238</v>
      </c>
      <c r="J2218" s="26" t="s">
        <v>32</v>
      </c>
      <c r="K2218" s="26" t="s">
        <v>512</v>
      </c>
      <c r="L2218" s="26">
        <v>82</v>
      </c>
      <c r="M2218" s="26">
        <v>1</v>
      </c>
      <c r="N2218" s="28">
        <v>1.2194999999999999E-2</v>
      </c>
      <c r="O2218" s="26">
        <v>2.21</v>
      </c>
      <c r="P2218" s="26">
        <v>2.21</v>
      </c>
      <c r="Q2218" s="26">
        <v>0</v>
      </c>
      <c r="R2218" s="26"/>
      <c r="S2218" s="26">
        <v>0</v>
      </c>
      <c r="T2218" s="26">
        <v>0</v>
      </c>
      <c r="U2218" s="26">
        <v>0</v>
      </c>
      <c r="V2218" s="28">
        <v>0</v>
      </c>
      <c r="W2218" s="26">
        <v>0</v>
      </c>
      <c r="X2218" s="26">
        <v>0</v>
      </c>
      <c r="Y2218" s="26">
        <v>0</v>
      </c>
      <c r="Z2218" s="26">
        <v>0</v>
      </c>
    </row>
    <row r="2219" spans="1:26" x14ac:dyDescent="0.2">
      <c r="A2219">
        <f t="shared" si="70"/>
        <v>5</v>
      </c>
      <c r="B2219">
        <f t="shared" si="71"/>
        <v>18</v>
      </c>
      <c r="C2219" s="27">
        <v>46144</v>
      </c>
      <c r="D2219" s="26" t="s">
        <v>26</v>
      </c>
      <c r="E2219" s="26" t="s">
        <v>27</v>
      </c>
      <c r="F2219" s="26" t="s">
        <v>28</v>
      </c>
      <c r="G2219" s="26" t="s">
        <v>29</v>
      </c>
      <c r="H2219" s="26" t="s">
        <v>30</v>
      </c>
      <c r="I2219" s="26" t="s">
        <v>101</v>
      </c>
      <c r="J2219" s="26" t="s">
        <v>32</v>
      </c>
      <c r="K2219" s="26" t="s">
        <v>1484</v>
      </c>
      <c r="L2219" s="26">
        <v>1</v>
      </c>
      <c r="M2219" s="26">
        <v>1</v>
      </c>
      <c r="N2219" s="28">
        <v>1</v>
      </c>
      <c r="O2219" s="26">
        <v>0.21</v>
      </c>
      <c r="P2219" s="26">
        <v>0.21</v>
      </c>
      <c r="Q2219" s="26">
        <v>0</v>
      </c>
      <c r="R2219" s="26"/>
      <c r="S2219" s="26">
        <v>0</v>
      </c>
      <c r="T2219" s="26">
        <v>0</v>
      </c>
      <c r="U2219" s="26">
        <v>0</v>
      </c>
      <c r="V2219" s="28">
        <v>0</v>
      </c>
      <c r="W2219" s="26">
        <v>0</v>
      </c>
      <c r="X2219" s="26">
        <v>0</v>
      </c>
      <c r="Y2219" s="26">
        <v>0</v>
      </c>
      <c r="Z2219" s="26">
        <v>0</v>
      </c>
    </row>
    <row r="2220" spans="1:26" x14ac:dyDescent="0.2">
      <c r="A2220">
        <f t="shared" si="70"/>
        <v>5</v>
      </c>
      <c r="B2220">
        <f t="shared" si="71"/>
        <v>21</v>
      </c>
      <c r="C2220" s="27">
        <v>46160</v>
      </c>
      <c r="D2220" s="26" t="s">
        <v>26</v>
      </c>
      <c r="E2220" s="26" t="s">
        <v>39</v>
      </c>
      <c r="F2220" s="26" t="s">
        <v>40</v>
      </c>
      <c r="G2220" s="26" t="s">
        <v>29</v>
      </c>
      <c r="H2220" s="26" t="s">
        <v>30</v>
      </c>
      <c r="I2220" s="26" t="s">
        <v>1485</v>
      </c>
      <c r="J2220" s="26" t="s">
        <v>42</v>
      </c>
      <c r="K2220" s="26" t="s">
        <v>242</v>
      </c>
      <c r="L2220" s="26">
        <v>1</v>
      </c>
      <c r="M2220" s="26">
        <v>1</v>
      </c>
      <c r="N2220" s="28">
        <v>1</v>
      </c>
      <c r="O2220" s="26">
        <v>0.55000000000000004</v>
      </c>
      <c r="P2220" s="26">
        <v>0.55000000000000004</v>
      </c>
      <c r="Q2220" s="26">
        <v>0</v>
      </c>
      <c r="R2220" s="26"/>
      <c r="S2220" s="26">
        <v>0</v>
      </c>
      <c r="T2220" s="26">
        <v>0</v>
      </c>
      <c r="U2220" s="26">
        <v>0</v>
      </c>
      <c r="V2220" s="28">
        <v>0</v>
      </c>
      <c r="W2220" s="26">
        <v>0</v>
      </c>
      <c r="X2220" s="26">
        <v>0</v>
      </c>
      <c r="Y2220" s="26">
        <v>0</v>
      </c>
      <c r="Z2220" s="26">
        <v>0</v>
      </c>
    </row>
    <row r="2221" spans="1:26" x14ac:dyDescent="0.2">
      <c r="A2221">
        <f t="shared" si="70"/>
        <v>5</v>
      </c>
      <c r="B2221">
        <f t="shared" si="71"/>
        <v>19</v>
      </c>
      <c r="C2221" s="27">
        <v>46150</v>
      </c>
      <c r="D2221" s="26" t="s">
        <v>26</v>
      </c>
      <c r="E2221" s="26" t="s">
        <v>39</v>
      </c>
      <c r="F2221" s="26" t="s">
        <v>40</v>
      </c>
      <c r="G2221" s="26" t="s">
        <v>29</v>
      </c>
      <c r="H2221" s="26" t="s">
        <v>30</v>
      </c>
      <c r="I2221" s="26" t="s">
        <v>1134</v>
      </c>
      <c r="J2221" s="26" t="s">
        <v>42</v>
      </c>
      <c r="K2221" s="26" t="s">
        <v>1486</v>
      </c>
      <c r="L2221" s="26">
        <v>2</v>
      </c>
      <c r="M2221" s="26">
        <v>1</v>
      </c>
      <c r="N2221" s="28">
        <v>0.5</v>
      </c>
      <c r="O2221" s="26">
        <v>0.57999999999999996</v>
      </c>
      <c r="P2221" s="26">
        <v>0.57999999999999996</v>
      </c>
      <c r="Q2221" s="26">
        <v>0</v>
      </c>
      <c r="R2221" s="26"/>
      <c r="S2221" s="26">
        <v>0</v>
      </c>
      <c r="T2221" s="26">
        <v>0</v>
      </c>
      <c r="U2221" s="26">
        <v>0</v>
      </c>
      <c r="V2221" s="28">
        <v>0</v>
      </c>
      <c r="W2221" s="26">
        <v>0</v>
      </c>
      <c r="X2221" s="26">
        <v>0</v>
      </c>
      <c r="Y2221" s="26">
        <v>0</v>
      </c>
      <c r="Z2221" s="26">
        <v>0</v>
      </c>
    </row>
    <row r="2222" spans="1:26" x14ac:dyDescent="0.2">
      <c r="A2222">
        <f t="shared" si="70"/>
        <v>5</v>
      </c>
      <c r="B2222">
        <f t="shared" si="71"/>
        <v>20</v>
      </c>
      <c r="C2222" s="27">
        <v>46158</v>
      </c>
      <c r="D2222" s="26" t="s">
        <v>26</v>
      </c>
      <c r="E2222" s="26" t="s">
        <v>27</v>
      </c>
      <c r="F2222" s="26" t="s">
        <v>28</v>
      </c>
      <c r="G2222" s="26" t="s">
        <v>29</v>
      </c>
      <c r="H2222" s="26" t="s">
        <v>30</v>
      </c>
      <c r="I2222" s="26" t="s">
        <v>101</v>
      </c>
      <c r="J2222" s="26" t="s">
        <v>32</v>
      </c>
      <c r="K2222" s="26" t="s">
        <v>1487</v>
      </c>
      <c r="L2222" s="26">
        <v>3</v>
      </c>
      <c r="M2222" s="26">
        <v>1</v>
      </c>
      <c r="N2222" s="28">
        <v>0.33333299999999999</v>
      </c>
      <c r="O2222" s="26">
        <v>0.08</v>
      </c>
      <c r="P2222" s="26">
        <v>0.08</v>
      </c>
      <c r="Q2222" s="26">
        <v>0</v>
      </c>
      <c r="R2222" s="26"/>
      <c r="S2222" s="26">
        <v>0</v>
      </c>
      <c r="T2222" s="26">
        <v>0</v>
      </c>
      <c r="U2222" s="26">
        <v>0</v>
      </c>
      <c r="V2222" s="28">
        <v>0</v>
      </c>
      <c r="W2222" s="26">
        <v>0</v>
      </c>
      <c r="X2222" s="26">
        <v>0</v>
      </c>
      <c r="Y2222" s="26">
        <v>0</v>
      </c>
      <c r="Z2222" s="26">
        <v>0</v>
      </c>
    </row>
    <row r="2223" spans="1:26" x14ac:dyDescent="0.2">
      <c r="A2223">
        <f t="shared" si="70"/>
        <v>5</v>
      </c>
      <c r="B2223">
        <f t="shared" si="71"/>
        <v>21</v>
      </c>
      <c r="C2223" s="27">
        <v>46160</v>
      </c>
      <c r="D2223" s="26" t="s">
        <v>26</v>
      </c>
      <c r="E2223" s="26" t="s">
        <v>27</v>
      </c>
      <c r="F2223" s="26" t="s">
        <v>28</v>
      </c>
      <c r="G2223" s="26" t="s">
        <v>29</v>
      </c>
      <c r="H2223" s="26" t="s">
        <v>30</v>
      </c>
      <c r="I2223" s="26" t="s">
        <v>31</v>
      </c>
      <c r="J2223" s="26" t="s">
        <v>32</v>
      </c>
      <c r="K2223" s="26" t="s">
        <v>1488</v>
      </c>
      <c r="L2223" s="26">
        <v>1</v>
      </c>
      <c r="M2223" s="26">
        <v>1</v>
      </c>
      <c r="N2223" s="28">
        <v>1</v>
      </c>
      <c r="O2223" s="26">
        <v>0.21</v>
      </c>
      <c r="P2223" s="26">
        <v>0.21</v>
      </c>
      <c r="Q2223" s="26">
        <v>0</v>
      </c>
      <c r="R2223" s="26"/>
      <c r="S2223" s="26">
        <v>0</v>
      </c>
      <c r="T2223" s="26">
        <v>0</v>
      </c>
      <c r="U2223" s="26">
        <v>0</v>
      </c>
      <c r="V2223" s="28">
        <v>0</v>
      </c>
      <c r="W2223" s="26">
        <v>0</v>
      </c>
      <c r="X2223" s="26">
        <v>0</v>
      </c>
      <c r="Y2223" s="26">
        <v>0</v>
      </c>
      <c r="Z2223" s="26">
        <v>0</v>
      </c>
    </row>
    <row r="2224" spans="1:26" x14ac:dyDescent="0.2">
      <c r="A2224">
        <f t="shared" si="70"/>
        <v>5</v>
      </c>
      <c r="B2224">
        <f t="shared" si="71"/>
        <v>18</v>
      </c>
      <c r="C2224" s="27">
        <v>46143</v>
      </c>
      <c r="D2224" s="26" t="s">
        <v>26</v>
      </c>
      <c r="E2224" s="26" t="s">
        <v>27</v>
      </c>
      <c r="F2224" s="26" t="s">
        <v>28</v>
      </c>
      <c r="G2224" s="26" t="s">
        <v>29</v>
      </c>
      <c r="H2224" s="26" t="s">
        <v>30</v>
      </c>
      <c r="I2224" s="26" t="s">
        <v>133</v>
      </c>
      <c r="J2224" s="26" t="s">
        <v>32</v>
      </c>
      <c r="K2224" s="26" t="s">
        <v>1489</v>
      </c>
      <c r="L2224" s="26">
        <v>1</v>
      </c>
      <c r="M2224" s="26">
        <v>1</v>
      </c>
      <c r="N2224" s="28">
        <v>1</v>
      </c>
      <c r="O2224" s="26">
        <v>0.21</v>
      </c>
      <c r="P2224" s="26">
        <v>0.21</v>
      </c>
      <c r="Q2224" s="26">
        <v>0</v>
      </c>
      <c r="R2224" s="26"/>
      <c r="S2224" s="26">
        <v>0</v>
      </c>
      <c r="T2224" s="26">
        <v>0</v>
      </c>
      <c r="U2224" s="26">
        <v>0</v>
      </c>
      <c r="V2224" s="28">
        <v>0</v>
      </c>
      <c r="W2224" s="26">
        <v>0</v>
      </c>
      <c r="X2224" s="26">
        <v>0</v>
      </c>
      <c r="Y2224" s="26">
        <v>0</v>
      </c>
      <c r="Z2224" s="26">
        <v>0</v>
      </c>
    </row>
    <row r="2225" spans="1:26" x14ac:dyDescent="0.2">
      <c r="A2225">
        <f t="shared" si="70"/>
        <v>5</v>
      </c>
      <c r="B2225">
        <f t="shared" si="71"/>
        <v>19</v>
      </c>
      <c r="C2225" s="27">
        <v>46147</v>
      </c>
      <c r="D2225" s="26" t="s">
        <v>26</v>
      </c>
      <c r="E2225" s="26" t="s">
        <v>27</v>
      </c>
      <c r="F2225" s="26" t="s">
        <v>28</v>
      </c>
      <c r="G2225" s="26" t="s">
        <v>29</v>
      </c>
      <c r="H2225" s="26" t="s">
        <v>30</v>
      </c>
      <c r="I2225" s="26" t="s">
        <v>50</v>
      </c>
      <c r="J2225" s="26" t="s">
        <v>32</v>
      </c>
      <c r="K2225" s="26" t="s">
        <v>1490</v>
      </c>
      <c r="L2225" s="26">
        <v>1</v>
      </c>
      <c r="M2225" s="26">
        <v>1</v>
      </c>
      <c r="N2225" s="28">
        <v>1</v>
      </c>
      <c r="O2225" s="26">
        <v>0.4</v>
      </c>
      <c r="P2225" s="26">
        <v>0.4</v>
      </c>
      <c r="Q2225" s="26">
        <v>0</v>
      </c>
      <c r="R2225" s="26"/>
      <c r="S2225" s="26">
        <v>0</v>
      </c>
      <c r="T2225" s="26">
        <v>0</v>
      </c>
      <c r="U2225" s="26">
        <v>0</v>
      </c>
      <c r="V2225" s="28">
        <v>0</v>
      </c>
      <c r="W2225" s="26">
        <v>0</v>
      </c>
      <c r="X2225" s="26">
        <v>0</v>
      </c>
      <c r="Y2225" s="26">
        <v>0</v>
      </c>
      <c r="Z2225" s="26">
        <v>0</v>
      </c>
    </row>
    <row r="2226" spans="1:26" x14ac:dyDescent="0.2">
      <c r="A2226">
        <f t="shared" si="70"/>
        <v>5</v>
      </c>
      <c r="B2226">
        <f t="shared" si="71"/>
        <v>19</v>
      </c>
      <c r="C2226" s="27">
        <v>46147</v>
      </c>
      <c r="D2226" s="26" t="s">
        <v>26</v>
      </c>
      <c r="E2226" s="26" t="s">
        <v>61</v>
      </c>
      <c r="F2226" s="26" t="s">
        <v>62</v>
      </c>
      <c r="G2226" s="26" t="s">
        <v>29</v>
      </c>
      <c r="H2226" s="26" t="s">
        <v>30</v>
      </c>
      <c r="I2226" s="26" t="s">
        <v>95</v>
      </c>
      <c r="J2226" s="26" t="s">
        <v>42</v>
      </c>
      <c r="K2226" s="26" t="s">
        <v>1491</v>
      </c>
      <c r="L2226" s="26">
        <v>2</v>
      </c>
      <c r="M2226" s="26">
        <v>1</v>
      </c>
      <c r="N2226" s="28">
        <v>0.5</v>
      </c>
      <c r="O2226" s="26">
        <v>1.35</v>
      </c>
      <c r="P2226" s="26">
        <v>1.35</v>
      </c>
      <c r="Q2226" s="26">
        <v>0</v>
      </c>
      <c r="R2226" s="26"/>
      <c r="S2226" s="26">
        <v>0</v>
      </c>
      <c r="T2226" s="26">
        <v>0</v>
      </c>
      <c r="U2226" s="26">
        <v>0</v>
      </c>
      <c r="V2226" s="28">
        <v>0</v>
      </c>
      <c r="W2226" s="26">
        <v>0</v>
      </c>
      <c r="X2226" s="26">
        <v>0</v>
      </c>
      <c r="Y2226" s="26">
        <v>0</v>
      </c>
      <c r="Z2226" s="26">
        <v>0</v>
      </c>
    </row>
    <row r="2227" spans="1:26" x14ac:dyDescent="0.2">
      <c r="A2227">
        <f t="shared" si="70"/>
        <v>5</v>
      </c>
      <c r="B2227">
        <f t="shared" si="71"/>
        <v>20</v>
      </c>
      <c r="C2227" s="27">
        <v>46158</v>
      </c>
      <c r="D2227" s="26" t="s">
        <v>26</v>
      </c>
      <c r="E2227" s="26" t="s">
        <v>27</v>
      </c>
      <c r="F2227" s="26" t="s">
        <v>28</v>
      </c>
      <c r="G2227" s="26" t="s">
        <v>29</v>
      </c>
      <c r="H2227" s="26" t="s">
        <v>30</v>
      </c>
      <c r="I2227" s="26" t="s">
        <v>50</v>
      </c>
      <c r="J2227" s="26" t="s">
        <v>32</v>
      </c>
      <c r="K2227" s="26" t="s">
        <v>1492</v>
      </c>
      <c r="L2227" s="26">
        <v>2</v>
      </c>
      <c r="M2227" s="26">
        <v>1</v>
      </c>
      <c r="N2227" s="28">
        <v>0.5</v>
      </c>
      <c r="O2227" s="26">
        <v>0.08</v>
      </c>
      <c r="P2227" s="26">
        <v>0.08</v>
      </c>
      <c r="Q2227" s="26">
        <v>0</v>
      </c>
      <c r="R2227" s="26"/>
      <c r="S2227" s="26">
        <v>0</v>
      </c>
      <c r="T2227" s="26">
        <v>0</v>
      </c>
      <c r="U2227" s="26">
        <v>0</v>
      </c>
      <c r="V2227" s="28">
        <v>0</v>
      </c>
      <c r="W2227" s="26">
        <v>0</v>
      </c>
      <c r="X2227" s="26">
        <v>0</v>
      </c>
      <c r="Y2227" s="26">
        <v>0</v>
      </c>
      <c r="Z2227" s="26">
        <v>0</v>
      </c>
    </row>
    <row r="2228" spans="1:26" x14ac:dyDescent="0.2">
      <c r="A2228">
        <f t="shared" si="70"/>
        <v>5</v>
      </c>
      <c r="B2228">
        <f t="shared" si="71"/>
        <v>20</v>
      </c>
      <c r="C2228" s="27">
        <v>46153</v>
      </c>
      <c r="D2228" s="26" t="s">
        <v>26</v>
      </c>
      <c r="E2228" s="26" t="s">
        <v>27</v>
      </c>
      <c r="F2228" s="26" t="s">
        <v>28</v>
      </c>
      <c r="G2228" s="26" t="s">
        <v>29</v>
      </c>
      <c r="H2228" s="26" t="s">
        <v>30</v>
      </c>
      <c r="I2228" s="26" t="s">
        <v>31</v>
      </c>
      <c r="J2228" s="26" t="s">
        <v>32</v>
      </c>
      <c r="K2228" s="26" t="s">
        <v>1493</v>
      </c>
      <c r="L2228" s="26">
        <v>2</v>
      </c>
      <c r="M2228" s="26">
        <v>1</v>
      </c>
      <c r="N2228" s="28">
        <v>0.5</v>
      </c>
      <c r="O2228" s="26">
        <v>0.21</v>
      </c>
      <c r="P2228" s="26">
        <v>0.21</v>
      </c>
      <c r="Q2228" s="26">
        <v>0</v>
      </c>
      <c r="R2228" s="26"/>
      <c r="S2228" s="26">
        <v>0</v>
      </c>
      <c r="T2228" s="26">
        <v>0</v>
      </c>
      <c r="U2228" s="26">
        <v>0</v>
      </c>
      <c r="V2228" s="28">
        <v>0</v>
      </c>
      <c r="W2228" s="26">
        <v>0</v>
      </c>
      <c r="X2228" s="26">
        <v>0</v>
      </c>
      <c r="Y2228" s="26">
        <v>0</v>
      </c>
      <c r="Z2228" s="26">
        <v>0</v>
      </c>
    </row>
    <row r="2229" spans="1:26" x14ac:dyDescent="0.2">
      <c r="A2229">
        <f t="shared" si="70"/>
        <v>5</v>
      </c>
      <c r="B2229">
        <f t="shared" si="71"/>
        <v>18</v>
      </c>
      <c r="C2229" s="27">
        <v>46143</v>
      </c>
      <c r="D2229" s="26" t="s">
        <v>26</v>
      </c>
      <c r="E2229" s="26" t="s">
        <v>27</v>
      </c>
      <c r="F2229" s="26" t="s">
        <v>28</v>
      </c>
      <c r="G2229" s="26" t="s">
        <v>29</v>
      </c>
      <c r="H2229" s="26" t="s">
        <v>30</v>
      </c>
      <c r="I2229" s="26" t="s">
        <v>101</v>
      </c>
      <c r="J2229" s="26" t="s">
        <v>32</v>
      </c>
      <c r="K2229" s="26" t="s">
        <v>1494</v>
      </c>
      <c r="L2229" s="26">
        <v>2</v>
      </c>
      <c r="M2229" s="26">
        <v>1</v>
      </c>
      <c r="N2229" s="28">
        <v>0.5</v>
      </c>
      <c r="O2229" s="26">
        <v>0.21</v>
      </c>
      <c r="P2229" s="26">
        <v>0.21</v>
      </c>
      <c r="Q2229" s="26">
        <v>0</v>
      </c>
      <c r="R2229" s="26"/>
      <c r="S2229" s="26">
        <v>0</v>
      </c>
      <c r="T2229" s="26">
        <v>0</v>
      </c>
      <c r="U2229" s="26">
        <v>0</v>
      </c>
      <c r="V2229" s="28">
        <v>0</v>
      </c>
      <c r="W2229" s="26">
        <v>0</v>
      </c>
      <c r="X2229" s="26">
        <v>0</v>
      </c>
      <c r="Y2229" s="26">
        <v>0</v>
      </c>
      <c r="Z2229" s="26">
        <v>0</v>
      </c>
    </row>
    <row r="2230" spans="1:26" x14ac:dyDescent="0.2">
      <c r="A2230">
        <f t="shared" si="70"/>
        <v>5</v>
      </c>
      <c r="B2230">
        <f t="shared" si="71"/>
        <v>20</v>
      </c>
      <c r="C2230" s="27">
        <v>46158</v>
      </c>
      <c r="D2230" s="26" t="s">
        <v>26</v>
      </c>
      <c r="E2230" s="26" t="s">
        <v>27</v>
      </c>
      <c r="F2230" s="26" t="s">
        <v>124</v>
      </c>
      <c r="G2230" s="26" t="s">
        <v>29</v>
      </c>
      <c r="H2230" s="26" t="s">
        <v>30</v>
      </c>
      <c r="I2230" s="26" t="s">
        <v>37</v>
      </c>
      <c r="J2230" s="26" t="s">
        <v>87</v>
      </c>
      <c r="K2230" s="26" t="s">
        <v>1495</v>
      </c>
      <c r="L2230" s="26">
        <v>2</v>
      </c>
      <c r="M2230" s="26">
        <v>1</v>
      </c>
      <c r="N2230" s="28">
        <v>0.5</v>
      </c>
      <c r="O2230" s="26">
        <v>0.21</v>
      </c>
      <c r="P2230" s="26">
        <v>0.21</v>
      </c>
      <c r="Q2230" s="26">
        <v>0</v>
      </c>
      <c r="R2230" s="26"/>
      <c r="S2230" s="26">
        <v>0</v>
      </c>
      <c r="T2230" s="26">
        <v>0</v>
      </c>
      <c r="U2230" s="26">
        <v>0</v>
      </c>
      <c r="V2230" s="28">
        <v>0</v>
      </c>
      <c r="W2230" s="26">
        <v>0</v>
      </c>
      <c r="X2230" s="26">
        <v>0</v>
      </c>
      <c r="Y2230" s="26">
        <v>0</v>
      </c>
      <c r="Z2230" s="26">
        <v>0</v>
      </c>
    </row>
    <row r="2231" spans="1:26" x14ac:dyDescent="0.2">
      <c r="A2231">
        <f t="shared" si="70"/>
        <v>5</v>
      </c>
      <c r="B2231">
        <f t="shared" si="71"/>
        <v>21</v>
      </c>
      <c r="C2231" s="27">
        <v>46159</v>
      </c>
      <c r="D2231" s="26" t="s">
        <v>26</v>
      </c>
      <c r="E2231" s="26" t="s">
        <v>27</v>
      </c>
      <c r="F2231" s="26" t="s">
        <v>28</v>
      </c>
      <c r="G2231" s="26" t="s">
        <v>29</v>
      </c>
      <c r="H2231" s="26" t="s">
        <v>30</v>
      </c>
      <c r="I2231" s="26" t="s">
        <v>50</v>
      </c>
      <c r="J2231" s="26" t="s">
        <v>32</v>
      </c>
      <c r="K2231" s="26" t="s">
        <v>1496</v>
      </c>
      <c r="L2231" s="26">
        <v>1</v>
      </c>
      <c r="M2231" s="26">
        <v>1</v>
      </c>
      <c r="N2231" s="28">
        <v>1</v>
      </c>
      <c r="O2231" s="26">
        <v>0.21</v>
      </c>
      <c r="P2231" s="26">
        <v>0.21</v>
      </c>
      <c r="Q2231" s="26">
        <v>0</v>
      </c>
      <c r="R2231" s="26"/>
      <c r="S2231" s="26">
        <v>0</v>
      </c>
      <c r="T2231" s="26">
        <v>0</v>
      </c>
      <c r="U2231" s="26">
        <v>0</v>
      </c>
      <c r="V2231" s="28">
        <v>0</v>
      </c>
      <c r="W2231" s="26">
        <v>0</v>
      </c>
      <c r="X2231" s="26">
        <v>0</v>
      </c>
      <c r="Y2231" s="26">
        <v>0</v>
      </c>
      <c r="Z2231" s="26">
        <v>0</v>
      </c>
    </row>
    <row r="2232" spans="1:26" x14ac:dyDescent="0.2">
      <c r="A2232">
        <f t="shared" si="70"/>
        <v>5</v>
      </c>
      <c r="B2232">
        <f t="shared" si="71"/>
        <v>21</v>
      </c>
      <c r="C2232" s="27">
        <v>46163</v>
      </c>
      <c r="D2232" s="26" t="s">
        <v>26</v>
      </c>
      <c r="E2232" s="26" t="s">
        <v>27</v>
      </c>
      <c r="F2232" s="26" t="s">
        <v>28</v>
      </c>
      <c r="G2232" s="26" t="s">
        <v>29</v>
      </c>
      <c r="H2232" s="26" t="s">
        <v>30</v>
      </c>
      <c r="I2232" s="26" t="s">
        <v>50</v>
      </c>
      <c r="J2232" s="26" t="s">
        <v>32</v>
      </c>
      <c r="K2232" s="26" t="s">
        <v>1497</v>
      </c>
      <c r="L2232" s="26">
        <v>1</v>
      </c>
      <c r="M2232" s="26">
        <v>1</v>
      </c>
      <c r="N2232" s="28">
        <v>1</v>
      </c>
      <c r="O2232" s="26">
        <v>0.21</v>
      </c>
      <c r="P2232" s="26">
        <v>0.21</v>
      </c>
      <c r="Q2232" s="26">
        <v>0</v>
      </c>
      <c r="R2232" s="26"/>
      <c r="S2232" s="26">
        <v>0</v>
      </c>
      <c r="T2232" s="26">
        <v>0</v>
      </c>
      <c r="U2232" s="26">
        <v>0</v>
      </c>
      <c r="V2232" s="28">
        <v>0</v>
      </c>
      <c r="W2232" s="26">
        <v>0</v>
      </c>
      <c r="X2232" s="26">
        <v>0</v>
      </c>
      <c r="Y2232" s="26">
        <v>0</v>
      </c>
      <c r="Z2232" s="26">
        <v>0</v>
      </c>
    </row>
    <row r="2233" spans="1:26" x14ac:dyDescent="0.2">
      <c r="A2233">
        <f t="shared" si="70"/>
        <v>5</v>
      </c>
      <c r="B2233">
        <f t="shared" si="71"/>
        <v>20</v>
      </c>
      <c r="C2233" s="27">
        <v>46153</v>
      </c>
      <c r="D2233" s="26" t="s">
        <v>26</v>
      </c>
      <c r="E2233" s="26" t="s">
        <v>49</v>
      </c>
      <c r="F2233" s="26" t="s">
        <v>50</v>
      </c>
      <c r="G2233" s="26" t="s">
        <v>29</v>
      </c>
      <c r="H2233" s="26" t="s">
        <v>30</v>
      </c>
      <c r="I2233" s="26" t="s">
        <v>95</v>
      </c>
      <c r="J2233" s="26" t="s">
        <v>42</v>
      </c>
      <c r="K2233" s="26" t="s">
        <v>1498</v>
      </c>
      <c r="L2233" s="26">
        <v>4</v>
      </c>
      <c r="M2233" s="26">
        <v>1</v>
      </c>
      <c r="N2233" s="28">
        <v>0.25</v>
      </c>
      <c r="O2233" s="26">
        <v>0.55000000000000004</v>
      </c>
      <c r="P2233" s="26">
        <v>0.55000000000000004</v>
      </c>
      <c r="Q2233" s="26">
        <v>0</v>
      </c>
      <c r="R2233" s="26"/>
      <c r="S2233" s="26">
        <v>0</v>
      </c>
      <c r="T2233" s="26">
        <v>0</v>
      </c>
      <c r="U2233" s="26">
        <v>0</v>
      </c>
      <c r="V2233" s="28">
        <v>0</v>
      </c>
      <c r="W2233" s="26">
        <v>0</v>
      </c>
      <c r="X2233" s="26">
        <v>0</v>
      </c>
      <c r="Y2233" s="26">
        <v>0</v>
      </c>
      <c r="Z2233" s="26">
        <v>0</v>
      </c>
    </row>
    <row r="2234" spans="1:26" x14ac:dyDescent="0.2">
      <c r="A2234">
        <f t="shared" si="70"/>
        <v>5</v>
      </c>
      <c r="B2234">
        <f t="shared" si="71"/>
        <v>21</v>
      </c>
      <c r="C2234" s="27">
        <v>46162</v>
      </c>
      <c r="D2234" s="26" t="s">
        <v>26</v>
      </c>
      <c r="E2234" s="26" t="s">
        <v>27</v>
      </c>
      <c r="F2234" s="26" t="s">
        <v>28</v>
      </c>
      <c r="G2234" s="26" t="s">
        <v>29</v>
      </c>
      <c r="H2234" s="26" t="s">
        <v>30</v>
      </c>
      <c r="I2234" s="26" t="s">
        <v>257</v>
      </c>
      <c r="J2234" s="26" t="s">
        <v>32</v>
      </c>
      <c r="K2234" s="26" t="s">
        <v>1499</v>
      </c>
      <c r="L2234" s="26">
        <v>1</v>
      </c>
      <c r="M2234" s="26">
        <v>1</v>
      </c>
      <c r="N2234" s="28">
        <v>1</v>
      </c>
      <c r="O2234" s="26">
        <v>0.16</v>
      </c>
      <c r="P2234" s="26">
        <v>0.16</v>
      </c>
      <c r="Q2234" s="26">
        <v>0</v>
      </c>
      <c r="R2234" s="26"/>
      <c r="S2234" s="26">
        <v>0</v>
      </c>
      <c r="T2234" s="26">
        <v>0</v>
      </c>
      <c r="U2234" s="26">
        <v>0</v>
      </c>
      <c r="V2234" s="28">
        <v>0</v>
      </c>
      <c r="W2234" s="26">
        <v>0</v>
      </c>
      <c r="X2234" s="26">
        <v>0</v>
      </c>
      <c r="Y2234" s="26">
        <v>0</v>
      </c>
      <c r="Z2234" s="26">
        <v>0</v>
      </c>
    </row>
    <row r="2235" spans="1:26" x14ac:dyDescent="0.2">
      <c r="A2235">
        <f t="shared" si="70"/>
        <v>5</v>
      </c>
      <c r="B2235">
        <f t="shared" si="71"/>
        <v>19</v>
      </c>
      <c r="C2235" s="27">
        <v>46150</v>
      </c>
      <c r="D2235" s="26" t="s">
        <v>26</v>
      </c>
      <c r="E2235" s="26" t="s">
        <v>27</v>
      </c>
      <c r="F2235" s="26" t="s">
        <v>28</v>
      </c>
      <c r="G2235" s="26" t="s">
        <v>29</v>
      </c>
      <c r="H2235" s="26" t="s">
        <v>30</v>
      </c>
      <c r="I2235" s="26" t="s">
        <v>101</v>
      </c>
      <c r="J2235" s="26" t="s">
        <v>32</v>
      </c>
      <c r="K2235" s="26" t="s">
        <v>1500</v>
      </c>
      <c r="L2235" s="26">
        <v>1</v>
      </c>
      <c r="M2235" s="26">
        <v>1</v>
      </c>
      <c r="N2235" s="28">
        <v>1</v>
      </c>
      <c r="O2235" s="26">
        <v>0.21</v>
      </c>
      <c r="P2235" s="26">
        <v>0.21</v>
      </c>
      <c r="Q2235" s="26">
        <v>0</v>
      </c>
      <c r="R2235" s="26"/>
      <c r="S2235" s="26">
        <v>0</v>
      </c>
      <c r="T2235" s="26">
        <v>0</v>
      </c>
      <c r="U2235" s="26">
        <v>0</v>
      </c>
      <c r="V2235" s="28">
        <v>0</v>
      </c>
      <c r="W2235" s="26">
        <v>0</v>
      </c>
      <c r="X2235" s="26">
        <v>0</v>
      </c>
      <c r="Y2235" s="26">
        <v>0</v>
      </c>
      <c r="Z2235" s="26">
        <v>0</v>
      </c>
    </row>
    <row r="2236" spans="1:26" x14ac:dyDescent="0.2">
      <c r="A2236">
        <f t="shared" ref="A2236:A2299" si="72">MONTH(C2236)</f>
        <v>5</v>
      </c>
      <c r="B2236">
        <f t="shared" ref="B2236:B2299" si="73">WEEKNUM(C2236,1)</f>
        <v>20</v>
      </c>
      <c r="C2236" s="27">
        <v>46152</v>
      </c>
      <c r="D2236" s="26" t="s">
        <v>26</v>
      </c>
      <c r="E2236" s="26" t="s">
        <v>27</v>
      </c>
      <c r="F2236" s="26" t="s">
        <v>28</v>
      </c>
      <c r="G2236" s="26" t="s">
        <v>29</v>
      </c>
      <c r="H2236" s="26" t="s">
        <v>30</v>
      </c>
      <c r="I2236" s="26" t="s">
        <v>44</v>
      </c>
      <c r="J2236" s="26" t="s">
        <v>32</v>
      </c>
      <c r="K2236" s="26" t="s">
        <v>1501</v>
      </c>
      <c r="L2236" s="26">
        <v>2</v>
      </c>
      <c r="M2236" s="26">
        <v>1</v>
      </c>
      <c r="N2236" s="28">
        <v>0.5</v>
      </c>
      <c r="O2236" s="26">
        <v>0.21</v>
      </c>
      <c r="P2236" s="26">
        <v>0.21</v>
      </c>
      <c r="Q2236" s="26">
        <v>0</v>
      </c>
      <c r="R2236" s="26"/>
      <c r="S2236" s="26">
        <v>0</v>
      </c>
      <c r="T2236" s="26">
        <v>0</v>
      </c>
      <c r="U2236" s="26">
        <v>0</v>
      </c>
      <c r="V2236" s="28">
        <v>0</v>
      </c>
      <c r="W2236" s="26">
        <v>0</v>
      </c>
      <c r="X2236" s="26">
        <v>0</v>
      </c>
      <c r="Y2236" s="26">
        <v>0</v>
      </c>
      <c r="Z2236" s="26">
        <v>0</v>
      </c>
    </row>
    <row r="2237" spans="1:26" x14ac:dyDescent="0.2">
      <c r="A2237">
        <f t="shared" si="72"/>
        <v>5</v>
      </c>
      <c r="B2237">
        <f t="shared" si="73"/>
        <v>21</v>
      </c>
      <c r="C2237" s="27">
        <v>46162</v>
      </c>
      <c r="D2237" s="26" t="s">
        <v>26</v>
      </c>
      <c r="E2237" s="26" t="s">
        <v>49</v>
      </c>
      <c r="F2237" s="26" t="s">
        <v>50</v>
      </c>
      <c r="G2237" s="26" t="s">
        <v>29</v>
      </c>
      <c r="H2237" s="26" t="s">
        <v>30</v>
      </c>
      <c r="I2237" s="26" t="s">
        <v>95</v>
      </c>
      <c r="J2237" s="26" t="s">
        <v>42</v>
      </c>
      <c r="K2237" s="26" t="s">
        <v>1502</v>
      </c>
      <c r="L2237" s="26">
        <v>1</v>
      </c>
      <c r="M2237" s="26">
        <v>1</v>
      </c>
      <c r="N2237" s="28">
        <v>1</v>
      </c>
      <c r="O2237" s="26">
        <v>0.1</v>
      </c>
      <c r="P2237" s="26">
        <v>0.1</v>
      </c>
      <c r="Q2237" s="26">
        <v>0</v>
      </c>
      <c r="R2237" s="26"/>
      <c r="S2237" s="26">
        <v>0</v>
      </c>
      <c r="T2237" s="26">
        <v>0</v>
      </c>
      <c r="U2237" s="26">
        <v>0</v>
      </c>
      <c r="V2237" s="28">
        <v>0</v>
      </c>
      <c r="W2237" s="26">
        <v>0</v>
      </c>
      <c r="X2237" s="26">
        <v>0</v>
      </c>
      <c r="Y2237" s="26">
        <v>0</v>
      </c>
      <c r="Z2237" s="26">
        <v>0</v>
      </c>
    </row>
    <row r="2238" spans="1:26" x14ac:dyDescent="0.2">
      <c r="A2238">
        <f t="shared" si="72"/>
        <v>5</v>
      </c>
      <c r="B2238">
        <f t="shared" si="73"/>
        <v>19</v>
      </c>
      <c r="C2238" s="27">
        <v>46151</v>
      </c>
      <c r="D2238" s="26" t="s">
        <v>26</v>
      </c>
      <c r="E2238" s="26" t="s">
        <v>27</v>
      </c>
      <c r="F2238" s="26" t="s">
        <v>28</v>
      </c>
      <c r="G2238" s="26" t="s">
        <v>29</v>
      </c>
      <c r="H2238" s="26" t="s">
        <v>30</v>
      </c>
      <c r="I2238" s="26" t="s">
        <v>133</v>
      </c>
      <c r="J2238" s="26" t="s">
        <v>32</v>
      </c>
      <c r="K2238" s="26" t="s">
        <v>1503</v>
      </c>
      <c r="L2238" s="26">
        <v>1</v>
      </c>
      <c r="M2238" s="26">
        <v>1</v>
      </c>
      <c r="N2238" s="28">
        <v>1</v>
      </c>
      <c r="O2238" s="26">
        <v>0.4</v>
      </c>
      <c r="P2238" s="26">
        <v>0.4</v>
      </c>
      <c r="Q2238" s="26">
        <v>0</v>
      </c>
      <c r="R2238" s="26"/>
      <c r="S2238" s="26">
        <v>0</v>
      </c>
      <c r="T2238" s="26">
        <v>0</v>
      </c>
      <c r="U2238" s="26">
        <v>0</v>
      </c>
      <c r="V2238" s="28">
        <v>0</v>
      </c>
      <c r="W2238" s="26">
        <v>0</v>
      </c>
      <c r="X2238" s="26">
        <v>0</v>
      </c>
      <c r="Y2238" s="26">
        <v>0</v>
      </c>
      <c r="Z2238" s="26">
        <v>0</v>
      </c>
    </row>
    <row r="2239" spans="1:26" x14ac:dyDescent="0.2">
      <c r="A2239">
        <f t="shared" si="72"/>
        <v>5</v>
      </c>
      <c r="B2239">
        <f t="shared" si="73"/>
        <v>21</v>
      </c>
      <c r="C2239" s="27">
        <v>46160</v>
      </c>
      <c r="D2239" s="26" t="s">
        <v>26</v>
      </c>
      <c r="E2239" s="26" t="s">
        <v>27</v>
      </c>
      <c r="F2239" s="26" t="s">
        <v>28</v>
      </c>
      <c r="G2239" s="26" t="s">
        <v>29</v>
      </c>
      <c r="H2239" s="26" t="s">
        <v>30</v>
      </c>
      <c r="I2239" s="26" t="s">
        <v>37</v>
      </c>
      <c r="J2239" s="26" t="s">
        <v>32</v>
      </c>
      <c r="K2239" s="26" t="s">
        <v>1504</v>
      </c>
      <c r="L2239" s="26">
        <v>1</v>
      </c>
      <c r="M2239" s="26">
        <v>1</v>
      </c>
      <c r="N2239" s="28">
        <v>1</v>
      </c>
      <c r="O2239" s="26">
        <v>0.21</v>
      </c>
      <c r="P2239" s="26">
        <v>0.21</v>
      </c>
      <c r="Q2239" s="26">
        <v>0</v>
      </c>
      <c r="R2239" s="26"/>
      <c r="S2239" s="26">
        <v>0</v>
      </c>
      <c r="T2239" s="26">
        <v>0</v>
      </c>
      <c r="U2239" s="26">
        <v>0</v>
      </c>
      <c r="V2239" s="28">
        <v>0</v>
      </c>
      <c r="W2239" s="26">
        <v>0</v>
      </c>
      <c r="X2239" s="26">
        <v>0</v>
      </c>
      <c r="Y2239" s="26">
        <v>0</v>
      </c>
      <c r="Z2239" s="26">
        <v>0</v>
      </c>
    </row>
    <row r="2240" spans="1:26" x14ac:dyDescent="0.2">
      <c r="A2240">
        <f t="shared" si="72"/>
        <v>5</v>
      </c>
      <c r="B2240">
        <f t="shared" si="73"/>
        <v>20</v>
      </c>
      <c r="C2240" s="27">
        <v>46152</v>
      </c>
      <c r="D2240" s="26" t="s">
        <v>26</v>
      </c>
      <c r="E2240" s="26" t="s">
        <v>27</v>
      </c>
      <c r="F2240" s="26" t="s">
        <v>28</v>
      </c>
      <c r="G2240" s="26" t="s">
        <v>29</v>
      </c>
      <c r="H2240" s="26" t="s">
        <v>30</v>
      </c>
      <c r="I2240" s="26" t="s">
        <v>44</v>
      </c>
      <c r="J2240" s="26" t="s">
        <v>32</v>
      </c>
      <c r="K2240" s="26" t="s">
        <v>1505</v>
      </c>
      <c r="L2240" s="26">
        <v>2</v>
      </c>
      <c r="M2240" s="26">
        <v>1</v>
      </c>
      <c r="N2240" s="28">
        <v>0.5</v>
      </c>
      <c r="O2240" s="26">
        <v>0.21</v>
      </c>
      <c r="P2240" s="26">
        <v>0.21</v>
      </c>
      <c r="Q2240" s="26">
        <v>0</v>
      </c>
      <c r="R2240" s="26"/>
      <c r="S2240" s="26">
        <v>0</v>
      </c>
      <c r="T2240" s="26">
        <v>0</v>
      </c>
      <c r="U2240" s="26">
        <v>0</v>
      </c>
      <c r="V2240" s="28">
        <v>0</v>
      </c>
      <c r="W2240" s="26">
        <v>0</v>
      </c>
      <c r="X2240" s="26">
        <v>0</v>
      </c>
      <c r="Y2240" s="26">
        <v>0</v>
      </c>
      <c r="Z2240" s="26">
        <v>0</v>
      </c>
    </row>
    <row r="2241" spans="1:26" x14ac:dyDescent="0.2">
      <c r="A2241">
        <f t="shared" si="72"/>
        <v>5</v>
      </c>
      <c r="B2241">
        <f t="shared" si="73"/>
        <v>18</v>
      </c>
      <c r="C2241" s="27">
        <v>46143</v>
      </c>
      <c r="D2241" s="26" t="s">
        <v>26</v>
      </c>
      <c r="E2241" s="26" t="s">
        <v>39</v>
      </c>
      <c r="F2241" s="26" t="s">
        <v>40</v>
      </c>
      <c r="G2241" s="26" t="s">
        <v>29</v>
      </c>
      <c r="H2241" s="26" t="s">
        <v>30</v>
      </c>
      <c r="I2241" s="26" t="s">
        <v>1134</v>
      </c>
      <c r="J2241" s="26" t="s">
        <v>42</v>
      </c>
      <c r="K2241" s="26" t="s">
        <v>44</v>
      </c>
      <c r="L2241" s="26">
        <v>8</v>
      </c>
      <c r="M2241" s="26">
        <v>1</v>
      </c>
      <c r="N2241" s="28">
        <v>0.125</v>
      </c>
      <c r="O2241" s="26">
        <v>0.59</v>
      </c>
      <c r="P2241" s="26">
        <v>0.59</v>
      </c>
      <c r="Q2241" s="26">
        <v>0</v>
      </c>
      <c r="R2241" s="26"/>
      <c r="S2241" s="26">
        <v>0</v>
      </c>
      <c r="T2241" s="26">
        <v>0</v>
      </c>
      <c r="U2241" s="26">
        <v>0</v>
      </c>
      <c r="V2241" s="28">
        <v>0</v>
      </c>
      <c r="W2241" s="26">
        <v>0</v>
      </c>
      <c r="X2241" s="26">
        <v>0</v>
      </c>
      <c r="Y2241" s="26">
        <v>0</v>
      </c>
      <c r="Z2241" s="26">
        <v>0</v>
      </c>
    </row>
    <row r="2242" spans="1:26" x14ac:dyDescent="0.2">
      <c r="A2242">
        <f t="shared" si="72"/>
        <v>5</v>
      </c>
      <c r="B2242">
        <f t="shared" si="73"/>
        <v>18</v>
      </c>
      <c r="C2242" s="27">
        <v>46144</v>
      </c>
      <c r="D2242" s="26" t="s">
        <v>26</v>
      </c>
      <c r="E2242" s="26" t="s">
        <v>39</v>
      </c>
      <c r="F2242" s="26" t="s">
        <v>40</v>
      </c>
      <c r="G2242" s="26" t="s">
        <v>29</v>
      </c>
      <c r="H2242" s="26" t="s">
        <v>30</v>
      </c>
      <c r="I2242" s="26" t="s">
        <v>1134</v>
      </c>
      <c r="J2242" s="26" t="s">
        <v>42</v>
      </c>
      <c r="K2242" s="26" t="s">
        <v>44</v>
      </c>
      <c r="L2242" s="26">
        <v>1</v>
      </c>
      <c r="M2242" s="26">
        <v>1</v>
      </c>
      <c r="N2242" s="28">
        <v>1</v>
      </c>
      <c r="O2242" s="26">
        <v>0.59</v>
      </c>
      <c r="P2242" s="26">
        <v>0.59</v>
      </c>
      <c r="Q2242" s="26">
        <v>0</v>
      </c>
      <c r="R2242" s="26"/>
      <c r="S2242" s="26">
        <v>0</v>
      </c>
      <c r="T2242" s="26">
        <v>0</v>
      </c>
      <c r="U2242" s="26">
        <v>0</v>
      </c>
      <c r="V2242" s="28">
        <v>0</v>
      </c>
      <c r="W2242" s="26">
        <v>0</v>
      </c>
      <c r="X2242" s="26">
        <v>0</v>
      </c>
      <c r="Y2242" s="26">
        <v>0</v>
      </c>
      <c r="Z2242" s="26">
        <v>0</v>
      </c>
    </row>
    <row r="2243" spans="1:26" x14ac:dyDescent="0.2">
      <c r="A2243">
        <f t="shared" si="72"/>
        <v>5</v>
      </c>
      <c r="B2243">
        <f t="shared" si="73"/>
        <v>18</v>
      </c>
      <c r="C2243" s="27">
        <v>46143</v>
      </c>
      <c r="D2243" s="26" t="s">
        <v>26</v>
      </c>
      <c r="E2243" s="26" t="s">
        <v>49</v>
      </c>
      <c r="F2243" s="26" t="s">
        <v>50</v>
      </c>
      <c r="G2243" s="26" t="s">
        <v>29</v>
      </c>
      <c r="H2243" s="26" t="s">
        <v>30</v>
      </c>
      <c r="I2243" s="26" t="s">
        <v>47</v>
      </c>
      <c r="J2243" s="26" t="s">
        <v>42</v>
      </c>
      <c r="K2243" s="26" t="s">
        <v>44</v>
      </c>
      <c r="L2243" s="26">
        <v>3</v>
      </c>
      <c r="M2243" s="26">
        <v>1</v>
      </c>
      <c r="N2243" s="28">
        <v>0.33333299999999999</v>
      </c>
      <c r="O2243" s="26">
        <v>1.1399999999999999</v>
      </c>
      <c r="P2243" s="26">
        <v>1.1399999999999999</v>
      </c>
      <c r="Q2243" s="26">
        <v>0</v>
      </c>
      <c r="R2243" s="26"/>
      <c r="S2243" s="26">
        <v>0</v>
      </c>
      <c r="T2243" s="26">
        <v>0</v>
      </c>
      <c r="U2243" s="26">
        <v>0</v>
      </c>
      <c r="V2243" s="28">
        <v>0</v>
      </c>
      <c r="W2243" s="26">
        <v>0</v>
      </c>
      <c r="X2243" s="26">
        <v>0</v>
      </c>
      <c r="Y2243" s="26">
        <v>0</v>
      </c>
      <c r="Z2243" s="26">
        <v>0</v>
      </c>
    </row>
    <row r="2244" spans="1:26" x14ac:dyDescent="0.2">
      <c r="A2244">
        <f t="shared" si="72"/>
        <v>5</v>
      </c>
      <c r="B2244">
        <f t="shared" si="73"/>
        <v>20</v>
      </c>
      <c r="C2244" s="27">
        <v>46158</v>
      </c>
      <c r="D2244" s="26" t="s">
        <v>26</v>
      </c>
      <c r="E2244" s="26" t="s">
        <v>49</v>
      </c>
      <c r="F2244" s="26" t="s">
        <v>50</v>
      </c>
      <c r="G2244" s="26" t="s">
        <v>29</v>
      </c>
      <c r="H2244" s="26" t="s">
        <v>30</v>
      </c>
      <c r="I2244" s="26" t="s">
        <v>47</v>
      </c>
      <c r="J2244" s="26" t="s">
        <v>42</v>
      </c>
      <c r="K2244" s="26" t="s">
        <v>44</v>
      </c>
      <c r="L2244" s="26">
        <v>2</v>
      </c>
      <c r="M2244" s="26">
        <v>1</v>
      </c>
      <c r="N2244" s="28">
        <v>0.5</v>
      </c>
      <c r="O2244" s="26">
        <v>1.1399999999999999</v>
      </c>
      <c r="P2244" s="26">
        <v>1.1399999999999999</v>
      </c>
      <c r="Q2244" s="26">
        <v>0</v>
      </c>
      <c r="R2244" s="26"/>
      <c r="S2244" s="26">
        <v>0</v>
      </c>
      <c r="T2244" s="26">
        <v>0</v>
      </c>
      <c r="U2244" s="26">
        <v>0</v>
      </c>
      <c r="V2244" s="28">
        <v>0</v>
      </c>
      <c r="W2244" s="26">
        <v>0</v>
      </c>
      <c r="X2244" s="26">
        <v>0</v>
      </c>
      <c r="Y2244" s="26">
        <v>0</v>
      </c>
      <c r="Z2244" s="26">
        <v>0</v>
      </c>
    </row>
    <row r="2245" spans="1:26" x14ac:dyDescent="0.2">
      <c r="A2245">
        <f t="shared" si="72"/>
        <v>5</v>
      </c>
      <c r="B2245">
        <f t="shared" si="73"/>
        <v>21</v>
      </c>
      <c r="C2245" s="27">
        <v>46159</v>
      </c>
      <c r="D2245" s="26" t="s">
        <v>26</v>
      </c>
      <c r="E2245" s="26" t="s">
        <v>49</v>
      </c>
      <c r="F2245" s="26" t="s">
        <v>50</v>
      </c>
      <c r="G2245" s="26" t="s">
        <v>29</v>
      </c>
      <c r="H2245" s="26" t="s">
        <v>30</v>
      </c>
      <c r="I2245" s="26" t="s">
        <v>47</v>
      </c>
      <c r="J2245" s="26" t="s">
        <v>42</v>
      </c>
      <c r="K2245" s="26" t="s">
        <v>44</v>
      </c>
      <c r="L2245" s="26">
        <v>6</v>
      </c>
      <c r="M2245" s="26">
        <v>1</v>
      </c>
      <c r="N2245" s="28">
        <v>0.16666700000000001</v>
      </c>
      <c r="O2245" s="26">
        <v>1.25</v>
      </c>
      <c r="P2245" s="26">
        <v>1.25</v>
      </c>
      <c r="Q2245" s="26">
        <v>0</v>
      </c>
      <c r="R2245" s="26"/>
      <c r="S2245" s="26">
        <v>0</v>
      </c>
      <c r="T2245" s="26">
        <v>0</v>
      </c>
      <c r="U2245" s="26">
        <v>0</v>
      </c>
      <c r="V2245" s="28">
        <v>0</v>
      </c>
      <c r="W2245" s="26">
        <v>0</v>
      </c>
      <c r="X2245" s="26">
        <v>0</v>
      </c>
      <c r="Y2245" s="26">
        <v>0</v>
      </c>
      <c r="Z2245" s="26">
        <v>0</v>
      </c>
    </row>
    <row r="2246" spans="1:26" x14ac:dyDescent="0.2">
      <c r="A2246">
        <f t="shared" si="72"/>
        <v>5</v>
      </c>
      <c r="B2246">
        <f t="shared" si="73"/>
        <v>18</v>
      </c>
      <c r="C2246" s="27">
        <v>46143</v>
      </c>
      <c r="D2246" s="26" t="s">
        <v>26</v>
      </c>
      <c r="E2246" s="26" t="s">
        <v>27</v>
      </c>
      <c r="F2246" s="26" t="s">
        <v>28</v>
      </c>
      <c r="G2246" s="26" t="s">
        <v>29</v>
      </c>
      <c r="H2246" s="26" t="s">
        <v>30</v>
      </c>
      <c r="I2246" s="26" t="s">
        <v>50</v>
      </c>
      <c r="J2246" s="26" t="s">
        <v>32</v>
      </c>
      <c r="K2246" s="26" t="s">
        <v>44</v>
      </c>
      <c r="L2246" s="26">
        <v>14</v>
      </c>
      <c r="M2246" s="26">
        <v>1</v>
      </c>
      <c r="N2246" s="28">
        <v>7.1429000000000006E-2</v>
      </c>
      <c r="O2246" s="26">
        <v>0.2</v>
      </c>
      <c r="P2246" s="26">
        <v>0.2</v>
      </c>
      <c r="Q2246" s="26">
        <v>0</v>
      </c>
      <c r="R2246" s="26"/>
      <c r="S2246" s="26">
        <v>0</v>
      </c>
      <c r="T2246" s="26">
        <v>0</v>
      </c>
      <c r="U2246" s="26">
        <v>0</v>
      </c>
      <c r="V2246" s="28">
        <v>0</v>
      </c>
      <c r="W2246" s="26">
        <v>0</v>
      </c>
      <c r="X2246" s="26">
        <v>0</v>
      </c>
      <c r="Y2246" s="26">
        <v>0</v>
      </c>
      <c r="Z2246" s="26">
        <v>0</v>
      </c>
    </row>
    <row r="2247" spans="1:26" x14ac:dyDescent="0.2">
      <c r="A2247">
        <f t="shared" si="72"/>
        <v>5</v>
      </c>
      <c r="B2247">
        <f t="shared" si="73"/>
        <v>20</v>
      </c>
      <c r="C2247" s="27">
        <v>46155</v>
      </c>
      <c r="D2247" s="26" t="s">
        <v>26</v>
      </c>
      <c r="E2247" s="26" t="s">
        <v>27</v>
      </c>
      <c r="F2247" s="26" t="s">
        <v>28</v>
      </c>
      <c r="G2247" s="26" t="s">
        <v>29</v>
      </c>
      <c r="H2247" s="26" t="s">
        <v>30</v>
      </c>
      <c r="I2247" s="26" t="s">
        <v>50</v>
      </c>
      <c r="J2247" s="26" t="s">
        <v>32</v>
      </c>
      <c r="K2247" s="26" t="s">
        <v>44</v>
      </c>
      <c r="L2247" s="26">
        <v>6</v>
      </c>
      <c r="M2247" s="26">
        <v>1</v>
      </c>
      <c r="N2247" s="28">
        <v>0.16666700000000001</v>
      </c>
      <c r="O2247" s="26">
        <v>0.21</v>
      </c>
      <c r="P2247" s="26">
        <v>0.21</v>
      </c>
      <c r="Q2247" s="26">
        <v>0</v>
      </c>
      <c r="R2247" s="26"/>
      <c r="S2247" s="26">
        <v>0</v>
      </c>
      <c r="T2247" s="26">
        <v>0</v>
      </c>
      <c r="U2247" s="26">
        <v>0</v>
      </c>
      <c r="V2247" s="28">
        <v>0</v>
      </c>
      <c r="W2247" s="26">
        <v>0</v>
      </c>
      <c r="X2247" s="26">
        <v>0</v>
      </c>
      <c r="Y2247" s="26">
        <v>0</v>
      </c>
      <c r="Z2247" s="26">
        <v>0</v>
      </c>
    </row>
    <row r="2248" spans="1:26" x14ac:dyDescent="0.2">
      <c r="A2248">
        <f t="shared" si="72"/>
        <v>5</v>
      </c>
      <c r="B2248">
        <f t="shared" si="73"/>
        <v>18</v>
      </c>
      <c r="C2248" s="27">
        <v>46143</v>
      </c>
      <c r="D2248" s="26" t="s">
        <v>26</v>
      </c>
      <c r="E2248" s="26" t="s">
        <v>27</v>
      </c>
      <c r="F2248" s="26" t="s">
        <v>124</v>
      </c>
      <c r="G2248" s="26" t="s">
        <v>29</v>
      </c>
      <c r="H2248" s="26" t="s">
        <v>30</v>
      </c>
      <c r="I2248" s="26" t="s">
        <v>44</v>
      </c>
      <c r="J2248" s="26" t="s">
        <v>87</v>
      </c>
      <c r="K2248" s="26" t="s">
        <v>44</v>
      </c>
      <c r="L2248" s="26">
        <v>17</v>
      </c>
      <c r="M2248" s="26">
        <v>2</v>
      </c>
      <c r="N2248" s="28">
        <v>0.117647</v>
      </c>
      <c r="O2248" s="26">
        <v>0.2</v>
      </c>
      <c r="P2248" s="26">
        <v>0.4</v>
      </c>
      <c r="Q2248" s="26">
        <v>0</v>
      </c>
      <c r="R2248" s="26"/>
      <c r="S2248" s="26">
        <v>0</v>
      </c>
      <c r="T2248" s="26">
        <v>0</v>
      </c>
      <c r="U2248" s="26">
        <v>0</v>
      </c>
      <c r="V2248" s="28">
        <v>0</v>
      </c>
      <c r="W2248" s="26">
        <v>0</v>
      </c>
      <c r="X2248" s="26">
        <v>0</v>
      </c>
      <c r="Y2248" s="26">
        <v>0</v>
      </c>
      <c r="Z2248" s="26">
        <v>0</v>
      </c>
    </row>
    <row r="2249" spans="1:26" x14ac:dyDescent="0.2">
      <c r="A2249">
        <f t="shared" si="72"/>
        <v>5</v>
      </c>
      <c r="B2249">
        <f t="shared" si="73"/>
        <v>19</v>
      </c>
      <c r="C2249" s="27">
        <v>46146</v>
      </c>
      <c r="D2249" s="26" t="s">
        <v>26</v>
      </c>
      <c r="E2249" s="26" t="s">
        <v>27</v>
      </c>
      <c r="F2249" s="26" t="s">
        <v>124</v>
      </c>
      <c r="G2249" s="26" t="s">
        <v>29</v>
      </c>
      <c r="H2249" s="26" t="s">
        <v>30</v>
      </c>
      <c r="I2249" s="26" t="s">
        <v>44</v>
      </c>
      <c r="J2249" s="26" t="s">
        <v>87</v>
      </c>
      <c r="K2249" s="26" t="s">
        <v>44</v>
      </c>
      <c r="L2249" s="26">
        <v>9</v>
      </c>
      <c r="M2249" s="26">
        <v>1</v>
      </c>
      <c r="N2249" s="28">
        <v>0.111111</v>
      </c>
      <c r="O2249" s="26">
        <v>0.2</v>
      </c>
      <c r="P2249" s="26">
        <v>0.2</v>
      </c>
      <c r="Q2249" s="26">
        <v>0</v>
      </c>
      <c r="R2249" s="26"/>
      <c r="S2249" s="26">
        <v>0</v>
      </c>
      <c r="T2249" s="26">
        <v>0</v>
      </c>
      <c r="U2249" s="26">
        <v>0</v>
      </c>
      <c r="V2249" s="28">
        <v>0</v>
      </c>
      <c r="W2249" s="26">
        <v>0</v>
      </c>
      <c r="X2249" s="26">
        <v>0</v>
      </c>
      <c r="Y2249" s="26">
        <v>0</v>
      </c>
      <c r="Z2249" s="26">
        <v>0</v>
      </c>
    </row>
    <row r="2250" spans="1:26" x14ac:dyDescent="0.2">
      <c r="A2250">
        <f t="shared" si="72"/>
        <v>5</v>
      </c>
      <c r="B2250">
        <f t="shared" si="73"/>
        <v>20</v>
      </c>
      <c r="C2250" s="27">
        <v>46157</v>
      </c>
      <c r="D2250" s="26" t="s">
        <v>26</v>
      </c>
      <c r="E2250" s="26" t="s">
        <v>27</v>
      </c>
      <c r="F2250" s="26" t="s">
        <v>124</v>
      </c>
      <c r="G2250" s="26" t="s">
        <v>29</v>
      </c>
      <c r="H2250" s="26" t="s">
        <v>30</v>
      </c>
      <c r="I2250" s="26" t="s">
        <v>44</v>
      </c>
      <c r="J2250" s="26" t="s">
        <v>87</v>
      </c>
      <c r="K2250" s="26" t="s">
        <v>44</v>
      </c>
      <c r="L2250" s="26">
        <v>71</v>
      </c>
      <c r="M2250" s="26">
        <v>1</v>
      </c>
      <c r="N2250" s="28">
        <v>1.4085E-2</v>
      </c>
      <c r="O2250" s="26">
        <v>0.2</v>
      </c>
      <c r="P2250" s="26">
        <v>0.2</v>
      </c>
      <c r="Q2250" s="26">
        <v>0</v>
      </c>
      <c r="R2250" s="26"/>
      <c r="S2250" s="26">
        <v>0</v>
      </c>
      <c r="T2250" s="26">
        <v>0</v>
      </c>
      <c r="U2250" s="26">
        <v>0</v>
      </c>
      <c r="V2250" s="28">
        <v>0</v>
      </c>
      <c r="W2250" s="26">
        <v>0</v>
      </c>
      <c r="X2250" s="26">
        <v>0</v>
      </c>
      <c r="Y2250" s="26">
        <v>0</v>
      </c>
      <c r="Z2250" s="26">
        <v>0</v>
      </c>
    </row>
    <row r="2251" spans="1:26" x14ac:dyDescent="0.2">
      <c r="A2251">
        <f t="shared" si="72"/>
        <v>5</v>
      </c>
      <c r="B2251">
        <f t="shared" si="73"/>
        <v>19</v>
      </c>
      <c r="C2251" s="27">
        <v>46148</v>
      </c>
      <c r="D2251" s="26" t="s">
        <v>26</v>
      </c>
      <c r="E2251" s="26" t="s">
        <v>27</v>
      </c>
      <c r="F2251" s="26" t="s">
        <v>124</v>
      </c>
      <c r="G2251" s="26" t="s">
        <v>29</v>
      </c>
      <c r="H2251" s="26" t="s">
        <v>30</v>
      </c>
      <c r="I2251" s="26" t="s">
        <v>44</v>
      </c>
      <c r="J2251" s="26" t="s">
        <v>267</v>
      </c>
      <c r="K2251" s="26" t="s">
        <v>44</v>
      </c>
      <c r="L2251" s="26">
        <v>9</v>
      </c>
      <c r="M2251" s="26">
        <v>1</v>
      </c>
      <c r="N2251" s="28">
        <v>0.111111</v>
      </c>
      <c r="O2251" s="26">
        <v>0.2</v>
      </c>
      <c r="P2251" s="26">
        <v>0.2</v>
      </c>
      <c r="Q2251" s="26">
        <v>17.989999999999998</v>
      </c>
      <c r="R2251" s="28">
        <v>1.1117E-2</v>
      </c>
      <c r="S2251" s="26">
        <v>89.95</v>
      </c>
      <c r="T2251" s="26">
        <v>1</v>
      </c>
      <c r="U2251" s="26">
        <v>1</v>
      </c>
      <c r="V2251" s="28">
        <v>1</v>
      </c>
      <c r="W2251" s="26">
        <v>0</v>
      </c>
      <c r="X2251" s="26">
        <v>1</v>
      </c>
      <c r="Y2251" s="26">
        <v>0</v>
      </c>
      <c r="Z2251" s="26">
        <v>17.989999999999998</v>
      </c>
    </row>
    <row r="2252" spans="1:26" x14ac:dyDescent="0.2">
      <c r="A2252">
        <f t="shared" si="72"/>
        <v>5</v>
      </c>
      <c r="B2252">
        <f t="shared" si="73"/>
        <v>20</v>
      </c>
      <c r="C2252" s="27">
        <v>46155</v>
      </c>
      <c r="D2252" s="26" t="s">
        <v>26</v>
      </c>
      <c r="E2252" s="26" t="s">
        <v>27</v>
      </c>
      <c r="F2252" s="26" t="s">
        <v>124</v>
      </c>
      <c r="G2252" s="26" t="s">
        <v>29</v>
      </c>
      <c r="H2252" s="26" t="s">
        <v>30</v>
      </c>
      <c r="I2252" s="26" t="s">
        <v>44</v>
      </c>
      <c r="J2252" s="26" t="s">
        <v>267</v>
      </c>
      <c r="K2252" s="26" t="s">
        <v>44</v>
      </c>
      <c r="L2252" s="26">
        <v>5</v>
      </c>
      <c r="M2252" s="26">
        <v>1</v>
      </c>
      <c r="N2252" s="28">
        <v>0.2</v>
      </c>
      <c r="O2252" s="26">
        <v>0.2</v>
      </c>
      <c r="P2252" s="26">
        <v>0.2</v>
      </c>
      <c r="Q2252" s="26">
        <v>0</v>
      </c>
      <c r="R2252" s="26"/>
      <c r="S2252" s="26">
        <v>0</v>
      </c>
      <c r="T2252" s="26">
        <v>0</v>
      </c>
      <c r="U2252" s="26">
        <v>0</v>
      </c>
      <c r="V2252" s="28">
        <v>0</v>
      </c>
      <c r="W2252" s="26">
        <v>0</v>
      </c>
      <c r="X2252" s="26">
        <v>0</v>
      </c>
      <c r="Y2252" s="26">
        <v>0</v>
      </c>
      <c r="Z2252" s="26">
        <v>0</v>
      </c>
    </row>
    <row r="2253" spans="1:26" x14ac:dyDescent="0.2">
      <c r="A2253">
        <f t="shared" si="72"/>
        <v>5</v>
      </c>
      <c r="B2253">
        <f t="shared" si="73"/>
        <v>19</v>
      </c>
      <c r="C2253" s="27">
        <v>46145</v>
      </c>
      <c r="D2253" s="26" t="s">
        <v>26</v>
      </c>
      <c r="E2253" s="26" t="s">
        <v>27</v>
      </c>
      <c r="F2253" s="26" t="s">
        <v>28</v>
      </c>
      <c r="G2253" s="26" t="s">
        <v>29</v>
      </c>
      <c r="H2253" s="26" t="s">
        <v>30</v>
      </c>
      <c r="I2253" s="26" t="s">
        <v>50</v>
      </c>
      <c r="J2253" s="26" t="s">
        <v>32</v>
      </c>
      <c r="K2253" s="26" t="s">
        <v>263</v>
      </c>
      <c r="L2253" s="26">
        <v>1</v>
      </c>
      <c r="M2253" s="26">
        <v>1</v>
      </c>
      <c r="N2253" s="28">
        <v>1</v>
      </c>
      <c r="O2253" s="26">
        <v>0.21</v>
      </c>
      <c r="P2253" s="26">
        <v>0.21</v>
      </c>
      <c r="Q2253" s="26">
        <v>0</v>
      </c>
      <c r="R2253" s="26"/>
      <c r="S2253" s="26">
        <v>0</v>
      </c>
      <c r="T2253" s="26">
        <v>0</v>
      </c>
      <c r="U2253" s="26">
        <v>0</v>
      </c>
      <c r="V2253" s="28">
        <v>0</v>
      </c>
      <c r="W2253" s="26">
        <v>0</v>
      </c>
      <c r="X2253" s="26">
        <v>0</v>
      </c>
      <c r="Y2253" s="26">
        <v>0</v>
      </c>
      <c r="Z2253" s="26">
        <v>0</v>
      </c>
    </row>
    <row r="2254" spans="1:26" x14ac:dyDescent="0.2">
      <c r="A2254">
        <f t="shared" si="72"/>
        <v>5</v>
      </c>
      <c r="B2254">
        <f t="shared" si="73"/>
        <v>21</v>
      </c>
      <c r="C2254" s="27">
        <v>46161</v>
      </c>
      <c r="D2254" s="26" t="s">
        <v>26</v>
      </c>
      <c r="E2254" s="26" t="s">
        <v>27</v>
      </c>
      <c r="F2254" s="26" t="s">
        <v>28</v>
      </c>
      <c r="G2254" s="26" t="s">
        <v>29</v>
      </c>
      <c r="H2254" s="26" t="s">
        <v>30</v>
      </c>
      <c r="I2254" s="26" t="s">
        <v>50</v>
      </c>
      <c r="J2254" s="26" t="s">
        <v>32</v>
      </c>
      <c r="K2254" s="26" t="s">
        <v>263</v>
      </c>
      <c r="L2254" s="26">
        <v>5</v>
      </c>
      <c r="M2254" s="26">
        <v>1</v>
      </c>
      <c r="N2254" s="28">
        <v>0.2</v>
      </c>
      <c r="O2254" s="26">
        <v>0.08</v>
      </c>
      <c r="P2254" s="26">
        <v>0.08</v>
      </c>
      <c r="Q2254" s="26">
        <v>0</v>
      </c>
      <c r="R2254" s="26"/>
      <c r="S2254" s="26">
        <v>0</v>
      </c>
      <c r="T2254" s="26">
        <v>0</v>
      </c>
      <c r="U2254" s="26">
        <v>0</v>
      </c>
      <c r="V2254" s="28">
        <v>0</v>
      </c>
      <c r="W2254" s="26">
        <v>0</v>
      </c>
      <c r="X2254" s="26">
        <v>0</v>
      </c>
      <c r="Y2254" s="26">
        <v>0</v>
      </c>
      <c r="Z2254" s="26">
        <v>0</v>
      </c>
    </row>
    <row r="2255" spans="1:26" x14ac:dyDescent="0.2">
      <c r="A2255">
        <f t="shared" si="72"/>
        <v>5</v>
      </c>
      <c r="B2255">
        <f t="shared" si="73"/>
        <v>19</v>
      </c>
      <c r="C2255" s="27">
        <v>46146</v>
      </c>
      <c r="D2255" s="26" t="s">
        <v>26</v>
      </c>
      <c r="E2255" s="26" t="s">
        <v>27</v>
      </c>
      <c r="F2255" s="26" t="s">
        <v>28</v>
      </c>
      <c r="G2255" s="26" t="s">
        <v>29</v>
      </c>
      <c r="H2255" s="26" t="s">
        <v>30</v>
      </c>
      <c r="I2255" s="26" t="s">
        <v>44</v>
      </c>
      <c r="J2255" s="26" t="s">
        <v>32</v>
      </c>
      <c r="K2255" s="26" t="s">
        <v>263</v>
      </c>
      <c r="L2255" s="26">
        <v>1</v>
      </c>
      <c r="M2255" s="26">
        <v>1</v>
      </c>
      <c r="N2255" s="28">
        <v>1</v>
      </c>
      <c r="O2255" s="26">
        <v>0.2</v>
      </c>
      <c r="P2255" s="26">
        <v>0.2</v>
      </c>
      <c r="Q2255" s="26">
        <v>0</v>
      </c>
      <c r="R2255" s="26"/>
      <c r="S2255" s="26">
        <v>0</v>
      </c>
      <c r="T2255" s="26">
        <v>0</v>
      </c>
      <c r="U2255" s="26">
        <v>0</v>
      </c>
      <c r="V2255" s="28">
        <v>0</v>
      </c>
      <c r="W2255" s="26">
        <v>0</v>
      </c>
      <c r="X2255" s="26">
        <v>0</v>
      </c>
      <c r="Y2255" s="26">
        <v>0</v>
      </c>
      <c r="Z2255" s="26">
        <v>0</v>
      </c>
    </row>
    <row r="2256" spans="1:26" x14ac:dyDescent="0.2">
      <c r="A2256">
        <f t="shared" si="72"/>
        <v>5</v>
      </c>
      <c r="B2256">
        <f t="shared" si="73"/>
        <v>21</v>
      </c>
      <c r="C2256" s="27">
        <v>46160</v>
      </c>
      <c r="D2256" s="26" t="s">
        <v>26</v>
      </c>
      <c r="E2256" s="26" t="s">
        <v>27</v>
      </c>
      <c r="F2256" s="26" t="s">
        <v>28</v>
      </c>
      <c r="G2256" s="26" t="s">
        <v>29</v>
      </c>
      <c r="H2256" s="26" t="s">
        <v>30</v>
      </c>
      <c r="I2256" s="26" t="s">
        <v>44</v>
      </c>
      <c r="J2256" s="26" t="s">
        <v>32</v>
      </c>
      <c r="K2256" s="26" t="s">
        <v>814</v>
      </c>
      <c r="L2256" s="26">
        <v>5</v>
      </c>
      <c r="M2256" s="26">
        <v>1</v>
      </c>
      <c r="N2256" s="28">
        <v>0.2</v>
      </c>
      <c r="O2256" s="26">
        <v>0.21</v>
      </c>
      <c r="P2256" s="26">
        <v>0.21</v>
      </c>
      <c r="Q2256" s="26">
        <v>0</v>
      </c>
      <c r="R2256" s="26"/>
      <c r="S2256" s="26">
        <v>0</v>
      </c>
      <c r="T2256" s="26">
        <v>0</v>
      </c>
      <c r="U2256" s="26">
        <v>0</v>
      </c>
      <c r="V2256" s="28">
        <v>0</v>
      </c>
      <c r="W2256" s="26">
        <v>0</v>
      </c>
      <c r="X2256" s="26">
        <v>0</v>
      </c>
      <c r="Y2256" s="26">
        <v>0</v>
      </c>
      <c r="Z2256" s="26">
        <v>0</v>
      </c>
    </row>
    <row r="2257" spans="1:26" x14ac:dyDescent="0.2">
      <c r="A2257">
        <f t="shared" si="72"/>
        <v>5</v>
      </c>
      <c r="B2257">
        <f t="shared" si="73"/>
        <v>20</v>
      </c>
      <c r="C2257" s="27">
        <v>46153</v>
      </c>
      <c r="D2257" s="26" t="s">
        <v>26</v>
      </c>
      <c r="E2257" s="26" t="s">
        <v>39</v>
      </c>
      <c r="F2257" s="26" t="s">
        <v>40</v>
      </c>
      <c r="G2257" s="26" t="s">
        <v>29</v>
      </c>
      <c r="H2257" s="26" t="s">
        <v>30</v>
      </c>
      <c r="I2257" s="26" t="s">
        <v>1134</v>
      </c>
      <c r="J2257" s="26" t="s">
        <v>42</v>
      </c>
      <c r="K2257" s="26" t="s">
        <v>815</v>
      </c>
      <c r="L2257" s="26">
        <v>10</v>
      </c>
      <c r="M2257" s="26">
        <v>1</v>
      </c>
      <c r="N2257" s="28">
        <v>0.1</v>
      </c>
      <c r="O2257" s="26">
        <v>0.63</v>
      </c>
      <c r="P2257" s="26">
        <v>0.63</v>
      </c>
      <c r="Q2257" s="26">
        <v>0</v>
      </c>
      <c r="R2257" s="26"/>
      <c r="S2257" s="26">
        <v>0</v>
      </c>
      <c r="T2257" s="26">
        <v>0</v>
      </c>
      <c r="U2257" s="26">
        <v>0</v>
      </c>
      <c r="V2257" s="28">
        <v>0</v>
      </c>
      <c r="W2257" s="26">
        <v>0</v>
      </c>
      <c r="X2257" s="26">
        <v>0</v>
      </c>
      <c r="Y2257" s="26">
        <v>0</v>
      </c>
      <c r="Z2257" s="26">
        <v>0</v>
      </c>
    </row>
    <row r="2258" spans="1:26" x14ac:dyDescent="0.2">
      <c r="A2258">
        <f t="shared" si="72"/>
        <v>5</v>
      </c>
      <c r="B2258">
        <f t="shared" si="73"/>
        <v>20</v>
      </c>
      <c r="C2258" s="27">
        <v>46157</v>
      </c>
      <c r="D2258" s="26" t="s">
        <v>26</v>
      </c>
      <c r="E2258" s="26" t="s">
        <v>27</v>
      </c>
      <c r="F2258" s="26" t="s">
        <v>28</v>
      </c>
      <c r="G2258" s="26" t="s">
        <v>29</v>
      </c>
      <c r="H2258" s="26" t="s">
        <v>30</v>
      </c>
      <c r="I2258" s="26" t="s">
        <v>44</v>
      </c>
      <c r="J2258" s="26" t="s">
        <v>32</v>
      </c>
      <c r="K2258" s="26" t="s">
        <v>1506</v>
      </c>
      <c r="L2258" s="26">
        <v>1</v>
      </c>
      <c r="M2258" s="26">
        <v>1</v>
      </c>
      <c r="N2258" s="28">
        <v>1</v>
      </c>
      <c r="O2258" s="26">
        <v>0.08</v>
      </c>
      <c r="P2258" s="26">
        <v>0.08</v>
      </c>
      <c r="Q2258" s="26">
        <v>0</v>
      </c>
      <c r="R2258" s="26"/>
      <c r="S2258" s="26">
        <v>0</v>
      </c>
      <c r="T2258" s="26">
        <v>0</v>
      </c>
      <c r="U2258" s="26">
        <v>0</v>
      </c>
      <c r="V2258" s="28">
        <v>0</v>
      </c>
      <c r="W2258" s="26">
        <v>0</v>
      </c>
      <c r="X2258" s="26">
        <v>0</v>
      </c>
      <c r="Y2258" s="26">
        <v>0</v>
      </c>
      <c r="Z2258" s="26">
        <v>0</v>
      </c>
    </row>
    <row r="2259" spans="1:26" x14ac:dyDescent="0.2">
      <c r="A2259">
        <f t="shared" si="72"/>
        <v>5</v>
      </c>
      <c r="B2259">
        <f t="shared" si="73"/>
        <v>20</v>
      </c>
      <c r="C2259" s="27">
        <v>46158</v>
      </c>
      <c r="D2259" s="26" t="s">
        <v>26</v>
      </c>
      <c r="E2259" s="26" t="s">
        <v>27</v>
      </c>
      <c r="F2259" s="26" t="s">
        <v>28</v>
      </c>
      <c r="G2259" s="26" t="s">
        <v>29</v>
      </c>
      <c r="H2259" s="26" t="s">
        <v>30</v>
      </c>
      <c r="I2259" s="26" t="s">
        <v>37</v>
      </c>
      <c r="J2259" s="26" t="s">
        <v>32</v>
      </c>
      <c r="K2259" s="26" t="s">
        <v>1507</v>
      </c>
      <c r="L2259" s="26">
        <v>1</v>
      </c>
      <c r="M2259" s="26">
        <v>1</v>
      </c>
      <c r="N2259" s="28">
        <v>1</v>
      </c>
      <c r="O2259" s="26">
        <v>0.21</v>
      </c>
      <c r="P2259" s="26">
        <v>0.21</v>
      </c>
      <c r="Q2259" s="26">
        <v>0</v>
      </c>
      <c r="R2259" s="26"/>
      <c r="S2259" s="26">
        <v>0</v>
      </c>
      <c r="T2259" s="26">
        <v>0</v>
      </c>
      <c r="U2259" s="26">
        <v>0</v>
      </c>
      <c r="V2259" s="28">
        <v>0</v>
      </c>
      <c r="W2259" s="26">
        <v>0</v>
      </c>
      <c r="X2259" s="26">
        <v>0</v>
      </c>
      <c r="Y2259" s="26">
        <v>0</v>
      </c>
      <c r="Z2259" s="26">
        <v>0</v>
      </c>
    </row>
    <row r="2260" spans="1:26" x14ac:dyDescent="0.2">
      <c r="A2260">
        <f t="shared" si="72"/>
        <v>5</v>
      </c>
      <c r="B2260">
        <f t="shared" si="73"/>
        <v>20</v>
      </c>
      <c r="C2260" s="27">
        <v>46156</v>
      </c>
      <c r="D2260" s="26" t="s">
        <v>26</v>
      </c>
      <c r="E2260" s="26" t="s">
        <v>39</v>
      </c>
      <c r="F2260" s="26" t="s">
        <v>40</v>
      </c>
      <c r="G2260" s="26" t="s">
        <v>29</v>
      </c>
      <c r="H2260" s="26" t="s">
        <v>30</v>
      </c>
      <c r="I2260" s="26" t="s">
        <v>1405</v>
      </c>
      <c r="J2260" s="26" t="s">
        <v>42</v>
      </c>
      <c r="K2260" s="26" t="s">
        <v>1508</v>
      </c>
      <c r="L2260" s="26">
        <v>1</v>
      </c>
      <c r="M2260" s="26">
        <v>1</v>
      </c>
      <c r="N2260" s="28">
        <v>1</v>
      </c>
      <c r="O2260" s="26">
        <v>0.66</v>
      </c>
      <c r="P2260" s="26">
        <v>0.66</v>
      </c>
      <c r="Q2260" s="26">
        <v>0</v>
      </c>
      <c r="R2260" s="26"/>
      <c r="S2260" s="26">
        <v>0</v>
      </c>
      <c r="T2260" s="26">
        <v>0</v>
      </c>
      <c r="U2260" s="26">
        <v>0</v>
      </c>
      <c r="V2260" s="28">
        <v>0</v>
      </c>
      <c r="W2260" s="26">
        <v>0</v>
      </c>
      <c r="X2260" s="26">
        <v>0</v>
      </c>
      <c r="Y2260" s="26">
        <v>0</v>
      </c>
      <c r="Z2260" s="26">
        <v>0</v>
      </c>
    </row>
    <row r="2261" spans="1:26" x14ac:dyDescent="0.2">
      <c r="A2261">
        <f t="shared" si="72"/>
        <v>5</v>
      </c>
      <c r="B2261">
        <f t="shared" si="73"/>
        <v>21</v>
      </c>
      <c r="C2261" s="27">
        <v>46160</v>
      </c>
      <c r="D2261" s="26" t="s">
        <v>26</v>
      </c>
      <c r="E2261" s="26" t="s">
        <v>27</v>
      </c>
      <c r="F2261" s="26" t="s">
        <v>28</v>
      </c>
      <c r="G2261" s="26" t="s">
        <v>29</v>
      </c>
      <c r="H2261" s="26" t="s">
        <v>30</v>
      </c>
      <c r="I2261" s="26" t="s">
        <v>242</v>
      </c>
      <c r="J2261" s="26" t="s">
        <v>32</v>
      </c>
      <c r="K2261" s="26" t="s">
        <v>1509</v>
      </c>
      <c r="L2261" s="26">
        <v>2</v>
      </c>
      <c r="M2261" s="26">
        <v>1</v>
      </c>
      <c r="N2261" s="28">
        <v>0.5</v>
      </c>
      <c r="O2261" s="26">
        <v>0.21</v>
      </c>
      <c r="P2261" s="26">
        <v>0.21</v>
      </c>
      <c r="Q2261" s="26">
        <v>0</v>
      </c>
      <c r="R2261" s="26"/>
      <c r="S2261" s="26">
        <v>0</v>
      </c>
      <c r="T2261" s="26">
        <v>0</v>
      </c>
      <c r="U2261" s="26">
        <v>0</v>
      </c>
      <c r="V2261" s="28">
        <v>0</v>
      </c>
      <c r="W2261" s="26">
        <v>0</v>
      </c>
      <c r="X2261" s="26">
        <v>0</v>
      </c>
      <c r="Y2261" s="26">
        <v>0</v>
      </c>
      <c r="Z2261" s="26">
        <v>0</v>
      </c>
    </row>
    <row r="2262" spans="1:26" x14ac:dyDescent="0.2">
      <c r="A2262">
        <f t="shared" si="72"/>
        <v>5</v>
      </c>
      <c r="B2262">
        <f t="shared" si="73"/>
        <v>21</v>
      </c>
      <c r="C2262" s="27">
        <v>46163</v>
      </c>
      <c r="D2262" s="26" t="s">
        <v>26</v>
      </c>
      <c r="E2262" s="26" t="s">
        <v>27</v>
      </c>
      <c r="F2262" s="26" t="s">
        <v>28</v>
      </c>
      <c r="G2262" s="26" t="s">
        <v>29</v>
      </c>
      <c r="H2262" s="26" t="s">
        <v>30</v>
      </c>
      <c r="I2262" s="26" t="s">
        <v>44</v>
      </c>
      <c r="J2262" s="26" t="s">
        <v>32</v>
      </c>
      <c r="K2262" s="26" t="s">
        <v>1510</v>
      </c>
      <c r="L2262" s="26">
        <v>1</v>
      </c>
      <c r="M2262" s="26">
        <v>1</v>
      </c>
      <c r="N2262" s="28">
        <v>1</v>
      </c>
      <c r="O2262" s="26">
        <v>0.4</v>
      </c>
      <c r="P2262" s="26">
        <v>0.4</v>
      </c>
      <c r="Q2262" s="26">
        <v>0</v>
      </c>
      <c r="R2262" s="26"/>
      <c r="S2262" s="26">
        <v>0</v>
      </c>
      <c r="T2262" s="26">
        <v>0</v>
      </c>
      <c r="U2262" s="26">
        <v>0</v>
      </c>
      <c r="V2262" s="28">
        <v>0</v>
      </c>
      <c r="W2262" s="26">
        <v>0</v>
      </c>
      <c r="X2262" s="26">
        <v>0</v>
      </c>
      <c r="Y2262" s="26">
        <v>0</v>
      </c>
      <c r="Z2262" s="26">
        <v>0</v>
      </c>
    </row>
    <row r="2263" spans="1:26" x14ac:dyDescent="0.2">
      <c r="A2263">
        <f t="shared" si="72"/>
        <v>5</v>
      </c>
      <c r="B2263">
        <f t="shared" si="73"/>
        <v>18</v>
      </c>
      <c r="C2263" s="27">
        <v>46143</v>
      </c>
      <c r="D2263" s="26" t="s">
        <v>26</v>
      </c>
      <c r="E2263" s="26" t="s">
        <v>39</v>
      </c>
      <c r="F2263" s="26" t="s">
        <v>40</v>
      </c>
      <c r="G2263" s="26" t="s">
        <v>29</v>
      </c>
      <c r="H2263" s="26" t="s">
        <v>30</v>
      </c>
      <c r="I2263" s="26" t="s">
        <v>1134</v>
      </c>
      <c r="J2263" s="26" t="s">
        <v>42</v>
      </c>
      <c r="K2263" s="26" t="s">
        <v>942</v>
      </c>
      <c r="L2263" s="26">
        <v>1</v>
      </c>
      <c r="M2263" s="26">
        <v>1</v>
      </c>
      <c r="N2263" s="28">
        <v>1</v>
      </c>
      <c r="O2263" s="26">
        <v>0.57999999999999996</v>
      </c>
      <c r="P2263" s="26">
        <v>0.57999999999999996</v>
      </c>
      <c r="Q2263" s="26">
        <v>0</v>
      </c>
      <c r="R2263" s="26"/>
      <c r="S2263" s="26">
        <v>0</v>
      </c>
      <c r="T2263" s="26">
        <v>0</v>
      </c>
      <c r="U2263" s="26">
        <v>0</v>
      </c>
      <c r="V2263" s="28">
        <v>0</v>
      </c>
      <c r="W2263" s="26">
        <v>0</v>
      </c>
      <c r="X2263" s="26">
        <v>0</v>
      </c>
      <c r="Y2263" s="26">
        <v>0</v>
      </c>
      <c r="Z2263" s="26">
        <v>0</v>
      </c>
    </row>
    <row r="2264" spans="1:26" x14ac:dyDescent="0.2">
      <c r="A2264">
        <f t="shared" si="72"/>
        <v>5</v>
      </c>
      <c r="B2264">
        <f t="shared" si="73"/>
        <v>20</v>
      </c>
      <c r="C2264" s="27">
        <v>46156</v>
      </c>
      <c r="D2264" s="26" t="s">
        <v>26</v>
      </c>
      <c r="E2264" s="26" t="s">
        <v>27</v>
      </c>
      <c r="F2264" s="26" t="s">
        <v>28</v>
      </c>
      <c r="G2264" s="26" t="s">
        <v>29</v>
      </c>
      <c r="H2264" s="26" t="s">
        <v>30</v>
      </c>
      <c r="I2264" s="26" t="s">
        <v>542</v>
      </c>
      <c r="J2264" s="26" t="s">
        <v>32</v>
      </c>
      <c r="K2264" s="26" t="s">
        <v>1511</v>
      </c>
      <c r="L2264" s="26">
        <v>1</v>
      </c>
      <c r="M2264" s="26">
        <v>1</v>
      </c>
      <c r="N2264" s="28">
        <v>1</v>
      </c>
      <c r="O2264" s="26">
        <v>0.21</v>
      </c>
      <c r="P2264" s="26">
        <v>0.21</v>
      </c>
      <c r="Q2264" s="26">
        <v>34.94</v>
      </c>
      <c r="R2264" s="28">
        <v>6.0099999999999997E-3</v>
      </c>
      <c r="S2264" s="26">
        <v>166.38</v>
      </c>
      <c r="T2264" s="26">
        <v>1</v>
      </c>
      <c r="U2264" s="26">
        <v>2</v>
      </c>
      <c r="V2264" s="28">
        <v>1</v>
      </c>
      <c r="W2264" s="26">
        <v>2</v>
      </c>
      <c r="X2264" s="26">
        <v>0</v>
      </c>
      <c r="Y2264" s="26">
        <v>34.94</v>
      </c>
      <c r="Z2264" s="26">
        <v>0</v>
      </c>
    </row>
    <row r="2265" spans="1:26" x14ac:dyDescent="0.2">
      <c r="A2265">
        <f t="shared" si="72"/>
        <v>5</v>
      </c>
      <c r="B2265">
        <f t="shared" si="73"/>
        <v>21</v>
      </c>
      <c r="C2265" s="27">
        <v>46162</v>
      </c>
      <c r="D2265" s="26" t="s">
        <v>26</v>
      </c>
      <c r="E2265" s="26" t="s">
        <v>27</v>
      </c>
      <c r="F2265" s="26" t="s">
        <v>28</v>
      </c>
      <c r="G2265" s="26" t="s">
        <v>29</v>
      </c>
      <c r="H2265" s="26" t="s">
        <v>30</v>
      </c>
      <c r="I2265" s="26" t="s">
        <v>37</v>
      </c>
      <c r="J2265" s="26" t="s">
        <v>32</v>
      </c>
      <c r="K2265" s="26" t="s">
        <v>1512</v>
      </c>
      <c r="L2265" s="26">
        <v>4</v>
      </c>
      <c r="M2265" s="26">
        <v>1</v>
      </c>
      <c r="N2265" s="28">
        <v>0.25</v>
      </c>
      <c r="O2265" s="26">
        <v>0.21</v>
      </c>
      <c r="P2265" s="26">
        <v>0.21</v>
      </c>
      <c r="Q2265" s="26">
        <v>17.47</v>
      </c>
      <c r="R2265" s="28">
        <v>1.2021E-2</v>
      </c>
      <c r="S2265" s="26">
        <v>83.19</v>
      </c>
      <c r="T2265" s="26">
        <v>1</v>
      </c>
      <c r="U2265" s="26">
        <v>1</v>
      </c>
      <c r="V2265" s="28">
        <v>1</v>
      </c>
      <c r="W2265" s="26">
        <v>1</v>
      </c>
      <c r="X2265" s="26">
        <v>0</v>
      </c>
      <c r="Y2265" s="26">
        <v>17.47</v>
      </c>
      <c r="Z2265" s="26">
        <v>0</v>
      </c>
    </row>
    <row r="2266" spans="1:26" x14ac:dyDescent="0.2">
      <c r="A2266">
        <f t="shared" si="72"/>
        <v>5</v>
      </c>
      <c r="B2266">
        <f t="shared" si="73"/>
        <v>19</v>
      </c>
      <c r="C2266" s="27">
        <v>46145</v>
      </c>
      <c r="D2266" s="26" t="s">
        <v>26</v>
      </c>
      <c r="E2266" s="26" t="s">
        <v>27</v>
      </c>
      <c r="F2266" s="26" t="s">
        <v>28</v>
      </c>
      <c r="G2266" s="26" t="s">
        <v>29</v>
      </c>
      <c r="H2266" s="26" t="s">
        <v>30</v>
      </c>
      <c r="I2266" s="26" t="s">
        <v>253</v>
      </c>
      <c r="J2266" s="26" t="s">
        <v>32</v>
      </c>
      <c r="K2266" s="26" t="s">
        <v>1513</v>
      </c>
      <c r="L2266" s="26">
        <v>2</v>
      </c>
      <c r="M2266" s="26">
        <v>1</v>
      </c>
      <c r="N2266" s="28">
        <v>0.5</v>
      </c>
      <c r="O2266" s="26">
        <v>0.4</v>
      </c>
      <c r="P2266" s="26">
        <v>0.4</v>
      </c>
      <c r="Q2266" s="26">
        <v>0</v>
      </c>
      <c r="R2266" s="26"/>
      <c r="S2266" s="26">
        <v>0</v>
      </c>
      <c r="T2266" s="26">
        <v>0</v>
      </c>
      <c r="U2266" s="26">
        <v>0</v>
      </c>
      <c r="V2266" s="28">
        <v>0</v>
      </c>
      <c r="W2266" s="26">
        <v>0</v>
      </c>
      <c r="X2266" s="26">
        <v>0</v>
      </c>
      <c r="Y2266" s="26">
        <v>0</v>
      </c>
      <c r="Z2266" s="26">
        <v>0</v>
      </c>
    </row>
    <row r="2267" spans="1:26" x14ac:dyDescent="0.2">
      <c r="A2267">
        <f t="shared" si="72"/>
        <v>5</v>
      </c>
      <c r="B2267">
        <f t="shared" si="73"/>
        <v>19</v>
      </c>
      <c r="C2267" s="27">
        <v>46148</v>
      </c>
      <c r="D2267" s="26" t="s">
        <v>26</v>
      </c>
      <c r="E2267" s="26" t="s">
        <v>27</v>
      </c>
      <c r="F2267" s="26" t="s">
        <v>28</v>
      </c>
      <c r="G2267" s="26" t="s">
        <v>29</v>
      </c>
      <c r="H2267" s="26" t="s">
        <v>30</v>
      </c>
      <c r="I2267" s="26" t="s">
        <v>156</v>
      </c>
      <c r="J2267" s="26" t="s">
        <v>32</v>
      </c>
      <c r="K2267" s="26" t="s">
        <v>1514</v>
      </c>
      <c r="L2267" s="26">
        <v>2</v>
      </c>
      <c r="M2267" s="26">
        <v>1</v>
      </c>
      <c r="N2267" s="28">
        <v>0.5</v>
      </c>
      <c r="O2267" s="26">
        <v>0.21</v>
      </c>
      <c r="P2267" s="26">
        <v>0.21</v>
      </c>
      <c r="Q2267" s="26">
        <v>0</v>
      </c>
      <c r="R2267" s="26"/>
      <c r="S2267" s="26">
        <v>0</v>
      </c>
      <c r="T2267" s="26">
        <v>0</v>
      </c>
      <c r="U2267" s="26">
        <v>0</v>
      </c>
      <c r="V2267" s="28">
        <v>0</v>
      </c>
      <c r="W2267" s="26">
        <v>0</v>
      </c>
      <c r="X2267" s="26">
        <v>0</v>
      </c>
      <c r="Y2267" s="26">
        <v>0</v>
      </c>
      <c r="Z2267" s="26">
        <v>0</v>
      </c>
    </row>
    <row r="2268" spans="1:26" x14ac:dyDescent="0.2">
      <c r="A2268">
        <f t="shared" si="72"/>
        <v>5</v>
      </c>
      <c r="B2268">
        <f t="shared" si="73"/>
        <v>20</v>
      </c>
      <c r="C2268" s="27">
        <v>46152</v>
      </c>
      <c r="D2268" s="26" t="s">
        <v>26</v>
      </c>
      <c r="E2268" s="26" t="s">
        <v>27</v>
      </c>
      <c r="F2268" s="26" t="s">
        <v>28</v>
      </c>
      <c r="G2268" s="26" t="s">
        <v>29</v>
      </c>
      <c r="H2268" s="26" t="s">
        <v>30</v>
      </c>
      <c r="I2268" s="26" t="s">
        <v>101</v>
      </c>
      <c r="J2268" s="26" t="s">
        <v>32</v>
      </c>
      <c r="K2268" s="26" t="s">
        <v>1515</v>
      </c>
      <c r="L2268" s="26">
        <v>1</v>
      </c>
      <c r="M2268" s="26">
        <v>1</v>
      </c>
      <c r="N2268" s="28">
        <v>1</v>
      </c>
      <c r="O2268" s="26">
        <v>0.21</v>
      </c>
      <c r="P2268" s="26">
        <v>0.21</v>
      </c>
      <c r="Q2268" s="26">
        <v>0</v>
      </c>
      <c r="R2268" s="26"/>
      <c r="S2268" s="26">
        <v>0</v>
      </c>
      <c r="T2268" s="26">
        <v>0</v>
      </c>
      <c r="U2268" s="26">
        <v>0</v>
      </c>
      <c r="V2268" s="28">
        <v>0</v>
      </c>
      <c r="W2268" s="26">
        <v>0</v>
      </c>
      <c r="X2268" s="26">
        <v>0</v>
      </c>
      <c r="Y2268" s="26">
        <v>0</v>
      </c>
      <c r="Z2268" s="26">
        <v>0</v>
      </c>
    </row>
    <row r="2269" spans="1:26" x14ac:dyDescent="0.2">
      <c r="A2269">
        <f t="shared" si="72"/>
        <v>5</v>
      </c>
      <c r="B2269">
        <f t="shared" si="73"/>
        <v>20</v>
      </c>
      <c r="C2269" s="27">
        <v>46153</v>
      </c>
      <c r="D2269" s="26" t="s">
        <v>26</v>
      </c>
      <c r="E2269" s="26" t="s">
        <v>27</v>
      </c>
      <c r="F2269" s="26" t="s">
        <v>124</v>
      </c>
      <c r="G2269" s="26" t="s">
        <v>29</v>
      </c>
      <c r="H2269" s="26" t="s">
        <v>30</v>
      </c>
      <c r="I2269" s="26" t="s">
        <v>119</v>
      </c>
      <c r="J2269" s="26" t="s">
        <v>267</v>
      </c>
      <c r="K2269" s="26" t="s">
        <v>119</v>
      </c>
      <c r="L2269" s="26">
        <v>30</v>
      </c>
      <c r="M2269" s="26">
        <v>2</v>
      </c>
      <c r="N2269" s="28">
        <v>6.6667000000000004E-2</v>
      </c>
      <c r="O2269" s="26">
        <v>0.21</v>
      </c>
      <c r="P2269" s="26">
        <v>0.42</v>
      </c>
      <c r="Q2269" s="26">
        <v>0</v>
      </c>
      <c r="R2269" s="26"/>
      <c r="S2269" s="26">
        <v>0</v>
      </c>
      <c r="T2269" s="26">
        <v>0</v>
      </c>
      <c r="U2269" s="26">
        <v>0</v>
      </c>
      <c r="V2269" s="28">
        <v>0</v>
      </c>
      <c r="W2269" s="26">
        <v>0</v>
      </c>
      <c r="X2269" s="26">
        <v>0</v>
      </c>
      <c r="Y2269" s="26">
        <v>0</v>
      </c>
      <c r="Z2269" s="26">
        <v>0</v>
      </c>
    </row>
    <row r="2270" spans="1:26" x14ac:dyDescent="0.2">
      <c r="A2270">
        <f t="shared" si="72"/>
        <v>5</v>
      </c>
      <c r="B2270">
        <f t="shared" si="73"/>
        <v>20</v>
      </c>
      <c r="C2270" s="27">
        <v>46154</v>
      </c>
      <c r="D2270" s="26" t="s">
        <v>26</v>
      </c>
      <c r="E2270" s="26" t="s">
        <v>27</v>
      </c>
      <c r="F2270" s="26" t="s">
        <v>124</v>
      </c>
      <c r="G2270" s="26" t="s">
        <v>29</v>
      </c>
      <c r="H2270" s="26" t="s">
        <v>30</v>
      </c>
      <c r="I2270" s="26" t="s">
        <v>119</v>
      </c>
      <c r="J2270" s="26" t="s">
        <v>267</v>
      </c>
      <c r="K2270" s="26" t="s">
        <v>119</v>
      </c>
      <c r="L2270" s="26">
        <v>47</v>
      </c>
      <c r="M2270" s="26">
        <v>1</v>
      </c>
      <c r="N2270" s="28">
        <v>2.1277000000000001E-2</v>
      </c>
      <c r="O2270" s="26">
        <v>0.2</v>
      </c>
      <c r="P2270" s="26">
        <v>0.2</v>
      </c>
      <c r="Q2270" s="26">
        <v>18.989999999999998</v>
      </c>
      <c r="R2270" s="28">
        <v>1.0532E-2</v>
      </c>
      <c r="S2270" s="26">
        <v>94.95</v>
      </c>
      <c r="T2270" s="26">
        <v>1</v>
      </c>
      <c r="U2270" s="26">
        <v>1</v>
      </c>
      <c r="V2270" s="28">
        <v>1</v>
      </c>
      <c r="W2270" s="26">
        <v>1</v>
      </c>
      <c r="X2270" s="26">
        <v>0</v>
      </c>
      <c r="Y2270" s="26">
        <v>18.989999999999998</v>
      </c>
      <c r="Z2270" s="26">
        <v>0</v>
      </c>
    </row>
    <row r="2271" spans="1:26" x14ac:dyDescent="0.2">
      <c r="A2271">
        <f t="shared" si="72"/>
        <v>5</v>
      </c>
      <c r="B2271">
        <f t="shared" si="73"/>
        <v>21</v>
      </c>
      <c r="C2271" s="27">
        <v>46162</v>
      </c>
      <c r="D2271" s="26" t="s">
        <v>26</v>
      </c>
      <c r="E2271" s="26" t="s">
        <v>27</v>
      </c>
      <c r="F2271" s="26" t="s">
        <v>124</v>
      </c>
      <c r="G2271" s="26" t="s">
        <v>29</v>
      </c>
      <c r="H2271" s="26" t="s">
        <v>30</v>
      </c>
      <c r="I2271" s="26" t="s">
        <v>119</v>
      </c>
      <c r="J2271" s="26" t="s">
        <v>267</v>
      </c>
      <c r="K2271" s="26" t="s">
        <v>119</v>
      </c>
      <c r="L2271" s="26">
        <v>173</v>
      </c>
      <c r="M2271" s="26">
        <v>1</v>
      </c>
      <c r="N2271" s="28">
        <v>5.7800000000000004E-3</v>
      </c>
      <c r="O2271" s="26">
        <v>0.23</v>
      </c>
      <c r="P2271" s="26">
        <v>0.23</v>
      </c>
      <c r="Q2271" s="26">
        <v>0</v>
      </c>
      <c r="R2271" s="26"/>
      <c r="S2271" s="26">
        <v>0</v>
      </c>
      <c r="T2271" s="26">
        <v>0</v>
      </c>
      <c r="U2271" s="26">
        <v>0</v>
      </c>
      <c r="V2271" s="28">
        <v>0</v>
      </c>
      <c r="W2271" s="26">
        <v>0</v>
      </c>
      <c r="X2271" s="26">
        <v>0</v>
      </c>
      <c r="Y2271" s="26">
        <v>0</v>
      </c>
      <c r="Z2271" s="26">
        <v>0</v>
      </c>
    </row>
    <row r="2272" spans="1:26" x14ac:dyDescent="0.2">
      <c r="A2272">
        <f t="shared" si="72"/>
        <v>5</v>
      </c>
      <c r="B2272">
        <f t="shared" si="73"/>
        <v>21</v>
      </c>
      <c r="C2272" s="27">
        <v>46161</v>
      </c>
      <c r="D2272" s="26" t="s">
        <v>26</v>
      </c>
      <c r="E2272" s="26" t="s">
        <v>27</v>
      </c>
      <c r="F2272" s="26" t="s">
        <v>28</v>
      </c>
      <c r="G2272" s="26" t="s">
        <v>29</v>
      </c>
      <c r="H2272" s="26" t="s">
        <v>30</v>
      </c>
      <c r="I2272" s="26" t="s">
        <v>119</v>
      </c>
      <c r="J2272" s="26" t="s">
        <v>32</v>
      </c>
      <c r="K2272" s="26" t="s">
        <v>1516</v>
      </c>
      <c r="L2272" s="26">
        <v>2</v>
      </c>
      <c r="M2272" s="26">
        <v>1</v>
      </c>
      <c r="N2272" s="28">
        <v>0.5</v>
      </c>
      <c r="O2272" s="26">
        <v>0.16</v>
      </c>
      <c r="P2272" s="26">
        <v>0.16</v>
      </c>
      <c r="Q2272" s="26">
        <v>0</v>
      </c>
      <c r="R2272" s="26"/>
      <c r="S2272" s="26">
        <v>0</v>
      </c>
      <c r="T2272" s="26">
        <v>0</v>
      </c>
      <c r="U2272" s="26">
        <v>0</v>
      </c>
      <c r="V2272" s="28">
        <v>0</v>
      </c>
      <c r="W2272" s="26">
        <v>0</v>
      </c>
      <c r="X2272" s="26">
        <v>0</v>
      </c>
      <c r="Y2272" s="26">
        <v>0</v>
      </c>
      <c r="Z2272" s="26">
        <v>0</v>
      </c>
    </row>
    <row r="2273" spans="1:26" x14ac:dyDescent="0.2">
      <c r="A2273">
        <f t="shared" si="72"/>
        <v>5</v>
      </c>
      <c r="B2273">
        <f t="shared" si="73"/>
        <v>21</v>
      </c>
      <c r="C2273" s="27">
        <v>46163</v>
      </c>
      <c r="D2273" s="26" t="s">
        <v>26</v>
      </c>
      <c r="E2273" s="26" t="s">
        <v>49</v>
      </c>
      <c r="F2273" s="26" t="s">
        <v>50</v>
      </c>
      <c r="G2273" s="26" t="s">
        <v>29</v>
      </c>
      <c r="H2273" s="26" t="s">
        <v>30</v>
      </c>
      <c r="I2273" s="26" t="s">
        <v>95</v>
      </c>
      <c r="J2273" s="26" t="s">
        <v>42</v>
      </c>
      <c r="K2273" s="26" t="s">
        <v>1517</v>
      </c>
      <c r="L2273" s="26">
        <v>1</v>
      </c>
      <c r="M2273" s="26">
        <v>1</v>
      </c>
      <c r="N2273" s="28">
        <v>1</v>
      </c>
      <c r="O2273" s="26">
        <v>0.55000000000000004</v>
      </c>
      <c r="P2273" s="26">
        <v>0.55000000000000004</v>
      </c>
      <c r="Q2273" s="26">
        <v>0</v>
      </c>
      <c r="R2273" s="26"/>
      <c r="S2273" s="26">
        <v>0</v>
      </c>
      <c r="T2273" s="26">
        <v>0</v>
      </c>
      <c r="U2273" s="26">
        <v>0</v>
      </c>
      <c r="V2273" s="28">
        <v>0</v>
      </c>
      <c r="W2273" s="26">
        <v>0</v>
      </c>
      <c r="X2273" s="26">
        <v>0</v>
      </c>
      <c r="Y2273" s="26">
        <v>0</v>
      </c>
      <c r="Z2273" s="26">
        <v>0</v>
      </c>
    </row>
    <row r="2274" spans="1:26" x14ac:dyDescent="0.2">
      <c r="A2274">
        <f t="shared" si="72"/>
        <v>5</v>
      </c>
      <c r="B2274">
        <f t="shared" si="73"/>
        <v>21</v>
      </c>
      <c r="C2274" s="27">
        <v>46162</v>
      </c>
      <c r="D2274" s="26" t="s">
        <v>26</v>
      </c>
      <c r="E2274" s="26" t="s">
        <v>49</v>
      </c>
      <c r="F2274" s="26" t="s">
        <v>50</v>
      </c>
      <c r="G2274" s="26" t="s">
        <v>29</v>
      </c>
      <c r="H2274" s="26" t="s">
        <v>30</v>
      </c>
      <c r="I2274" s="26" t="s">
        <v>95</v>
      </c>
      <c r="J2274" s="26" t="s">
        <v>42</v>
      </c>
      <c r="K2274" s="26" t="s">
        <v>1518</v>
      </c>
      <c r="L2274" s="26">
        <v>1</v>
      </c>
      <c r="M2274" s="26">
        <v>1</v>
      </c>
      <c r="N2274" s="28">
        <v>1</v>
      </c>
      <c r="O2274" s="26">
        <v>0.55000000000000004</v>
      </c>
      <c r="P2274" s="26">
        <v>0.55000000000000004</v>
      </c>
      <c r="Q2274" s="26">
        <v>0</v>
      </c>
      <c r="R2274" s="26"/>
      <c r="S2274" s="26">
        <v>0</v>
      </c>
      <c r="T2274" s="26">
        <v>0</v>
      </c>
      <c r="U2274" s="26">
        <v>0</v>
      </c>
      <c r="V2274" s="28">
        <v>0</v>
      </c>
      <c r="W2274" s="26">
        <v>0</v>
      </c>
      <c r="X2274" s="26">
        <v>0</v>
      </c>
      <c r="Y2274" s="26">
        <v>0</v>
      </c>
      <c r="Z2274" s="26">
        <v>0</v>
      </c>
    </row>
    <row r="2275" spans="1:26" x14ac:dyDescent="0.2">
      <c r="A2275">
        <f t="shared" si="72"/>
        <v>5</v>
      </c>
      <c r="B2275">
        <f t="shared" si="73"/>
        <v>20</v>
      </c>
      <c r="C2275" s="27">
        <v>46153</v>
      </c>
      <c r="D2275" s="26" t="s">
        <v>26</v>
      </c>
      <c r="E2275" s="26" t="s">
        <v>27</v>
      </c>
      <c r="F2275" s="26" t="s">
        <v>28</v>
      </c>
      <c r="G2275" s="26" t="s">
        <v>29</v>
      </c>
      <c r="H2275" s="26" t="s">
        <v>30</v>
      </c>
      <c r="I2275" s="26" t="s">
        <v>31</v>
      </c>
      <c r="J2275" s="26" t="s">
        <v>32</v>
      </c>
      <c r="K2275" s="26" t="s">
        <v>1519</v>
      </c>
      <c r="L2275" s="26">
        <v>1</v>
      </c>
      <c r="M2275" s="26">
        <v>1</v>
      </c>
      <c r="N2275" s="28">
        <v>1</v>
      </c>
      <c r="O2275" s="26">
        <v>0.21</v>
      </c>
      <c r="P2275" s="26">
        <v>0.21</v>
      </c>
      <c r="Q2275" s="26">
        <v>0</v>
      </c>
      <c r="R2275" s="26"/>
      <c r="S2275" s="26">
        <v>0</v>
      </c>
      <c r="T2275" s="26">
        <v>0</v>
      </c>
      <c r="U2275" s="26">
        <v>0</v>
      </c>
      <c r="V2275" s="28">
        <v>0</v>
      </c>
      <c r="W2275" s="26">
        <v>0</v>
      </c>
      <c r="X2275" s="26">
        <v>0</v>
      </c>
      <c r="Y2275" s="26">
        <v>0</v>
      </c>
      <c r="Z2275" s="26">
        <v>0</v>
      </c>
    </row>
    <row r="2276" spans="1:26" x14ac:dyDescent="0.2">
      <c r="A2276">
        <f t="shared" si="72"/>
        <v>5</v>
      </c>
      <c r="B2276">
        <f t="shared" si="73"/>
        <v>20</v>
      </c>
      <c r="C2276" s="27">
        <v>46158</v>
      </c>
      <c r="D2276" s="26" t="s">
        <v>26</v>
      </c>
      <c r="E2276" s="26" t="s">
        <v>27</v>
      </c>
      <c r="F2276" s="26" t="s">
        <v>28</v>
      </c>
      <c r="G2276" s="26" t="s">
        <v>29</v>
      </c>
      <c r="H2276" s="26" t="s">
        <v>30</v>
      </c>
      <c r="I2276" s="26" t="s">
        <v>31</v>
      </c>
      <c r="J2276" s="26" t="s">
        <v>32</v>
      </c>
      <c r="K2276" s="26" t="s">
        <v>1520</v>
      </c>
      <c r="L2276" s="26">
        <v>3</v>
      </c>
      <c r="M2276" s="26">
        <v>1</v>
      </c>
      <c r="N2276" s="28">
        <v>0.33333299999999999</v>
      </c>
      <c r="O2276" s="26">
        <v>0.21</v>
      </c>
      <c r="P2276" s="26">
        <v>0.21</v>
      </c>
      <c r="Q2276" s="26">
        <v>0</v>
      </c>
      <c r="R2276" s="26"/>
      <c r="S2276" s="26">
        <v>0</v>
      </c>
      <c r="T2276" s="26">
        <v>0</v>
      </c>
      <c r="U2276" s="26">
        <v>0</v>
      </c>
      <c r="V2276" s="28">
        <v>0</v>
      </c>
      <c r="W2276" s="26">
        <v>0</v>
      </c>
      <c r="X2276" s="26">
        <v>0</v>
      </c>
      <c r="Y2276" s="26">
        <v>0</v>
      </c>
      <c r="Z2276" s="26">
        <v>0</v>
      </c>
    </row>
    <row r="2277" spans="1:26" x14ac:dyDescent="0.2">
      <c r="A2277">
        <f t="shared" si="72"/>
        <v>5</v>
      </c>
      <c r="B2277">
        <f t="shared" si="73"/>
        <v>19</v>
      </c>
      <c r="C2277" s="27">
        <v>46146</v>
      </c>
      <c r="D2277" s="26" t="s">
        <v>26</v>
      </c>
      <c r="E2277" s="26" t="s">
        <v>27</v>
      </c>
      <c r="F2277" s="26" t="s">
        <v>28</v>
      </c>
      <c r="G2277" s="26" t="s">
        <v>29</v>
      </c>
      <c r="H2277" s="26" t="s">
        <v>30</v>
      </c>
      <c r="I2277" s="26" t="s">
        <v>845</v>
      </c>
      <c r="J2277" s="26" t="s">
        <v>32</v>
      </c>
      <c r="K2277" s="26" t="s">
        <v>31</v>
      </c>
      <c r="L2277" s="26">
        <v>1</v>
      </c>
      <c r="M2277" s="26">
        <v>1</v>
      </c>
      <c r="N2277" s="28">
        <v>1</v>
      </c>
      <c r="O2277" s="26">
        <v>0.2</v>
      </c>
      <c r="P2277" s="26">
        <v>0.2</v>
      </c>
      <c r="Q2277" s="26">
        <v>0</v>
      </c>
      <c r="R2277" s="26"/>
      <c r="S2277" s="26">
        <v>0</v>
      </c>
      <c r="T2277" s="26">
        <v>0</v>
      </c>
      <c r="U2277" s="26">
        <v>0</v>
      </c>
      <c r="V2277" s="28">
        <v>0</v>
      </c>
      <c r="W2277" s="26">
        <v>0</v>
      </c>
      <c r="X2277" s="26">
        <v>0</v>
      </c>
      <c r="Y2277" s="26">
        <v>0</v>
      </c>
      <c r="Z2277" s="26">
        <v>0</v>
      </c>
    </row>
    <row r="2278" spans="1:26" x14ac:dyDescent="0.2">
      <c r="A2278">
        <f t="shared" si="72"/>
        <v>5</v>
      </c>
      <c r="B2278">
        <f t="shared" si="73"/>
        <v>18</v>
      </c>
      <c r="C2278" s="27">
        <v>46143</v>
      </c>
      <c r="D2278" s="26" t="s">
        <v>26</v>
      </c>
      <c r="E2278" s="26" t="s">
        <v>49</v>
      </c>
      <c r="F2278" s="26" t="s">
        <v>50</v>
      </c>
      <c r="G2278" s="26" t="s">
        <v>29</v>
      </c>
      <c r="H2278" s="26" t="s">
        <v>30</v>
      </c>
      <c r="I2278" s="26" t="s">
        <v>47</v>
      </c>
      <c r="J2278" s="26" t="s">
        <v>42</v>
      </c>
      <c r="K2278" s="26" t="s">
        <v>31</v>
      </c>
      <c r="L2278" s="26">
        <v>16</v>
      </c>
      <c r="M2278" s="26">
        <v>1</v>
      </c>
      <c r="N2278" s="28">
        <v>6.25E-2</v>
      </c>
      <c r="O2278" s="26">
        <v>1.1000000000000001</v>
      </c>
      <c r="P2278" s="26">
        <v>1.1000000000000001</v>
      </c>
      <c r="Q2278" s="26">
        <v>0</v>
      </c>
      <c r="R2278" s="26"/>
      <c r="S2278" s="26">
        <v>0</v>
      </c>
      <c r="T2278" s="26">
        <v>0</v>
      </c>
      <c r="U2278" s="26">
        <v>0</v>
      </c>
      <c r="V2278" s="28">
        <v>0</v>
      </c>
      <c r="W2278" s="26">
        <v>0</v>
      </c>
      <c r="X2278" s="26">
        <v>0</v>
      </c>
      <c r="Y2278" s="26">
        <v>0</v>
      </c>
      <c r="Z2278" s="26">
        <v>0</v>
      </c>
    </row>
    <row r="2279" spans="1:26" x14ac:dyDescent="0.2">
      <c r="A2279">
        <f t="shared" si="72"/>
        <v>5</v>
      </c>
      <c r="B2279">
        <f t="shared" si="73"/>
        <v>19</v>
      </c>
      <c r="C2279" s="27">
        <v>46146</v>
      </c>
      <c r="D2279" s="26" t="s">
        <v>26</v>
      </c>
      <c r="E2279" s="26" t="s">
        <v>27</v>
      </c>
      <c r="F2279" s="26" t="s">
        <v>28</v>
      </c>
      <c r="G2279" s="26" t="s">
        <v>29</v>
      </c>
      <c r="H2279" s="26" t="s">
        <v>30</v>
      </c>
      <c r="I2279" s="26" t="s">
        <v>31</v>
      </c>
      <c r="J2279" s="26" t="s">
        <v>32</v>
      </c>
      <c r="K2279" s="26" t="s">
        <v>31</v>
      </c>
      <c r="L2279" s="26">
        <v>7</v>
      </c>
      <c r="M2279" s="26">
        <v>1</v>
      </c>
      <c r="N2279" s="28">
        <v>0.14285700000000001</v>
      </c>
      <c r="O2279" s="26">
        <v>0.21</v>
      </c>
      <c r="P2279" s="26">
        <v>0.21</v>
      </c>
      <c r="Q2279" s="26">
        <v>0</v>
      </c>
      <c r="R2279" s="26"/>
      <c r="S2279" s="26">
        <v>0</v>
      </c>
      <c r="T2279" s="26">
        <v>0</v>
      </c>
      <c r="U2279" s="26">
        <v>0</v>
      </c>
      <c r="V2279" s="28">
        <v>0</v>
      </c>
      <c r="W2279" s="26">
        <v>0</v>
      </c>
      <c r="X2279" s="26">
        <v>0</v>
      </c>
      <c r="Y2279" s="26">
        <v>0</v>
      </c>
      <c r="Z2279" s="26">
        <v>0</v>
      </c>
    </row>
    <row r="2280" spans="1:26" x14ac:dyDescent="0.2">
      <c r="A2280">
        <f t="shared" si="72"/>
        <v>5</v>
      </c>
      <c r="B2280">
        <f t="shared" si="73"/>
        <v>19</v>
      </c>
      <c r="C2280" s="27">
        <v>46149</v>
      </c>
      <c r="D2280" s="26" t="s">
        <v>26</v>
      </c>
      <c r="E2280" s="26" t="s">
        <v>27</v>
      </c>
      <c r="F2280" s="26" t="s">
        <v>28</v>
      </c>
      <c r="G2280" s="26" t="s">
        <v>29</v>
      </c>
      <c r="H2280" s="26" t="s">
        <v>30</v>
      </c>
      <c r="I2280" s="26" t="s">
        <v>31</v>
      </c>
      <c r="J2280" s="26" t="s">
        <v>32</v>
      </c>
      <c r="K2280" s="26" t="s">
        <v>31</v>
      </c>
      <c r="L2280" s="26">
        <v>4</v>
      </c>
      <c r="M2280" s="26">
        <v>1</v>
      </c>
      <c r="N2280" s="28">
        <v>0.25</v>
      </c>
      <c r="O2280" s="26">
        <v>0.21</v>
      </c>
      <c r="P2280" s="26">
        <v>0.21</v>
      </c>
      <c r="Q2280" s="26">
        <v>0</v>
      </c>
      <c r="R2280" s="26"/>
      <c r="S2280" s="26">
        <v>0</v>
      </c>
      <c r="T2280" s="26">
        <v>0</v>
      </c>
      <c r="U2280" s="26">
        <v>0</v>
      </c>
      <c r="V2280" s="28">
        <v>0</v>
      </c>
      <c r="W2280" s="26">
        <v>0</v>
      </c>
      <c r="X2280" s="26">
        <v>0</v>
      </c>
      <c r="Y2280" s="26">
        <v>0</v>
      </c>
      <c r="Z2280" s="26">
        <v>0</v>
      </c>
    </row>
    <row r="2281" spans="1:26" x14ac:dyDescent="0.2">
      <c r="A2281">
        <f t="shared" si="72"/>
        <v>5</v>
      </c>
      <c r="B2281">
        <f t="shared" si="73"/>
        <v>20</v>
      </c>
      <c r="C2281" s="27">
        <v>46152</v>
      </c>
      <c r="D2281" s="26" t="s">
        <v>26</v>
      </c>
      <c r="E2281" s="26" t="s">
        <v>27</v>
      </c>
      <c r="F2281" s="26" t="s">
        <v>28</v>
      </c>
      <c r="G2281" s="26" t="s">
        <v>29</v>
      </c>
      <c r="H2281" s="26" t="s">
        <v>30</v>
      </c>
      <c r="I2281" s="26" t="s">
        <v>31</v>
      </c>
      <c r="J2281" s="26" t="s">
        <v>32</v>
      </c>
      <c r="K2281" s="26" t="s">
        <v>31</v>
      </c>
      <c r="L2281" s="26">
        <v>14</v>
      </c>
      <c r="M2281" s="26">
        <v>1</v>
      </c>
      <c r="N2281" s="28">
        <v>7.1429000000000006E-2</v>
      </c>
      <c r="O2281" s="26">
        <v>0.21</v>
      </c>
      <c r="P2281" s="26">
        <v>0.21</v>
      </c>
      <c r="Q2281" s="26">
        <v>0</v>
      </c>
      <c r="R2281" s="26"/>
      <c r="S2281" s="26">
        <v>0</v>
      </c>
      <c r="T2281" s="26">
        <v>0</v>
      </c>
      <c r="U2281" s="26">
        <v>0</v>
      </c>
      <c r="V2281" s="28">
        <v>0</v>
      </c>
      <c r="W2281" s="26">
        <v>0</v>
      </c>
      <c r="X2281" s="26">
        <v>0</v>
      </c>
      <c r="Y2281" s="26">
        <v>0</v>
      </c>
      <c r="Z2281" s="26">
        <v>0</v>
      </c>
    </row>
    <row r="2282" spans="1:26" x14ac:dyDescent="0.2">
      <c r="A2282">
        <f t="shared" si="72"/>
        <v>5</v>
      </c>
      <c r="B2282">
        <f t="shared" si="73"/>
        <v>20</v>
      </c>
      <c r="C2282" s="27">
        <v>46158</v>
      </c>
      <c r="D2282" s="26" t="s">
        <v>26</v>
      </c>
      <c r="E2282" s="26" t="s">
        <v>27</v>
      </c>
      <c r="F2282" s="26" t="s">
        <v>28</v>
      </c>
      <c r="G2282" s="26" t="s">
        <v>29</v>
      </c>
      <c r="H2282" s="26" t="s">
        <v>30</v>
      </c>
      <c r="I2282" s="26" t="s">
        <v>31</v>
      </c>
      <c r="J2282" s="26" t="s">
        <v>32</v>
      </c>
      <c r="K2282" s="26" t="s">
        <v>31</v>
      </c>
      <c r="L2282" s="26">
        <v>1</v>
      </c>
      <c r="M2282" s="26">
        <v>1</v>
      </c>
      <c r="N2282" s="28">
        <v>1</v>
      </c>
      <c r="O2282" s="26">
        <v>0.21</v>
      </c>
      <c r="P2282" s="26">
        <v>0.21</v>
      </c>
      <c r="Q2282" s="26">
        <v>0</v>
      </c>
      <c r="R2282" s="26"/>
      <c r="S2282" s="26">
        <v>0</v>
      </c>
      <c r="T2282" s="26">
        <v>0</v>
      </c>
      <c r="U2282" s="26">
        <v>0</v>
      </c>
      <c r="V2282" s="28">
        <v>0</v>
      </c>
      <c r="W2282" s="26">
        <v>0</v>
      </c>
      <c r="X2282" s="26">
        <v>0</v>
      </c>
      <c r="Y2282" s="26">
        <v>0</v>
      </c>
      <c r="Z2282" s="26">
        <v>0</v>
      </c>
    </row>
    <row r="2283" spans="1:26" x14ac:dyDescent="0.2">
      <c r="A2283">
        <f t="shared" si="72"/>
        <v>5</v>
      </c>
      <c r="B2283">
        <f t="shared" si="73"/>
        <v>18</v>
      </c>
      <c r="C2283" s="27">
        <v>46144</v>
      </c>
      <c r="D2283" s="26" t="s">
        <v>26</v>
      </c>
      <c r="E2283" s="26" t="s">
        <v>27</v>
      </c>
      <c r="F2283" s="26" t="s">
        <v>124</v>
      </c>
      <c r="G2283" s="26" t="s">
        <v>29</v>
      </c>
      <c r="H2283" s="26" t="s">
        <v>30</v>
      </c>
      <c r="I2283" s="26" t="s">
        <v>31</v>
      </c>
      <c r="J2283" s="26" t="s">
        <v>87</v>
      </c>
      <c r="K2283" s="26" t="s">
        <v>31</v>
      </c>
      <c r="L2283" s="26">
        <v>57</v>
      </c>
      <c r="M2283" s="26">
        <v>1</v>
      </c>
      <c r="N2283" s="28">
        <v>1.7544000000000001E-2</v>
      </c>
      <c r="O2283" s="26">
        <v>0.2</v>
      </c>
      <c r="P2283" s="26">
        <v>0.2</v>
      </c>
      <c r="Q2283" s="26">
        <v>0</v>
      </c>
      <c r="R2283" s="26"/>
      <c r="S2283" s="26">
        <v>0</v>
      </c>
      <c r="T2283" s="26">
        <v>0</v>
      </c>
      <c r="U2283" s="26">
        <v>0</v>
      </c>
      <c r="V2283" s="28">
        <v>0</v>
      </c>
      <c r="W2283" s="26">
        <v>0</v>
      </c>
      <c r="X2283" s="26">
        <v>0</v>
      </c>
      <c r="Y2283" s="26">
        <v>0</v>
      </c>
      <c r="Z2283" s="26">
        <v>0</v>
      </c>
    </row>
    <row r="2284" spans="1:26" x14ac:dyDescent="0.2">
      <c r="A2284">
        <f t="shared" si="72"/>
        <v>5</v>
      </c>
      <c r="B2284">
        <f t="shared" si="73"/>
        <v>19</v>
      </c>
      <c r="C2284" s="27">
        <v>46147</v>
      </c>
      <c r="D2284" s="26" t="s">
        <v>26</v>
      </c>
      <c r="E2284" s="26" t="s">
        <v>27</v>
      </c>
      <c r="F2284" s="26" t="s">
        <v>124</v>
      </c>
      <c r="G2284" s="26" t="s">
        <v>29</v>
      </c>
      <c r="H2284" s="26" t="s">
        <v>30</v>
      </c>
      <c r="I2284" s="26" t="s">
        <v>31</v>
      </c>
      <c r="J2284" s="26" t="s">
        <v>87</v>
      </c>
      <c r="K2284" s="26" t="s">
        <v>31</v>
      </c>
      <c r="L2284" s="26">
        <v>65</v>
      </c>
      <c r="M2284" s="26">
        <v>3</v>
      </c>
      <c r="N2284" s="28">
        <v>4.6154000000000001E-2</v>
      </c>
      <c r="O2284" s="26">
        <v>0.2</v>
      </c>
      <c r="P2284" s="26">
        <v>0.6</v>
      </c>
      <c r="Q2284" s="26">
        <v>0</v>
      </c>
      <c r="R2284" s="26"/>
      <c r="S2284" s="26">
        <v>0</v>
      </c>
      <c r="T2284" s="26">
        <v>0</v>
      </c>
      <c r="U2284" s="26">
        <v>0</v>
      </c>
      <c r="V2284" s="28">
        <v>0</v>
      </c>
      <c r="W2284" s="26">
        <v>0</v>
      </c>
      <c r="X2284" s="26">
        <v>0</v>
      </c>
      <c r="Y2284" s="26">
        <v>0</v>
      </c>
      <c r="Z2284" s="26">
        <v>0</v>
      </c>
    </row>
    <row r="2285" spans="1:26" x14ac:dyDescent="0.2">
      <c r="A2285">
        <f t="shared" si="72"/>
        <v>5</v>
      </c>
      <c r="B2285">
        <f t="shared" si="73"/>
        <v>19</v>
      </c>
      <c r="C2285" s="27">
        <v>46149</v>
      </c>
      <c r="D2285" s="26" t="s">
        <v>26</v>
      </c>
      <c r="E2285" s="26" t="s">
        <v>27</v>
      </c>
      <c r="F2285" s="26" t="s">
        <v>124</v>
      </c>
      <c r="G2285" s="26" t="s">
        <v>29</v>
      </c>
      <c r="H2285" s="26" t="s">
        <v>30</v>
      </c>
      <c r="I2285" s="26" t="s">
        <v>31</v>
      </c>
      <c r="J2285" s="26" t="s">
        <v>87</v>
      </c>
      <c r="K2285" s="26" t="s">
        <v>31</v>
      </c>
      <c r="L2285" s="26">
        <v>35</v>
      </c>
      <c r="M2285" s="26">
        <v>1</v>
      </c>
      <c r="N2285" s="28">
        <v>2.8570999999999999E-2</v>
      </c>
      <c r="O2285" s="26">
        <v>0.2</v>
      </c>
      <c r="P2285" s="26">
        <v>0.2</v>
      </c>
      <c r="Q2285" s="26">
        <v>0</v>
      </c>
      <c r="R2285" s="26"/>
      <c r="S2285" s="26">
        <v>0</v>
      </c>
      <c r="T2285" s="26">
        <v>0</v>
      </c>
      <c r="U2285" s="26">
        <v>0</v>
      </c>
      <c r="V2285" s="28">
        <v>0</v>
      </c>
      <c r="W2285" s="26">
        <v>0</v>
      </c>
      <c r="X2285" s="26">
        <v>0</v>
      </c>
      <c r="Y2285" s="26">
        <v>0</v>
      </c>
      <c r="Z2285" s="26">
        <v>0</v>
      </c>
    </row>
    <row r="2286" spans="1:26" x14ac:dyDescent="0.2">
      <c r="A2286">
        <f t="shared" si="72"/>
        <v>5</v>
      </c>
      <c r="B2286">
        <f t="shared" si="73"/>
        <v>20</v>
      </c>
      <c r="C2286" s="27">
        <v>46155</v>
      </c>
      <c r="D2286" s="26" t="s">
        <v>26</v>
      </c>
      <c r="E2286" s="26" t="s">
        <v>27</v>
      </c>
      <c r="F2286" s="26" t="s">
        <v>124</v>
      </c>
      <c r="G2286" s="26" t="s">
        <v>29</v>
      </c>
      <c r="H2286" s="26" t="s">
        <v>30</v>
      </c>
      <c r="I2286" s="26" t="s">
        <v>31</v>
      </c>
      <c r="J2286" s="26" t="s">
        <v>87</v>
      </c>
      <c r="K2286" s="26" t="s">
        <v>31</v>
      </c>
      <c r="L2286" s="26">
        <v>312</v>
      </c>
      <c r="M2286" s="26">
        <v>1</v>
      </c>
      <c r="N2286" s="28">
        <v>3.2049999999999999E-3</v>
      </c>
      <c r="O2286" s="26">
        <v>0.2</v>
      </c>
      <c r="P2286" s="26">
        <v>0.2</v>
      </c>
      <c r="Q2286" s="26">
        <v>0</v>
      </c>
      <c r="R2286" s="26"/>
      <c r="S2286" s="26">
        <v>0</v>
      </c>
      <c r="T2286" s="26">
        <v>0</v>
      </c>
      <c r="U2286" s="26">
        <v>0</v>
      </c>
      <c r="V2286" s="28">
        <v>0</v>
      </c>
      <c r="W2286" s="26">
        <v>0</v>
      </c>
      <c r="X2286" s="26">
        <v>0</v>
      </c>
      <c r="Y2286" s="26">
        <v>0</v>
      </c>
      <c r="Z2286" s="26">
        <v>0</v>
      </c>
    </row>
    <row r="2287" spans="1:26" x14ac:dyDescent="0.2">
      <c r="A2287">
        <f t="shared" si="72"/>
        <v>5</v>
      </c>
      <c r="B2287">
        <f t="shared" si="73"/>
        <v>20</v>
      </c>
      <c r="C2287" s="27">
        <v>46158</v>
      </c>
      <c r="D2287" s="26" t="s">
        <v>26</v>
      </c>
      <c r="E2287" s="26" t="s">
        <v>27</v>
      </c>
      <c r="F2287" s="26" t="s">
        <v>124</v>
      </c>
      <c r="G2287" s="26" t="s">
        <v>29</v>
      </c>
      <c r="H2287" s="26" t="s">
        <v>30</v>
      </c>
      <c r="I2287" s="26" t="s">
        <v>31</v>
      </c>
      <c r="J2287" s="26" t="s">
        <v>87</v>
      </c>
      <c r="K2287" s="26" t="s">
        <v>31</v>
      </c>
      <c r="L2287" s="26">
        <v>734</v>
      </c>
      <c r="M2287" s="26">
        <v>3</v>
      </c>
      <c r="N2287" s="28">
        <v>4.0870000000000004E-3</v>
      </c>
      <c r="O2287" s="26">
        <v>0.2</v>
      </c>
      <c r="P2287" s="26">
        <v>0.6</v>
      </c>
      <c r="Q2287" s="26">
        <v>0</v>
      </c>
      <c r="R2287" s="26"/>
      <c r="S2287" s="26">
        <v>0</v>
      </c>
      <c r="T2287" s="26">
        <v>0</v>
      </c>
      <c r="U2287" s="26">
        <v>0</v>
      </c>
      <c r="V2287" s="28">
        <v>0</v>
      </c>
      <c r="W2287" s="26">
        <v>0</v>
      </c>
      <c r="X2287" s="26">
        <v>0</v>
      </c>
      <c r="Y2287" s="26">
        <v>0</v>
      </c>
      <c r="Z2287" s="26">
        <v>0</v>
      </c>
    </row>
    <row r="2288" spans="1:26" x14ac:dyDescent="0.2">
      <c r="A2288">
        <f t="shared" si="72"/>
        <v>5</v>
      </c>
      <c r="B2288">
        <f t="shared" si="73"/>
        <v>21</v>
      </c>
      <c r="C2288" s="27">
        <v>46162</v>
      </c>
      <c r="D2288" s="26" t="s">
        <v>26</v>
      </c>
      <c r="E2288" s="26" t="s">
        <v>27</v>
      </c>
      <c r="F2288" s="26" t="s">
        <v>124</v>
      </c>
      <c r="G2288" s="26" t="s">
        <v>29</v>
      </c>
      <c r="H2288" s="26" t="s">
        <v>30</v>
      </c>
      <c r="I2288" s="26" t="s">
        <v>31</v>
      </c>
      <c r="J2288" s="26" t="s">
        <v>87</v>
      </c>
      <c r="K2288" s="26" t="s">
        <v>31</v>
      </c>
      <c r="L2288" s="26">
        <v>762</v>
      </c>
      <c r="M2288" s="26">
        <v>1</v>
      </c>
      <c r="N2288" s="28">
        <v>1.312E-3</v>
      </c>
      <c r="O2288" s="26">
        <v>0.2</v>
      </c>
      <c r="P2288" s="26">
        <v>0.2</v>
      </c>
      <c r="Q2288" s="26">
        <v>0</v>
      </c>
      <c r="R2288" s="26"/>
      <c r="S2288" s="26">
        <v>0</v>
      </c>
      <c r="T2288" s="26">
        <v>0</v>
      </c>
      <c r="U2288" s="26">
        <v>0</v>
      </c>
      <c r="V2288" s="28">
        <v>0</v>
      </c>
      <c r="W2288" s="26">
        <v>0</v>
      </c>
      <c r="X2288" s="26">
        <v>0</v>
      </c>
      <c r="Y2288" s="26">
        <v>0</v>
      </c>
      <c r="Z2288" s="26">
        <v>0</v>
      </c>
    </row>
    <row r="2289" spans="1:26" x14ac:dyDescent="0.2">
      <c r="A2289">
        <f t="shared" si="72"/>
        <v>5</v>
      </c>
      <c r="B2289">
        <f t="shared" si="73"/>
        <v>18</v>
      </c>
      <c r="C2289" s="27">
        <v>46144</v>
      </c>
      <c r="D2289" s="26" t="s">
        <v>26</v>
      </c>
      <c r="E2289" s="26" t="s">
        <v>27</v>
      </c>
      <c r="F2289" s="26" t="s">
        <v>28</v>
      </c>
      <c r="G2289" s="26" t="s">
        <v>29</v>
      </c>
      <c r="H2289" s="26" t="s">
        <v>30</v>
      </c>
      <c r="I2289" s="26" t="s">
        <v>156</v>
      </c>
      <c r="J2289" s="26" t="s">
        <v>32</v>
      </c>
      <c r="K2289" s="26" t="s">
        <v>31</v>
      </c>
      <c r="L2289" s="26">
        <v>4</v>
      </c>
      <c r="M2289" s="26">
        <v>1</v>
      </c>
      <c r="N2289" s="28">
        <v>0.25</v>
      </c>
      <c r="O2289" s="26">
        <v>0.21</v>
      </c>
      <c r="P2289" s="26">
        <v>0.21</v>
      </c>
      <c r="Q2289" s="26">
        <v>0</v>
      </c>
      <c r="R2289" s="26"/>
      <c r="S2289" s="26">
        <v>0</v>
      </c>
      <c r="T2289" s="26">
        <v>0</v>
      </c>
      <c r="U2289" s="26">
        <v>0</v>
      </c>
      <c r="V2289" s="28">
        <v>0</v>
      </c>
      <c r="W2289" s="26">
        <v>0</v>
      </c>
      <c r="X2289" s="26">
        <v>0</v>
      </c>
      <c r="Y2289" s="26">
        <v>0</v>
      </c>
      <c r="Z2289" s="26">
        <v>0</v>
      </c>
    </row>
    <row r="2290" spans="1:26" x14ac:dyDescent="0.2">
      <c r="A2290">
        <f t="shared" si="72"/>
        <v>5</v>
      </c>
      <c r="B2290">
        <f t="shared" si="73"/>
        <v>20</v>
      </c>
      <c r="C2290" s="27">
        <v>46155</v>
      </c>
      <c r="D2290" s="26" t="s">
        <v>26</v>
      </c>
      <c r="E2290" s="26" t="s">
        <v>27</v>
      </c>
      <c r="F2290" s="26" t="s">
        <v>28</v>
      </c>
      <c r="G2290" s="26" t="s">
        <v>29</v>
      </c>
      <c r="H2290" s="26" t="s">
        <v>30</v>
      </c>
      <c r="I2290" s="26" t="s">
        <v>156</v>
      </c>
      <c r="J2290" s="26" t="s">
        <v>32</v>
      </c>
      <c r="K2290" s="26" t="s">
        <v>31</v>
      </c>
      <c r="L2290" s="26">
        <v>4</v>
      </c>
      <c r="M2290" s="26">
        <v>1</v>
      </c>
      <c r="N2290" s="28">
        <v>0.25</v>
      </c>
      <c r="O2290" s="26">
        <v>0.2</v>
      </c>
      <c r="P2290" s="26">
        <v>0.2</v>
      </c>
      <c r="Q2290" s="26">
        <v>0</v>
      </c>
      <c r="R2290" s="26"/>
      <c r="S2290" s="26">
        <v>0</v>
      </c>
      <c r="T2290" s="26">
        <v>0</v>
      </c>
      <c r="U2290" s="26">
        <v>0</v>
      </c>
      <c r="V2290" s="28">
        <v>0</v>
      </c>
      <c r="W2290" s="26">
        <v>0</v>
      </c>
      <c r="X2290" s="26">
        <v>0</v>
      </c>
      <c r="Y2290" s="26">
        <v>0</v>
      </c>
      <c r="Z2290" s="26">
        <v>0</v>
      </c>
    </row>
    <row r="2291" spans="1:26" x14ac:dyDescent="0.2">
      <c r="A2291">
        <f t="shared" si="72"/>
        <v>5</v>
      </c>
      <c r="B2291">
        <f t="shared" si="73"/>
        <v>19</v>
      </c>
      <c r="C2291" s="27">
        <v>46146</v>
      </c>
      <c r="D2291" s="26" t="s">
        <v>26</v>
      </c>
      <c r="E2291" s="26" t="s">
        <v>49</v>
      </c>
      <c r="F2291" s="26" t="s">
        <v>50</v>
      </c>
      <c r="G2291" s="26" t="s">
        <v>29</v>
      </c>
      <c r="H2291" s="26" t="s">
        <v>30</v>
      </c>
      <c r="I2291" s="26" t="s">
        <v>47</v>
      </c>
      <c r="J2291" s="26" t="s">
        <v>42</v>
      </c>
      <c r="K2291" s="26" t="s">
        <v>272</v>
      </c>
      <c r="L2291" s="26">
        <v>26</v>
      </c>
      <c r="M2291" s="26">
        <v>1</v>
      </c>
      <c r="N2291" s="28">
        <v>3.8462000000000003E-2</v>
      </c>
      <c r="O2291" s="26">
        <v>1.1200000000000001</v>
      </c>
      <c r="P2291" s="26">
        <v>1.1200000000000001</v>
      </c>
      <c r="Q2291" s="26">
        <v>0</v>
      </c>
      <c r="R2291" s="26"/>
      <c r="S2291" s="26">
        <v>0</v>
      </c>
      <c r="T2291" s="26">
        <v>0</v>
      </c>
      <c r="U2291" s="26">
        <v>0</v>
      </c>
      <c r="V2291" s="28">
        <v>0</v>
      </c>
      <c r="W2291" s="26">
        <v>0</v>
      </c>
      <c r="X2291" s="26">
        <v>0</v>
      </c>
      <c r="Y2291" s="26">
        <v>0</v>
      </c>
      <c r="Z2291" s="26">
        <v>0</v>
      </c>
    </row>
    <row r="2292" spans="1:26" x14ac:dyDescent="0.2">
      <c r="A2292">
        <f t="shared" si="72"/>
        <v>5</v>
      </c>
      <c r="B2292">
        <f t="shared" si="73"/>
        <v>19</v>
      </c>
      <c r="C2292" s="27">
        <v>46148</v>
      </c>
      <c r="D2292" s="26" t="s">
        <v>26</v>
      </c>
      <c r="E2292" s="26" t="s">
        <v>27</v>
      </c>
      <c r="F2292" s="26" t="s">
        <v>124</v>
      </c>
      <c r="G2292" s="26" t="s">
        <v>29</v>
      </c>
      <c r="H2292" s="26" t="s">
        <v>30</v>
      </c>
      <c r="I2292" s="26" t="s">
        <v>272</v>
      </c>
      <c r="J2292" s="26" t="s">
        <v>87</v>
      </c>
      <c r="K2292" s="26" t="s">
        <v>272</v>
      </c>
      <c r="L2292" s="26">
        <v>12</v>
      </c>
      <c r="M2292" s="26">
        <v>2</v>
      </c>
      <c r="N2292" s="28">
        <v>0.16666700000000001</v>
      </c>
      <c r="O2292" s="26">
        <v>0.2</v>
      </c>
      <c r="P2292" s="26">
        <v>0.4</v>
      </c>
      <c r="Q2292" s="26">
        <v>17.47</v>
      </c>
      <c r="R2292" s="28">
        <v>2.2896E-2</v>
      </c>
      <c r="S2292" s="26">
        <v>43.68</v>
      </c>
      <c r="T2292" s="26">
        <v>1</v>
      </c>
      <c r="U2292" s="26">
        <v>1</v>
      </c>
      <c r="V2292" s="28">
        <v>0.5</v>
      </c>
      <c r="W2292" s="26">
        <v>1</v>
      </c>
      <c r="X2292" s="26">
        <v>0</v>
      </c>
      <c r="Y2292" s="26">
        <v>17.47</v>
      </c>
      <c r="Z2292" s="26">
        <v>0</v>
      </c>
    </row>
    <row r="2293" spans="1:26" x14ac:dyDescent="0.2">
      <c r="A2293">
        <f t="shared" si="72"/>
        <v>5</v>
      </c>
      <c r="B2293">
        <f t="shared" si="73"/>
        <v>20</v>
      </c>
      <c r="C2293" s="27">
        <v>46152</v>
      </c>
      <c r="D2293" s="26" t="s">
        <v>26</v>
      </c>
      <c r="E2293" s="26" t="s">
        <v>27</v>
      </c>
      <c r="F2293" s="26" t="s">
        <v>124</v>
      </c>
      <c r="G2293" s="26" t="s">
        <v>29</v>
      </c>
      <c r="H2293" s="26" t="s">
        <v>30</v>
      </c>
      <c r="I2293" s="26" t="s">
        <v>272</v>
      </c>
      <c r="J2293" s="26" t="s">
        <v>87</v>
      </c>
      <c r="K2293" s="26" t="s">
        <v>272</v>
      </c>
      <c r="L2293" s="26">
        <v>15</v>
      </c>
      <c r="M2293" s="26">
        <v>1</v>
      </c>
      <c r="N2293" s="28">
        <v>6.6667000000000004E-2</v>
      </c>
      <c r="O2293" s="26">
        <v>0.2</v>
      </c>
      <c r="P2293" s="26">
        <v>0.2</v>
      </c>
      <c r="Q2293" s="26">
        <v>0</v>
      </c>
      <c r="R2293" s="26"/>
      <c r="S2293" s="26">
        <v>0</v>
      </c>
      <c r="T2293" s="26">
        <v>0</v>
      </c>
      <c r="U2293" s="26">
        <v>0</v>
      </c>
      <c r="V2293" s="28">
        <v>0</v>
      </c>
      <c r="W2293" s="26">
        <v>0</v>
      </c>
      <c r="X2293" s="26">
        <v>0</v>
      </c>
      <c r="Y2293" s="26">
        <v>0</v>
      </c>
      <c r="Z2293" s="26">
        <v>0</v>
      </c>
    </row>
    <row r="2294" spans="1:26" x14ac:dyDescent="0.2">
      <c r="A2294">
        <f t="shared" si="72"/>
        <v>5</v>
      </c>
      <c r="B2294">
        <f t="shared" si="73"/>
        <v>20</v>
      </c>
      <c r="C2294" s="27">
        <v>46154</v>
      </c>
      <c r="D2294" s="26" t="s">
        <v>26</v>
      </c>
      <c r="E2294" s="26" t="s">
        <v>27</v>
      </c>
      <c r="F2294" s="26" t="s">
        <v>124</v>
      </c>
      <c r="G2294" s="26" t="s">
        <v>29</v>
      </c>
      <c r="H2294" s="26" t="s">
        <v>30</v>
      </c>
      <c r="I2294" s="26" t="s">
        <v>272</v>
      </c>
      <c r="J2294" s="26" t="s">
        <v>87</v>
      </c>
      <c r="K2294" s="26" t="s">
        <v>272</v>
      </c>
      <c r="L2294" s="26">
        <v>50</v>
      </c>
      <c r="M2294" s="26">
        <v>1</v>
      </c>
      <c r="N2294" s="28">
        <v>0.02</v>
      </c>
      <c r="O2294" s="26">
        <v>0.2</v>
      </c>
      <c r="P2294" s="26">
        <v>0.2</v>
      </c>
      <c r="Q2294" s="26">
        <v>18.989999999999998</v>
      </c>
      <c r="R2294" s="28">
        <v>1.0532E-2</v>
      </c>
      <c r="S2294" s="26">
        <v>94.95</v>
      </c>
      <c r="T2294" s="26">
        <v>1</v>
      </c>
      <c r="U2294" s="26">
        <v>1</v>
      </c>
      <c r="V2294" s="28">
        <v>1</v>
      </c>
      <c r="W2294" s="26">
        <v>1</v>
      </c>
      <c r="X2294" s="26">
        <v>0</v>
      </c>
      <c r="Y2294" s="26">
        <v>18.989999999999998</v>
      </c>
      <c r="Z2294" s="26">
        <v>0</v>
      </c>
    </row>
    <row r="2295" spans="1:26" x14ac:dyDescent="0.2">
      <c r="A2295">
        <f t="shared" si="72"/>
        <v>5</v>
      </c>
      <c r="B2295">
        <f t="shared" si="73"/>
        <v>20</v>
      </c>
      <c r="C2295" s="27">
        <v>46157</v>
      </c>
      <c r="D2295" s="26" t="s">
        <v>26</v>
      </c>
      <c r="E2295" s="26" t="s">
        <v>27</v>
      </c>
      <c r="F2295" s="26" t="s">
        <v>124</v>
      </c>
      <c r="G2295" s="26" t="s">
        <v>29</v>
      </c>
      <c r="H2295" s="26" t="s">
        <v>30</v>
      </c>
      <c r="I2295" s="26" t="s">
        <v>272</v>
      </c>
      <c r="J2295" s="26" t="s">
        <v>87</v>
      </c>
      <c r="K2295" s="26" t="s">
        <v>272</v>
      </c>
      <c r="L2295" s="26">
        <v>430</v>
      </c>
      <c r="M2295" s="26">
        <v>1</v>
      </c>
      <c r="N2295" s="28">
        <v>2.3259999999999999E-3</v>
      </c>
      <c r="O2295" s="26">
        <v>0.2</v>
      </c>
      <c r="P2295" s="26">
        <v>0.2</v>
      </c>
      <c r="Q2295" s="26">
        <v>17.09</v>
      </c>
      <c r="R2295" s="28">
        <v>1.1703E-2</v>
      </c>
      <c r="S2295" s="26">
        <v>85.45</v>
      </c>
      <c r="T2295" s="26">
        <v>1</v>
      </c>
      <c r="U2295" s="26">
        <v>1</v>
      </c>
      <c r="V2295" s="28">
        <v>1</v>
      </c>
      <c r="W2295" s="26">
        <v>1</v>
      </c>
      <c r="X2295" s="26">
        <v>0</v>
      </c>
      <c r="Y2295" s="26">
        <v>17.09</v>
      </c>
      <c r="Z2295" s="26">
        <v>0</v>
      </c>
    </row>
    <row r="2296" spans="1:26" x14ac:dyDescent="0.2">
      <c r="A2296">
        <f t="shared" si="72"/>
        <v>5</v>
      </c>
      <c r="B2296">
        <f t="shared" si="73"/>
        <v>19</v>
      </c>
      <c r="C2296" s="27">
        <v>46146</v>
      </c>
      <c r="D2296" s="26" t="s">
        <v>26</v>
      </c>
      <c r="E2296" s="26" t="s">
        <v>27</v>
      </c>
      <c r="F2296" s="26" t="s">
        <v>28</v>
      </c>
      <c r="G2296" s="26" t="s">
        <v>29</v>
      </c>
      <c r="H2296" s="26" t="s">
        <v>30</v>
      </c>
      <c r="I2296" s="26" t="s">
        <v>50</v>
      </c>
      <c r="J2296" s="26" t="s">
        <v>32</v>
      </c>
      <c r="K2296" s="26" t="s">
        <v>1521</v>
      </c>
      <c r="L2296" s="26">
        <v>1</v>
      </c>
      <c r="M2296" s="26">
        <v>1</v>
      </c>
      <c r="N2296" s="28">
        <v>1</v>
      </c>
      <c r="O2296" s="26">
        <v>0.4</v>
      </c>
      <c r="P2296" s="26">
        <v>0.4</v>
      </c>
      <c r="Q2296" s="26">
        <v>0</v>
      </c>
      <c r="R2296" s="26"/>
      <c r="S2296" s="26">
        <v>0</v>
      </c>
      <c r="T2296" s="26">
        <v>0</v>
      </c>
      <c r="U2296" s="26">
        <v>0</v>
      </c>
      <c r="V2296" s="28">
        <v>0</v>
      </c>
      <c r="W2296" s="26">
        <v>0</v>
      </c>
      <c r="X2296" s="26">
        <v>0</v>
      </c>
      <c r="Y2296" s="26">
        <v>0</v>
      </c>
      <c r="Z2296" s="26">
        <v>0</v>
      </c>
    </row>
    <row r="2297" spans="1:26" x14ac:dyDescent="0.2">
      <c r="A2297">
        <f t="shared" si="72"/>
        <v>5</v>
      </c>
      <c r="B2297">
        <f t="shared" si="73"/>
        <v>20</v>
      </c>
      <c r="C2297" s="27">
        <v>46158</v>
      </c>
      <c r="D2297" s="26" t="s">
        <v>26</v>
      </c>
      <c r="E2297" s="26" t="s">
        <v>27</v>
      </c>
      <c r="F2297" s="26" t="s">
        <v>28</v>
      </c>
      <c r="G2297" s="26" t="s">
        <v>29</v>
      </c>
      <c r="H2297" s="26" t="s">
        <v>30</v>
      </c>
      <c r="I2297" s="26" t="s">
        <v>31</v>
      </c>
      <c r="J2297" s="26" t="s">
        <v>32</v>
      </c>
      <c r="K2297" s="26" t="s">
        <v>1522</v>
      </c>
      <c r="L2297" s="26">
        <v>1</v>
      </c>
      <c r="M2297" s="26">
        <v>1</v>
      </c>
      <c r="N2297" s="28">
        <v>1</v>
      </c>
      <c r="O2297" s="26">
        <v>0.4</v>
      </c>
      <c r="P2297" s="26">
        <v>0.4</v>
      </c>
      <c r="Q2297" s="26">
        <v>0</v>
      </c>
      <c r="R2297" s="26"/>
      <c r="S2297" s="26">
        <v>0</v>
      </c>
      <c r="T2297" s="26">
        <v>0</v>
      </c>
      <c r="U2297" s="26">
        <v>0</v>
      </c>
      <c r="V2297" s="28">
        <v>0</v>
      </c>
      <c r="W2297" s="26">
        <v>0</v>
      </c>
      <c r="X2297" s="26">
        <v>0</v>
      </c>
      <c r="Y2297" s="26">
        <v>0</v>
      </c>
      <c r="Z2297" s="26">
        <v>0</v>
      </c>
    </row>
    <row r="2298" spans="1:26" x14ac:dyDescent="0.2">
      <c r="A2298">
        <f t="shared" si="72"/>
        <v>5</v>
      </c>
      <c r="B2298">
        <f t="shared" si="73"/>
        <v>20</v>
      </c>
      <c r="C2298" s="27">
        <v>46157</v>
      </c>
      <c r="D2298" s="26" t="s">
        <v>26</v>
      </c>
      <c r="E2298" s="26" t="s">
        <v>27</v>
      </c>
      <c r="F2298" s="26" t="s">
        <v>28</v>
      </c>
      <c r="G2298" s="26" t="s">
        <v>29</v>
      </c>
      <c r="H2298" s="26" t="s">
        <v>30</v>
      </c>
      <c r="I2298" s="26" t="s">
        <v>243</v>
      </c>
      <c r="J2298" s="26" t="s">
        <v>32</v>
      </c>
      <c r="K2298" s="26" t="s">
        <v>1523</v>
      </c>
      <c r="L2298" s="26">
        <v>1</v>
      </c>
      <c r="M2298" s="26">
        <v>1</v>
      </c>
      <c r="N2298" s="28">
        <v>1</v>
      </c>
      <c r="O2298" s="26">
        <v>0.21</v>
      </c>
      <c r="P2298" s="26">
        <v>0.21</v>
      </c>
      <c r="Q2298" s="26">
        <v>0</v>
      </c>
      <c r="R2298" s="26"/>
      <c r="S2298" s="26">
        <v>0</v>
      </c>
      <c r="T2298" s="26">
        <v>0</v>
      </c>
      <c r="U2298" s="26">
        <v>0</v>
      </c>
      <c r="V2298" s="28">
        <v>0</v>
      </c>
      <c r="W2298" s="26">
        <v>0</v>
      </c>
      <c r="X2298" s="26">
        <v>0</v>
      </c>
      <c r="Y2298" s="26">
        <v>0</v>
      </c>
      <c r="Z2298" s="26">
        <v>0</v>
      </c>
    </row>
    <row r="2299" spans="1:26" x14ac:dyDescent="0.2">
      <c r="A2299">
        <f t="shared" si="72"/>
        <v>5</v>
      </c>
      <c r="B2299">
        <f t="shared" si="73"/>
        <v>20</v>
      </c>
      <c r="C2299" s="27">
        <v>46154</v>
      </c>
      <c r="D2299" s="26" t="s">
        <v>26</v>
      </c>
      <c r="E2299" s="26" t="s">
        <v>27</v>
      </c>
      <c r="F2299" s="26" t="s">
        <v>28</v>
      </c>
      <c r="G2299" s="26" t="s">
        <v>29</v>
      </c>
      <c r="H2299" s="26" t="s">
        <v>30</v>
      </c>
      <c r="I2299" s="26" t="s">
        <v>50</v>
      </c>
      <c r="J2299" s="26" t="s">
        <v>32</v>
      </c>
      <c r="K2299" s="26" t="s">
        <v>1524</v>
      </c>
      <c r="L2299" s="26">
        <v>1</v>
      </c>
      <c r="M2299" s="26">
        <v>1</v>
      </c>
      <c r="N2299" s="28">
        <v>1</v>
      </c>
      <c r="O2299" s="26">
        <v>0.08</v>
      </c>
      <c r="P2299" s="26">
        <v>0.08</v>
      </c>
      <c r="Q2299" s="26">
        <v>0</v>
      </c>
      <c r="R2299" s="26"/>
      <c r="S2299" s="26">
        <v>0</v>
      </c>
      <c r="T2299" s="26">
        <v>0</v>
      </c>
      <c r="U2299" s="26">
        <v>0</v>
      </c>
      <c r="V2299" s="28">
        <v>0</v>
      </c>
      <c r="W2299" s="26">
        <v>0</v>
      </c>
      <c r="X2299" s="26">
        <v>0</v>
      </c>
      <c r="Y2299" s="26">
        <v>0</v>
      </c>
      <c r="Z2299" s="26">
        <v>0</v>
      </c>
    </row>
    <row r="2300" spans="1:26" x14ac:dyDescent="0.2">
      <c r="A2300">
        <f t="shared" ref="A2300:A2363" si="74">MONTH(C2300)</f>
        <v>5</v>
      </c>
      <c r="B2300">
        <f t="shared" ref="B2300:B2363" si="75">WEEKNUM(C2300,1)</f>
        <v>20</v>
      </c>
      <c r="C2300" s="27">
        <v>46156</v>
      </c>
      <c r="D2300" s="26" t="s">
        <v>26</v>
      </c>
      <c r="E2300" s="26" t="s">
        <v>27</v>
      </c>
      <c r="F2300" s="26" t="s">
        <v>28</v>
      </c>
      <c r="G2300" s="26" t="s">
        <v>29</v>
      </c>
      <c r="H2300" s="26" t="s">
        <v>30</v>
      </c>
      <c r="I2300" s="26" t="s">
        <v>50</v>
      </c>
      <c r="J2300" s="26" t="s">
        <v>32</v>
      </c>
      <c r="K2300" s="26" t="s">
        <v>1525</v>
      </c>
      <c r="L2300" s="26">
        <v>5</v>
      </c>
      <c r="M2300" s="26">
        <v>1</v>
      </c>
      <c r="N2300" s="28">
        <v>0.2</v>
      </c>
      <c r="O2300" s="26">
        <v>0.21</v>
      </c>
      <c r="P2300" s="26">
        <v>0.21</v>
      </c>
      <c r="Q2300" s="26">
        <v>0</v>
      </c>
      <c r="R2300" s="26"/>
      <c r="S2300" s="26">
        <v>0</v>
      </c>
      <c r="T2300" s="26">
        <v>0</v>
      </c>
      <c r="U2300" s="26">
        <v>0</v>
      </c>
      <c r="V2300" s="28">
        <v>0</v>
      </c>
      <c r="W2300" s="26">
        <v>0</v>
      </c>
      <c r="X2300" s="26">
        <v>0</v>
      </c>
      <c r="Y2300" s="26">
        <v>0</v>
      </c>
      <c r="Z2300" s="26">
        <v>0</v>
      </c>
    </row>
    <row r="2301" spans="1:26" x14ac:dyDescent="0.2">
      <c r="A2301">
        <f t="shared" si="74"/>
        <v>5</v>
      </c>
      <c r="B2301">
        <f t="shared" si="75"/>
        <v>20</v>
      </c>
      <c r="C2301" s="27">
        <v>46156</v>
      </c>
      <c r="D2301" s="26" t="s">
        <v>26</v>
      </c>
      <c r="E2301" s="26" t="s">
        <v>27</v>
      </c>
      <c r="F2301" s="26" t="s">
        <v>28</v>
      </c>
      <c r="G2301" s="26" t="s">
        <v>29</v>
      </c>
      <c r="H2301" s="26" t="s">
        <v>30</v>
      </c>
      <c r="I2301" s="26" t="s">
        <v>50</v>
      </c>
      <c r="J2301" s="26" t="s">
        <v>32</v>
      </c>
      <c r="K2301" s="26" t="s">
        <v>1526</v>
      </c>
      <c r="L2301" s="26">
        <v>2</v>
      </c>
      <c r="M2301" s="26">
        <v>1</v>
      </c>
      <c r="N2301" s="28">
        <v>0.5</v>
      </c>
      <c r="O2301" s="26">
        <v>0.21</v>
      </c>
      <c r="P2301" s="26">
        <v>0.21</v>
      </c>
      <c r="Q2301" s="26">
        <v>0</v>
      </c>
      <c r="R2301" s="26"/>
      <c r="S2301" s="26">
        <v>0</v>
      </c>
      <c r="T2301" s="26">
        <v>0</v>
      </c>
      <c r="U2301" s="26">
        <v>0</v>
      </c>
      <c r="V2301" s="28">
        <v>0</v>
      </c>
      <c r="W2301" s="26">
        <v>0</v>
      </c>
      <c r="X2301" s="26">
        <v>0</v>
      </c>
      <c r="Y2301" s="26">
        <v>0</v>
      </c>
      <c r="Z2301" s="26">
        <v>0</v>
      </c>
    </row>
    <row r="2302" spans="1:26" x14ac:dyDescent="0.2">
      <c r="A2302">
        <f t="shared" si="74"/>
        <v>5</v>
      </c>
      <c r="B2302">
        <f t="shared" si="75"/>
        <v>21</v>
      </c>
      <c r="C2302" s="27">
        <v>46161</v>
      </c>
      <c r="D2302" s="26" t="s">
        <v>26</v>
      </c>
      <c r="E2302" s="26" t="s">
        <v>27</v>
      </c>
      <c r="F2302" s="26" t="s">
        <v>28</v>
      </c>
      <c r="G2302" s="26" t="s">
        <v>29</v>
      </c>
      <c r="H2302" s="26" t="s">
        <v>30</v>
      </c>
      <c r="I2302" s="26" t="s">
        <v>119</v>
      </c>
      <c r="J2302" s="26" t="s">
        <v>32</v>
      </c>
      <c r="K2302" s="26" t="s">
        <v>1527</v>
      </c>
      <c r="L2302" s="26">
        <v>7</v>
      </c>
      <c r="M2302" s="26">
        <v>1</v>
      </c>
      <c r="N2302" s="28">
        <v>0.14285700000000001</v>
      </c>
      <c r="O2302" s="26">
        <v>0.15</v>
      </c>
      <c r="P2302" s="26">
        <v>0.15</v>
      </c>
      <c r="Q2302" s="26">
        <v>0</v>
      </c>
      <c r="R2302" s="26"/>
      <c r="S2302" s="26">
        <v>0</v>
      </c>
      <c r="T2302" s="26">
        <v>0</v>
      </c>
      <c r="U2302" s="26">
        <v>0</v>
      </c>
      <c r="V2302" s="28">
        <v>0</v>
      </c>
      <c r="W2302" s="26">
        <v>0</v>
      </c>
      <c r="X2302" s="26">
        <v>0</v>
      </c>
      <c r="Y2302" s="26">
        <v>0</v>
      </c>
      <c r="Z2302" s="26">
        <v>0</v>
      </c>
    </row>
    <row r="2303" spans="1:26" x14ac:dyDescent="0.2">
      <c r="A2303">
        <f t="shared" si="74"/>
        <v>5</v>
      </c>
      <c r="B2303">
        <f t="shared" si="75"/>
        <v>20</v>
      </c>
      <c r="C2303" s="27">
        <v>46157</v>
      </c>
      <c r="D2303" s="26" t="s">
        <v>26</v>
      </c>
      <c r="E2303" s="26" t="s">
        <v>27</v>
      </c>
      <c r="F2303" s="26" t="s">
        <v>28</v>
      </c>
      <c r="G2303" s="26" t="s">
        <v>29</v>
      </c>
      <c r="H2303" s="26" t="s">
        <v>30</v>
      </c>
      <c r="I2303" s="26" t="s">
        <v>243</v>
      </c>
      <c r="J2303" s="26" t="s">
        <v>32</v>
      </c>
      <c r="K2303" s="26" t="s">
        <v>1528</v>
      </c>
      <c r="L2303" s="26">
        <v>1</v>
      </c>
      <c r="M2303" s="26">
        <v>1</v>
      </c>
      <c r="N2303" s="28">
        <v>1</v>
      </c>
      <c r="O2303" s="26">
        <v>0.21</v>
      </c>
      <c r="P2303" s="26">
        <v>0.21</v>
      </c>
      <c r="Q2303" s="26">
        <v>0</v>
      </c>
      <c r="R2303" s="26"/>
      <c r="S2303" s="26">
        <v>0</v>
      </c>
      <c r="T2303" s="26">
        <v>0</v>
      </c>
      <c r="U2303" s="26">
        <v>0</v>
      </c>
      <c r="V2303" s="28">
        <v>0</v>
      </c>
      <c r="W2303" s="26">
        <v>0</v>
      </c>
      <c r="X2303" s="26">
        <v>0</v>
      </c>
      <c r="Y2303" s="26">
        <v>0</v>
      </c>
      <c r="Z2303" s="26">
        <v>0</v>
      </c>
    </row>
    <row r="2304" spans="1:26" x14ac:dyDescent="0.2">
      <c r="A2304">
        <f t="shared" si="74"/>
        <v>5</v>
      </c>
      <c r="B2304">
        <f t="shared" si="75"/>
        <v>20</v>
      </c>
      <c r="C2304" s="27">
        <v>46153</v>
      </c>
      <c r="D2304" s="26" t="s">
        <v>26</v>
      </c>
      <c r="E2304" s="26" t="s">
        <v>27</v>
      </c>
      <c r="F2304" s="26" t="s">
        <v>28</v>
      </c>
      <c r="G2304" s="26" t="s">
        <v>29</v>
      </c>
      <c r="H2304" s="26" t="s">
        <v>30</v>
      </c>
      <c r="I2304" s="26" t="s">
        <v>44</v>
      </c>
      <c r="J2304" s="26" t="s">
        <v>32</v>
      </c>
      <c r="K2304" s="26" t="s">
        <v>549</v>
      </c>
      <c r="L2304" s="26">
        <v>4</v>
      </c>
      <c r="M2304" s="26">
        <v>1</v>
      </c>
      <c r="N2304" s="28">
        <v>0.25</v>
      </c>
      <c r="O2304" s="26">
        <v>0.23</v>
      </c>
      <c r="P2304" s="26">
        <v>0.23</v>
      </c>
      <c r="Q2304" s="26">
        <v>0</v>
      </c>
      <c r="R2304" s="26"/>
      <c r="S2304" s="26">
        <v>0</v>
      </c>
      <c r="T2304" s="26">
        <v>0</v>
      </c>
      <c r="U2304" s="26">
        <v>0</v>
      </c>
      <c r="V2304" s="28">
        <v>0</v>
      </c>
      <c r="W2304" s="26">
        <v>0</v>
      </c>
      <c r="X2304" s="26">
        <v>0</v>
      </c>
      <c r="Y2304" s="26">
        <v>0</v>
      </c>
      <c r="Z2304" s="26">
        <v>0</v>
      </c>
    </row>
    <row r="2305" spans="1:26" x14ac:dyDescent="0.2">
      <c r="A2305">
        <f t="shared" si="74"/>
        <v>5</v>
      </c>
      <c r="B2305">
        <f t="shared" si="75"/>
        <v>21</v>
      </c>
      <c r="C2305" s="27">
        <v>46163</v>
      </c>
      <c r="D2305" s="26" t="s">
        <v>26</v>
      </c>
      <c r="E2305" s="26" t="s">
        <v>27</v>
      </c>
      <c r="F2305" s="26" t="s">
        <v>28</v>
      </c>
      <c r="G2305" s="26" t="s">
        <v>29</v>
      </c>
      <c r="H2305" s="26" t="s">
        <v>30</v>
      </c>
      <c r="I2305" s="26" t="s">
        <v>44</v>
      </c>
      <c r="J2305" s="26" t="s">
        <v>32</v>
      </c>
      <c r="K2305" s="26" t="s">
        <v>549</v>
      </c>
      <c r="L2305" s="26">
        <v>7</v>
      </c>
      <c r="M2305" s="26">
        <v>1</v>
      </c>
      <c r="N2305" s="28">
        <v>0.14285700000000001</v>
      </c>
      <c r="O2305" s="26">
        <v>0.21</v>
      </c>
      <c r="P2305" s="26">
        <v>0.21</v>
      </c>
      <c r="Q2305" s="26">
        <v>0</v>
      </c>
      <c r="R2305" s="26"/>
      <c r="S2305" s="26">
        <v>0</v>
      </c>
      <c r="T2305" s="26">
        <v>0</v>
      </c>
      <c r="U2305" s="26">
        <v>0</v>
      </c>
      <c r="V2305" s="28">
        <v>0</v>
      </c>
      <c r="W2305" s="26">
        <v>0</v>
      </c>
      <c r="X2305" s="26">
        <v>0</v>
      </c>
      <c r="Y2305" s="26">
        <v>0</v>
      </c>
      <c r="Z2305" s="26">
        <v>0</v>
      </c>
    </row>
    <row r="2306" spans="1:26" x14ac:dyDescent="0.2">
      <c r="A2306">
        <f t="shared" si="74"/>
        <v>5</v>
      </c>
      <c r="B2306">
        <f t="shared" si="75"/>
        <v>19</v>
      </c>
      <c r="C2306" s="27">
        <v>46148</v>
      </c>
      <c r="D2306" s="26" t="s">
        <v>26</v>
      </c>
      <c r="E2306" s="26" t="s">
        <v>39</v>
      </c>
      <c r="F2306" s="26" t="s">
        <v>40</v>
      </c>
      <c r="G2306" s="26" t="s">
        <v>29</v>
      </c>
      <c r="H2306" s="26" t="s">
        <v>30</v>
      </c>
      <c r="I2306" s="26" t="s">
        <v>1134</v>
      </c>
      <c r="J2306" s="26" t="s">
        <v>42</v>
      </c>
      <c r="K2306" s="26" t="s">
        <v>101</v>
      </c>
      <c r="L2306" s="26">
        <v>1</v>
      </c>
      <c r="M2306" s="26">
        <v>1</v>
      </c>
      <c r="N2306" s="28">
        <v>1</v>
      </c>
      <c r="O2306" s="26">
        <v>0.56999999999999995</v>
      </c>
      <c r="P2306" s="26">
        <v>0.56999999999999995</v>
      </c>
      <c r="Q2306" s="26">
        <v>0</v>
      </c>
      <c r="R2306" s="26"/>
      <c r="S2306" s="26">
        <v>0</v>
      </c>
      <c r="T2306" s="26">
        <v>0</v>
      </c>
      <c r="U2306" s="26">
        <v>0</v>
      </c>
      <c r="V2306" s="28">
        <v>0</v>
      </c>
      <c r="W2306" s="26">
        <v>0</v>
      </c>
      <c r="X2306" s="26">
        <v>0</v>
      </c>
      <c r="Y2306" s="26">
        <v>0</v>
      </c>
      <c r="Z2306" s="26">
        <v>0</v>
      </c>
    </row>
    <row r="2307" spans="1:26" x14ac:dyDescent="0.2">
      <c r="A2307">
        <f t="shared" si="74"/>
        <v>5</v>
      </c>
      <c r="B2307">
        <f t="shared" si="75"/>
        <v>20</v>
      </c>
      <c r="C2307" s="27">
        <v>46152</v>
      </c>
      <c r="D2307" s="26" t="s">
        <v>26</v>
      </c>
      <c r="E2307" s="26" t="s">
        <v>49</v>
      </c>
      <c r="F2307" s="26" t="s">
        <v>50</v>
      </c>
      <c r="G2307" s="26" t="s">
        <v>29</v>
      </c>
      <c r="H2307" s="26" t="s">
        <v>30</v>
      </c>
      <c r="I2307" s="26" t="s">
        <v>47</v>
      </c>
      <c r="J2307" s="26" t="s">
        <v>42</v>
      </c>
      <c r="K2307" s="26" t="s">
        <v>101</v>
      </c>
      <c r="L2307" s="26">
        <v>14</v>
      </c>
      <c r="M2307" s="26">
        <v>1</v>
      </c>
      <c r="N2307" s="28">
        <v>7.1429000000000006E-2</v>
      </c>
      <c r="O2307" s="26">
        <v>1.1000000000000001</v>
      </c>
      <c r="P2307" s="26">
        <v>1.1000000000000001</v>
      </c>
      <c r="Q2307" s="26">
        <v>0</v>
      </c>
      <c r="R2307" s="26"/>
      <c r="S2307" s="26">
        <v>0</v>
      </c>
      <c r="T2307" s="26">
        <v>0</v>
      </c>
      <c r="U2307" s="26">
        <v>0</v>
      </c>
      <c r="V2307" s="28">
        <v>0</v>
      </c>
      <c r="W2307" s="26">
        <v>0</v>
      </c>
      <c r="X2307" s="26">
        <v>0</v>
      </c>
      <c r="Y2307" s="26">
        <v>0</v>
      </c>
      <c r="Z2307" s="26">
        <v>0</v>
      </c>
    </row>
    <row r="2308" spans="1:26" x14ac:dyDescent="0.2">
      <c r="A2308">
        <f t="shared" si="74"/>
        <v>5</v>
      </c>
      <c r="B2308">
        <f t="shared" si="75"/>
        <v>20</v>
      </c>
      <c r="C2308" s="27">
        <v>46154</v>
      </c>
      <c r="D2308" s="26" t="s">
        <v>26</v>
      </c>
      <c r="E2308" s="26" t="s">
        <v>49</v>
      </c>
      <c r="F2308" s="26" t="s">
        <v>50</v>
      </c>
      <c r="G2308" s="26" t="s">
        <v>29</v>
      </c>
      <c r="H2308" s="26" t="s">
        <v>30</v>
      </c>
      <c r="I2308" s="26" t="s">
        <v>47</v>
      </c>
      <c r="J2308" s="26" t="s">
        <v>42</v>
      </c>
      <c r="K2308" s="26" t="s">
        <v>101</v>
      </c>
      <c r="L2308" s="26">
        <v>25</v>
      </c>
      <c r="M2308" s="26">
        <v>1</v>
      </c>
      <c r="N2308" s="28">
        <v>0.04</v>
      </c>
      <c r="O2308" s="26">
        <v>1.21</v>
      </c>
      <c r="P2308" s="26">
        <v>1.21</v>
      </c>
      <c r="Q2308" s="26">
        <v>0</v>
      </c>
      <c r="R2308" s="26"/>
      <c r="S2308" s="26">
        <v>0</v>
      </c>
      <c r="T2308" s="26">
        <v>0</v>
      </c>
      <c r="U2308" s="26">
        <v>0</v>
      </c>
      <c r="V2308" s="28">
        <v>0</v>
      </c>
      <c r="W2308" s="26">
        <v>0</v>
      </c>
      <c r="X2308" s="26">
        <v>0</v>
      </c>
      <c r="Y2308" s="26">
        <v>0</v>
      </c>
      <c r="Z2308" s="26">
        <v>0</v>
      </c>
    </row>
    <row r="2309" spans="1:26" x14ac:dyDescent="0.2">
      <c r="A2309">
        <f t="shared" si="74"/>
        <v>5</v>
      </c>
      <c r="B2309">
        <f t="shared" si="75"/>
        <v>20</v>
      </c>
      <c r="C2309" s="27">
        <v>46155</v>
      </c>
      <c r="D2309" s="26" t="s">
        <v>26</v>
      </c>
      <c r="E2309" s="26" t="s">
        <v>49</v>
      </c>
      <c r="F2309" s="26" t="s">
        <v>50</v>
      </c>
      <c r="G2309" s="26" t="s">
        <v>29</v>
      </c>
      <c r="H2309" s="26" t="s">
        <v>30</v>
      </c>
      <c r="I2309" s="26" t="s">
        <v>47</v>
      </c>
      <c r="J2309" s="26" t="s">
        <v>42</v>
      </c>
      <c r="K2309" s="26" t="s">
        <v>101</v>
      </c>
      <c r="L2309" s="26">
        <v>95</v>
      </c>
      <c r="M2309" s="26">
        <v>1</v>
      </c>
      <c r="N2309" s="28">
        <v>1.0526000000000001E-2</v>
      </c>
      <c r="O2309" s="26">
        <v>1.18</v>
      </c>
      <c r="P2309" s="26">
        <v>1.18</v>
      </c>
      <c r="Q2309" s="26">
        <v>0</v>
      </c>
      <c r="R2309" s="26"/>
      <c r="S2309" s="26">
        <v>0</v>
      </c>
      <c r="T2309" s="26">
        <v>0</v>
      </c>
      <c r="U2309" s="26">
        <v>0</v>
      </c>
      <c r="V2309" s="28">
        <v>0</v>
      </c>
      <c r="W2309" s="26">
        <v>0</v>
      </c>
      <c r="X2309" s="26">
        <v>0</v>
      </c>
      <c r="Y2309" s="26">
        <v>0</v>
      </c>
      <c r="Z2309" s="26">
        <v>0</v>
      </c>
    </row>
    <row r="2310" spans="1:26" x14ac:dyDescent="0.2">
      <c r="A2310">
        <f t="shared" si="74"/>
        <v>5</v>
      </c>
      <c r="B2310">
        <f t="shared" si="75"/>
        <v>18</v>
      </c>
      <c r="C2310" s="27">
        <v>46143</v>
      </c>
      <c r="D2310" s="26" t="s">
        <v>26</v>
      </c>
      <c r="E2310" s="26" t="s">
        <v>27</v>
      </c>
      <c r="F2310" s="26" t="s">
        <v>28</v>
      </c>
      <c r="G2310" s="26" t="s">
        <v>29</v>
      </c>
      <c r="H2310" s="26" t="s">
        <v>30</v>
      </c>
      <c r="I2310" s="26" t="s">
        <v>50</v>
      </c>
      <c r="J2310" s="26" t="s">
        <v>32</v>
      </c>
      <c r="K2310" s="26" t="s">
        <v>101</v>
      </c>
      <c r="L2310" s="26">
        <v>4</v>
      </c>
      <c r="M2310" s="26">
        <v>1</v>
      </c>
      <c r="N2310" s="28">
        <v>0.25</v>
      </c>
      <c r="O2310" s="26">
        <v>0.21</v>
      </c>
      <c r="P2310" s="26">
        <v>0.21</v>
      </c>
      <c r="Q2310" s="26">
        <v>0</v>
      </c>
      <c r="R2310" s="26"/>
      <c r="S2310" s="26">
        <v>0</v>
      </c>
      <c r="T2310" s="26">
        <v>0</v>
      </c>
      <c r="U2310" s="26">
        <v>0</v>
      </c>
      <c r="V2310" s="28">
        <v>0</v>
      </c>
      <c r="W2310" s="26">
        <v>0</v>
      </c>
      <c r="X2310" s="26">
        <v>0</v>
      </c>
      <c r="Y2310" s="26">
        <v>0</v>
      </c>
      <c r="Z2310" s="26">
        <v>0</v>
      </c>
    </row>
    <row r="2311" spans="1:26" x14ac:dyDescent="0.2">
      <c r="A2311">
        <f t="shared" si="74"/>
        <v>5</v>
      </c>
      <c r="B2311">
        <f t="shared" si="75"/>
        <v>18</v>
      </c>
      <c r="C2311" s="27">
        <v>46144</v>
      </c>
      <c r="D2311" s="26" t="s">
        <v>26</v>
      </c>
      <c r="E2311" s="26" t="s">
        <v>27</v>
      </c>
      <c r="F2311" s="26" t="s">
        <v>28</v>
      </c>
      <c r="G2311" s="26" t="s">
        <v>29</v>
      </c>
      <c r="H2311" s="26" t="s">
        <v>30</v>
      </c>
      <c r="I2311" s="26" t="s">
        <v>50</v>
      </c>
      <c r="J2311" s="26" t="s">
        <v>32</v>
      </c>
      <c r="K2311" s="26" t="s">
        <v>101</v>
      </c>
      <c r="L2311" s="26">
        <v>6</v>
      </c>
      <c r="M2311" s="26">
        <v>1</v>
      </c>
      <c r="N2311" s="28">
        <v>0.16666700000000001</v>
      </c>
      <c r="O2311" s="26">
        <v>0.21</v>
      </c>
      <c r="P2311" s="26">
        <v>0.21</v>
      </c>
      <c r="Q2311" s="26">
        <v>0</v>
      </c>
      <c r="R2311" s="26"/>
      <c r="S2311" s="26">
        <v>0</v>
      </c>
      <c r="T2311" s="26">
        <v>0</v>
      </c>
      <c r="U2311" s="26">
        <v>0</v>
      </c>
      <c r="V2311" s="28">
        <v>0</v>
      </c>
      <c r="W2311" s="26">
        <v>0</v>
      </c>
      <c r="X2311" s="26">
        <v>0</v>
      </c>
      <c r="Y2311" s="26">
        <v>0</v>
      </c>
      <c r="Z2311" s="26">
        <v>0</v>
      </c>
    </row>
    <row r="2312" spans="1:26" x14ac:dyDescent="0.2">
      <c r="A2312">
        <f t="shared" si="74"/>
        <v>5</v>
      </c>
      <c r="B2312">
        <f t="shared" si="75"/>
        <v>18</v>
      </c>
      <c r="C2312" s="27">
        <v>46144</v>
      </c>
      <c r="D2312" s="26" t="s">
        <v>26</v>
      </c>
      <c r="E2312" s="26" t="s">
        <v>27</v>
      </c>
      <c r="F2312" s="26" t="s">
        <v>124</v>
      </c>
      <c r="G2312" s="26" t="s">
        <v>29</v>
      </c>
      <c r="H2312" s="26" t="s">
        <v>30</v>
      </c>
      <c r="I2312" s="26" t="s">
        <v>101</v>
      </c>
      <c r="J2312" s="26" t="s">
        <v>87</v>
      </c>
      <c r="K2312" s="26" t="s">
        <v>101</v>
      </c>
      <c r="L2312" s="26">
        <v>26</v>
      </c>
      <c r="M2312" s="26">
        <v>1</v>
      </c>
      <c r="N2312" s="28">
        <v>3.8462000000000003E-2</v>
      </c>
      <c r="O2312" s="26">
        <v>0.2</v>
      </c>
      <c r="P2312" s="26">
        <v>0.2</v>
      </c>
      <c r="Q2312" s="26">
        <v>0</v>
      </c>
      <c r="R2312" s="26"/>
      <c r="S2312" s="26">
        <v>0</v>
      </c>
      <c r="T2312" s="26">
        <v>0</v>
      </c>
      <c r="U2312" s="26">
        <v>0</v>
      </c>
      <c r="V2312" s="28">
        <v>0</v>
      </c>
      <c r="W2312" s="26">
        <v>0</v>
      </c>
      <c r="X2312" s="26">
        <v>0</v>
      </c>
      <c r="Y2312" s="26">
        <v>0</v>
      </c>
      <c r="Z2312" s="26">
        <v>0</v>
      </c>
    </row>
    <row r="2313" spans="1:26" x14ac:dyDescent="0.2">
      <c r="A2313">
        <f t="shared" si="74"/>
        <v>5</v>
      </c>
      <c r="B2313">
        <f t="shared" si="75"/>
        <v>19</v>
      </c>
      <c r="C2313" s="27">
        <v>46148</v>
      </c>
      <c r="D2313" s="26" t="s">
        <v>26</v>
      </c>
      <c r="E2313" s="26" t="s">
        <v>27</v>
      </c>
      <c r="F2313" s="26" t="s">
        <v>124</v>
      </c>
      <c r="G2313" s="26" t="s">
        <v>29</v>
      </c>
      <c r="H2313" s="26" t="s">
        <v>30</v>
      </c>
      <c r="I2313" s="26" t="s">
        <v>101</v>
      </c>
      <c r="J2313" s="26" t="s">
        <v>87</v>
      </c>
      <c r="K2313" s="26" t="s">
        <v>101</v>
      </c>
      <c r="L2313" s="26">
        <v>2</v>
      </c>
      <c r="M2313" s="26">
        <v>1</v>
      </c>
      <c r="N2313" s="28">
        <v>0.5</v>
      </c>
      <c r="O2313" s="26">
        <v>0.2</v>
      </c>
      <c r="P2313" s="26">
        <v>0.2</v>
      </c>
      <c r="Q2313" s="26">
        <v>0</v>
      </c>
      <c r="R2313" s="26"/>
      <c r="S2313" s="26">
        <v>0</v>
      </c>
      <c r="T2313" s="26">
        <v>0</v>
      </c>
      <c r="U2313" s="26">
        <v>0</v>
      </c>
      <c r="V2313" s="28">
        <v>0</v>
      </c>
      <c r="W2313" s="26">
        <v>0</v>
      </c>
      <c r="X2313" s="26">
        <v>0</v>
      </c>
      <c r="Y2313" s="26">
        <v>0</v>
      </c>
      <c r="Z2313" s="26">
        <v>0</v>
      </c>
    </row>
    <row r="2314" spans="1:26" x14ac:dyDescent="0.2">
      <c r="A2314">
        <f t="shared" si="74"/>
        <v>5</v>
      </c>
      <c r="B2314">
        <f t="shared" si="75"/>
        <v>20</v>
      </c>
      <c r="C2314" s="27">
        <v>46153</v>
      </c>
      <c r="D2314" s="26" t="s">
        <v>26</v>
      </c>
      <c r="E2314" s="26" t="s">
        <v>27</v>
      </c>
      <c r="F2314" s="26" t="s">
        <v>124</v>
      </c>
      <c r="G2314" s="26" t="s">
        <v>29</v>
      </c>
      <c r="H2314" s="26" t="s">
        <v>30</v>
      </c>
      <c r="I2314" s="26" t="s">
        <v>101</v>
      </c>
      <c r="J2314" s="26" t="s">
        <v>87</v>
      </c>
      <c r="K2314" s="26" t="s">
        <v>101</v>
      </c>
      <c r="L2314" s="26">
        <v>118</v>
      </c>
      <c r="M2314" s="26">
        <v>3</v>
      </c>
      <c r="N2314" s="28">
        <v>2.5423999999999999E-2</v>
      </c>
      <c r="O2314" s="26">
        <v>0.2</v>
      </c>
      <c r="P2314" s="26">
        <v>0.6</v>
      </c>
      <c r="Q2314" s="26">
        <v>0</v>
      </c>
      <c r="R2314" s="26"/>
      <c r="S2314" s="26">
        <v>0</v>
      </c>
      <c r="T2314" s="26">
        <v>0</v>
      </c>
      <c r="U2314" s="26">
        <v>0</v>
      </c>
      <c r="V2314" s="28">
        <v>0</v>
      </c>
      <c r="W2314" s="26">
        <v>0</v>
      </c>
      <c r="X2314" s="26">
        <v>0</v>
      </c>
      <c r="Y2314" s="26">
        <v>0</v>
      </c>
      <c r="Z2314" s="26">
        <v>0</v>
      </c>
    </row>
    <row r="2315" spans="1:26" x14ac:dyDescent="0.2">
      <c r="A2315">
        <f t="shared" si="74"/>
        <v>5</v>
      </c>
      <c r="B2315">
        <f t="shared" si="75"/>
        <v>20</v>
      </c>
      <c r="C2315" s="27">
        <v>46156</v>
      </c>
      <c r="D2315" s="26" t="s">
        <v>26</v>
      </c>
      <c r="E2315" s="26" t="s">
        <v>27</v>
      </c>
      <c r="F2315" s="26" t="s">
        <v>124</v>
      </c>
      <c r="G2315" s="26" t="s">
        <v>29</v>
      </c>
      <c r="H2315" s="26" t="s">
        <v>30</v>
      </c>
      <c r="I2315" s="26" t="s">
        <v>101</v>
      </c>
      <c r="J2315" s="26" t="s">
        <v>87</v>
      </c>
      <c r="K2315" s="26" t="s">
        <v>101</v>
      </c>
      <c r="L2315" s="26">
        <v>37</v>
      </c>
      <c r="M2315" s="26">
        <v>1</v>
      </c>
      <c r="N2315" s="28">
        <v>2.7026999999999999E-2</v>
      </c>
      <c r="O2315" s="26">
        <v>0.2</v>
      </c>
      <c r="P2315" s="26">
        <v>0.2</v>
      </c>
      <c r="Q2315" s="26">
        <v>0</v>
      </c>
      <c r="R2315" s="26"/>
      <c r="S2315" s="26">
        <v>0</v>
      </c>
      <c r="T2315" s="26">
        <v>0</v>
      </c>
      <c r="U2315" s="26">
        <v>0</v>
      </c>
      <c r="V2315" s="28">
        <v>0</v>
      </c>
      <c r="W2315" s="26">
        <v>0</v>
      </c>
      <c r="X2315" s="26">
        <v>0</v>
      </c>
      <c r="Y2315" s="26">
        <v>0</v>
      </c>
      <c r="Z2315" s="26">
        <v>0</v>
      </c>
    </row>
    <row r="2316" spans="1:26" x14ac:dyDescent="0.2">
      <c r="A2316">
        <f t="shared" si="74"/>
        <v>5</v>
      </c>
      <c r="B2316">
        <f t="shared" si="75"/>
        <v>20</v>
      </c>
      <c r="C2316" s="27">
        <v>46157</v>
      </c>
      <c r="D2316" s="26" t="s">
        <v>26</v>
      </c>
      <c r="E2316" s="26" t="s">
        <v>27</v>
      </c>
      <c r="F2316" s="26" t="s">
        <v>124</v>
      </c>
      <c r="G2316" s="26" t="s">
        <v>29</v>
      </c>
      <c r="H2316" s="26" t="s">
        <v>30</v>
      </c>
      <c r="I2316" s="26" t="s">
        <v>101</v>
      </c>
      <c r="J2316" s="26" t="s">
        <v>87</v>
      </c>
      <c r="K2316" s="26" t="s">
        <v>101</v>
      </c>
      <c r="L2316" s="26">
        <v>18</v>
      </c>
      <c r="M2316" s="26">
        <v>3</v>
      </c>
      <c r="N2316" s="28">
        <v>0.16666700000000001</v>
      </c>
      <c r="O2316" s="26">
        <v>0.17</v>
      </c>
      <c r="P2316" s="26">
        <v>0.5</v>
      </c>
      <c r="Q2316" s="26">
        <v>0</v>
      </c>
      <c r="R2316" s="26"/>
      <c r="S2316" s="26">
        <v>0</v>
      </c>
      <c r="T2316" s="26">
        <v>0</v>
      </c>
      <c r="U2316" s="26">
        <v>0</v>
      </c>
      <c r="V2316" s="28">
        <v>0</v>
      </c>
      <c r="W2316" s="26">
        <v>0</v>
      </c>
      <c r="X2316" s="26">
        <v>0</v>
      </c>
      <c r="Y2316" s="26">
        <v>0</v>
      </c>
      <c r="Z2316" s="26">
        <v>0</v>
      </c>
    </row>
    <row r="2317" spans="1:26" x14ac:dyDescent="0.2">
      <c r="A2317">
        <f t="shared" si="74"/>
        <v>5</v>
      </c>
      <c r="B2317">
        <f t="shared" si="75"/>
        <v>20</v>
      </c>
      <c r="C2317" s="27">
        <v>46158</v>
      </c>
      <c r="D2317" s="26" t="s">
        <v>26</v>
      </c>
      <c r="E2317" s="26" t="s">
        <v>27</v>
      </c>
      <c r="F2317" s="26" t="s">
        <v>124</v>
      </c>
      <c r="G2317" s="26" t="s">
        <v>29</v>
      </c>
      <c r="H2317" s="26" t="s">
        <v>30</v>
      </c>
      <c r="I2317" s="26" t="s">
        <v>101</v>
      </c>
      <c r="J2317" s="26" t="s">
        <v>87</v>
      </c>
      <c r="K2317" s="26" t="s">
        <v>101</v>
      </c>
      <c r="L2317" s="26">
        <v>46</v>
      </c>
      <c r="M2317" s="26">
        <v>1</v>
      </c>
      <c r="N2317" s="28">
        <v>2.1739000000000001E-2</v>
      </c>
      <c r="O2317" s="26">
        <v>0.2</v>
      </c>
      <c r="P2317" s="26">
        <v>0.2</v>
      </c>
      <c r="Q2317" s="26">
        <v>0</v>
      </c>
      <c r="R2317" s="26"/>
      <c r="S2317" s="26">
        <v>0</v>
      </c>
      <c r="T2317" s="26">
        <v>0</v>
      </c>
      <c r="U2317" s="26">
        <v>0</v>
      </c>
      <c r="V2317" s="28">
        <v>0</v>
      </c>
      <c r="W2317" s="26">
        <v>0</v>
      </c>
      <c r="X2317" s="26">
        <v>0</v>
      </c>
      <c r="Y2317" s="26">
        <v>0</v>
      </c>
      <c r="Z2317" s="26">
        <v>0</v>
      </c>
    </row>
    <row r="2318" spans="1:26" x14ac:dyDescent="0.2">
      <c r="A2318">
        <f t="shared" si="74"/>
        <v>5</v>
      </c>
      <c r="B2318">
        <f t="shared" si="75"/>
        <v>19</v>
      </c>
      <c r="C2318" s="27">
        <v>46149</v>
      </c>
      <c r="D2318" s="26" t="s">
        <v>26</v>
      </c>
      <c r="E2318" s="26" t="s">
        <v>27</v>
      </c>
      <c r="F2318" s="26" t="s">
        <v>124</v>
      </c>
      <c r="G2318" s="26" t="s">
        <v>29</v>
      </c>
      <c r="H2318" s="26" t="s">
        <v>30</v>
      </c>
      <c r="I2318" s="26" t="s">
        <v>101</v>
      </c>
      <c r="J2318" s="26" t="s">
        <v>267</v>
      </c>
      <c r="K2318" s="26" t="s">
        <v>101</v>
      </c>
      <c r="L2318" s="26">
        <v>7</v>
      </c>
      <c r="M2318" s="26">
        <v>1</v>
      </c>
      <c r="N2318" s="28">
        <v>0.14285700000000001</v>
      </c>
      <c r="O2318" s="26">
        <v>0.2</v>
      </c>
      <c r="P2318" s="26">
        <v>0.2</v>
      </c>
      <c r="Q2318" s="26">
        <v>0</v>
      </c>
      <c r="R2318" s="26"/>
      <c r="S2318" s="26">
        <v>0</v>
      </c>
      <c r="T2318" s="26">
        <v>0</v>
      </c>
      <c r="U2318" s="26">
        <v>0</v>
      </c>
      <c r="V2318" s="28">
        <v>0</v>
      </c>
      <c r="W2318" s="26">
        <v>0</v>
      </c>
      <c r="X2318" s="26">
        <v>0</v>
      </c>
      <c r="Y2318" s="26">
        <v>0</v>
      </c>
      <c r="Z2318" s="26">
        <v>0</v>
      </c>
    </row>
    <row r="2319" spans="1:26" x14ac:dyDescent="0.2">
      <c r="A2319">
        <f t="shared" si="74"/>
        <v>5</v>
      </c>
      <c r="B2319">
        <f t="shared" si="75"/>
        <v>19</v>
      </c>
      <c r="C2319" s="27">
        <v>46150</v>
      </c>
      <c r="D2319" s="26" t="s">
        <v>26</v>
      </c>
      <c r="E2319" s="26" t="s">
        <v>27</v>
      </c>
      <c r="F2319" s="26" t="s">
        <v>124</v>
      </c>
      <c r="G2319" s="26" t="s">
        <v>29</v>
      </c>
      <c r="H2319" s="26" t="s">
        <v>30</v>
      </c>
      <c r="I2319" s="26" t="s">
        <v>101</v>
      </c>
      <c r="J2319" s="26" t="s">
        <v>267</v>
      </c>
      <c r="K2319" s="26" t="s">
        <v>101</v>
      </c>
      <c r="L2319" s="26">
        <v>11</v>
      </c>
      <c r="M2319" s="26">
        <v>1</v>
      </c>
      <c r="N2319" s="28">
        <v>9.0909000000000004E-2</v>
      </c>
      <c r="O2319" s="26">
        <v>0.2</v>
      </c>
      <c r="P2319" s="26">
        <v>0.2</v>
      </c>
      <c r="Q2319" s="26">
        <v>0</v>
      </c>
      <c r="R2319" s="26"/>
      <c r="S2319" s="26">
        <v>0</v>
      </c>
      <c r="T2319" s="26">
        <v>0</v>
      </c>
      <c r="U2319" s="26">
        <v>0</v>
      </c>
      <c r="V2319" s="28">
        <v>0</v>
      </c>
      <c r="W2319" s="26">
        <v>0</v>
      </c>
      <c r="X2319" s="26">
        <v>0</v>
      </c>
      <c r="Y2319" s="26">
        <v>0</v>
      </c>
      <c r="Z2319" s="26">
        <v>0</v>
      </c>
    </row>
    <row r="2320" spans="1:26" x14ac:dyDescent="0.2">
      <c r="A2320">
        <f t="shared" si="74"/>
        <v>5</v>
      </c>
      <c r="B2320">
        <f t="shared" si="75"/>
        <v>21</v>
      </c>
      <c r="C2320" s="27">
        <v>46162</v>
      </c>
      <c r="D2320" s="26" t="s">
        <v>26</v>
      </c>
      <c r="E2320" s="26" t="s">
        <v>27</v>
      </c>
      <c r="F2320" s="26" t="s">
        <v>124</v>
      </c>
      <c r="G2320" s="26" t="s">
        <v>29</v>
      </c>
      <c r="H2320" s="26" t="s">
        <v>30</v>
      </c>
      <c r="I2320" s="26" t="s">
        <v>101</v>
      </c>
      <c r="J2320" s="26" t="s">
        <v>267</v>
      </c>
      <c r="K2320" s="26" t="s">
        <v>101</v>
      </c>
      <c r="L2320" s="26">
        <v>18</v>
      </c>
      <c r="M2320" s="26">
        <v>1</v>
      </c>
      <c r="N2320" s="28">
        <v>5.5556000000000001E-2</v>
      </c>
      <c r="O2320" s="26">
        <v>0.2</v>
      </c>
      <c r="P2320" s="26">
        <v>0.2</v>
      </c>
      <c r="Q2320" s="26">
        <v>0</v>
      </c>
      <c r="R2320" s="26"/>
      <c r="S2320" s="26">
        <v>0</v>
      </c>
      <c r="T2320" s="26">
        <v>0</v>
      </c>
      <c r="U2320" s="26">
        <v>0</v>
      </c>
      <c r="V2320" s="28">
        <v>0</v>
      </c>
      <c r="W2320" s="26">
        <v>0</v>
      </c>
      <c r="X2320" s="26">
        <v>0</v>
      </c>
      <c r="Y2320" s="26">
        <v>0</v>
      </c>
      <c r="Z2320" s="26">
        <v>0</v>
      </c>
    </row>
    <row r="2321" spans="1:26" x14ac:dyDescent="0.2">
      <c r="A2321">
        <f t="shared" si="74"/>
        <v>5</v>
      </c>
      <c r="B2321">
        <f t="shared" si="75"/>
        <v>19</v>
      </c>
      <c r="C2321" s="27">
        <v>46145</v>
      </c>
      <c r="D2321" s="26" t="s">
        <v>26</v>
      </c>
      <c r="E2321" s="26" t="s">
        <v>27</v>
      </c>
      <c r="F2321" s="26" t="s">
        <v>28</v>
      </c>
      <c r="G2321" s="26" t="s">
        <v>29</v>
      </c>
      <c r="H2321" s="26" t="s">
        <v>30</v>
      </c>
      <c r="I2321" s="26" t="s">
        <v>44</v>
      </c>
      <c r="J2321" s="26" t="s">
        <v>32</v>
      </c>
      <c r="K2321" s="26" t="s">
        <v>101</v>
      </c>
      <c r="L2321" s="26">
        <v>4</v>
      </c>
      <c r="M2321" s="26">
        <v>1</v>
      </c>
      <c r="N2321" s="28">
        <v>0.25</v>
      </c>
      <c r="O2321" s="26">
        <v>0.21</v>
      </c>
      <c r="P2321" s="26">
        <v>0.21</v>
      </c>
      <c r="Q2321" s="26">
        <v>0</v>
      </c>
      <c r="R2321" s="26"/>
      <c r="S2321" s="26">
        <v>0</v>
      </c>
      <c r="T2321" s="26">
        <v>0</v>
      </c>
      <c r="U2321" s="26">
        <v>0</v>
      </c>
      <c r="V2321" s="28">
        <v>0</v>
      </c>
      <c r="W2321" s="26">
        <v>0</v>
      </c>
      <c r="X2321" s="26">
        <v>0</v>
      </c>
      <c r="Y2321" s="26">
        <v>0</v>
      </c>
      <c r="Z2321" s="26">
        <v>0</v>
      </c>
    </row>
    <row r="2322" spans="1:26" x14ac:dyDescent="0.2">
      <c r="A2322">
        <f t="shared" si="74"/>
        <v>5</v>
      </c>
      <c r="B2322">
        <f t="shared" si="75"/>
        <v>20</v>
      </c>
      <c r="C2322" s="27">
        <v>46152</v>
      </c>
      <c r="D2322" s="26" t="s">
        <v>26</v>
      </c>
      <c r="E2322" s="26" t="s">
        <v>27</v>
      </c>
      <c r="F2322" s="26" t="s">
        <v>28</v>
      </c>
      <c r="G2322" s="26" t="s">
        <v>29</v>
      </c>
      <c r="H2322" s="26" t="s">
        <v>30</v>
      </c>
      <c r="I2322" s="26" t="s">
        <v>44</v>
      </c>
      <c r="J2322" s="26" t="s">
        <v>32</v>
      </c>
      <c r="K2322" s="26" t="s">
        <v>101</v>
      </c>
      <c r="L2322" s="26">
        <v>24</v>
      </c>
      <c r="M2322" s="26">
        <v>1</v>
      </c>
      <c r="N2322" s="28">
        <v>4.1667000000000003E-2</v>
      </c>
      <c r="O2322" s="26">
        <v>0.21</v>
      </c>
      <c r="P2322" s="26">
        <v>0.21</v>
      </c>
      <c r="Q2322" s="26">
        <v>0</v>
      </c>
      <c r="R2322" s="26"/>
      <c r="S2322" s="26">
        <v>0</v>
      </c>
      <c r="T2322" s="26">
        <v>0</v>
      </c>
      <c r="U2322" s="26">
        <v>0</v>
      </c>
      <c r="V2322" s="28">
        <v>0</v>
      </c>
      <c r="W2322" s="26">
        <v>0</v>
      </c>
      <c r="X2322" s="26">
        <v>0</v>
      </c>
      <c r="Y2322" s="26">
        <v>0</v>
      </c>
      <c r="Z2322" s="26">
        <v>0</v>
      </c>
    </row>
    <row r="2323" spans="1:26" x14ac:dyDescent="0.2">
      <c r="A2323">
        <f t="shared" si="74"/>
        <v>5</v>
      </c>
      <c r="B2323">
        <f t="shared" si="75"/>
        <v>20</v>
      </c>
      <c r="C2323" s="27">
        <v>46154</v>
      </c>
      <c r="D2323" s="26" t="s">
        <v>26</v>
      </c>
      <c r="E2323" s="26" t="s">
        <v>27</v>
      </c>
      <c r="F2323" s="26" t="s">
        <v>28</v>
      </c>
      <c r="G2323" s="26" t="s">
        <v>29</v>
      </c>
      <c r="H2323" s="26" t="s">
        <v>30</v>
      </c>
      <c r="I2323" s="26" t="s">
        <v>260</v>
      </c>
      <c r="J2323" s="26" t="s">
        <v>32</v>
      </c>
      <c r="K2323" s="26" t="s">
        <v>99</v>
      </c>
      <c r="L2323" s="26">
        <v>1</v>
      </c>
      <c r="M2323" s="26">
        <v>1</v>
      </c>
      <c r="N2323" s="28">
        <v>1</v>
      </c>
      <c r="O2323" s="26">
        <v>0.2</v>
      </c>
      <c r="P2323" s="26">
        <v>0.2</v>
      </c>
      <c r="Q2323" s="26">
        <v>0</v>
      </c>
      <c r="R2323" s="26"/>
      <c r="S2323" s="26">
        <v>0</v>
      </c>
      <c r="T2323" s="26">
        <v>0</v>
      </c>
      <c r="U2323" s="26">
        <v>0</v>
      </c>
      <c r="V2323" s="28">
        <v>0</v>
      </c>
      <c r="W2323" s="26">
        <v>0</v>
      </c>
      <c r="X2323" s="26">
        <v>0</v>
      </c>
      <c r="Y2323" s="26">
        <v>0</v>
      </c>
      <c r="Z2323" s="26">
        <v>0</v>
      </c>
    </row>
    <row r="2324" spans="1:26" x14ac:dyDescent="0.2">
      <c r="A2324">
        <f t="shared" si="74"/>
        <v>5</v>
      </c>
      <c r="B2324">
        <f t="shared" si="75"/>
        <v>20</v>
      </c>
      <c r="C2324" s="27">
        <v>46157</v>
      </c>
      <c r="D2324" s="26" t="s">
        <v>26</v>
      </c>
      <c r="E2324" s="26" t="s">
        <v>49</v>
      </c>
      <c r="F2324" s="26" t="s">
        <v>50</v>
      </c>
      <c r="G2324" s="26" t="s">
        <v>29</v>
      </c>
      <c r="H2324" s="26" t="s">
        <v>30</v>
      </c>
      <c r="I2324" s="26" t="s">
        <v>47</v>
      </c>
      <c r="J2324" s="26" t="s">
        <v>42</v>
      </c>
      <c r="K2324" s="26" t="s">
        <v>99</v>
      </c>
      <c r="L2324" s="26">
        <v>3</v>
      </c>
      <c r="M2324" s="26">
        <v>1</v>
      </c>
      <c r="N2324" s="28">
        <v>0.33333299999999999</v>
      </c>
      <c r="O2324" s="26">
        <v>1.25</v>
      </c>
      <c r="P2324" s="26">
        <v>1.25</v>
      </c>
      <c r="Q2324" s="26">
        <v>0</v>
      </c>
      <c r="R2324" s="26"/>
      <c r="S2324" s="26">
        <v>0</v>
      </c>
      <c r="T2324" s="26">
        <v>0</v>
      </c>
      <c r="U2324" s="26">
        <v>0</v>
      </c>
      <c r="V2324" s="28">
        <v>0</v>
      </c>
      <c r="W2324" s="26">
        <v>0</v>
      </c>
      <c r="X2324" s="26">
        <v>0</v>
      </c>
      <c r="Y2324" s="26">
        <v>0</v>
      </c>
      <c r="Z2324" s="26">
        <v>0</v>
      </c>
    </row>
    <row r="2325" spans="1:26" x14ac:dyDescent="0.2">
      <c r="A2325">
        <f t="shared" si="74"/>
        <v>5</v>
      </c>
      <c r="B2325">
        <f t="shared" si="75"/>
        <v>19</v>
      </c>
      <c r="C2325" s="27">
        <v>46145</v>
      </c>
      <c r="D2325" s="26" t="s">
        <v>26</v>
      </c>
      <c r="E2325" s="26" t="s">
        <v>27</v>
      </c>
      <c r="F2325" s="26" t="s">
        <v>124</v>
      </c>
      <c r="G2325" s="26" t="s">
        <v>29</v>
      </c>
      <c r="H2325" s="26" t="s">
        <v>30</v>
      </c>
      <c r="I2325" s="26" t="s">
        <v>101</v>
      </c>
      <c r="J2325" s="26" t="s">
        <v>87</v>
      </c>
      <c r="K2325" s="26" t="s">
        <v>99</v>
      </c>
      <c r="L2325" s="26">
        <v>11</v>
      </c>
      <c r="M2325" s="26">
        <v>1</v>
      </c>
      <c r="N2325" s="28">
        <v>9.0909000000000004E-2</v>
      </c>
      <c r="O2325" s="26">
        <v>0.2</v>
      </c>
      <c r="P2325" s="26">
        <v>0.2</v>
      </c>
      <c r="Q2325" s="26">
        <v>0</v>
      </c>
      <c r="R2325" s="26"/>
      <c r="S2325" s="26">
        <v>0</v>
      </c>
      <c r="T2325" s="26">
        <v>0</v>
      </c>
      <c r="U2325" s="26">
        <v>0</v>
      </c>
      <c r="V2325" s="28">
        <v>0</v>
      </c>
      <c r="W2325" s="26">
        <v>0</v>
      </c>
      <c r="X2325" s="26">
        <v>0</v>
      </c>
      <c r="Y2325" s="26">
        <v>0</v>
      </c>
      <c r="Z2325" s="26">
        <v>0</v>
      </c>
    </row>
    <row r="2326" spans="1:26" x14ac:dyDescent="0.2">
      <c r="A2326">
        <f t="shared" si="74"/>
        <v>5</v>
      </c>
      <c r="B2326">
        <f t="shared" si="75"/>
        <v>18</v>
      </c>
      <c r="C2326" s="27">
        <v>46143</v>
      </c>
      <c r="D2326" s="26" t="s">
        <v>26</v>
      </c>
      <c r="E2326" s="26" t="s">
        <v>27</v>
      </c>
      <c r="F2326" s="26" t="s">
        <v>28</v>
      </c>
      <c r="G2326" s="26" t="s">
        <v>29</v>
      </c>
      <c r="H2326" s="26" t="s">
        <v>30</v>
      </c>
      <c r="I2326" s="26" t="s">
        <v>99</v>
      </c>
      <c r="J2326" s="26" t="s">
        <v>32</v>
      </c>
      <c r="K2326" s="26" t="s">
        <v>99</v>
      </c>
      <c r="L2326" s="26">
        <v>2</v>
      </c>
      <c r="M2326" s="26">
        <v>1</v>
      </c>
      <c r="N2326" s="28">
        <v>0.5</v>
      </c>
      <c r="O2326" s="26">
        <v>0.2</v>
      </c>
      <c r="P2326" s="26">
        <v>0.2</v>
      </c>
      <c r="Q2326" s="26">
        <v>0</v>
      </c>
      <c r="R2326" s="26"/>
      <c r="S2326" s="26">
        <v>0</v>
      </c>
      <c r="T2326" s="26">
        <v>0</v>
      </c>
      <c r="U2326" s="26">
        <v>0</v>
      </c>
      <c r="V2326" s="28">
        <v>0</v>
      </c>
      <c r="W2326" s="26">
        <v>0</v>
      </c>
      <c r="X2326" s="26">
        <v>0</v>
      </c>
      <c r="Y2326" s="26">
        <v>0</v>
      </c>
      <c r="Z2326" s="26">
        <v>0</v>
      </c>
    </row>
    <row r="2327" spans="1:26" x14ac:dyDescent="0.2">
      <c r="A2327">
        <f t="shared" si="74"/>
        <v>5</v>
      </c>
      <c r="B2327">
        <f t="shared" si="75"/>
        <v>21</v>
      </c>
      <c r="C2327" s="27">
        <v>46160</v>
      </c>
      <c r="D2327" s="26" t="s">
        <v>26</v>
      </c>
      <c r="E2327" s="26" t="s">
        <v>27</v>
      </c>
      <c r="F2327" s="26" t="s">
        <v>124</v>
      </c>
      <c r="G2327" s="26" t="s">
        <v>29</v>
      </c>
      <c r="H2327" s="26" t="s">
        <v>30</v>
      </c>
      <c r="I2327" s="26" t="s">
        <v>101</v>
      </c>
      <c r="J2327" s="26" t="s">
        <v>87</v>
      </c>
      <c r="K2327" s="26" t="s">
        <v>1529</v>
      </c>
      <c r="L2327" s="26">
        <v>1</v>
      </c>
      <c r="M2327" s="26">
        <v>1</v>
      </c>
      <c r="N2327" s="28">
        <v>1</v>
      </c>
      <c r="O2327" s="26">
        <v>0.4</v>
      </c>
      <c r="P2327" s="26">
        <v>0.4</v>
      </c>
      <c r="Q2327" s="26">
        <v>0</v>
      </c>
      <c r="R2327" s="26"/>
      <c r="S2327" s="26">
        <v>0</v>
      </c>
      <c r="T2327" s="26">
        <v>0</v>
      </c>
      <c r="U2327" s="26">
        <v>0</v>
      </c>
      <c r="V2327" s="28">
        <v>0</v>
      </c>
      <c r="W2327" s="26">
        <v>0</v>
      </c>
      <c r="X2327" s="26">
        <v>0</v>
      </c>
      <c r="Y2327" s="26">
        <v>0</v>
      </c>
      <c r="Z2327" s="26">
        <v>0</v>
      </c>
    </row>
    <row r="2328" spans="1:26" x14ac:dyDescent="0.2">
      <c r="A2328">
        <f t="shared" si="74"/>
        <v>5</v>
      </c>
      <c r="B2328">
        <f t="shared" si="75"/>
        <v>19</v>
      </c>
      <c r="C2328" s="27">
        <v>46148</v>
      </c>
      <c r="D2328" s="26" t="s">
        <v>26</v>
      </c>
      <c r="E2328" s="26" t="s">
        <v>27</v>
      </c>
      <c r="F2328" s="26" t="s">
        <v>28</v>
      </c>
      <c r="G2328" s="26" t="s">
        <v>29</v>
      </c>
      <c r="H2328" s="26" t="s">
        <v>30</v>
      </c>
      <c r="I2328" s="26" t="s">
        <v>44</v>
      </c>
      <c r="J2328" s="26" t="s">
        <v>32</v>
      </c>
      <c r="K2328" s="26" t="s">
        <v>837</v>
      </c>
      <c r="L2328" s="26">
        <v>2</v>
      </c>
      <c r="M2328" s="26">
        <v>1</v>
      </c>
      <c r="N2328" s="28">
        <v>0.5</v>
      </c>
      <c r="O2328" s="26">
        <v>0.21</v>
      </c>
      <c r="P2328" s="26">
        <v>0.21</v>
      </c>
      <c r="Q2328" s="26">
        <v>0</v>
      </c>
      <c r="R2328" s="26"/>
      <c r="S2328" s="26">
        <v>0</v>
      </c>
      <c r="T2328" s="26">
        <v>0</v>
      </c>
      <c r="U2328" s="26">
        <v>0</v>
      </c>
      <c r="V2328" s="28">
        <v>0</v>
      </c>
      <c r="W2328" s="26">
        <v>0</v>
      </c>
      <c r="X2328" s="26">
        <v>0</v>
      </c>
      <c r="Y2328" s="26">
        <v>0</v>
      </c>
      <c r="Z2328" s="26">
        <v>0</v>
      </c>
    </row>
    <row r="2329" spans="1:26" x14ac:dyDescent="0.2">
      <c r="A2329">
        <f t="shared" si="74"/>
        <v>5</v>
      </c>
      <c r="B2329">
        <f t="shared" si="75"/>
        <v>21</v>
      </c>
      <c r="C2329" s="27">
        <v>46159</v>
      </c>
      <c r="D2329" s="26" t="s">
        <v>26</v>
      </c>
      <c r="E2329" s="26" t="s">
        <v>39</v>
      </c>
      <c r="F2329" s="26" t="s">
        <v>40</v>
      </c>
      <c r="G2329" s="26" t="s">
        <v>29</v>
      </c>
      <c r="H2329" s="26" t="s">
        <v>30</v>
      </c>
      <c r="I2329" s="26" t="s">
        <v>1134</v>
      </c>
      <c r="J2329" s="26" t="s">
        <v>42</v>
      </c>
      <c r="K2329" s="26" t="s">
        <v>381</v>
      </c>
      <c r="L2329" s="26">
        <v>3</v>
      </c>
      <c r="M2329" s="26">
        <v>1</v>
      </c>
      <c r="N2329" s="28">
        <v>0.33333299999999999</v>
      </c>
      <c r="O2329" s="26">
        <v>0.6</v>
      </c>
      <c r="P2329" s="26">
        <v>0.6</v>
      </c>
      <c r="Q2329" s="26">
        <v>0</v>
      </c>
      <c r="R2329" s="26"/>
      <c r="S2329" s="26">
        <v>0</v>
      </c>
      <c r="T2329" s="26">
        <v>0</v>
      </c>
      <c r="U2329" s="26">
        <v>0</v>
      </c>
      <c r="V2329" s="28">
        <v>0</v>
      </c>
      <c r="W2329" s="26">
        <v>0</v>
      </c>
      <c r="X2329" s="26">
        <v>0</v>
      </c>
      <c r="Y2329" s="26">
        <v>0</v>
      </c>
      <c r="Z2329" s="26">
        <v>0</v>
      </c>
    </row>
    <row r="2330" spans="1:26" x14ac:dyDescent="0.2">
      <c r="A2330">
        <f t="shared" si="74"/>
        <v>5</v>
      </c>
      <c r="B2330">
        <f t="shared" si="75"/>
        <v>19</v>
      </c>
      <c r="C2330" s="27">
        <v>46145</v>
      </c>
      <c r="D2330" s="26" t="s">
        <v>26</v>
      </c>
      <c r="E2330" s="26" t="s">
        <v>27</v>
      </c>
      <c r="F2330" s="26" t="s">
        <v>124</v>
      </c>
      <c r="G2330" s="26" t="s">
        <v>29</v>
      </c>
      <c r="H2330" s="26" t="s">
        <v>30</v>
      </c>
      <c r="I2330" s="26" t="s">
        <v>101</v>
      </c>
      <c r="J2330" s="26" t="s">
        <v>87</v>
      </c>
      <c r="K2330" s="26" t="s">
        <v>553</v>
      </c>
      <c r="L2330" s="26">
        <v>1</v>
      </c>
      <c r="M2330" s="26">
        <v>1</v>
      </c>
      <c r="N2330" s="28">
        <v>1</v>
      </c>
      <c r="O2330" s="26">
        <v>0.21</v>
      </c>
      <c r="P2330" s="26">
        <v>0.21</v>
      </c>
      <c r="Q2330" s="26">
        <v>0</v>
      </c>
      <c r="R2330" s="26"/>
      <c r="S2330" s="26">
        <v>0</v>
      </c>
      <c r="T2330" s="26">
        <v>0</v>
      </c>
      <c r="U2330" s="26">
        <v>0</v>
      </c>
      <c r="V2330" s="28">
        <v>0</v>
      </c>
      <c r="W2330" s="26">
        <v>0</v>
      </c>
      <c r="X2330" s="26">
        <v>0</v>
      </c>
      <c r="Y2330" s="26">
        <v>0</v>
      </c>
      <c r="Z2330" s="26">
        <v>0</v>
      </c>
    </row>
    <row r="2331" spans="1:26" x14ac:dyDescent="0.2">
      <c r="A2331">
        <f t="shared" si="74"/>
        <v>5</v>
      </c>
      <c r="B2331">
        <f t="shared" si="75"/>
        <v>19</v>
      </c>
      <c r="C2331" s="27">
        <v>46150</v>
      </c>
      <c r="D2331" s="26" t="s">
        <v>26</v>
      </c>
      <c r="E2331" s="26" t="s">
        <v>39</v>
      </c>
      <c r="F2331" s="26" t="s">
        <v>40</v>
      </c>
      <c r="G2331" s="26" t="s">
        <v>29</v>
      </c>
      <c r="H2331" s="26" t="s">
        <v>30</v>
      </c>
      <c r="I2331" s="26" t="s">
        <v>1134</v>
      </c>
      <c r="J2331" s="26" t="s">
        <v>42</v>
      </c>
      <c r="K2331" s="26" t="s">
        <v>1530</v>
      </c>
      <c r="L2331" s="26">
        <v>4</v>
      </c>
      <c r="M2331" s="26">
        <v>1</v>
      </c>
      <c r="N2331" s="28">
        <v>0.25</v>
      </c>
      <c r="O2331" s="26">
        <v>0.56000000000000005</v>
      </c>
      <c r="P2331" s="26">
        <v>0.56000000000000005</v>
      </c>
      <c r="Q2331" s="26">
        <v>0</v>
      </c>
      <c r="R2331" s="26"/>
      <c r="S2331" s="26">
        <v>0</v>
      </c>
      <c r="T2331" s="26">
        <v>0</v>
      </c>
      <c r="U2331" s="26">
        <v>0</v>
      </c>
      <c r="V2331" s="28">
        <v>0</v>
      </c>
      <c r="W2331" s="26">
        <v>0</v>
      </c>
      <c r="X2331" s="26">
        <v>0</v>
      </c>
      <c r="Y2331" s="26">
        <v>0</v>
      </c>
      <c r="Z2331" s="26">
        <v>0</v>
      </c>
    </row>
    <row r="2332" spans="1:26" x14ac:dyDescent="0.2">
      <c r="A2332">
        <f t="shared" si="74"/>
        <v>5</v>
      </c>
      <c r="B2332">
        <f t="shared" si="75"/>
        <v>19</v>
      </c>
      <c r="C2332" s="27">
        <v>46151</v>
      </c>
      <c r="D2332" s="26" t="s">
        <v>26</v>
      </c>
      <c r="E2332" s="26" t="s">
        <v>27</v>
      </c>
      <c r="F2332" s="26" t="s">
        <v>28</v>
      </c>
      <c r="G2332" s="26" t="s">
        <v>29</v>
      </c>
      <c r="H2332" s="26" t="s">
        <v>30</v>
      </c>
      <c r="I2332" s="26" t="s">
        <v>31</v>
      </c>
      <c r="J2332" s="26" t="s">
        <v>32</v>
      </c>
      <c r="K2332" s="26" t="s">
        <v>1531</v>
      </c>
      <c r="L2332" s="26">
        <v>4</v>
      </c>
      <c r="M2332" s="26">
        <v>1</v>
      </c>
      <c r="N2332" s="28">
        <v>0.25</v>
      </c>
      <c r="O2332" s="26">
        <v>0.4</v>
      </c>
      <c r="P2332" s="26">
        <v>0.4</v>
      </c>
      <c r="Q2332" s="26">
        <v>0</v>
      </c>
      <c r="R2332" s="26"/>
      <c r="S2332" s="26">
        <v>0</v>
      </c>
      <c r="T2332" s="26">
        <v>0</v>
      </c>
      <c r="U2332" s="26">
        <v>0</v>
      </c>
      <c r="V2332" s="28">
        <v>0</v>
      </c>
      <c r="W2332" s="26">
        <v>0</v>
      </c>
      <c r="X2332" s="26">
        <v>0</v>
      </c>
      <c r="Y2332" s="26">
        <v>0</v>
      </c>
      <c r="Z2332" s="26">
        <v>0</v>
      </c>
    </row>
    <row r="2333" spans="1:26" x14ac:dyDescent="0.2">
      <c r="A2333">
        <f t="shared" si="74"/>
        <v>5</v>
      </c>
      <c r="B2333">
        <f t="shared" si="75"/>
        <v>21</v>
      </c>
      <c r="C2333" s="27">
        <v>46161</v>
      </c>
      <c r="D2333" s="26" t="s">
        <v>26</v>
      </c>
      <c r="E2333" s="26" t="s">
        <v>39</v>
      </c>
      <c r="F2333" s="26" t="s">
        <v>40</v>
      </c>
      <c r="G2333" s="26" t="s">
        <v>29</v>
      </c>
      <c r="H2333" s="26" t="s">
        <v>30</v>
      </c>
      <c r="I2333" s="26" t="s">
        <v>1134</v>
      </c>
      <c r="J2333" s="26" t="s">
        <v>42</v>
      </c>
      <c r="K2333" s="26" t="s">
        <v>50</v>
      </c>
      <c r="L2333" s="26">
        <v>6</v>
      </c>
      <c r="M2333" s="26">
        <v>1</v>
      </c>
      <c r="N2333" s="28">
        <v>0.16666700000000001</v>
      </c>
      <c r="O2333" s="26">
        <v>0.6</v>
      </c>
      <c r="P2333" s="26">
        <v>0.6</v>
      </c>
      <c r="Q2333" s="26">
        <v>0</v>
      </c>
      <c r="R2333" s="26"/>
      <c r="S2333" s="26">
        <v>0</v>
      </c>
      <c r="T2333" s="26">
        <v>0</v>
      </c>
      <c r="U2333" s="26">
        <v>0</v>
      </c>
      <c r="V2333" s="28">
        <v>0</v>
      </c>
      <c r="W2333" s="26">
        <v>0</v>
      </c>
      <c r="X2333" s="26">
        <v>0</v>
      </c>
      <c r="Y2333" s="26">
        <v>0</v>
      </c>
      <c r="Z2333" s="26">
        <v>0</v>
      </c>
    </row>
    <row r="2334" spans="1:26" x14ac:dyDescent="0.2">
      <c r="A2334">
        <f t="shared" si="74"/>
        <v>5</v>
      </c>
      <c r="B2334">
        <f t="shared" si="75"/>
        <v>20</v>
      </c>
      <c r="C2334" s="27">
        <v>46154</v>
      </c>
      <c r="D2334" s="26" t="s">
        <v>26</v>
      </c>
      <c r="E2334" s="26" t="s">
        <v>27</v>
      </c>
      <c r="F2334" s="26" t="s">
        <v>28</v>
      </c>
      <c r="G2334" s="26" t="s">
        <v>29</v>
      </c>
      <c r="H2334" s="26" t="s">
        <v>30</v>
      </c>
      <c r="I2334" s="26" t="s">
        <v>101</v>
      </c>
      <c r="J2334" s="26" t="s">
        <v>32</v>
      </c>
      <c r="K2334" s="26" t="s">
        <v>50</v>
      </c>
      <c r="L2334" s="26">
        <v>1</v>
      </c>
      <c r="M2334" s="26">
        <v>1</v>
      </c>
      <c r="N2334" s="28">
        <v>1</v>
      </c>
      <c r="O2334" s="26">
        <v>0.21</v>
      </c>
      <c r="P2334" s="26">
        <v>0.21</v>
      </c>
      <c r="Q2334" s="26">
        <v>0</v>
      </c>
      <c r="R2334" s="26"/>
      <c r="S2334" s="26">
        <v>0</v>
      </c>
      <c r="T2334" s="26">
        <v>0</v>
      </c>
      <c r="U2334" s="26">
        <v>0</v>
      </c>
      <c r="V2334" s="28">
        <v>0</v>
      </c>
      <c r="W2334" s="26">
        <v>0</v>
      </c>
      <c r="X2334" s="26">
        <v>0</v>
      </c>
      <c r="Y2334" s="26">
        <v>0</v>
      </c>
      <c r="Z2334" s="26">
        <v>0</v>
      </c>
    </row>
    <row r="2335" spans="1:26" x14ac:dyDescent="0.2">
      <c r="A2335">
        <f t="shared" si="74"/>
        <v>5</v>
      </c>
      <c r="B2335">
        <f t="shared" si="75"/>
        <v>19</v>
      </c>
      <c r="C2335" s="27">
        <v>46145</v>
      </c>
      <c r="D2335" s="26" t="s">
        <v>26</v>
      </c>
      <c r="E2335" s="26" t="s">
        <v>49</v>
      </c>
      <c r="F2335" s="26" t="s">
        <v>50</v>
      </c>
      <c r="G2335" s="26" t="s">
        <v>29</v>
      </c>
      <c r="H2335" s="26" t="s">
        <v>30</v>
      </c>
      <c r="I2335" s="26" t="s">
        <v>47</v>
      </c>
      <c r="J2335" s="26" t="s">
        <v>42</v>
      </c>
      <c r="K2335" s="26" t="s">
        <v>280</v>
      </c>
      <c r="L2335" s="26">
        <v>7</v>
      </c>
      <c r="M2335" s="26">
        <v>1</v>
      </c>
      <c r="N2335" s="28">
        <v>0.14285700000000001</v>
      </c>
      <c r="O2335" s="26">
        <v>1.1399999999999999</v>
      </c>
      <c r="P2335" s="26">
        <v>1.1399999999999999</v>
      </c>
      <c r="Q2335" s="26">
        <v>0</v>
      </c>
      <c r="R2335" s="26"/>
      <c r="S2335" s="26">
        <v>0</v>
      </c>
      <c r="T2335" s="26">
        <v>0</v>
      </c>
      <c r="U2335" s="26">
        <v>0</v>
      </c>
      <c r="V2335" s="28">
        <v>0</v>
      </c>
      <c r="W2335" s="26">
        <v>0</v>
      </c>
      <c r="X2335" s="26">
        <v>0</v>
      </c>
      <c r="Y2335" s="26">
        <v>0</v>
      </c>
      <c r="Z2335" s="26">
        <v>0</v>
      </c>
    </row>
    <row r="2336" spans="1:26" x14ac:dyDescent="0.2">
      <c r="A2336">
        <f t="shared" si="74"/>
        <v>5</v>
      </c>
      <c r="B2336">
        <f t="shared" si="75"/>
        <v>20</v>
      </c>
      <c r="C2336" s="27">
        <v>46156</v>
      </c>
      <c r="D2336" s="26" t="s">
        <v>26</v>
      </c>
      <c r="E2336" s="26" t="s">
        <v>49</v>
      </c>
      <c r="F2336" s="26" t="s">
        <v>50</v>
      </c>
      <c r="G2336" s="26" t="s">
        <v>29</v>
      </c>
      <c r="H2336" s="26" t="s">
        <v>30</v>
      </c>
      <c r="I2336" s="26" t="s">
        <v>47</v>
      </c>
      <c r="J2336" s="26" t="s">
        <v>42</v>
      </c>
      <c r="K2336" s="26" t="s">
        <v>280</v>
      </c>
      <c r="L2336" s="26">
        <v>4</v>
      </c>
      <c r="M2336" s="26">
        <v>2</v>
      </c>
      <c r="N2336" s="28">
        <v>0.5</v>
      </c>
      <c r="O2336" s="26">
        <v>0.96</v>
      </c>
      <c r="P2336" s="26">
        <v>1.92</v>
      </c>
      <c r="Q2336" s="26">
        <v>0</v>
      </c>
      <c r="R2336" s="26"/>
      <c r="S2336" s="26">
        <v>0</v>
      </c>
      <c r="T2336" s="26">
        <v>0</v>
      </c>
      <c r="U2336" s="26">
        <v>0</v>
      </c>
      <c r="V2336" s="28">
        <v>0</v>
      </c>
      <c r="W2336" s="26">
        <v>0</v>
      </c>
      <c r="X2336" s="26">
        <v>0</v>
      </c>
      <c r="Y2336" s="26">
        <v>0</v>
      </c>
      <c r="Z2336" s="26">
        <v>0</v>
      </c>
    </row>
    <row r="2337" spans="1:26" x14ac:dyDescent="0.2">
      <c r="A2337">
        <f t="shared" si="74"/>
        <v>5</v>
      </c>
      <c r="B2337">
        <f t="shared" si="75"/>
        <v>20</v>
      </c>
      <c r="C2337" s="27">
        <v>46152</v>
      </c>
      <c r="D2337" s="26" t="s">
        <v>26</v>
      </c>
      <c r="E2337" s="26" t="s">
        <v>27</v>
      </c>
      <c r="F2337" s="26" t="s">
        <v>124</v>
      </c>
      <c r="G2337" s="26" t="s">
        <v>29</v>
      </c>
      <c r="H2337" s="26" t="s">
        <v>30</v>
      </c>
      <c r="I2337" s="26" t="s">
        <v>280</v>
      </c>
      <c r="J2337" s="26" t="s">
        <v>87</v>
      </c>
      <c r="K2337" s="26" t="s">
        <v>280</v>
      </c>
      <c r="L2337" s="26">
        <v>32</v>
      </c>
      <c r="M2337" s="26">
        <v>1</v>
      </c>
      <c r="N2337" s="28">
        <v>3.125E-2</v>
      </c>
      <c r="O2337" s="26">
        <v>0.2</v>
      </c>
      <c r="P2337" s="26">
        <v>0.2</v>
      </c>
      <c r="Q2337" s="26">
        <v>17.47</v>
      </c>
      <c r="R2337" s="28">
        <v>1.1448E-2</v>
      </c>
      <c r="S2337" s="26">
        <v>87.35</v>
      </c>
      <c r="T2337" s="26">
        <v>1</v>
      </c>
      <c r="U2337" s="26">
        <v>1</v>
      </c>
      <c r="V2337" s="28">
        <v>1</v>
      </c>
      <c r="W2337" s="26">
        <v>1</v>
      </c>
      <c r="X2337" s="26">
        <v>0</v>
      </c>
      <c r="Y2337" s="26">
        <v>17.47</v>
      </c>
      <c r="Z2337" s="26">
        <v>0</v>
      </c>
    </row>
    <row r="2338" spans="1:26" x14ac:dyDescent="0.2">
      <c r="A2338">
        <f t="shared" si="74"/>
        <v>5</v>
      </c>
      <c r="B2338">
        <f t="shared" si="75"/>
        <v>20</v>
      </c>
      <c r="C2338" s="27">
        <v>46155</v>
      </c>
      <c r="D2338" s="26" t="s">
        <v>26</v>
      </c>
      <c r="E2338" s="26" t="s">
        <v>27</v>
      </c>
      <c r="F2338" s="26" t="s">
        <v>124</v>
      </c>
      <c r="G2338" s="26" t="s">
        <v>29</v>
      </c>
      <c r="H2338" s="26" t="s">
        <v>30</v>
      </c>
      <c r="I2338" s="26" t="s">
        <v>280</v>
      </c>
      <c r="J2338" s="26" t="s">
        <v>87</v>
      </c>
      <c r="K2338" s="26" t="s">
        <v>280</v>
      </c>
      <c r="L2338" s="26">
        <v>8</v>
      </c>
      <c r="M2338" s="26">
        <v>1</v>
      </c>
      <c r="N2338" s="28">
        <v>0.125</v>
      </c>
      <c r="O2338" s="26">
        <v>0.2</v>
      </c>
      <c r="P2338" s="26">
        <v>0.2</v>
      </c>
      <c r="Q2338" s="26">
        <v>17.47</v>
      </c>
      <c r="R2338" s="28">
        <v>1.1448E-2</v>
      </c>
      <c r="S2338" s="26">
        <v>87.35</v>
      </c>
      <c r="T2338" s="26">
        <v>1</v>
      </c>
      <c r="U2338" s="26">
        <v>1</v>
      </c>
      <c r="V2338" s="28">
        <v>1</v>
      </c>
      <c r="W2338" s="26">
        <v>1</v>
      </c>
      <c r="X2338" s="26">
        <v>0</v>
      </c>
      <c r="Y2338" s="26">
        <v>17.47</v>
      </c>
      <c r="Z2338" s="26">
        <v>0</v>
      </c>
    </row>
    <row r="2339" spans="1:26" x14ac:dyDescent="0.2">
      <c r="A2339">
        <f t="shared" si="74"/>
        <v>5</v>
      </c>
      <c r="B2339">
        <f t="shared" si="75"/>
        <v>21</v>
      </c>
      <c r="C2339" s="27">
        <v>46159</v>
      </c>
      <c r="D2339" s="26" t="s">
        <v>26</v>
      </c>
      <c r="E2339" s="26" t="s">
        <v>27</v>
      </c>
      <c r="F2339" s="26" t="s">
        <v>124</v>
      </c>
      <c r="G2339" s="26" t="s">
        <v>29</v>
      </c>
      <c r="H2339" s="26" t="s">
        <v>30</v>
      </c>
      <c r="I2339" s="26" t="s">
        <v>280</v>
      </c>
      <c r="J2339" s="26" t="s">
        <v>87</v>
      </c>
      <c r="K2339" s="26" t="s">
        <v>280</v>
      </c>
      <c r="L2339" s="26">
        <v>7</v>
      </c>
      <c r="M2339" s="26">
        <v>1</v>
      </c>
      <c r="N2339" s="28">
        <v>0.14285700000000001</v>
      </c>
      <c r="O2339" s="26">
        <v>0.2</v>
      </c>
      <c r="P2339" s="26">
        <v>0.2</v>
      </c>
      <c r="Q2339" s="26">
        <v>0</v>
      </c>
      <c r="R2339" s="26"/>
      <c r="S2339" s="26">
        <v>0</v>
      </c>
      <c r="T2339" s="26">
        <v>0</v>
      </c>
      <c r="U2339" s="26">
        <v>0</v>
      </c>
      <c r="V2339" s="28">
        <v>0</v>
      </c>
      <c r="W2339" s="26">
        <v>0</v>
      </c>
      <c r="X2339" s="26">
        <v>0</v>
      </c>
      <c r="Y2339" s="26">
        <v>0</v>
      </c>
      <c r="Z2339" s="26">
        <v>0</v>
      </c>
    </row>
    <row r="2340" spans="1:26" x14ac:dyDescent="0.2">
      <c r="A2340">
        <f t="shared" si="74"/>
        <v>5</v>
      </c>
      <c r="B2340">
        <f t="shared" si="75"/>
        <v>21</v>
      </c>
      <c r="C2340" s="27">
        <v>46162</v>
      </c>
      <c r="D2340" s="26" t="s">
        <v>26</v>
      </c>
      <c r="E2340" s="26" t="s">
        <v>27</v>
      </c>
      <c r="F2340" s="26" t="s">
        <v>124</v>
      </c>
      <c r="G2340" s="26" t="s">
        <v>29</v>
      </c>
      <c r="H2340" s="26" t="s">
        <v>30</v>
      </c>
      <c r="I2340" s="26" t="s">
        <v>280</v>
      </c>
      <c r="J2340" s="26" t="s">
        <v>87</v>
      </c>
      <c r="K2340" s="26" t="s">
        <v>280</v>
      </c>
      <c r="L2340" s="26">
        <v>23</v>
      </c>
      <c r="M2340" s="26">
        <v>2</v>
      </c>
      <c r="N2340" s="28">
        <v>8.6957000000000007E-2</v>
      </c>
      <c r="O2340" s="26">
        <v>0.2</v>
      </c>
      <c r="P2340" s="26">
        <v>0.4</v>
      </c>
      <c r="Q2340" s="26">
        <v>34.94</v>
      </c>
      <c r="R2340" s="28">
        <v>1.1448E-2</v>
      </c>
      <c r="S2340" s="26">
        <v>87.35</v>
      </c>
      <c r="T2340" s="26">
        <v>1</v>
      </c>
      <c r="U2340" s="26">
        <v>2</v>
      </c>
      <c r="V2340" s="28">
        <v>0.5</v>
      </c>
      <c r="W2340" s="26">
        <v>2</v>
      </c>
      <c r="X2340" s="26">
        <v>0</v>
      </c>
      <c r="Y2340" s="26">
        <v>34.94</v>
      </c>
      <c r="Z2340" s="26">
        <v>0</v>
      </c>
    </row>
    <row r="2341" spans="1:26" x14ac:dyDescent="0.2">
      <c r="A2341">
        <f t="shared" si="74"/>
        <v>5</v>
      </c>
      <c r="B2341">
        <f t="shared" si="75"/>
        <v>21</v>
      </c>
      <c r="C2341" s="27">
        <v>46163</v>
      </c>
      <c r="D2341" s="26" t="s">
        <v>26</v>
      </c>
      <c r="E2341" s="26" t="s">
        <v>49</v>
      </c>
      <c r="F2341" s="26" t="s">
        <v>50</v>
      </c>
      <c r="G2341" s="26" t="s">
        <v>29</v>
      </c>
      <c r="H2341" s="26" t="s">
        <v>30</v>
      </c>
      <c r="I2341" s="26" t="s">
        <v>95</v>
      </c>
      <c r="J2341" s="26" t="s">
        <v>42</v>
      </c>
      <c r="K2341" s="26" t="s">
        <v>1532</v>
      </c>
      <c r="L2341" s="26">
        <v>2</v>
      </c>
      <c r="M2341" s="26">
        <v>1</v>
      </c>
      <c r="N2341" s="28">
        <v>0.5</v>
      </c>
      <c r="O2341" s="26">
        <v>0.56000000000000005</v>
      </c>
      <c r="P2341" s="26">
        <v>0.56000000000000005</v>
      </c>
      <c r="Q2341" s="26">
        <v>0</v>
      </c>
      <c r="R2341" s="26"/>
      <c r="S2341" s="26">
        <v>0</v>
      </c>
      <c r="T2341" s="26">
        <v>0</v>
      </c>
      <c r="U2341" s="26">
        <v>0</v>
      </c>
      <c r="V2341" s="28">
        <v>0</v>
      </c>
      <c r="W2341" s="26">
        <v>0</v>
      </c>
      <c r="X2341" s="26">
        <v>0</v>
      </c>
      <c r="Y2341" s="26">
        <v>0</v>
      </c>
      <c r="Z2341" s="26">
        <v>0</v>
      </c>
    </row>
    <row r="2342" spans="1:26" x14ac:dyDescent="0.2">
      <c r="A2342">
        <f t="shared" si="74"/>
        <v>5</v>
      </c>
      <c r="B2342">
        <f t="shared" si="75"/>
        <v>20</v>
      </c>
      <c r="C2342" s="27">
        <v>46157</v>
      </c>
      <c r="D2342" s="26" t="s">
        <v>26</v>
      </c>
      <c r="E2342" s="26" t="s">
        <v>27</v>
      </c>
      <c r="F2342" s="26" t="s">
        <v>28</v>
      </c>
      <c r="G2342" s="26" t="s">
        <v>29</v>
      </c>
      <c r="H2342" s="26" t="s">
        <v>30</v>
      </c>
      <c r="I2342" s="26" t="s">
        <v>119</v>
      </c>
      <c r="J2342" s="26" t="s">
        <v>32</v>
      </c>
      <c r="K2342" s="26" t="s">
        <v>559</v>
      </c>
      <c r="L2342" s="26">
        <v>4</v>
      </c>
      <c r="M2342" s="26">
        <v>1</v>
      </c>
      <c r="N2342" s="28">
        <v>0.25</v>
      </c>
      <c r="O2342" s="26">
        <v>0.16</v>
      </c>
      <c r="P2342" s="26">
        <v>0.16</v>
      </c>
      <c r="Q2342" s="26">
        <v>0</v>
      </c>
      <c r="R2342" s="26"/>
      <c r="S2342" s="26">
        <v>0</v>
      </c>
      <c r="T2342" s="26">
        <v>0</v>
      </c>
      <c r="U2342" s="26">
        <v>0</v>
      </c>
      <c r="V2342" s="28">
        <v>0</v>
      </c>
      <c r="W2342" s="26">
        <v>0</v>
      </c>
      <c r="X2342" s="26">
        <v>0</v>
      </c>
      <c r="Y2342" s="26">
        <v>0</v>
      </c>
      <c r="Z2342" s="26">
        <v>0</v>
      </c>
    </row>
    <row r="2343" spans="1:26" x14ac:dyDescent="0.2">
      <c r="A2343">
        <f t="shared" si="74"/>
        <v>5</v>
      </c>
      <c r="B2343">
        <f t="shared" si="75"/>
        <v>21</v>
      </c>
      <c r="C2343" s="27">
        <v>46162</v>
      </c>
      <c r="D2343" s="26" t="s">
        <v>26</v>
      </c>
      <c r="E2343" s="26" t="s">
        <v>27</v>
      </c>
      <c r="F2343" s="26" t="s">
        <v>28</v>
      </c>
      <c r="G2343" s="26" t="s">
        <v>29</v>
      </c>
      <c r="H2343" s="26" t="s">
        <v>30</v>
      </c>
      <c r="I2343" s="26" t="s">
        <v>119</v>
      </c>
      <c r="J2343" s="26" t="s">
        <v>32</v>
      </c>
      <c r="K2343" s="26" t="s">
        <v>559</v>
      </c>
      <c r="L2343" s="26">
        <v>6</v>
      </c>
      <c r="M2343" s="26">
        <v>1</v>
      </c>
      <c r="N2343" s="28">
        <v>0.16666700000000001</v>
      </c>
      <c r="O2343" s="26">
        <v>0.15</v>
      </c>
      <c r="P2343" s="26">
        <v>0.15</v>
      </c>
      <c r="Q2343" s="26">
        <v>0</v>
      </c>
      <c r="R2343" s="26"/>
      <c r="S2343" s="26">
        <v>0</v>
      </c>
      <c r="T2343" s="26">
        <v>0</v>
      </c>
      <c r="U2343" s="26">
        <v>0</v>
      </c>
      <c r="V2343" s="28">
        <v>0</v>
      </c>
      <c r="W2343" s="26">
        <v>0</v>
      </c>
      <c r="X2343" s="26">
        <v>0</v>
      </c>
      <c r="Y2343" s="26">
        <v>0</v>
      </c>
      <c r="Z2343" s="26">
        <v>0</v>
      </c>
    </row>
    <row r="2344" spans="1:26" x14ac:dyDescent="0.2">
      <c r="A2344">
        <f t="shared" si="74"/>
        <v>5</v>
      </c>
      <c r="B2344">
        <f t="shared" si="75"/>
        <v>18</v>
      </c>
      <c r="C2344" s="27">
        <v>46144</v>
      </c>
      <c r="D2344" s="26" t="s">
        <v>26</v>
      </c>
      <c r="E2344" s="26" t="s">
        <v>27</v>
      </c>
      <c r="F2344" s="26" t="s">
        <v>28</v>
      </c>
      <c r="G2344" s="26" t="s">
        <v>29</v>
      </c>
      <c r="H2344" s="26" t="s">
        <v>30</v>
      </c>
      <c r="I2344" s="26" t="s">
        <v>50</v>
      </c>
      <c r="J2344" s="26" t="s">
        <v>32</v>
      </c>
      <c r="K2344" s="26" t="s">
        <v>285</v>
      </c>
      <c r="L2344" s="26">
        <v>22</v>
      </c>
      <c r="M2344" s="26">
        <v>1</v>
      </c>
      <c r="N2344" s="28">
        <v>4.5455000000000002E-2</v>
      </c>
      <c r="O2344" s="26">
        <v>0.2</v>
      </c>
      <c r="P2344" s="26">
        <v>0.2</v>
      </c>
      <c r="Q2344" s="26">
        <v>0</v>
      </c>
      <c r="R2344" s="26"/>
      <c r="S2344" s="26">
        <v>0</v>
      </c>
      <c r="T2344" s="26">
        <v>0</v>
      </c>
      <c r="U2344" s="26">
        <v>0</v>
      </c>
      <c r="V2344" s="28">
        <v>0</v>
      </c>
      <c r="W2344" s="26">
        <v>0</v>
      </c>
      <c r="X2344" s="26">
        <v>0</v>
      </c>
      <c r="Y2344" s="26">
        <v>0</v>
      </c>
      <c r="Z2344" s="26">
        <v>0</v>
      </c>
    </row>
    <row r="2345" spans="1:26" x14ac:dyDescent="0.2">
      <c r="A2345">
        <f t="shared" si="74"/>
        <v>5</v>
      </c>
      <c r="B2345">
        <f t="shared" si="75"/>
        <v>21</v>
      </c>
      <c r="C2345" s="27">
        <v>46163</v>
      </c>
      <c r="D2345" s="26" t="s">
        <v>26</v>
      </c>
      <c r="E2345" s="26" t="s">
        <v>27</v>
      </c>
      <c r="F2345" s="26" t="s">
        <v>28</v>
      </c>
      <c r="G2345" s="26" t="s">
        <v>29</v>
      </c>
      <c r="H2345" s="26" t="s">
        <v>30</v>
      </c>
      <c r="I2345" s="26" t="s">
        <v>31</v>
      </c>
      <c r="J2345" s="26" t="s">
        <v>32</v>
      </c>
      <c r="K2345" s="26" t="s">
        <v>1533</v>
      </c>
      <c r="L2345" s="26">
        <v>1</v>
      </c>
      <c r="M2345" s="26">
        <v>1</v>
      </c>
      <c r="N2345" s="28">
        <v>1</v>
      </c>
      <c r="O2345" s="26">
        <v>0.21</v>
      </c>
      <c r="P2345" s="26">
        <v>0.21</v>
      </c>
      <c r="Q2345" s="26">
        <v>0</v>
      </c>
      <c r="R2345" s="26"/>
      <c r="S2345" s="26">
        <v>0</v>
      </c>
      <c r="T2345" s="26">
        <v>0</v>
      </c>
      <c r="U2345" s="26">
        <v>0</v>
      </c>
      <c r="V2345" s="28">
        <v>0</v>
      </c>
      <c r="W2345" s="26">
        <v>0</v>
      </c>
      <c r="X2345" s="26">
        <v>0</v>
      </c>
      <c r="Y2345" s="26">
        <v>0</v>
      </c>
      <c r="Z2345" s="26">
        <v>0</v>
      </c>
    </row>
    <row r="2346" spans="1:26" x14ac:dyDescent="0.2">
      <c r="A2346">
        <f t="shared" si="74"/>
        <v>5</v>
      </c>
      <c r="B2346">
        <f t="shared" si="75"/>
        <v>21</v>
      </c>
      <c r="C2346" s="27">
        <v>46159</v>
      </c>
      <c r="D2346" s="26" t="s">
        <v>26</v>
      </c>
      <c r="E2346" s="26" t="s">
        <v>27</v>
      </c>
      <c r="F2346" s="26" t="s">
        <v>28</v>
      </c>
      <c r="G2346" s="26" t="s">
        <v>29</v>
      </c>
      <c r="H2346" s="26" t="s">
        <v>30</v>
      </c>
      <c r="I2346" s="26" t="s">
        <v>50</v>
      </c>
      <c r="J2346" s="26" t="s">
        <v>32</v>
      </c>
      <c r="K2346" s="26" t="s">
        <v>563</v>
      </c>
      <c r="L2346" s="26">
        <v>1</v>
      </c>
      <c r="M2346" s="26">
        <v>1</v>
      </c>
      <c r="N2346" s="28">
        <v>1</v>
      </c>
      <c r="O2346" s="26">
        <v>0.21</v>
      </c>
      <c r="P2346" s="26">
        <v>0.21</v>
      </c>
      <c r="Q2346" s="26">
        <v>0</v>
      </c>
      <c r="R2346" s="26"/>
      <c r="S2346" s="26">
        <v>0</v>
      </c>
      <c r="T2346" s="26">
        <v>0</v>
      </c>
      <c r="U2346" s="26">
        <v>0</v>
      </c>
      <c r="V2346" s="28">
        <v>0</v>
      </c>
      <c r="W2346" s="26">
        <v>0</v>
      </c>
      <c r="X2346" s="26">
        <v>0</v>
      </c>
      <c r="Y2346" s="26">
        <v>0</v>
      </c>
      <c r="Z2346" s="26">
        <v>0</v>
      </c>
    </row>
    <row r="2347" spans="1:26" x14ac:dyDescent="0.2">
      <c r="A2347">
        <f t="shared" si="74"/>
        <v>5</v>
      </c>
      <c r="B2347">
        <f t="shared" si="75"/>
        <v>20</v>
      </c>
      <c r="C2347" s="27">
        <v>46155</v>
      </c>
      <c r="D2347" s="26" t="s">
        <v>26</v>
      </c>
      <c r="E2347" s="26" t="s">
        <v>27</v>
      </c>
      <c r="F2347" s="26" t="s">
        <v>28</v>
      </c>
      <c r="G2347" s="26" t="s">
        <v>29</v>
      </c>
      <c r="H2347" s="26" t="s">
        <v>30</v>
      </c>
      <c r="I2347" s="26" t="s">
        <v>50</v>
      </c>
      <c r="J2347" s="26" t="s">
        <v>32</v>
      </c>
      <c r="K2347" s="26" t="s">
        <v>1534</v>
      </c>
      <c r="L2347" s="26">
        <v>1</v>
      </c>
      <c r="M2347" s="26">
        <v>1</v>
      </c>
      <c r="N2347" s="28">
        <v>1</v>
      </c>
      <c r="O2347" s="26">
        <v>0.23</v>
      </c>
      <c r="P2347" s="26">
        <v>0.23</v>
      </c>
      <c r="Q2347" s="26">
        <v>0</v>
      </c>
      <c r="R2347" s="26"/>
      <c r="S2347" s="26">
        <v>0</v>
      </c>
      <c r="T2347" s="26">
        <v>0</v>
      </c>
      <c r="U2347" s="26">
        <v>0</v>
      </c>
      <c r="V2347" s="28">
        <v>0</v>
      </c>
      <c r="W2347" s="26">
        <v>0</v>
      </c>
      <c r="X2347" s="26">
        <v>0</v>
      </c>
      <c r="Y2347" s="26">
        <v>0</v>
      </c>
      <c r="Z2347" s="26">
        <v>0</v>
      </c>
    </row>
    <row r="2348" spans="1:26" x14ac:dyDescent="0.2">
      <c r="A2348">
        <f t="shared" si="74"/>
        <v>5</v>
      </c>
      <c r="B2348">
        <f t="shared" si="75"/>
        <v>21</v>
      </c>
      <c r="C2348" s="27">
        <v>46159</v>
      </c>
      <c r="D2348" s="26" t="s">
        <v>26</v>
      </c>
      <c r="E2348" s="26" t="s">
        <v>27</v>
      </c>
      <c r="F2348" s="26" t="s">
        <v>28</v>
      </c>
      <c r="G2348" s="26" t="s">
        <v>29</v>
      </c>
      <c r="H2348" s="26" t="s">
        <v>30</v>
      </c>
      <c r="I2348" s="26" t="s">
        <v>44</v>
      </c>
      <c r="J2348" s="26" t="s">
        <v>32</v>
      </c>
      <c r="K2348" s="26" t="s">
        <v>1534</v>
      </c>
      <c r="L2348" s="26">
        <v>4</v>
      </c>
      <c r="M2348" s="26">
        <v>1</v>
      </c>
      <c r="N2348" s="28">
        <v>0.25</v>
      </c>
      <c r="O2348" s="26">
        <v>0.21</v>
      </c>
      <c r="P2348" s="26">
        <v>0.21</v>
      </c>
      <c r="Q2348" s="26">
        <v>0</v>
      </c>
      <c r="R2348" s="26"/>
      <c r="S2348" s="26">
        <v>0</v>
      </c>
      <c r="T2348" s="26">
        <v>0</v>
      </c>
      <c r="U2348" s="26">
        <v>0</v>
      </c>
      <c r="V2348" s="28">
        <v>0</v>
      </c>
      <c r="W2348" s="26">
        <v>0</v>
      </c>
      <c r="X2348" s="26">
        <v>0</v>
      </c>
      <c r="Y2348" s="26">
        <v>0</v>
      </c>
      <c r="Z2348" s="26">
        <v>0</v>
      </c>
    </row>
    <row r="2349" spans="1:26" x14ac:dyDescent="0.2">
      <c r="A2349">
        <f t="shared" si="74"/>
        <v>5</v>
      </c>
      <c r="B2349">
        <f t="shared" si="75"/>
        <v>19</v>
      </c>
      <c r="C2349" s="27">
        <v>46148</v>
      </c>
      <c r="D2349" s="26" t="s">
        <v>26</v>
      </c>
      <c r="E2349" s="26" t="s">
        <v>49</v>
      </c>
      <c r="F2349" s="26" t="s">
        <v>50</v>
      </c>
      <c r="G2349" s="26" t="s">
        <v>29</v>
      </c>
      <c r="H2349" s="26" t="s">
        <v>30</v>
      </c>
      <c r="I2349" s="26" t="s">
        <v>95</v>
      </c>
      <c r="J2349" s="26" t="s">
        <v>42</v>
      </c>
      <c r="K2349" s="26" t="s">
        <v>1535</v>
      </c>
      <c r="L2349" s="26">
        <v>2</v>
      </c>
      <c r="M2349" s="26">
        <v>1</v>
      </c>
      <c r="N2349" s="28">
        <v>0.5</v>
      </c>
      <c r="O2349" s="26">
        <v>0.73</v>
      </c>
      <c r="P2349" s="26">
        <v>0.73</v>
      </c>
      <c r="Q2349" s="26">
        <v>0</v>
      </c>
      <c r="R2349" s="26"/>
      <c r="S2349" s="26">
        <v>0</v>
      </c>
      <c r="T2349" s="26">
        <v>0</v>
      </c>
      <c r="U2349" s="26">
        <v>0</v>
      </c>
      <c r="V2349" s="28">
        <v>0</v>
      </c>
      <c r="W2349" s="26">
        <v>0</v>
      </c>
      <c r="X2349" s="26">
        <v>0</v>
      </c>
      <c r="Y2349" s="26">
        <v>0</v>
      </c>
      <c r="Z2349" s="26">
        <v>0</v>
      </c>
    </row>
    <row r="2350" spans="1:26" x14ac:dyDescent="0.2">
      <c r="A2350">
        <f t="shared" si="74"/>
        <v>5</v>
      </c>
      <c r="B2350">
        <f t="shared" si="75"/>
        <v>21</v>
      </c>
      <c r="C2350" s="27">
        <v>46161</v>
      </c>
      <c r="D2350" s="26" t="s">
        <v>26</v>
      </c>
      <c r="E2350" s="26" t="s">
        <v>27</v>
      </c>
      <c r="F2350" s="26" t="s">
        <v>28</v>
      </c>
      <c r="G2350" s="26" t="s">
        <v>29</v>
      </c>
      <c r="H2350" s="26" t="s">
        <v>30</v>
      </c>
      <c r="I2350" s="26" t="s">
        <v>243</v>
      </c>
      <c r="J2350" s="26" t="s">
        <v>32</v>
      </c>
      <c r="K2350" s="26" t="s">
        <v>1535</v>
      </c>
      <c r="L2350" s="26">
        <v>2</v>
      </c>
      <c r="M2350" s="26">
        <v>1</v>
      </c>
      <c r="N2350" s="28">
        <v>0.5</v>
      </c>
      <c r="O2350" s="26">
        <v>0.21</v>
      </c>
      <c r="P2350" s="26">
        <v>0.21</v>
      </c>
      <c r="Q2350" s="26">
        <v>0</v>
      </c>
      <c r="R2350" s="26"/>
      <c r="S2350" s="26">
        <v>0</v>
      </c>
      <c r="T2350" s="26">
        <v>0</v>
      </c>
      <c r="U2350" s="26">
        <v>0</v>
      </c>
      <c r="V2350" s="28">
        <v>0</v>
      </c>
      <c r="W2350" s="26">
        <v>0</v>
      </c>
      <c r="X2350" s="26">
        <v>0</v>
      </c>
      <c r="Y2350" s="26">
        <v>0</v>
      </c>
      <c r="Z2350" s="26">
        <v>0</v>
      </c>
    </row>
    <row r="2351" spans="1:26" x14ac:dyDescent="0.2">
      <c r="A2351">
        <f t="shared" si="74"/>
        <v>5</v>
      </c>
      <c r="B2351">
        <f t="shared" si="75"/>
        <v>19</v>
      </c>
      <c r="C2351" s="27">
        <v>46151</v>
      </c>
      <c r="D2351" s="26" t="s">
        <v>26</v>
      </c>
      <c r="E2351" s="26" t="s">
        <v>27</v>
      </c>
      <c r="F2351" s="26" t="s">
        <v>28</v>
      </c>
      <c r="G2351" s="26" t="s">
        <v>29</v>
      </c>
      <c r="H2351" s="26" t="s">
        <v>30</v>
      </c>
      <c r="I2351" s="26" t="s">
        <v>31</v>
      </c>
      <c r="J2351" s="26" t="s">
        <v>32</v>
      </c>
      <c r="K2351" s="26" t="s">
        <v>1536</v>
      </c>
      <c r="L2351" s="26">
        <v>2</v>
      </c>
      <c r="M2351" s="26">
        <v>1</v>
      </c>
      <c r="N2351" s="28">
        <v>0.5</v>
      </c>
      <c r="O2351" s="26">
        <v>0.2</v>
      </c>
      <c r="P2351" s="26">
        <v>0.2</v>
      </c>
      <c r="Q2351" s="26">
        <v>0</v>
      </c>
      <c r="R2351" s="26"/>
      <c r="S2351" s="26">
        <v>0</v>
      </c>
      <c r="T2351" s="26">
        <v>0</v>
      </c>
      <c r="U2351" s="26">
        <v>0</v>
      </c>
      <c r="V2351" s="28">
        <v>0</v>
      </c>
      <c r="W2351" s="26">
        <v>0</v>
      </c>
      <c r="X2351" s="26">
        <v>0</v>
      </c>
      <c r="Y2351" s="26">
        <v>0</v>
      </c>
      <c r="Z2351" s="26">
        <v>0</v>
      </c>
    </row>
    <row r="2352" spans="1:26" x14ac:dyDescent="0.2">
      <c r="A2352">
        <f t="shared" si="74"/>
        <v>5</v>
      </c>
      <c r="B2352">
        <f t="shared" si="75"/>
        <v>21</v>
      </c>
      <c r="C2352" s="27">
        <v>46160</v>
      </c>
      <c r="D2352" s="26" t="s">
        <v>26</v>
      </c>
      <c r="E2352" s="26" t="s">
        <v>27</v>
      </c>
      <c r="F2352" s="26" t="s">
        <v>28</v>
      </c>
      <c r="G2352" s="26" t="s">
        <v>29</v>
      </c>
      <c r="H2352" s="26" t="s">
        <v>30</v>
      </c>
      <c r="I2352" s="26" t="s">
        <v>31</v>
      </c>
      <c r="J2352" s="26" t="s">
        <v>32</v>
      </c>
      <c r="K2352" s="26" t="s">
        <v>1537</v>
      </c>
      <c r="L2352" s="26">
        <v>2</v>
      </c>
      <c r="M2352" s="26">
        <v>1</v>
      </c>
      <c r="N2352" s="28">
        <v>0.5</v>
      </c>
      <c r="O2352" s="26">
        <v>0.4</v>
      </c>
      <c r="P2352" s="26">
        <v>0.4</v>
      </c>
      <c r="Q2352" s="26">
        <v>17.47</v>
      </c>
      <c r="R2352" s="28">
        <v>2.2896E-2</v>
      </c>
      <c r="S2352" s="26">
        <v>43.68</v>
      </c>
      <c r="T2352" s="26">
        <v>1</v>
      </c>
      <c r="U2352" s="26">
        <v>1</v>
      </c>
      <c r="V2352" s="28">
        <v>1</v>
      </c>
      <c r="W2352" s="26">
        <v>1</v>
      </c>
      <c r="X2352" s="26">
        <v>0</v>
      </c>
      <c r="Y2352" s="26">
        <v>17.47</v>
      </c>
      <c r="Z2352" s="26">
        <v>0</v>
      </c>
    </row>
    <row r="2353" spans="1:26" x14ac:dyDescent="0.2">
      <c r="A2353">
        <f t="shared" si="74"/>
        <v>5</v>
      </c>
      <c r="B2353">
        <f t="shared" si="75"/>
        <v>21</v>
      </c>
      <c r="C2353" s="27">
        <v>46160</v>
      </c>
      <c r="D2353" s="26" t="s">
        <v>26</v>
      </c>
      <c r="E2353" s="26" t="s">
        <v>49</v>
      </c>
      <c r="F2353" s="26" t="s">
        <v>50</v>
      </c>
      <c r="G2353" s="26" t="s">
        <v>29</v>
      </c>
      <c r="H2353" s="26" t="s">
        <v>30</v>
      </c>
      <c r="I2353" s="26" t="s">
        <v>95</v>
      </c>
      <c r="J2353" s="26" t="s">
        <v>42</v>
      </c>
      <c r="K2353" s="26" t="s">
        <v>1538</v>
      </c>
      <c r="L2353" s="26">
        <v>2</v>
      </c>
      <c r="M2353" s="26">
        <v>1</v>
      </c>
      <c r="N2353" s="28">
        <v>0.5</v>
      </c>
      <c r="O2353" s="26">
        <v>0.5</v>
      </c>
      <c r="P2353" s="26">
        <v>0.5</v>
      </c>
      <c r="Q2353" s="26">
        <v>0</v>
      </c>
      <c r="R2353" s="26"/>
      <c r="S2353" s="26">
        <v>0</v>
      </c>
      <c r="T2353" s="26">
        <v>0</v>
      </c>
      <c r="U2353" s="26">
        <v>0</v>
      </c>
      <c r="V2353" s="28">
        <v>0</v>
      </c>
      <c r="W2353" s="26">
        <v>0</v>
      </c>
      <c r="X2353" s="26">
        <v>0</v>
      </c>
      <c r="Y2353" s="26">
        <v>0</v>
      </c>
      <c r="Z2353" s="26">
        <v>0</v>
      </c>
    </row>
    <row r="2354" spans="1:26" x14ac:dyDescent="0.2">
      <c r="A2354">
        <f t="shared" si="74"/>
        <v>5</v>
      </c>
      <c r="B2354">
        <f t="shared" si="75"/>
        <v>21</v>
      </c>
      <c r="C2354" s="27">
        <v>46159</v>
      </c>
      <c r="D2354" s="26" t="s">
        <v>26</v>
      </c>
      <c r="E2354" s="26" t="s">
        <v>27</v>
      </c>
      <c r="F2354" s="26" t="s">
        <v>28</v>
      </c>
      <c r="G2354" s="26" t="s">
        <v>29</v>
      </c>
      <c r="H2354" s="26" t="s">
        <v>30</v>
      </c>
      <c r="I2354" s="26" t="s">
        <v>280</v>
      </c>
      <c r="J2354" s="26" t="s">
        <v>32</v>
      </c>
      <c r="K2354" s="26" t="s">
        <v>851</v>
      </c>
      <c r="L2354" s="26">
        <v>2</v>
      </c>
      <c r="M2354" s="26">
        <v>1</v>
      </c>
      <c r="N2354" s="28">
        <v>0.5</v>
      </c>
      <c r="O2354" s="26">
        <v>0.21</v>
      </c>
      <c r="P2354" s="26">
        <v>0.21</v>
      </c>
      <c r="Q2354" s="26">
        <v>0</v>
      </c>
      <c r="R2354" s="26"/>
      <c r="S2354" s="26">
        <v>0</v>
      </c>
      <c r="T2354" s="26">
        <v>0</v>
      </c>
      <c r="U2354" s="26">
        <v>0</v>
      </c>
      <c r="V2354" s="28">
        <v>0</v>
      </c>
      <c r="W2354" s="26">
        <v>0</v>
      </c>
      <c r="X2354" s="26">
        <v>0</v>
      </c>
      <c r="Y2354" s="26">
        <v>0</v>
      </c>
      <c r="Z2354" s="26">
        <v>0</v>
      </c>
    </row>
    <row r="2355" spans="1:26" x14ac:dyDescent="0.2">
      <c r="A2355">
        <f t="shared" si="74"/>
        <v>5</v>
      </c>
      <c r="B2355">
        <f t="shared" si="75"/>
        <v>21</v>
      </c>
      <c r="C2355" s="27">
        <v>46162</v>
      </c>
      <c r="D2355" s="26" t="s">
        <v>26</v>
      </c>
      <c r="E2355" s="26" t="s">
        <v>27</v>
      </c>
      <c r="F2355" s="26" t="s">
        <v>28</v>
      </c>
      <c r="G2355" s="26" t="s">
        <v>29</v>
      </c>
      <c r="H2355" s="26" t="s">
        <v>30</v>
      </c>
      <c r="I2355" s="26" t="s">
        <v>50</v>
      </c>
      <c r="J2355" s="26" t="s">
        <v>32</v>
      </c>
      <c r="K2355" s="26" t="s">
        <v>293</v>
      </c>
      <c r="L2355" s="26">
        <v>4</v>
      </c>
      <c r="M2355" s="26">
        <v>1</v>
      </c>
      <c r="N2355" s="28">
        <v>0.25</v>
      </c>
      <c r="O2355" s="26">
        <v>0.2</v>
      </c>
      <c r="P2355" s="26">
        <v>0.2</v>
      </c>
      <c r="Q2355" s="26">
        <v>0</v>
      </c>
      <c r="R2355" s="26"/>
      <c r="S2355" s="26">
        <v>0</v>
      </c>
      <c r="T2355" s="26">
        <v>0</v>
      </c>
      <c r="U2355" s="26">
        <v>0</v>
      </c>
      <c r="V2355" s="28">
        <v>0</v>
      </c>
      <c r="W2355" s="26">
        <v>0</v>
      </c>
      <c r="X2355" s="26">
        <v>0</v>
      </c>
      <c r="Y2355" s="26">
        <v>0</v>
      </c>
      <c r="Z2355" s="26">
        <v>0</v>
      </c>
    </row>
    <row r="2356" spans="1:26" x14ac:dyDescent="0.2">
      <c r="A2356">
        <f t="shared" si="74"/>
        <v>5</v>
      </c>
      <c r="B2356">
        <f t="shared" si="75"/>
        <v>20</v>
      </c>
      <c r="C2356" s="27">
        <v>46158</v>
      </c>
      <c r="D2356" s="26" t="s">
        <v>26</v>
      </c>
      <c r="E2356" s="26" t="s">
        <v>27</v>
      </c>
      <c r="F2356" s="26" t="s">
        <v>28</v>
      </c>
      <c r="G2356" s="26" t="s">
        <v>29</v>
      </c>
      <c r="H2356" s="26" t="s">
        <v>30</v>
      </c>
      <c r="I2356" s="26" t="s">
        <v>99</v>
      </c>
      <c r="J2356" s="26" t="s">
        <v>32</v>
      </c>
      <c r="K2356" s="26" t="s">
        <v>1539</v>
      </c>
      <c r="L2356" s="26">
        <v>1</v>
      </c>
      <c r="M2356" s="26">
        <v>1</v>
      </c>
      <c r="N2356" s="28">
        <v>1</v>
      </c>
      <c r="O2356" s="26">
        <v>0.16</v>
      </c>
      <c r="P2356" s="26">
        <v>0.16</v>
      </c>
      <c r="Q2356" s="26">
        <v>0</v>
      </c>
      <c r="R2356" s="26"/>
      <c r="S2356" s="26">
        <v>0</v>
      </c>
      <c r="T2356" s="26">
        <v>0</v>
      </c>
      <c r="U2356" s="26">
        <v>0</v>
      </c>
      <c r="V2356" s="28">
        <v>0</v>
      </c>
      <c r="W2356" s="26">
        <v>0</v>
      </c>
      <c r="X2356" s="26">
        <v>0</v>
      </c>
      <c r="Y2356" s="26">
        <v>0</v>
      </c>
      <c r="Z2356" s="26">
        <v>0</v>
      </c>
    </row>
    <row r="2357" spans="1:26" x14ac:dyDescent="0.2">
      <c r="A2357">
        <f t="shared" si="74"/>
        <v>5</v>
      </c>
      <c r="B2357">
        <f t="shared" si="75"/>
        <v>21</v>
      </c>
      <c r="C2357" s="27">
        <v>46161</v>
      </c>
      <c r="D2357" s="26" t="s">
        <v>26</v>
      </c>
      <c r="E2357" s="26" t="s">
        <v>27</v>
      </c>
      <c r="F2357" s="26" t="s">
        <v>28</v>
      </c>
      <c r="G2357" s="26" t="s">
        <v>29</v>
      </c>
      <c r="H2357" s="26" t="s">
        <v>30</v>
      </c>
      <c r="I2357" s="26" t="s">
        <v>50</v>
      </c>
      <c r="J2357" s="26" t="s">
        <v>32</v>
      </c>
      <c r="K2357" s="26" t="s">
        <v>1540</v>
      </c>
      <c r="L2357" s="26">
        <v>1</v>
      </c>
      <c r="M2357" s="26">
        <v>1</v>
      </c>
      <c r="N2357" s="28">
        <v>1</v>
      </c>
      <c r="O2357" s="26">
        <v>0.21</v>
      </c>
      <c r="P2357" s="26">
        <v>0.21</v>
      </c>
      <c r="Q2357" s="26">
        <v>0</v>
      </c>
      <c r="R2357" s="26"/>
      <c r="S2357" s="26">
        <v>0</v>
      </c>
      <c r="T2357" s="26">
        <v>0</v>
      </c>
      <c r="U2357" s="26">
        <v>0</v>
      </c>
      <c r="V2357" s="28">
        <v>0</v>
      </c>
      <c r="W2357" s="26">
        <v>0</v>
      </c>
      <c r="X2357" s="26">
        <v>0</v>
      </c>
      <c r="Y2357" s="26">
        <v>0</v>
      </c>
      <c r="Z2357" s="26">
        <v>0</v>
      </c>
    </row>
    <row r="2358" spans="1:26" x14ac:dyDescent="0.2">
      <c r="A2358">
        <f t="shared" si="74"/>
        <v>5</v>
      </c>
      <c r="B2358">
        <f t="shared" si="75"/>
        <v>19</v>
      </c>
      <c r="C2358" s="27">
        <v>46145</v>
      </c>
      <c r="D2358" s="26" t="s">
        <v>26</v>
      </c>
      <c r="E2358" s="26" t="s">
        <v>27</v>
      </c>
      <c r="F2358" s="26" t="s">
        <v>28</v>
      </c>
      <c r="G2358" s="26" t="s">
        <v>29</v>
      </c>
      <c r="H2358" s="26" t="s">
        <v>30</v>
      </c>
      <c r="I2358" s="26" t="s">
        <v>50</v>
      </c>
      <c r="J2358" s="26" t="s">
        <v>32</v>
      </c>
      <c r="K2358" s="26" t="s">
        <v>1541</v>
      </c>
      <c r="L2358" s="26">
        <v>1</v>
      </c>
      <c r="M2358" s="26">
        <v>1</v>
      </c>
      <c r="N2358" s="28">
        <v>1</v>
      </c>
      <c r="O2358" s="26">
        <v>0.21</v>
      </c>
      <c r="P2358" s="26">
        <v>0.21</v>
      </c>
      <c r="Q2358" s="26">
        <v>0</v>
      </c>
      <c r="R2358" s="26"/>
      <c r="S2358" s="26">
        <v>0</v>
      </c>
      <c r="T2358" s="26">
        <v>0</v>
      </c>
      <c r="U2358" s="26">
        <v>0</v>
      </c>
      <c r="V2358" s="28">
        <v>0</v>
      </c>
      <c r="W2358" s="26">
        <v>0</v>
      </c>
      <c r="X2358" s="26">
        <v>0</v>
      </c>
      <c r="Y2358" s="26">
        <v>0</v>
      </c>
      <c r="Z2358" s="26">
        <v>0</v>
      </c>
    </row>
    <row r="2359" spans="1:26" x14ac:dyDescent="0.2">
      <c r="A2359">
        <f t="shared" si="74"/>
        <v>5</v>
      </c>
      <c r="B2359">
        <f t="shared" si="75"/>
        <v>20</v>
      </c>
      <c r="C2359" s="27">
        <v>46157</v>
      </c>
      <c r="D2359" s="26" t="s">
        <v>26</v>
      </c>
      <c r="E2359" s="26" t="s">
        <v>27</v>
      </c>
      <c r="F2359" s="26" t="s">
        <v>28</v>
      </c>
      <c r="G2359" s="26" t="s">
        <v>29</v>
      </c>
      <c r="H2359" s="26" t="s">
        <v>30</v>
      </c>
      <c r="I2359" s="26" t="s">
        <v>50</v>
      </c>
      <c r="J2359" s="26" t="s">
        <v>32</v>
      </c>
      <c r="K2359" s="26" t="s">
        <v>1541</v>
      </c>
      <c r="L2359" s="26">
        <v>3</v>
      </c>
      <c r="M2359" s="26">
        <v>1</v>
      </c>
      <c r="N2359" s="28">
        <v>0.33333299999999999</v>
      </c>
      <c r="O2359" s="26">
        <v>0.21</v>
      </c>
      <c r="P2359" s="26">
        <v>0.21</v>
      </c>
      <c r="Q2359" s="26">
        <v>0</v>
      </c>
      <c r="R2359" s="26"/>
      <c r="S2359" s="26">
        <v>0</v>
      </c>
      <c r="T2359" s="26">
        <v>0</v>
      </c>
      <c r="U2359" s="26">
        <v>0</v>
      </c>
      <c r="V2359" s="28">
        <v>0</v>
      </c>
      <c r="W2359" s="26">
        <v>0</v>
      </c>
      <c r="X2359" s="26">
        <v>0</v>
      </c>
      <c r="Y2359" s="26">
        <v>0</v>
      </c>
      <c r="Z2359" s="26">
        <v>0</v>
      </c>
    </row>
    <row r="2360" spans="1:26" x14ac:dyDescent="0.2">
      <c r="A2360">
        <f t="shared" si="74"/>
        <v>5</v>
      </c>
      <c r="B2360">
        <f t="shared" si="75"/>
        <v>21</v>
      </c>
      <c r="C2360" s="27">
        <v>46163</v>
      </c>
      <c r="D2360" s="26" t="s">
        <v>26</v>
      </c>
      <c r="E2360" s="26" t="s">
        <v>49</v>
      </c>
      <c r="F2360" s="26" t="s">
        <v>50</v>
      </c>
      <c r="G2360" s="26" t="s">
        <v>29</v>
      </c>
      <c r="H2360" s="26" t="s">
        <v>30</v>
      </c>
      <c r="I2360" s="26" t="s">
        <v>95</v>
      </c>
      <c r="J2360" s="26" t="s">
        <v>42</v>
      </c>
      <c r="K2360" s="26" t="s">
        <v>1542</v>
      </c>
      <c r="L2360" s="26">
        <v>1</v>
      </c>
      <c r="M2360" s="26">
        <v>1</v>
      </c>
      <c r="N2360" s="28">
        <v>1</v>
      </c>
      <c r="O2360" s="26">
        <v>0.55000000000000004</v>
      </c>
      <c r="P2360" s="26">
        <v>0.55000000000000004</v>
      </c>
      <c r="Q2360" s="26">
        <v>0</v>
      </c>
      <c r="R2360" s="26"/>
      <c r="S2360" s="26">
        <v>0</v>
      </c>
      <c r="T2360" s="26">
        <v>0</v>
      </c>
      <c r="U2360" s="26">
        <v>0</v>
      </c>
      <c r="V2360" s="28">
        <v>0</v>
      </c>
      <c r="W2360" s="26">
        <v>0</v>
      </c>
      <c r="X2360" s="26">
        <v>0</v>
      </c>
      <c r="Y2360" s="26">
        <v>0</v>
      </c>
      <c r="Z2360" s="26">
        <v>0</v>
      </c>
    </row>
    <row r="2361" spans="1:26" x14ac:dyDescent="0.2">
      <c r="A2361">
        <f t="shared" si="74"/>
        <v>5</v>
      </c>
      <c r="B2361">
        <f t="shared" si="75"/>
        <v>19</v>
      </c>
      <c r="C2361" s="27">
        <v>46147</v>
      </c>
      <c r="D2361" s="26" t="s">
        <v>26</v>
      </c>
      <c r="E2361" s="26" t="s">
        <v>27</v>
      </c>
      <c r="F2361" s="26" t="s">
        <v>28</v>
      </c>
      <c r="G2361" s="26" t="s">
        <v>29</v>
      </c>
      <c r="H2361" s="26" t="s">
        <v>30</v>
      </c>
      <c r="I2361" s="26" t="s">
        <v>119</v>
      </c>
      <c r="J2361" s="26" t="s">
        <v>32</v>
      </c>
      <c r="K2361" s="26" t="s">
        <v>577</v>
      </c>
      <c r="L2361" s="26">
        <v>1</v>
      </c>
      <c r="M2361" s="26">
        <v>1</v>
      </c>
      <c r="N2361" s="28">
        <v>1</v>
      </c>
      <c r="O2361" s="26">
        <v>0.3</v>
      </c>
      <c r="P2361" s="26">
        <v>0.3</v>
      </c>
      <c r="Q2361" s="26">
        <v>18.989999999999998</v>
      </c>
      <c r="R2361" s="28">
        <v>1.5798E-2</v>
      </c>
      <c r="S2361" s="26">
        <v>63.3</v>
      </c>
      <c r="T2361" s="26">
        <v>1</v>
      </c>
      <c r="U2361" s="26">
        <v>1</v>
      </c>
      <c r="V2361" s="28">
        <v>1</v>
      </c>
      <c r="W2361" s="26">
        <v>1</v>
      </c>
      <c r="X2361" s="26">
        <v>0</v>
      </c>
      <c r="Y2361" s="26">
        <v>18.989999999999998</v>
      </c>
      <c r="Z2361" s="26">
        <v>0</v>
      </c>
    </row>
    <row r="2362" spans="1:26" x14ac:dyDescent="0.2">
      <c r="A2362">
        <f t="shared" si="74"/>
        <v>5</v>
      </c>
      <c r="B2362">
        <f t="shared" si="75"/>
        <v>21</v>
      </c>
      <c r="C2362" s="27">
        <v>46161</v>
      </c>
      <c r="D2362" s="26" t="s">
        <v>26</v>
      </c>
      <c r="E2362" s="26" t="s">
        <v>27</v>
      </c>
      <c r="F2362" s="26" t="s">
        <v>28</v>
      </c>
      <c r="G2362" s="26" t="s">
        <v>29</v>
      </c>
      <c r="H2362" s="26" t="s">
        <v>30</v>
      </c>
      <c r="I2362" s="26" t="s">
        <v>119</v>
      </c>
      <c r="J2362" s="26" t="s">
        <v>32</v>
      </c>
      <c r="K2362" s="26" t="s">
        <v>577</v>
      </c>
      <c r="L2362" s="26">
        <v>11</v>
      </c>
      <c r="M2362" s="26">
        <v>1</v>
      </c>
      <c r="N2362" s="28">
        <v>9.0909000000000004E-2</v>
      </c>
      <c r="O2362" s="26">
        <v>0.3</v>
      </c>
      <c r="P2362" s="26">
        <v>0.3</v>
      </c>
      <c r="Q2362" s="26">
        <v>0</v>
      </c>
      <c r="R2362" s="26"/>
      <c r="S2362" s="26">
        <v>0</v>
      </c>
      <c r="T2362" s="26">
        <v>0</v>
      </c>
      <c r="U2362" s="26">
        <v>0</v>
      </c>
      <c r="V2362" s="28">
        <v>0</v>
      </c>
      <c r="W2362" s="26">
        <v>0</v>
      </c>
      <c r="X2362" s="26">
        <v>0</v>
      </c>
      <c r="Y2362" s="26">
        <v>0</v>
      </c>
      <c r="Z2362" s="26">
        <v>0</v>
      </c>
    </row>
    <row r="2363" spans="1:26" x14ac:dyDescent="0.2">
      <c r="A2363">
        <f t="shared" si="74"/>
        <v>5</v>
      </c>
      <c r="B2363">
        <f t="shared" si="75"/>
        <v>21</v>
      </c>
      <c r="C2363" s="27">
        <v>46163</v>
      </c>
      <c r="D2363" s="26" t="s">
        <v>26</v>
      </c>
      <c r="E2363" s="26" t="s">
        <v>27</v>
      </c>
      <c r="F2363" s="26" t="s">
        <v>28</v>
      </c>
      <c r="G2363" s="26" t="s">
        <v>29</v>
      </c>
      <c r="H2363" s="26" t="s">
        <v>30</v>
      </c>
      <c r="I2363" s="26" t="s">
        <v>119</v>
      </c>
      <c r="J2363" s="26" t="s">
        <v>32</v>
      </c>
      <c r="K2363" s="26" t="s">
        <v>577</v>
      </c>
      <c r="L2363" s="26">
        <v>9</v>
      </c>
      <c r="M2363" s="26">
        <v>1</v>
      </c>
      <c r="N2363" s="28">
        <v>0.111111</v>
      </c>
      <c r="O2363" s="26">
        <v>0.16</v>
      </c>
      <c r="P2363" s="26">
        <v>0.16</v>
      </c>
      <c r="Q2363" s="26">
        <v>0</v>
      </c>
      <c r="R2363" s="26"/>
      <c r="S2363" s="26">
        <v>0</v>
      </c>
      <c r="T2363" s="26">
        <v>0</v>
      </c>
      <c r="U2363" s="26">
        <v>0</v>
      </c>
      <c r="V2363" s="28">
        <v>0</v>
      </c>
      <c r="W2363" s="26">
        <v>0</v>
      </c>
      <c r="X2363" s="26">
        <v>0</v>
      </c>
      <c r="Y2363" s="26">
        <v>0</v>
      </c>
      <c r="Z2363" s="26">
        <v>0</v>
      </c>
    </row>
    <row r="2364" spans="1:26" x14ac:dyDescent="0.2">
      <c r="A2364">
        <f t="shared" ref="A2364:A2427" si="76">MONTH(C2364)</f>
        <v>5</v>
      </c>
      <c r="B2364">
        <f t="shared" ref="B2364:B2427" si="77">WEEKNUM(C2364,1)</f>
        <v>19</v>
      </c>
      <c r="C2364" s="27">
        <v>46146</v>
      </c>
      <c r="D2364" s="26" t="s">
        <v>26</v>
      </c>
      <c r="E2364" s="26" t="s">
        <v>27</v>
      </c>
      <c r="F2364" s="26" t="s">
        <v>28</v>
      </c>
      <c r="G2364" s="26" t="s">
        <v>29</v>
      </c>
      <c r="H2364" s="26" t="s">
        <v>30</v>
      </c>
      <c r="I2364" s="26" t="s">
        <v>31</v>
      </c>
      <c r="J2364" s="26" t="s">
        <v>32</v>
      </c>
      <c r="K2364" s="26" t="s">
        <v>1543</v>
      </c>
      <c r="L2364" s="26">
        <v>1</v>
      </c>
      <c r="M2364" s="26">
        <v>1</v>
      </c>
      <c r="N2364" s="28">
        <v>1</v>
      </c>
      <c r="O2364" s="26">
        <v>0.23</v>
      </c>
      <c r="P2364" s="26">
        <v>0.23</v>
      </c>
      <c r="Q2364" s="26">
        <v>17.47</v>
      </c>
      <c r="R2364" s="28">
        <v>1.3165E-2</v>
      </c>
      <c r="S2364" s="26">
        <v>75.959999999999994</v>
      </c>
      <c r="T2364" s="26">
        <v>1</v>
      </c>
      <c r="U2364" s="26">
        <v>1</v>
      </c>
      <c r="V2364" s="28">
        <v>1</v>
      </c>
      <c r="W2364" s="26">
        <v>1</v>
      </c>
      <c r="X2364" s="26">
        <v>0</v>
      </c>
      <c r="Y2364" s="26">
        <v>17.47</v>
      </c>
      <c r="Z2364" s="26">
        <v>0</v>
      </c>
    </row>
    <row r="2365" spans="1:26" x14ac:dyDescent="0.2">
      <c r="A2365">
        <f t="shared" si="76"/>
        <v>5</v>
      </c>
      <c r="B2365">
        <f t="shared" si="77"/>
        <v>21</v>
      </c>
      <c r="C2365" s="27">
        <v>46159</v>
      </c>
      <c r="D2365" s="26" t="s">
        <v>26</v>
      </c>
      <c r="E2365" s="26" t="s">
        <v>39</v>
      </c>
      <c r="F2365" s="26" t="s">
        <v>40</v>
      </c>
      <c r="G2365" s="26" t="s">
        <v>29</v>
      </c>
      <c r="H2365" s="26" t="s">
        <v>30</v>
      </c>
      <c r="I2365" s="26" t="s">
        <v>1134</v>
      </c>
      <c r="J2365" s="26" t="s">
        <v>42</v>
      </c>
      <c r="K2365" s="26" t="s">
        <v>300</v>
      </c>
      <c r="L2365" s="26">
        <v>6</v>
      </c>
      <c r="M2365" s="26">
        <v>1</v>
      </c>
      <c r="N2365" s="28">
        <v>0.16666700000000001</v>
      </c>
      <c r="O2365" s="26">
        <v>0.6</v>
      </c>
      <c r="P2365" s="26">
        <v>0.6</v>
      </c>
      <c r="Q2365" s="26">
        <v>0</v>
      </c>
      <c r="R2365" s="26"/>
      <c r="S2365" s="26">
        <v>0</v>
      </c>
      <c r="T2365" s="26">
        <v>0</v>
      </c>
      <c r="U2365" s="26">
        <v>0</v>
      </c>
      <c r="V2365" s="28">
        <v>0</v>
      </c>
      <c r="W2365" s="26">
        <v>0</v>
      </c>
      <c r="X2365" s="26">
        <v>0</v>
      </c>
      <c r="Y2365" s="26">
        <v>0</v>
      </c>
      <c r="Z2365" s="26">
        <v>0</v>
      </c>
    </row>
    <row r="2366" spans="1:26" x14ac:dyDescent="0.2">
      <c r="A2366">
        <f t="shared" si="76"/>
        <v>5</v>
      </c>
      <c r="B2366">
        <f t="shared" si="77"/>
        <v>20</v>
      </c>
      <c r="C2366" s="27">
        <v>46154</v>
      </c>
      <c r="D2366" s="26" t="s">
        <v>26</v>
      </c>
      <c r="E2366" s="26" t="s">
        <v>27</v>
      </c>
      <c r="F2366" s="26" t="s">
        <v>28</v>
      </c>
      <c r="G2366" s="26" t="s">
        <v>29</v>
      </c>
      <c r="H2366" s="26" t="s">
        <v>30</v>
      </c>
      <c r="I2366" s="26" t="s">
        <v>101</v>
      </c>
      <c r="J2366" s="26" t="s">
        <v>32</v>
      </c>
      <c r="K2366" s="26" t="s">
        <v>300</v>
      </c>
      <c r="L2366" s="26">
        <v>2</v>
      </c>
      <c r="M2366" s="26">
        <v>1</v>
      </c>
      <c r="N2366" s="28">
        <v>0.5</v>
      </c>
      <c r="O2366" s="26">
        <v>0.21</v>
      </c>
      <c r="P2366" s="26">
        <v>0.21</v>
      </c>
      <c r="Q2366" s="26">
        <v>0</v>
      </c>
      <c r="R2366" s="26"/>
      <c r="S2366" s="26">
        <v>0</v>
      </c>
      <c r="T2366" s="26">
        <v>0</v>
      </c>
      <c r="U2366" s="26">
        <v>0</v>
      </c>
      <c r="V2366" s="28">
        <v>0</v>
      </c>
      <c r="W2366" s="26">
        <v>0</v>
      </c>
      <c r="X2366" s="26">
        <v>0</v>
      </c>
      <c r="Y2366" s="26">
        <v>0</v>
      </c>
      <c r="Z2366" s="26">
        <v>0</v>
      </c>
    </row>
    <row r="2367" spans="1:26" x14ac:dyDescent="0.2">
      <c r="A2367">
        <f t="shared" si="76"/>
        <v>5</v>
      </c>
      <c r="B2367">
        <f t="shared" si="77"/>
        <v>20</v>
      </c>
      <c r="C2367" s="27">
        <v>46155</v>
      </c>
      <c r="D2367" s="26" t="s">
        <v>26</v>
      </c>
      <c r="E2367" s="26" t="s">
        <v>39</v>
      </c>
      <c r="F2367" s="26" t="s">
        <v>40</v>
      </c>
      <c r="G2367" s="26" t="s">
        <v>29</v>
      </c>
      <c r="H2367" s="26" t="s">
        <v>30</v>
      </c>
      <c r="I2367" s="26" t="s">
        <v>1134</v>
      </c>
      <c r="J2367" s="26" t="s">
        <v>42</v>
      </c>
      <c r="K2367" s="26" t="s">
        <v>301</v>
      </c>
      <c r="L2367" s="26">
        <v>8</v>
      </c>
      <c r="M2367" s="26">
        <v>1</v>
      </c>
      <c r="N2367" s="28">
        <v>0.125</v>
      </c>
      <c r="O2367" s="26">
        <v>0.6</v>
      </c>
      <c r="P2367" s="26">
        <v>0.6</v>
      </c>
      <c r="Q2367" s="26">
        <v>0</v>
      </c>
      <c r="R2367" s="26"/>
      <c r="S2367" s="26">
        <v>0</v>
      </c>
      <c r="T2367" s="26">
        <v>0</v>
      </c>
      <c r="U2367" s="26">
        <v>0</v>
      </c>
      <c r="V2367" s="28">
        <v>0</v>
      </c>
      <c r="W2367" s="26">
        <v>0</v>
      </c>
      <c r="X2367" s="26">
        <v>0</v>
      </c>
      <c r="Y2367" s="26">
        <v>0</v>
      </c>
      <c r="Z2367" s="26">
        <v>0</v>
      </c>
    </row>
    <row r="2368" spans="1:26" x14ac:dyDescent="0.2">
      <c r="A2368">
        <f t="shared" si="76"/>
        <v>5</v>
      </c>
      <c r="B2368">
        <f t="shared" si="77"/>
        <v>20</v>
      </c>
      <c r="C2368" s="27">
        <v>46153</v>
      </c>
      <c r="D2368" s="26" t="s">
        <v>26</v>
      </c>
      <c r="E2368" s="26" t="s">
        <v>27</v>
      </c>
      <c r="F2368" s="26" t="s">
        <v>28</v>
      </c>
      <c r="G2368" s="26" t="s">
        <v>29</v>
      </c>
      <c r="H2368" s="26" t="s">
        <v>30</v>
      </c>
      <c r="I2368" s="26" t="s">
        <v>50</v>
      </c>
      <c r="J2368" s="26" t="s">
        <v>32</v>
      </c>
      <c r="K2368" s="26" t="s">
        <v>578</v>
      </c>
      <c r="L2368" s="26">
        <v>1</v>
      </c>
      <c r="M2368" s="26">
        <v>1</v>
      </c>
      <c r="N2368" s="28">
        <v>1</v>
      </c>
      <c r="O2368" s="26">
        <v>0.21</v>
      </c>
      <c r="P2368" s="26">
        <v>0.21</v>
      </c>
      <c r="Q2368" s="26">
        <v>0</v>
      </c>
      <c r="R2368" s="26"/>
      <c r="S2368" s="26">
        <v>0</v>
      </c>
      <c r="T2368" s="26">
        <v>0</v>
      </c>
      <c r="U2368" s="26">
        <v>0</v>
      </c>
      <c r="V2368" s="28">
        <v>0</v>
      </c>
      <c r="W2368" s="26">
        <v>0</v>
      </c>
      <c r="X2368" s="26">
        <v>0</v>
      </c>
      <c r="Y2368" s="26">
        <v>0</v>
      </c>
      <c r="Z2368" s="26">
        <v>0</v>
      </c>
    </row>
    <row r="2369" spans="1:26" x14ac:dyDescent="0.2">
      <c r="A2369">
        <f t="shared" si="76"/>
        <v>5</v>
      </c>
      <c r="B2369">
        <f t="shared" si="77"/>
        <v>19</v>
      </c>
      <c r="C2369" s="27">
        <v>46145</v>
      </c>
      <c r="D2369" s="26" t="s">
        <v>26</v>
      </c>
      <c r="E2369" s="26" t="s">
        <v>27</v>
      </c>
      <c r="F2369" s="26" t="s">
        <v>28</v>
      </c>
      <c r="G2369" s="26" t="s">
        <v>29</v>
      </c>
      <c r="H2369" s="26" t="s">
        <v>30</v>
      </c>
      <c r="I2369" s="26" t="s">
        <v>50</v>
      </c>
      <c r="J2369" s="26" t="s">
        <v>32</v>
      </c>
      <c r="K2369" s="26" t="s">
        <v>1544</v>
      </c>
      <c r="L2369" s="26">
        <v>2</v>
      </c>
      <c r="M2369" s="26">
        <v>1</v>
      </c>
      <c r="N2369" s="28">
        <v>0.5</v>
      </c>
      <c r="O2369" s="26">
        <v>0.21</v>
      </c>
      <c r="P2369" s="26">
        <v>0.21</v>
      </c>
      <c r="Q2369" s="26">
        <v>0</v>
      </c>
      <c r="R2369" s="26"/>
      <c r="S2369" s="26">
        <v>0</v>
      </c>
      <c r="T2369" s="26">
        <v>0</v>
      </c>
      <c r="U2369" s="26">
        <v>0</v>
      </c>
      <c r="V2369" s="28">
        <v>0</v>
      </c>
      <c r="W2369" s="26">
        <v>0</v>
      </c>
      <c r="X2369" s="26">
        <v>0</v>
      </c>
      <c r="Y2369" s="26">
        <v>0</v>
      </c>
      <c r="Z2369" s="26">
        <v>0</v>
      </c>
    </row>
    <row r="2370" spans="1:26" x14ac:dyDescent="0.2">
      <c r="A2370">
        <f t="shared" si="76"/>
        <v>5</v>
      </c>
      <c r="B2370">
        <f t="shared" si="77"/>
        <v>21</v>
      </c>
      <c r="C2370" s="27">
        <v>46160</v>
      </c>
      <c r="D2370" s="26" t="s">
        <v>26</v>
      </c>
      <c r="E2370" s="26" t="s">
        <v>49</v>
      </c>
      <c r="F2370" s="26" t="s">
        <v>50</v>
      </c>
      <c r="G2370" s="26" t="s">
        <v>29</v>
      </c>
      <c r="H2370" s="26" t="s">
        <v>30</v>
      </c>
      <c r="I2370" s="26" t="s">
        <v>47</v>
      </c>
      <c r="J2370" s="26" t="s">
        <v>42</v>
      </c>
      <c r="K2370" s="26" t="s">
        <v>857</v>
      </c>
      <c r="L2370" s="26">
        <v>1</v>
      </c>
      <c r="M2370" s="26">
        <v>1</v>
      </c>
      <c r="N2370" s="28">
        <v>1</v>
      </c>
      <c r="O2370" s="26">
        <v>0.84</v>
      </c>
      <c r="P2370" s="26">
        <v>0.84</v>
      </c>
      <c r="Q2370" s="26">
        <v>0</v>
      </c>
      <c r="R2370" s="26"/>
      <c r="S2370" s="26">
        <v>0</v>
      </c>
      <c r="T2370" s="26">
        <v>0</v>
      </c>
      <c r="U2370" s="26">
        <v>0</v>
      </c>
      <c r="V2370" s="28">
        <v>0</v>
      </c>
      <c r="W2370" s="26">
        <v>0</v>
      </c>
      <c r="X2370" s="26">
        <v>0</v>
      </c>
      <c r="Y2370" s="26">
        <v>0</v>
      </c>
      <c r="Z2370" s="26">
        <v>0</v>
      </c>
    </row>
    <row r="2371" spans="1:26" x14ac:dyDescent="0.2">
      <c r="A2371">
        <f t="shared" si="76"/>
        <v>5</v>
      </c>
      <c r="B2371">
        <f t="shared" si="77"/>
        <v>19</v>
      </c>
      <c r="C2371" s="27">
        <v>46146</v>
      </c>
      <c r="D2371" s="26" t="s">
        <v>26</v>
      </c>
      <c r="E2371" s="26" t="s">
        <v>27</v>
      </c>
      <c r="F2371" s="26" t="s">
        <v>28</v>
      </c>
      <c r="G2371" s="26" t="s">
        <v>29</v>
      </c>
      <c r="H2371" s="26" t="s">
        <v>30</v>
      </c>
      <c r="I2371" s="26" t="s">
        <v>31</v>
      </c>
      <c r="J2371" s="26" t="s">
        <v>32</v>
      </c>
      <c r="K2371" s="26" t="s">
        <v>857</v>
      </c>
      <c r="L2371" s="26">
        <v>3</v>
      </c>
      <c r="M2371" s="26">
        <v>1</v>
      </c>
      <c r="N2371" s="28">
        <v>0.33333299999999999</v>
      </c>
      <c r="O2371" s="26">
        <v>0.2</v>
      </c>
      <c r="P2371" s="26">
        <v>0.2</v>
      </c>
      <c r="Q2371" s="26">
        <v>0</v>
      </c>
      <c r="R2371" s="26"/>
      <c r="S2371" s="26">
        <v>0</v>
      </c>
      <c r="T2371" s="26">
        <v>0</v>
      </c>
      <c r="U2371" s="26">
        <v>0</v>
      </c>
      <c r="V2371" s="28">
        <v>0</v>
      </c>
      <c r="W2371" s="26">
        <v>0</v>
      </c>
      <c r="X2371" s="26">
        <v>0</v>
      </c>
      <c r="Y2371" s="26">
        <v>0</v>
      </c>
      <c r="Z2371" s="26">
        <v>0</v>
      </c>
    </row>
    <row r="2372" spans="1:26" x14ac:dyDescent="0.2">
      <c r="A2372">
        <f t="shared" si="76"/>
        <v>5</v>
      </c>
      <c r="B2372">
        <f t="shared" si="77"/>
        <v>21</v>
      </c>
      <c r="C2372" s="27">
        <v>46160</v>
      </c>
      <c r="D2372" s="26" t="s">
        <v>26</v>
      </c>
      <c r="E2372" s="26" t="s">
        <v>27</v>
      </c>
      <c r="F2372" s="26" t="s">
        <v>28</v>
      </c>
      <c r="G2372" s="26" t="s">
        <v>29</v>
      </c>
      <c r="H2372" s="26" t="s">
        <v>30</v>
      </c>
      <c r="I2372" s="26" t="s">
        <v>31</v>
      </c>
      <c r="J2372" s="26" t="s">
        <v>32</v>
      </c>
      <c r="K2372" s="26" t="s">
        <v>1545</v>
      </c>
      <c r="L2372" s="26">
        <v>3</v>
      </c>
      <c r="M2372" s="26">
        <v>2</v>
      </c>
      <c r="N2372" s="28">
        <v>0.66666700000000001</v>
      </c>
      <c r="O2372" s="26">
        <v>0.33</v>
      </c>
      <c r="P2372" s="26">
        <v>0.65</v>
      </c>
      <c r="Q2372" s="26">
        <v>0</v>
      </c>
      <c r="R2372" s="26"/>
      <c r="S2372" s="26">
        <v>0</v>
      </c>
      <c r="T2372" s="26">
        <v>0</v>
      </c>
      <c r="U2372" s="26">
        <v>0</v>
      </c>
      <c r="V2372" s="28">
        <v>0</v>
      </c>
      <c r="W2372" s="26">
        <v>0</v>
      </c>
      <c r="X2372" s="26">
        <v>0</v>
      </c>
      <c r="Y2372" s="26">
        <v>0</v>
      </c>
      <c r="Z2372" s="26">
        <v>0</v>
      </c>
    </row>
    <row r="2373" spans="1:26" x14ac:dyDescent="0.2">
      <c r="A2373">
        <f t="shared" si="76"/>
        <v>5</v>
      </c>
      <c r="B2373">
        <f t="shared" si="77"/>
        <v>20</v>
      </c>
      <c r="C2373" s="27">
        <v>46154</v>
      </c>
      <c r="D2373" s="26" t="s">
        <v>26</v>
      </c>
      <c r="E2373" s="26" t="s">
        <v>27</v>
      </c>
      <c r="F2373" s="26" t="s">
        <v>28</v>
      </c>
      <c r="G2373" s="26" t="s">
        <v>29</v>
      </c>
      <c r="H2373" s="26" t="s">
        <v>30</v>
      </c>
      <c r="I2373" s="26" t="s">
        <v>31</v>
      </c>
      <c r="J2373" s="26" t="s">
        <v>32</v>
      </c>
      <c r="K2373" s="26" t="s">
        <v>1546</v>
      </c>
      <c r="L2373" s="26">
        <v>1</v>
      </c>
      <c r="M2373" s="26">
        <v>1</v>
      </c>
      <c r="N2373" s="28">
        <v>1</v>
      </c>
      <c r="O2373" s="26">
        <v>0.4</v>
      </c>
      <c r="P2373" s="26">
        <v>0.4</v>
      </c>
      <c r="Q2373" s="26">
        <v>0</v>
      </c>
      <c r="R2373" s="26"/>
      <c r="S2373" s="26">
        <v>0</v>
      </c>
      <c r="T2373" s="26">
        <v>0</v>
      </c>
      <c r="U2373" s="26">
        <v>0</v>
      </c>
      <c r="V2373" s="28">
        <v>0</v>
      </c>
      <c r="W2373" s="26">
        <v>0</v>
      </c>
      <c r="X2373" s="26">
        <v>0</v>
      </c>
      <c r="Y2373" s="26">
        <v>0</v>
      </c>
      <c r="Z2373" s="26">
        <v>0</v>
      </c>
    </row>
    <row r="2374" spans="1:26" x14ac:dyDescent="0.2">
      <c r="A2374">
        <f t="shared" si="76"/>
        <v>5</v>
      </c>
      <c r="B2374">
        <f t="shared" si="77"/>
        <v>20</v>
      </c>
      <c r="C2374" s="27">
        <v>46153</v>
      </c>
      <c r="D2374" s="26" t="s">
        <v>26</v>
      </c>
      <c r="E2374" s="26" t="s">
        <v>27</v>
      </c>
      <c r="F2374" s="26" t="s">
        <v>28</v>
      </c>
      <c r="G2374" s="26" t="s">
        <v>29</v>
      </c>
      <c r="H2374" s="26" t="s">
        <v>30</v>
      </c>
      <c r="I2374" s="26" t="s">
        <v>31</v>
      </c>
      <c r="J2374" s="26" t="s">
        <v>32</v>
      </c>
      <c r="K2374" s="26" t="s">
        <v>1547</v>
      </c>
      <c r="L2374" s="26">
        <v>1</v>
      </c>
      <c r="M2374" s="26">
        <v>1</v>
      </c>
      <c r="N2374" s="28">
        <v>1</v>
      </c>
      <c r="O2374" s="26">
        <v>0.21</v>
      </c>
      <c r="P2374" s="26">
        <v>0.21</v>
      </c>
      <c r="Q2374" s="26">
        <v>0</v>
      </c>
      <c r="R2374" s="26"/>
      <c r="S2374" s="26">
        <v>0</v>
      </c>
      <c r="T2374" s="26">
        <v>0</v>
      </c>
      <c r="U2374" s="26">
        <v>0</v>
      </c>
      <c r="V2374" s="28">
        <v>0</v>
      </c>
      <c r="W2374" s="26">
        <v>0</v>
      </c>
      <c r="X2374" s="26">
        <v>0</v>
      </c>
      <c r="Y2374" s="26">
        <v>0</v>
      </c>
      <c r="Z2374" s="26">
        <v>0</v>
      </c>
    </row>
    <row r="2375" spans="1:26" x14ac:dyDescent="0.2">
      <c r="A2375">
        <f t="shared" si="76"/>
        <v>5</v>
      </c>
      <c r="B2375">
        <f t="shared" si="77"/>
        <v>19</v>
      </c>
      <c r="C2375" s="27">
        <v>46151</v>
      </c>
      <c r="D2375" s="26" t="s">
        <v>26</v>
      </c>
      <c r="E2375" s="26" t="s">
        <v>27</v>
      </c>
      <c r="F2375" s="26" t="s">
        <v>28</v>
      </c>
      <c r="G2375" s="26" t="s">
        <v>29</v>
      </c>
      <c r="H2375" s="26" t="s">
        <v>30</v>
      </c>
      <c r="I2375" s="26" t="s">
        <v>253</v>
      </c>
      <c r="J2375" s="26" t="s">
        <v>32</v>
      </c>
      <c r="K2375" s="26" t="s">
        <v>1548</v>
      </c>
      <c r="L2375" s="26">
        <v>2</v>
      </c>
      <c r="M2375" s="26">
        <v>1</v>
      </c>
      <c r="N2375" s="28">
        <v>0.5</v>
      </c>
      <c r="O2375" s="26">
        <v>0.4</v>
      </c>
      <c r="P2375" s="26">
        <v>0.4</v>
      </c>
      <c r="Q2375" s="26">
        <v>0</v>
      </c>
      <c r="R2375" s="26"/>
      <c r="S2375" s="26">
        <v>0</v>
      </c>
      <c r="T2375" s="26">
        <v>0</v>
      </c>
      <c r="U2375" s="26">
        <v>0</v>
      </c>
      <c r="V2375" s="28">
        <v>0</v>
      </c>
      <c r="W2375" s="26">
        <v>0</v>
      </c>
      <c r="X2375" s="26">
        <v>0</v>
      </c>
      <c r="Y2375" s="26">
        <v>0</v>
      </c>
      <c r="Z2375" s="26">
        <v>0</v>
      </c>
    </row>
    <row r="2376" spans="1:26" x14ac:dyDescent="0.2">
      <c r="A2376">
        <f t="shared" si="76"/>
        <v>5</v>
      </c>
      <c r="B2376">
        <f t="shared" si="77"/>
        <v>19</v>
      </c>
      <c r="C2376" s="27">
        <v>46150</v>
      </c>
      <c r="D2376" s="26" t="s">
        <v>26</v>
      </c>
      <c r="E2376" s="26" t="s">
        <v>27</v>
      </c>
      <c r="F2376" s="26" t="s">
        <v>124</v>
      </c>
      <c r="G2376" s="26" t="s">
        <v>29</v>
      </c>
      <c r="H2376" s="26" t="s">
        <v>30</v>
      </c>
      <c r="I2376" s="26" t="s">
        <v>37</v>
      </c>
      <c r="J2376" s="26" t="s">
        <v>87</v>
      </c>
      <c r="K2376" s="26" t="s">
        <v>37</v>
      </c>
      <c r="L2376" s="26">
        <v>5</v>
      </c>
      <c r="M2376" s="26">
        <v>1</v>
      </c>
      <c r="N2376" s="28">
        <v>0.2</v>
      </c>
      <c r="O2376" s="26">
        <v>0.2</v>
      </c>
      <c r="P2376" s="26">
        <v>0.2</v>
      </c>
      <c r="Q2376" s="26">
        <v>0</v>
      </c>
      <c r="R2376" s="26"/>
      <c r="S2376" s="26">
        <v>0</v>
      </c>
      <c r="T2376" s="26">
        <v>0</v>
      </c>
      <c r="U2376" s="26">
        <v>0</v>
      </c>
      <c r="V2376" s="28">
        <v>0</v>
      </c>
      <c r="W2376" s="26">
        <v>0</v>
      </c>
      <c r="X2376" s="26">
        <v>0</v>
      </c>
      <c r="Y2376" s="26">
        <v>0</v>
      </c>
      <c r="Z2376" s="26">
        <v>0</v>
      </c>
    </row>
    <row r="2377" spans="1:26" x14ac:dyDescent="0.2">
      <c r="A2377">
        <f t="shared" si="76"/>
        <v>5</v>
      </c>
      <c r="B2377">
        <f t="shared" si="77"/>
        <v>21</v>
      </c>
      <c r="C2377" s="27">
        <v>46159</v>
      </c>
      <c r="D2377" s="26" t="s">
        <v>26</v>
      </c>
      <c r="E2377" s="26" t="s">
        <v>27</v>
      </c>
      <c r="F2377" s="26" t="s">
        <v>124</v>
      </c>
      <c r="G2377" s="26" t="s">
        <v>29</v>
      </c>
      <c r="H2377" s="26" t="s">
        <v>30</v>
      </c>
      <c r="I2377" s="26" t="s">
        <v>37</v>
      </c>
      <c r="J2377" s="26" t="s">
        <v>87</v>
      </c>
      <c r="K2377" s="26" t="s">
        <v>37</v>
      </c>
      <c r="L2377" s="26">
        <v>8</v>
      </c>
      <c r="M2377" s="26">
        <v>1</v>
      </c>
      <c r="N2377" s="28">
        <v>0.125</v>
      </c>
      <c r="O2377" s="26">
        <v>0.2</v>
      </c>
      <c r="P2377" s="26">
        <v>0.2</v>
      </c>
      <c r="Q2377" s="26">
        <v>0</v>
      </c>
      <c r="R2377" s="26"/>
      <c r="S2377" s="26">
        <v>0</v>
      </c>
      <c r="T2377" s="26">
        <v>0</v>
      </c>
      <c r="U2377" s="26">
        <v>0</v>
      </c>
      <c r="V2377" s="28">
        <v>0</v>
      </c>
      <c r="W2377" s="26">
        <v>0</v>
      </c>
      <c r="X2377" s="26">
        <v>0</v>
      </c>
      <c r="Y2377" s="26">
        <v>0</v>
      </c>
      <c r="Z2377" s="26">
        <v>0</v>
      </c>
    </row>
    <row r="2378" spans="1:26" x14ac:dyDescent="0.2">
      <c r="A2378">
        <f t="shared" si="76"/>
        <v>5</v>
      </c>
      <c r="B2378">
        <f t="shared" si="77"/>
        <v>21</v>
      </c>
      <c r="C2378" s="27">
        <v>46161</v>
      </c>
      <c r="D2378" s="26" t="s">
        <v>26</v>
      </c>
      <c r="E2378" s="26" t="s">
        <v>27</v>
      </c>
      <c r="F2378" s="26" t="s">
        <v>28</v>
      </c>
      <c r="G2378" s="26" t="s">
        <v>29</v>
      </c>
      <c r="H2378" s="26" t="s">
        <v>30</v>
      </c>
      <c r="I2378" s="26" t="s">
        <v>44</v>
      </c>
      <c r="J2378" s="26" t="s">
        <v>32</v>
      </c>
      <c r="K2378" s="26" t="s">
        <v>667</v>
      </c>
      <c r="L2378" s="26">
        <v>2</v>
      </c>
      <c r="M2378" s="26">
        <v>1</v>
      </c>
      <c r="N2378" s="28">
        <v>0.5</v>
      </c>
      <c r="O2378" s="26">
        <v>0.21</v>
      </c>
      <c r="P2378" s="26">
        <v>0.21</v>
      </c>
      <c r="Q2378" s="26">
        <v>17.47</v>
      </c>
      <c r="R2378" s="28">
        <v>1.2021E-2</v>
      </c>
      <c r="S2378" s="26">
        <v>83.19</v>
      </c>
      <c r="T2378" s="26">
        <v>1</v>
      </c>
      <c r="U2378" s="26">
        <v>1</v>
      </c>
      <c r="V2378" s="28">
        <v>1</v>
      </c>
      <c r="W2378" s="26">
        <v>1</v>
      </c>
      <c r="X2378" s="26">
        <v>0</v>
      </c>
      <c r="Y2378" s="26">
        <v>17.47</v>
      </c>
      <c r="Z2378" s="26">
        <v>0</v>
      </c>
    </row>
    <row r="2379" spans="1:26" x14ac:dyDescent="0.2">
      <c r="A2379">
        <f t="shared" si="76"/>
        <v>5</v>
      </c>
      <c r="B2379">
        <f t="shared" si="77"/>
        <v>19</v>
      </c>
      <c r="C2379" s="27">
        <v>46146</v>
      </c>
      <c r="D2379" s="26" t="s">
        <v>26</v>
      </c>
      <c r="E2379" s="26" t="s">
        <v>27</v>
      </c>
      <c r="F2379" s="26" t="s">
        <v>28</v>
      </c>
      <c r="G2379" s="26" t="s">
        <v>29</v>
      </c>
      <c r="H2379" s="26" t="s">
        <v>30</v>
      </c>
      <c r="I2379" s="26" t="s">
        <v>311</v>
      </c>
      <c r="J2379" s="26" t="s">
        <v>32</v>
      </c>
      <c r="K2379" s="26" t="s">
        <v>667</v>
      </c>
      <c r="L2379" s="26">
        <v>9</v>
      </c>
      <c r="M2379" s="26">
        <v>1</v>
      </c>
      <c r="N2379" s="28">
        <v>0.111111</v>
      </c>
      <c r="O2379" s="26">
        <v>0.2</v>
      </c>
      <c r="P2379" s="26">
        <v>0.2</v>
      </c>
      <c r="Q2379" s="26">
        <v>0</v>
      </c>
      <c r="R2379" s="26"/>
      <c r="S2379" s="26">
        <v>0</v>
      </c>
      <c r="T2379" s="26">
        <v>0</v>
      </c>
      <c r="U2379" s="26">
        <v>0</v>
      </c>
      <c r="V2379" s="28">
        <v>0</v>
      </c>
      <c r="W2379" s="26">
        <v>0</v>
      </c>
      <c r="X2379" s="26">
        <v>0</v>
      </c>
      <c r="Y2379" s="26">
        <v>0</v>
      </c>
      <c r="Z2379" s="26">
        <v>0</v>
      </c>
    </row>
    <row r="2380" spans="1:26" x14ac:dyDescent="0.2">
      <c r="A2380">
        <f t="shared" si="76"/>
        <v>5</v>
      </c>
      <c r="B2380">
        <f t="shared" si="77"/>
        <v>21</v>
      </c>
      <c r="C2380" s="27">
        <v>46160</v>
      </c>
      <c r="D2380" s="26" t="s">
        <v>26</v>
      </c>
      <c r="E2380" s="26" t="s">
        <v>39</v>
      </c>
      <c r="F2380" s="26" t="s">
        <v>40</v>
      </c>
      <c r="G2380" s="26" t="s">
        <v>29</v>
      </c>
      <c r="H2380" s="26" t="s">
        <v>30</v>
      </c>
      <c r="I2380" s="26" t="s">
        <v>1134</v>
      </c>
      <c r="J2380" s="26" t="s">
        <v>42</v>
      </c>
      <c r="K2380" s="26" t="s">
        <v>305</v>
      </c>
      <c r="L2380" s="26">
        <v>7</v>
      </c>
      <c r="M2380" s="26">
        <v>1</v>
      </c>
      <c r="N2380" s="28">
        <v>0.14285700000000001</v>
      </c>
      <c r="O2380" s="26">
        <v>0.6</v>
      </c>
      <c r="P2380" s="26">
        <v>0.6</v>
      </c>
      <c r="Q2380" s="26">
        <v>0</v>
      </c>
      <c r="R2380" s="26"/>
      <c r="S2380" s="26">
        <v>0</v>
      </c>
      <c r="T2380" s="26">
        <v>0</v>
      </c>
      <c r="U2380" s="26">
        <v>0</v>
      </c>
      <c r="V2380" s="28">
        <v>0</v>
      </c>
      <c r="W2380" s="26">
        <v>0</v>
      </c>
      <c r="X2380" s="26">
        <v>0</v>
      </c>
      <c r="Y2380" s="26">
        <v>0</v>
      </c>
      <c r="Z2380" s="26">
        <v>0</v>
      </c>
    </row>
    <row r="2381" spans="1:26" x14ac:dyDescent="0.2">
      <c r="A2381">
        <f t="shared" si="76"/>
        <v>5</v>
      </c>
      <c r="B2381">
        <f t="shared" si="77"/>
        <v>21</v>
      </c>
      <c r="C2381" s="27">
        <v>46161</v>
      </c>
      <c r="D2381" s="26" t="s">
        <v>26</v>
      </c>
      <c r="E2381" s="26" t="s">
        <v>27</v>
      </c>
      <c r="F2381" s="26" t="s">
        <v>124</v>
      </c>
      <c r="G2381" s="26" t="s">
        <v>29</v>
      </c>
      <c r="H2381" s="26" t="s">
        <v>30</v>
      </c>
      <c r="I2381" s="26" t="s">
        <v>44</v>
      </c>
      <c r="J2381" s="26" t="s">
        <v>87</v>
      </c>
      <c r="K2381" s="26" t="s">
        <v>305</v>
      </c>
      <c r="L2381" s="26">
        <v>16</v>
      </c>
      <c r="M2381" s="26">
        <v>1</v>
      </c>
      <c r="N2381" s="28">
        <v>6.25E-2</v>
      </c>
      <c r="O2381" s="26">
        <v>0.21</v>
      </c>
      <c r="P2381" s="26">
        <v>0.21</v>
      </c>
      <c r="Q2381" s="26">
        <v>17.09</v>
      </c>
      <c r="R2381" s="28">
        <v>1.2288E-2</v>
      </c>
      <c r="S2381" s="26">
        <v>81.38</v>
      </c>
      <c r="T2381" s="26">
        <v>1</v>
      </c>
      <c r="U2381" s="26">
        <v>1</v>
      </c>
      <c r="V2381" s="28">
        <v>1</v>
      </c>
      <c r="W2381" s="26">
        <v>1</v>
      </c>
      <c r="X2381" s="26">
        <v>0</v>
      </c>
      <c r="Y2381" s="26">
        <v>17.09</v>
      </c>
      <c r="Z2381" s="26">
        <v>0</v>
      </c>
    </row>
    <row r="2382" spans="1:26" x14ac:dyDescent="0.2">
      <c r="A2382">
        <f t="shared" si="76"/>
        <v>5</v>
      </c>
      <c r="B2382">
        <f t="shared" si="77"/>
        <v>19</v>
      </c>
      <c r="C2382" s="27">
        <v>46145</v>
      </c>
      <c r="D2382" s="26" t="s">
        <v>26</v>
      </c>
      <c r="E2382" s="26" t="s">
        <v>27</v>
      </c>
      <c r="F2382" s="26" t="s">
        <v>28</v>
      </c>
      <c r="G2382" s="26" t="s">
        <v>29</v>
      </c>
      <c r="H2382" s="26" t="s">
        <v>30</v>
      </c>
      <c r="I2382" s="26" t="s">
        <v>44</v>
      </c>
      <c r="J2382" s="26" t="s">
        <v>32</v>
      </c>
      <c r="K2382" s="26" t="s">
        <v>305</v>
      </c>
      <c r="L2382" s="26">
        <v>1</v>
      </c>
      <c r="M2382" s="26">
        <v>1</v>
      </c>
      <c r="N2382" s="28">
        <v>1</v>
      </c>
      <c r="O2382" s="26">
        <v>0.4</v>
      </c>
      <c r="P2382" s="26">
        <v>0.4</v>
      </c>
      <c r="Q2382" s="26">
        <v>0</v>
      </c>
      <c r="R2382" s="26"/>
      <c r="S2382" s="26">
        <v>0</v>
      </c>
      <c r="T2382" s="26">
        <v>0</v>
      </c>
      <c r="U2382" s="26">
        <v>0</v>
      </c>
      <c r="V2382" s="28">
        <v>0</v>
      </c>
      <c r="W2382" s="26">
        <v>0</v>
      </c>
      <c r="X2382" s="26">
        <v>0</v>
      </c>
      <c r="Y2382" s="26">
        <v>0</v>
      </c>
      <c r="Z2382" s="26">
        <v>0</v>
      </c>
    </row>
    <row r="2383" spans="1:26" x14ac:dyDescent="0.2">
      <c r="A2383">
        <f t="shared" si="76"/>
        <v>5</v>
      </c>
      <c r="B2383">
        <f t="shared" si="77"/>
        <v>19</v>
      </c>
      <c r="C2383" s="27">
        <v>46149</v>
      </c>
      <c r="D2383" s="26" t="s">
        <v>26</v>
      </c>
      <c r="E2383" s="26" t="s">
        <v>27</v>
      </c>
      <c r="F2383" s="26" t="s">
        <v>28</v>
      </c>
      <c r="G2383" s="26" t="s">
        <v>29</v>
      </c>
      <c r="H2383" s="26" t="s">
        <v>30</v>
      </c>
      <c r="I2383" s="26" t="s">
        <v>306</v>
      </c>
      <c r="J2383" s="26" t="s">
        <v>32</v>
      </c>
      <c r="K2383" s="26" t="s">
        <v>305</v>
      </c>
      <c r="L2383" s="26">
        <v>16</v>
      </c>
      <c r="M2383" s="26">
        <v>2</v>
      </c>
      <c r="N2383" s="28">
        <v>0.125</v>
      </c>
      <c r="O2383" s="26">
        <v>0.21</v>
      </c>
      <c r="P2383" s="26">
        <v>0.42</v>
      </c>
      <c r="Q2383" s="26">
        <v>0</v>
      </c>
      <c r="R2383" s="26"/>
      <c r="S2383" s="26">
        <v>0</v>
      </c>
      <c r="T2383" s="26">
        <v>0</v>
      </c>
      <c r="U2383" s="26">
        <v>0</v>
      </c>
      <c r="V2383" s="28">
        <v>0</v>
      </c>
      <c r="W2383" s="26">
        <v>0</v>
      </c>
      <c r="X2383" s="26">
        <v>0</v>
      </c>
      <c r="Y2383" s="26">
        <v>0</v>
      </c>
      <c r="Z2383" s="26">
        <v>0</v>
      </c>
    </row>
    <row r="2384" spans="1:26" x14ac:dyDescent="0.2">
      <c r="A2384">
        <f t="shared" si="76"/>
        <v>5</v>
      </c>
      <c r="B2384">
        <f t="shared" si="77"/>
        <v>20</v>
      </c>
      <c r="C2384" s="27">
        <v>46156</v>
      </c>
      <c r="D2384" s="26" t="s">
        <v>26</v>
      </c>
      <c r="E2384" s="26" t="s">
        <v>27</v>
      </c>
      <c r="F2384" s="26" t="s">
        <v>28</v>
      </c>
      <c r="G2384" s="26" t="s">
        <v>29</v>
      </c>
      <c r="H2384" s="26" t="s">
        <v>30</v>
      </c>
      <c r="I2384" s="26" t="s">
        <v>306</v>
      </c>
      <c r="J2384" s="26" t="s">
        <v>32</v>
      </c>
      <c r="K2384" s="26" t="s">
        <v>305</v>
      </c>
      <c r="L2384" s="26">
        <v>3</v>
      </c>
      <c r="M2384" s="26">
        <v>1</v>
      </c>
      <c r="N2384" s="28">
        <v>0.33333299999999999</v>
      </c>
      <c r="O2384" s="26">
        <v>0.2</v>
      </c>
      <c r="P2384" s="26">
        <v>0.2</v>
      </c>
      <c r="Q2384" s="26">
        <v>0</v>
      </c>
      <c r="R2384" s="26"/>
      <c r="S2384" s="26">
        <v>0</v>
      </c>
      <c r="T2384" s="26">
        <v>0</v>
      </c>
      <c r="U2384" s="26">
        <v>0</v>
      </c>
      <c r="V2384" s="28">
        <v>0</v>
      </c>
      <c r="W2384" s="26">
        <v>0</v>
      </c>
      <c r="X2384" s="26">
        <v>0</v>
      </c>
      <c r="Y2384" s="26">
        <v>0</v>
      </c>
      <c r="Z2384" s="26">
        <v>0</v>
      </c>
    </row>
    <row r="2385" spans="1:26" x14ac:dyDescent="0.2">
      <c r="A2385">
        <f t="shared" si="76"/>
        <v>5</v>
      </c>
      <c r="B2385">
        <f t="shared" si="77"/>
        <v>21</v>
      </c>
      <c r="C2385" s="27">
        <v>46159</v>
      </c>
      <c r="D2385" s="26" t="s">
        <v>26</v>
      </c>
      <c r="E2385" s="26" t="s">
        <v>27</v>
      </c>
      <c r="F2385" s="26" t="s">
        <v>28</v>
      </c>
      <c r="G2385" s="26" t="s">
        <v>29</v>
      </c>
      <c r="H2385" s="26" t="s">
        <v>30</v>
      </c>
      <c r="I2385" s="26" t="s">
        <v>306</v>
      </c>
      <c r="J2385" s="26" t="s">
        <v>32</v>
      </c>
      <c r="K2385" s="26" t="s">
        <v>305</v>
      </c>
      <c r="L2385" s="26">
        <v>19</v>
      </c>
      <c r="M2385" s="26">
        <v>1</v>
      </c>
      <c r="N2385" s="28">
        <v>5.2631999999999998E-2</v>
      </c>
      <c r="O2385" s="26">
        <v>0.21</v>
      </c>
      <c r="P2385" s="26">
        <v>0.21</v>
      </c>
      <c r="Q2385" s="26">
        <v>0</v>
      </c>
      <c r="R2385" s="26"/>
      <c r="S2385" s="26">
        <v>0</v>
      </c>
      <c r="T2385" s="26">
        <v>0</v>
      </c>
      <c r="U2385" s="26">
        <v>0</v>
      </c>
      <c r="V2385" s="28">
        <v>0</v>
      </c>
      <c r="W2385" s="26">
        <v>0</v>
      </c>
      <c r="X2385" s="26">
        <v>0</v>
      </c>
      <c r="Y2385" s="26">
        <v>0</v>
      </c>
      <c r="Z2385" s="26">
        <v>0</v>
      </c>
    </row>
    <row r="2386" spans="1:26" x14ac:dyDescent="0.2">
      <c r="A2386">
        <f t="shared" si="76"/>
        <v>5</v>
      </c>
      <c r="B2386">
        <f t="shared" si="77"/>
        <v>19</v>
      </c>
      <c r="C2386" s="27">
        <v>46150</v>
      </c>
      <c r="D2386" s="26" t="s">
        <v>26</v>
      </c>
      <c r="E2386" s="26" t="s">
        <v>27</v>
      </c>
      <c r="F2386" s="26" t="s">
        <v>28</v>
      </c>
      <c r="G2386" s="26" t="s">
        <v>29</v>
      </c>
      <c r="H2386" s="26" t="s">
        <v>30</v>
      </c>
      <c r="I2386" s="26" t="s">
        <v>37</v>
      </c>
      <c r="J2386" s="26" t="s">
        <v>32</v>
      </c>
      <c r="K2386" s="26" t="s">
        <v>1549</v>
      </c>
      <c r="L2386" s="26">
        <v>1</v>
      </c>
      <c r="M2386" s="26">
        <v>1</v>
      </c>
      <c r="N2386" s="28">
        <v>1</v>
      </c>
      <c r="O2386" s="26">
        <v>0.23</v>
      </c>
      <c r="P2386" s="26">
        <v>0.23</v>
      </c>
      <c r="Q2386" s="26">
        <v>0</v>
      </c>
      <c r="R2386" s="26"/>
      <c r="S2386" s="26">
        <v>0</v>
      </c>
      <c r="T2386" s="26">
        <v>0</v>
      </c>
      <c r="U2386" s="26">
        <v>0</v>
      </c>
      <c r="V2386" s="28">
        <v>0</v>
      </c>
      <c r="W2386" s="26">
        <v>0</v>
      </c>
      <c r="X2386" s="26">
        <v>0</v>
      </c>
      <c r="Y2386" s="26">
        <v>0</v>
      </c>
      <c r="Z2386" s="26">
        <v>0</v>
      </c>
    </row>
    <row r="2387" spans="1:26" x14ac:dyDescent="0.2">
      <c r="A2387">
        <f t="shared" si="76"/>
        <v>5</v>
      </c>
      <c r="B2387">
        <f t="shared" si="77"/>
        <v>21</v>
      </c>
      <c r="C2387" s="27">
        <v>46162</v>
      </c>
      <c r="D2387" s="26" t="s">
        <v>26</v>
      </c>
      <c r="E2387" s="26" t="s">
        <v>27</v>
      </c>
      <c r="F2387" s="26" t="s">
        <v>124</v>
      </c>
      <c r="G2387" s="26" t="s">
        <v>29</v>
      </c>
      <c r="H2387" s="26" t="s">
        <v>30</v>
      </c>
      <c r="I2387" s="26" t="s">
        <v>44</v>
      </c>
      <c r="J2387" s="26" t="s">
        <v>87</v>
      </c>
      <c r="K2387" s="26" t="s">
        <v>668</v>
      </c>
      <c r="L2387" s="26">
        <v>1</v>
      </c>
      <c r="M2387" s="26">
        <v>1</v>
      </c>
      <c r="N2387" s="28">
        <v>1</v>
      </c>
      <c r="O2387" s="26">
        <v>0.21</v>
      </c>
      <c r="P2387" s="26">
        <v>0.21</v>
      </c>
      <c r="Q2387" s="26">
        <v>17.47</v>
      </c>
      <c r="R2387" s="28">
        <v>1.2021E-2</v>
      </c>
      <c r="S2387" s="26">
        <v>83.19</v>
      </c>
      <c r="T2387" s="26">
        <v>1</v>
      </c>
      <c r="U2387" s="26">
        <v>1</v>
      </c>
      <c r="V2387" s="28">
        <v>1</v>
      </c>
      <c r="W2387" s="26">
        <v>1</v>
      </c>
      <c r="X2387" s="26">
        <v>0</v>
      </c>
      <c r="Y2387" s="26">
        <v>17.47</v>
      </c>
      <c r="Z2387" s="26">
        <v>0</v>
      </c>
    </row>
    <row r="2388" spans="1:26" x14ac:dyDescent="0.2">
      <c r="A2388">
        <f t="shared" si="76"/>
        <v>5</v>
      </c>
      <c r="B2388">
        <f t="shared" si="77"/>
        <v>19</v>
      </c>
      <c r="C2388" s="27">
        <v>46147</v>
      </c>
      <c r="D2388" s="26" t="s">
        <v>26</v>
      </c>
      <c r="E2388" s="26" t="s">
        <v>27</v>
      </c>
      <c r="F2388" s="26" t="s">
        <v>28</v>
      </c>
      <c r="G2388" s="26" t="s">
        <v>29</v>
      </c>
      <c r="H2388" s="26" t="s">
        <v>30</v>
      </c>
      <c r="I2388" s="26" t="s">
        <v>243</v>
      </c>
      <c r="J2388" s="26" t="s">
        <v>32</v>
      </c>
      <c r="K2388" s="26" t="s">
        <v>1550</v>
      </c>
      <c r="L2388" s="26">
        <v>2</v>
      </c>
      <c r="M2388" s="26">
        <v>1</v>
      </c>
      <c r="N2388" s="28">
        <v>0.5</v>
      </c>
      <c r="O2388" s="26">
        <v>0.21</v>
      </c>
      <c r="P2388" s="26">
        <v>0.21</v>
      </c>
      <c r="Q2388" s="26">
        <v>0</v>
      </c>
      <c r="R2388" s="26"/>
      <c r="S2388" s="26">
        <v>0</v>
      </c>
      <c r="T2388" s="26">
        <v>0</v>
      </c>
      <c r="U2388" s="26">
        <v>0</v>
      </c>
      <c r="V2388" s="28">
        <v>0</v>
      </c>
      <c r="W2388" s="26">
        <v>0</v>
      </c>
      <c r="X2388" s="26">
        <v>0</v>
      </c>
      <c r="Y2388" s="26">
        <v>0</v>
      </c>
      <c r="Z2388" s="26">
        <v>0</v>
      </c>
    </row>
    <row r="2389" spans="1:26" x14ac:dyDescent="0.2">
      <c r="A2389">
        <f t="shared" si="76"/>
        <v>5</v>
      </c>
      <c r="B2389">
        <f t="shared" si="77"/>
        <v>19</v>
      </c>
      <c r="C2389" s="27">
        <v>46150</v>
      </c>
      <c r="D2389" s="26" t="s">
        <v>26</v>
      </c>
      <c r="E2389" s="26" t="s">
        <v>27</v>
      </c>
      <c r="F2389" s="26" t="s">
        <v>28</v>
      </c>
      <c r="G2389" s="26" t="s">
        <v>29</v>
      </c>
      <c r="H2389" s="26" t="s">
        <v>30</v>
      </c>
      <c r="I2389" s="26" t="s">
        <v>101</v>
      </c>
      <c r="J2389" s="26" t="s">
        <v>32</v>
      </c>
      <c r="K2389" s="26" t="s">
        <v>1551</v>
      </c>
      <c r="L2389" s="26">
        <v>2</v>
      </c>
      <c r="M2389" s="26">
        <v>1</v>
      </c>
      <c r="N2389" s="28">
        <v>0.5</v>
      </c>
      <c r="O2389" s="26">
        <v>0.21</v>
      </c>
      <c r="P2389" s="26">
        <v>0.21</v>
      </c>
      <c r="Q2389" s="26">
        <v>0</v>
      </c>
      <c r="R2389" s="26"/>
      <c r="S2389" s="26">
        <v>0</v>
      </c>
      <c r="T2389" s="26">
        <v>0</v>
      </c>
      <c r="U2389" s="26">
        <v>0</v>
      </c>
      <c r="V2389" s="28">
        <v>0</v>
      </c>
      <c r="W2389" s="26">
        <v>0</v>
      </c>
      <c r="X2389" s="26">
        <v>0</v>
      </c>
      <c r="Y2389" s="26">
        <v>0</v>
      </c>
      <c r="Z2389" s="26">
        <v>0</v>
      </c>
    </row>
    <row r="2390" spans="1:26" x14ac:dyDescent="0.2">
      <c r="A2390">
        <f t="shared" si="76"/>
        <v>5</v>
      </c>
      <c r="B2390">
        <f t="shared" si="77"/>
        <v>19</v>
      </c>
      <c r="C2390" s="27">
        <v>46150</v>
      </c>
      <c r="D2390" s="26" t="s">
        <v>26</v>
      </c>
      <c r="E2390" s="26" t="s">
        <v>27</v>
      </c>
      <c r="F2390" s="26" t="s">
        <v>28</v>
      </c>
      <c r="G2390" s="26" t="s">
        <v>29</v>
      </c>
      <c r="H2390" s="26" t="s">
        <v>30</v>
      </c>
      <c r="I2390" s="26" t="s">
        <v>31</v>
      </c>
      <c r="J2390" s="26" t="s">
        <v>32</v>
      </c>
      <c r="K2390" s="26" t="s">
        <v>308</v>
      </c>
      <c r="L2390" s="26">
        <v>6</v>
      </c>
      <c r="M2390" s="26">
        <v>1</v>
      </c>
      <c r="N2390" s="28">
        <v>0.16666700000000001</v>
      </c>
      <c r="O2390" s="26">
        <v>0.21</v>
      </c>
      <c r="P2390" s="26">
        <v>0.21</v>
      </c>
      <c r="Q2390" s="26">
        <v>0</v>
      </c>
      <c r="R2390" s="26"/>
      <c r="S2390" s="26">
        <v>0</v>
      </c>
      <c r="T2390" s="26">
        <v>0</v>
      </c>
      <c r="U2390" s="26">
        <v>0</v>
      </c>
      <c r="V2390" s="28">
        <v>0</v>
      </c>
      <c r="W2390" s="26">
        <v>0</v>
      </c>
      <c r="X2390" s="26">
        <v>0</v>
      </c>
      <c r="Y2390" s="26">
        <v>0</v>
      </c>
      <c r="Z2390" s="26">
        <v>0</v>
      </c>
    </row>
    <row r="2391" spans="1:26" x14ac:dyDescent="0.2">
      <c r="A2391">
        <f t="shared" si="76"/>
        <v>5</v>
      </c>
      <c r="B2391">
        <f t="shared" si="77"/>
        <v>20</v>
      </c>
      <c r="C2391" s="27">
        <v>46152</v>
      </c>
      <c r="D2391" s="26" t="s">
        <v>26</v>
      </c>
      <c r="E2391" s="26" t="s">
        <v>27</v>
      </c>
      <c r="F2391" s="26" t="s">
        <v>28</v>
      </c>
      <c r="G2391" s="26" t="s">
        <v>29</v>
      </c>
      <c r="H2391" s="26" t="s">
        <v>30</v>
      </c>
      <c r="I2391" s="26" t="s">
        <v>31</v>
      </c>
      <c r="J2391" s="26" t="s">
        <v>32</v>
      </c>
      <c r="K2391" s="26" t="s">
        <v>308</v>
      </c>
      <c r="L2391" s="26">
        <v>2</v>
      </c>
      <c r="M2391" s="26">
        <v>1</v>
      </c>
      <c r="N2391" s="28">
        <v>0.5</v>
      </c>
      <c r="O2391" s="26">
        <v>0.21</v>
      </c>
      <c r="P2391" s="26">
        <v>0.21</v>
      </c>
      <c r="Q2391" s="26">
        <v>0</v>
      </c>
      <c r="R2391" s="26"/>
      <c r="S2391" s="26">
        <v>0</v>
      </c>
      <c r="T2391" s="26">
        <v>0</v>
      </c>
      <c r="U2391" s="26">
        <v>0</v>
      </c>
      <c r="V2391" s="28">
        <v>0</v>
      </c>
      <c r="W2391" s="26">
        <v>0</v>
      </c>
      <c r="X2391" s="26">
        <v>0</v>
      </c>
      <c r="Y2391" s="26">
        <v>0</v>
      </c>
      <c r="Z2391" s="26">
        <v>0</v>
      </c>
    </row>
    <row r="2392" spans="1:26" x14ac:dyDescent="0.2">
      <c r="A2392">
        <f t="shared" si="76"/>
        <v>5</v>
      </c>
      <c r="B2392">
        <f t="shared" si="77"/>
        <v>19</v>
      </c>
      <c r="C2392" s="27">
        <v>46147</v>
      </c>
      <c r="D2392" s="26" t="s">
        <v>26</v>
      </c>
      <c r="E2392" s="26" t="s">
        <v>27</v>
      </c>
      <c r="F2392" s="26" t="s">
        <v>28</v>
      </c>
      <c r="G2392" s="26" t="s">
        <v>29</v>
      </c>
      <c r="H2392" s="26" t="s">
        <v>30</v>
      </c>
      <c r="I2392" s="26" t="s">
        <v>156</v>
      </c>
      <c r="J2392" s="26" t="s">
        <v>32</v>
      </c>
      <c r="K2392" s="26" t="s">
        <v>308</v>
      </c>
      <c r="L2392" s="26">
        <v>1</v>
      </c>
      <c r="M2392" s="26">
        <v>1</v>
      </c>
      <c r="N2392" s="28">
        <v>1</v>
      </c>
      <c r="O2392" s="26">
        <v>0.2</v>
      </c>
      <c r="P2392" s="26">
        <v>0.2</v>
      </c>
      <c r="Q2392" s="26">
        <v>0</v>
      </c>
      <c r="R2392" s="26"/>
      <c r="S2392" s="26">
        <v>0</v>
      </c>
      <c r="T2392" s="26">
        <v>0</v>
      </c>
      <c r="U2392" s="26">
        <v>0</v>
      </c>
      <c r="V2392" s="28">
        <v>0</v>
      </c>
      <c r="W2392" s="26">
        <v>0</v>
      </c>
      <c r="X2392" s="26">
        <v>0</v>
      </c>
      <c r="Y2392" s="26">
        <v>0</v>
      </c>
      <c r="Z2392" s="26">
        <v>0</v>
      </c>
    </row>
    <row r="2393" spans="1:26" x14ac:dyDescent="0.2">
      <c r="A2393">
        <f t="shared" si="76"/>
        <v>5</v>
      </c>
      <c r="B2393">
        <f t="shared" si="77"/>
        <v>20</v>
      </c>
      <c r="C2393" s="27">
        <v>46153</v>
      </c>
      <c r="D2393" s="26" t="s">
        <v>26</v>
      </c>
      <c r="E2393" s="26" t="s">
        <v>27</v>
      </c>
      <c r="F2393" s="26" t="s">
        <v>28</v>
      </c>
      <c r="G2393" s="26" t="s">
        <v>29</v>
      </c>
      <c r="H2393" s="26" t="s">
        <v>30</v>
      </c>
      <c r="I2393" s="26" t="s">
        <v>37</v>
      </c>
      <c r="J2393" s="26" t="s">
        <v>32</v>
      </c>
      <c r="K2393" s="26" t="s">
        <v>583</v>
      </c>
      <c r="L2393" s="26">
        <v>1</v>
      </c>
      <c r="M2393" s="26">
        <v>1</v>
      </c>
      <c r="N2393" s="28">
        <v>1</v>
      </c>
      <c r="O2393" s="26">
        <v>0.08</v>
      </c>
      <c r="P2393" s="26">
        <v>0.08</v>
      </c>
      <c r="Q2393" s="26">
        <v>0</v>
      </c>
      <c r="R2393" s="26"/>
      <c r="S2393" s="26">
        <v>0</v>
      </c>
      <c r="T2393" s="26">
        <v>0</v>
      </c>
      <c r="U2393" s="26">
        <v>0</v>
      </c>
      <c r="V2393" s="28">
        <v>0</v>
      </c>
      <c r="W2393" s="26">
        <v>0</v>
      </c>
      <c r="X2393" s="26">
        <v>0</v>
      </c>
      <c r="Y2393" s="26">
        <v>0</v>
      </c>
      <c r="Z2393" s="26">
        <v>0</v>
      </c>
    </row>
    <row r="2394" spans="1:26" x14ac:dyDescent="0.2">
      <c r="A2394">
        <f t="shared" si="76"/>
        <v>5</v>
      </c>
      <c r="B2394">
        <f t="shared" si="77"/>
        <v>20</v>
      </c>
      <c r="C2394" s="27">
        <v>46156</v>
      </c>
      <c r="D2394" s="26" t="s">
        <v>26</v>
      </c>
      <c r="E2394" s="26" t="s">
        <v>39</v>
      </c>
      <c r="F2394" s="26" t="s">
        <v>40</v>
      </c>
      <c r="G2394" s="26" t="s">
        <v>29</v>
      </c>
      <c r="H2394" s="26" t="s">
        <v>30</v>
      </c>
      <c r="I2394" s="26" t="s">
        <v>1134</v>
      </c>
      <c r="J2394" s="26" t="s">
        <v>42</v>
      </c>
      <c r="K2394" s="26" t="s">
        <v>306</v>
      </c>
      <c r="L2394" s="26">
        <v>5</v>
      </c>
      <c r="M2394" s="26">
        <v>1</v>
      </c>
      <c r="N2394" s="28">
        <v>0.2</v>
      </c>
      <c r="O2394" s="26">
        <v>0.6</v>
      </c>
      <c r="P2394" s="26">
        <v>0.6</v>
      </c>
      <c r="Q2394" s="26">
        <v>17.47</v>
      </c>
      <c r="R2394" s="28">
        <v>3.4345000000000001E-2</v>
      </c>
      <c r="S2394" s="26">
        <v>29.12</v>
      </c>
      <c r="T2394" s="26">
        <v>1</v>
      </c>
      <c r="U2394" s="26">
        <v>1</v>
      </c>
      <c r="V2394" s="28">
        <v>1</v>
      </c>
      <c r="W2394" s="26">
        <v>1</v>
      </c>
      <c r="X2394" s="26">
        <v>0</v>
      </c>
      <c r="Y2394" s="26">
        <v>17.47</v>
      </c>
      <c r="Z2394" s="26">
        <v>0</v>
      </c>
    </row>
    <row r="2395" spans="1:26" x14ac:dyDescent="0.2">
      <c r="A2395">
        <f t="shared" si="76"/>
        <v>5</v>
      </c>
      <c r="B2395">
        <f t="shared" si="77"/>
        <v>20</v>
      </c>
      <c r="C2395" s="27">
        <v>46158</v>
      </c>
      <c r="D2395" s="26" t="s">
        <v>26</v>
      </c>
      <c r="E2395" s="26" t="s">
        <v>39</v>
      </c>
      <c r="F2395" s="26" t="s">
        <v>40</v>
      </c>
      <c r="G2395" s="26" t="s">
        <v>29</v>
      </c>
      <c r="H2395" s="26" t="s">
        <v>30</v>
      </c>
      <c r="I2395" s="26" t="s">
        <v>1134</v>
      </c>
      <c r="J2395" s="26" t="s">
        <v>42</v>
      </c>
      <c r="K2395" s="26" t="s">
        <v>306</v>
      </c>
      <c r="L2395" s="26">
        <v>13</v>
      </c>
      <c r="M2395" s="26">
        <v>1</v>
      </c>
      <c r="N2395" s="28">
        <v>7.6923000000000005E-2</v>
      </c>
      <c r="O2395" s="26">
        <v>0.6</v>
      </c>
      <c r="P2395" s="26">
        <v>0.6</v>
      </c>
      <c r="Q2395" s="26">
        <v>0</v>
      </c>
      <c r="R2395" s="26"/>
      <c r="S2395" s="26">
        <v>0</v>
      </c>
      <c r="T2395" s="26">
        <v>0</v>
      </c>
      <c r="U2395" s="26">
        <v>0</v>
      </c>
      <c r="V2395" s="28">
        <v>0</v>
      </c>
      <c r="W2395" s="26">
        <v>0</v>
      </c>
      <c r="X2395" s="26">
        <v>0</v>
      </c>
      <c r="Y2395" s="26">
        <v>0</v>
      </c>
      <c r="Z2395" s="26">
        <v>0</v>
      </c>
    </row>
    <row r="2396" spans="1:26" x14ac:dyDescent="0.2">
      <c r="A2396">
        <f t="shared" si="76"/>
        <v>5</v>
      </c>
      <c r="B2396">
        <f t="shared" si="77"/>
        <v>20</v>
      </c>
      <c r="C2396" s="27">
        <v>46152</v>
      </c>
      <c r="D2396" s="26" t="s">
        <v>26</v>
      </c>
      <c r="E2396" s="26" t="s">
        <v>39</v>
      </c>
      <c r="F2396" s="26" t="s">
        <v>40</v>
      </c>
      <c r="G2396" s="26" t="s">
        <v>29</v>
      </c>
      <c r="H2396" s="26" t="s">
        <v>30</v>
      </c>
      <c r="I2396" s="26" t="s">
        <v>1405</v>
      </c>
      <c r="J2396" s="26" t="s">
        <v>42</v>
      </c>
      <c r="K2396" s="26" t="s">
        <v>306</v>
      </c>
      <c r="L2396" s="26">
        <v>10</v>
      </c>
      <c r="M2396" s="26">
        <v>1</v>
      </c>
      <c r="N2396" s="28">
        <v>0.1</v>
      </c>
      <c r="O2396" s="26">
        <v>0.62</v>
      </c>
      <c r="P2396" s="26">
        <v>0.62</v>
      </c>
      <c r="Q2396" s="26">
        <v>0</v>
      </c>
      <c r="R2396" s="26"/>
      <c r="S2396" s="26">
        <v>0</v>
      </c>
      <c r="T2396" s="26">
        <v>0</v>
      </c>
      <c r="U2396" s="26">
        <v>0</v>
      </c>
      <c r="V2396" s="28">
        <v>0</v>
      </c>
      <c r="W2396" s="26">
        <v>0</v>
      </c>
      <c r="X2396" s="26">
        <v>0</v>
      </c>
      <c r="Y2396" s="26">
        <v>0</v>
      </c>
      <c r="Z2396" s="26">
        <v>0</v>
      </c>
    </row>
    <row r="2397" spans="1:26" x14ac:dyDescent="0.2">
      <c r="A2397">
        <f t="shared" si="76"/>
        <v>5</v>
      </c>
      <c r="B2397">
        <f t="shared" si="77"/>
        <v>19</v>
      </c>
      <c r="C2397" s="27">
        <v>46147</v>
      </c>
      <c r="D2397" s="26" t="s">
        <v>26</v>
      </c>
      <c r="E2397" s="26" t="s">
        <v>49</v>
      </c>
      <c r="F2397" s="26" t="s">
        <v>50</v>
      </c>
      <c r="G2397" s="26" t="s">
        <v>29</v>
      </c>
      <c r="H2397" s="26" t="s">
        <v>30</v>
      </c>
      <c r="I2397" s="26" t="s">
        <v>47</v>
      </c>
      <c r="J2397" s="26" t="s">
        <v>42</v>
      </c>
      <c r="K2397" s="26" t="s">
        <v>306</v>
      </c>
      <c r="L2397" s="26">
        <v>5</v>
      </c>
      <c r="M2397" s="26">
        <v>1</v>
      </c>
      <c r="N2397" s="28">
        <v>0.2</v>
      </c>
      <c r="O2397" s="26">
        <v>1.1200000000000001</v>
      </c>
      <c r="P2397" s="26">
        <v>1.1200000000000001</v>
      </c>
      <c r="Q2397" s="26">
        <v>17.47</v>
      </c>
      <c r="R2397" s="28">
        <v>6.411E-2</v>
      </c>
      <c r="S2397" s="26">
        <v>15.6</v>
      </c>
      <c r="T2397" s="26">
        <v>1</v>
      </c>
      <c r="U2397" s="26">
        <v>1</v>
      </c>
      <c r="V2397" s="28">
        <v>1</v>
      </c>
      <c r="W2397" s="26">
        <v>0</v>
      </c>
      <c r="X2397" s="26">
        <v>1</v>
      </c>
      <c r="Y2397" s="26">
        <v>0</v>
      </c>
      <c r="Z2397" s="26">
        <v>17.47</v>
      </c>
    </row>
    <row r="2398" spans="1:26" x14ac:dyDescent="0.2">
      <c r="A2398">
        <f t="shared" si="76"/>
        <v>5</v>
      </c>
      <c r="B2398">
        <f t="shared" si="77"/>
        <v>20</v>
      </c>
      <c r="C2398" s="27">
        <v>46157</v>
      </c>
      <c r="D2398" s="26" t="s">
        <v>26</v>
      </c>
      <c r="E2398" s="26" t="s">
        <v>49</v>
      </c>
      <c r="F2398" s="26" t="s">
        <v>50</v>
      </c>
      <c r="G2398" s="26" t="s">
        <v>29</v>
      </c>
      <c r="H2398" s="26" t="s">
        <v>30</v>
      </c>
      <c r="I2398" s="26" t="s">
        <v>47</v>
      </c>
      <c r="J2398" s="26" t="s">
        <v>42</v>
      </c>
      <c r="K2398" s="26" t="s">
        <v>306</v>
      </c>
      <c r="L2398" s="26">
        <v>20</v>
      </c>
      <c r="M2398" s="26">
        <v>1</v>
      </c>
      <c r="N2398" s="28">
        <v>0.05</v>
      </c>
      <c r="O2398" s="26">
        <v>1.25</v>
      </c>
      <c r="P2398" s="26">
        <v>1.25</v>
      </c>
      <c r="Q2398" s="26">
        <v>0</v>
      </c>
      <c r="R2398" s="26"/>
      <c r="S2398" s="26">
        <v>0</v>
      </c>
      <c r="T2398" s="26">
        <v>0</v>
      </c>
      <c r="U2398" s="26">
        <v>0</v>
      </c>
      <c r="V2398" s="28">
        <v>0</v>
      </c>
      <c r="W2398" s="26">
        <v>0</v>
      </c>
      <c r="X2398" s="26">
        <v>0</v>
      </c>
      <c r="Y2398" s="26">
        <v>0</v>
      </c>
      <c r="Z2398" s="26">
        <v>0</v>
      </c>
    </row>
    <row r="2399" spans="1:26" x14ac:dyDescent="0.2">
      <c r="A2399">
        <f t="shared" si="76"/>
        <v>5</v>
      </c>
      <c r="B2399">
        <f t="shared" si="77"/>
        <v>20</v>
      </c>
      <c r="C2399" s="27">
        <v>46157</v>
      </c>
      <c r="D2399" s="26" t="s">
        <v>26</v>
      </c>
      <c r="E2399" s="26" t="s">
        <v>27</v>
      </c>
      <c r="F2399" s="26" t="s">
        <v>124</v>
      </c>
      <c r="G2399" s="26" t="s">
        <v>29</v>
      </c>
      <c r="H2399" s="26" t="s">
        <v>30</v>
      </c>
      <c r="I2399" s="26" t="s">
        <v>306</v>
      </c>
      <c r="J2399" s="26" t="s">
        <v>87</v>
      </c>
      <c r="K2399" s="26" t="s">
        <v>306</v>
      </c>
      <c r="L2399" s="26">
        <v>3</v>
      </c>
      <c r="M2399" s="26">
        <v>1</v>
      </c>
      <c r="N2399" s="28">
        <v>0.33333299999999999</v>
      </c>
      <c r="O2399" s="26">
        <v>0.2</v>
      </c>
      <c r="P2399" s="26">
        <v>0.2</v>
      </c>
      <c r="Q2399" s="26">
        <v>0</v>
      </c>
      <c r="R2399" s="26"/>
      <c r="S2399" s="26">
        <v>0</v>
      </c>
      <c r="T2399" s="26">
        <v>0</v>
      </c>
      <c r="U2399" s="26">
        <v>0</v>
      </c>
      <c r="V2399" s="28">
        <v>0</v>
      </c>
      <c r="W2399" s="26">
        <v>0</v>
      </c>
      <c r="X2399" s="26">
        <v>0</v>
      </c>
      <c r="Y2399" s="26">
        <v>0</v>
      </c>
      <c r="Z2399" s="26">
        <v>0</v>
      </c>
    </row>
    <row r="2400" spans="1:26" x14ac:dyDescent="0.2">
      <c r="A2400">
        <f t="shared" si="76"/>
        <v>5</v>
      </c>
      <c r="B2400">
        <f t="shared" si="77"/>
        <v>20</v>
      </c>
      <c r="C2400" s="27">
        <v>46158</v>
      </c>
      <c r="D2400" s="26" t="s">
        <v>26</v>
      </c>
      <c r="E2400" s="26" t="s">
        <v>27</v>
      </c>
      <c r="F2400" s="26" t="s">
        <v>124</v>
      </c>
      <c r="G2400" s="26" t="s">
        <v>29</v>
      </c>
      <c r="H2400" s="26" t="s">
        <v>30</v>
      </c>
      <c r="I2400" s="26" t="s">
        <v>306</v>
      </c>
      <c r="J2400" s="26" t="s">
        <v>267</v>
      </c>
      <c r="K2400" s="26" t="s">
        <v>306</v>
      </c>
      <c r="L2400" s="26">
        <v>10</v>
      </c>
      <c r="M2400" s="26">
        <v>1</v>
      </c>
      <c r="N2400" s="28">
        <v>0.1</v>
      </c>
      <c r="O2400" s="26">
        <v>0.2</v>
      </c>
      <c r="P2400" s="26">
        <v>0.2</v>
      </c>
      <c r="Q2400" s="26">
        <v>0</v>
      </c>
      <c r="R2400" s="26"/>
      <c r="S2400" s="26">
        <v>0</v>
      </c>
      <c r="T2400" s="26">
        <v>0</v>
      </c>
      <c r="U2400" s="26">
        <v>0</v>
      </c>
      <c r="V2400" s="28">
        <v>0</v>
      </c>
      <c r="W2400" s="26">
        <v>0</v>
      </c>
      <c r="X2400" s="26">
        <v>0</v>
      </c>
      <c r="Y2400" s="26">
        <v>0</v>
      </c>
      <c r="Z2400" s="26">
        <v>0</v>
      </c>
    </row>
    <row r="2401" spans="1:26" x14ac:dyDescent="0.2">
      <c r="A2401">
        <f t="shared" si="76"/>
        <v>5</v>
      </c>
      <c r="B2401">
        <f t="shared" si="77"/>
        <v>19</v>
      </c>
      <c r="C2401" s="27">
        <v>46146</v>
      </c>
      <c r="D2401" s="26" t="s">
        <v>26</v>
      </c>
      <c r="E2401" s="26" t="s">
        <v>27</v>
      </c>
      <c r="F2401" s="26" t="s">
        <v>124</v>
      </c>
      <c r="G2401" s="26" t="s">
        <v>29</v>
      </c>
      <c r="H2401" s="26" t="s">
        <v>30</v>
      </c>
      <c r="I2401" s="26" t="s">
        <v>101</v>
      </c>
      <c r="J2401" s="26" t="s">
        <v>87</v>
      </c>
      <c r="K2401" s="26" t="s">
        <v>306</v>
      </c>
      <c r="L2401" s="26">
        <v>4</v>
      </c>
      <c r="M2401" s="26">
        <v>1</v>
      </c>
      <c r="N2401" s="28">
        <v>0.25</v>
      </c>
      <c r="O2401" s="26">
        <v>0.2</v>
      </c>
      <c r="P2401" s="26">
        <v>0.2</v>
      </c>
      <c r="Q2401" s="26">
        <v>0</v>
      </c>
      <c r="R2401" s="26"/>
      <c r="S2401" s="26">
        <v>0</v>
      </c>
      <c r="T2401" s="26">
        <v>0</v>
      </c>
      <c r="U2401" s="26">
        <v>0</v>
      </c>
      <c r="V2401" s="28">
        <v>0</v>
      </c>
      <c r="W2401" s="26">
        <v>0</v>
      </c>
      <c r="X2401" s="26">
        <v>0</v>
      </c>
      <c r="Y2401" s="26">
        <v>0</v>
      </c>
      <c r="Z2401" s="26">
        <v>0</v>
      </c>
    </row>
    <row r="2402" spans="1:26" x14ac:dyDescent="0.2">
      <c r="A2402">
        <f t="shared" si="76"/>
        <v>5</v>
      </c>
      <c r="B2402">
        <f t="shared" si="77"/>
        <v>20</v>
      </c>
      <c r="C2402" s="27">
        <v>46153</v>
      </c>
      <c r="D2402" s="26" t="s">
        <v>26</v>
      </c>
      <c r="E2402" s="26" t="s">
        <v>27</v>
      </c>
      <c r="F2402" s="26" t="s">
        <v>124</v>
      </c>
      <c r="G2402" s="26" t="s">
        <v>29</v>
      </c>
      <c r="H2402" s="26" t="s">
        <v>30</v>
      </c>
      <c r="I2402" s="26" t="s">
        <v>101</v>
      </c>
      <c r="J2402" s="26" t="s">
        <v>87</v>
      </c>
      <c r="K2402" s="26" t="s">
        <v>306</v>
      </c>
      <c r="L2402" s="26">
        <v>19</v>
      </c>
      <c r="M2402" s="26">
        <v>1</v>
      </c>
      <c r="N2402" s="28">
        <v>5.2631999999999998E-2</v>
      </c>
      <c r="O2402" s="26">
        <v>0.2</v>
      </c>
      <c r="P2402" s="26">
        <v>0.2</v>
      </c>
      <c r="Q2402" s="26">
        <v>0</v>
      </c>
      <c r="R2402" s="26"/>
      <c r="S2402" s="26">
        <v>0</v>
      </c>
      <c r="T2402" s="26">
        <v>0</v>
      </c>
      <c r="U2402" s="26">
        <v>0</v>
      </c>
      <c r="V2402" s="28">
        <v>0</v>
      </c>
      <c r="W2402" s="26">
        <v>0</v>
      </c>
      <c r="X2402" s="26">
        <v>0</v>
      </c>
      <c r="Y2402" s="26">
        <v>0</v>
      </c>
      <c r="Z2402" s="26">
        <v>0</v>
      </c>
    </row>
    <row r="2403" spans="1:26" x14ac:dyDescent="0.2">
      <c r="A2403">
        <f t="shared" si="76"/>
        <v>5</v>
      </c>
      <c r="B2403">
        <f t="shared" si="77"/>
        <v>19</v>
      </c>
      <c r="C2403" s="27">
        <v>46149</v>
      </c>
      <c r="D2403" s="26" t="s">
        <v>26</v>
      </c>
      <c r="E2403" s="26" t="s">
        <v>27</v>
      </c>
      <c r="F2403" s="26" t="s">
        <v>28</v>
      </c>
      <c r="G2403" s="26" t="s">
        <v>29</v>
      </c>
      <c r="H2403" s="26" t="s">
        <v>30</v>
      </c>
      <c r="I2403" s="26" t="s">
        <v>306</v>
      </c>
      <c r="J2403" s="26" t="s">
        <v>32</v>
      </c>
      <c r="K2403" s="26" t="s">
        <v>306</v>
      </c>
      <c r="L2403" s="26">
        <v>12</v>
      </c>
      <c r="M2403" s="26">
        <v>1</v>
      </c>
      <c r="N2403" s="28">
        <v>8.3333000000000004E-2</v>
      </c>
      <c r="O2403" s="26">
        <v>0.21</v>
      </c>
      <c r="P2403" s="26">
        <v>0.21</v>
      </c>
      <c r="Q2403" s="26">
        <v>0</v>
      </c>
      <c r="R2403" s="26"/>
      <c r="S2403" s="26">
        <v>0</v>
      </c>
      <c r="T2403" s="26">
        <v>0</v>
      </c>
      <c r="U2403" s="26">
        <v>0</v>
      </c>
      <c r="V2403" s="28">
        <v>0</v>
      </c>
      <c r="W2403" s="26">
        <v>0</v>
      </c>
      <c r="X2403" s="26">
        <v>0</v>
      </c>
      <c r="Y2403" s="26">
        <v>0</v>
      </c>
      <c r="Z2403" s="26">
        <v>0</v>
      </c>
    </row>
    <row r="2404" spans="1:26" x14ac:dyDescent="0.2">
      <c r="A2404">
        <f t="shared" si="76"/>
        <v>5</v>
      </c>
      <c r="B2404">
        <f t="shared" si="77"/>
        <v>21</v>
      </c>
      <c r="C2404" s="27">
        <v>46160</v>
      </c>
      <c r="D2404" s="26" t="s">
        <v>26</v>
      </c>
      <c r="E2404" s="26" t="s">
        <v>27</v>
      </c>
      <c r="F2404" s="26" t="s">
        <v>28</v>
      </c>
      <c r="G2404" s="26" t="s">
        <v>29</v>
      </c>
      <c r="H2404" s="26" t="s">
        <v>30</v>
      </c>
      <c r="I2404" s="26" t="s">
        <v>133</v>
      </c>
      <c r="J2404" s="26" t="s">
        <v>32</v>
      </c>
      <c r="K2404" s="26" t="s">
        <v>1552</v>
      </c>
      <c r="L2404" s="26">
        <v>2</v>
      </c>
      <c r="M2404" s="26">
        <v>1</v>
      </c>
      <c r="N2404" s="28">
        <v>0.5</v>
      </c>
      <c r="O2404" s="26">
        <v>0.21</v>
      </c>
      <c r="P2404" s="26">
        <v>0.21</v>
      </c>
      <c r="Q2404" s="26">
        <v>0</v>
      </c>
      <c r="R2404" s="26"/>
      <c r="S2404" s="26">
        <v>0</v>
      </c>
      <c r="T2404" s="26">
        <v>0</v>
      </c>
      <c r="U2404" s="26">
        <v>0</v>
      </c>
      <c r="V2404" s="28">
        <v>0</v>
      </c>
      <c r="W2404" s="26">
        <v>0</v>
      </c>
      <c r="X2404" s="26">
        <v>0</v>
      </c>
      <c r="Y2404" s="26">
        <v>0</v>
      </c>
      <c r="Z2404" s="26">
        <v>0</v>
      </c>
    </row>
    <row r="2405" spans="1:26" x14ac:dyDescent="0.2">
      <c r="A2405">
        <f t="shared" si="76"/>
        <v>5</v>
      </c>
      <c r="B2405">
        <f t="shared" si="77"/>
        <v>19</v>
      </c>
      <c r="C2405" s="27">
        <v>46148</v>
      </c>
      <c r="D2405" s="26" t="s">
        <v>26</v>
      </c>
      <c r="E2405" s="26" t="s">
        <v>39</v>
      </c>
      <c r="F2405" s="26" t="s">
        <v>40</v>
      </c>
      <c r="G2405" s="26" t="s">
        <v>29</v>
      </c>
      <c r="H2405" s="26" t="s">
        <v>30</v>
      </c>
      <c r="I2405" s="26" t="s">
        <v>1134</v>
      </c>
      <c r="J2405" s="26" t="s">
        <v>42</v>
      </c>
      <c r="K2405" s="26" t="s">
        <v>310</v>
      </c>
      <c r="L2405" s="26">
        <v>4</v>
      </c>
      <c r="M2405" s="26">
        <v>1</v>
      </c>
      <c r="N2405" s="28">
        <v>0.25</v>
      </c>
      <c r="O2405" s="26">
        <v>0.56999999999999995</v>
      </c>
      <c r="P2405" s="26">
        <v>0.56999999999999995</v>
      </c>
      <c r="Q2405" s="26">
        <v>0</v>
      </c>
      <c r="R2405" s="26"/>
      <c r="S2405" s="26">
        <v>0</v>
      </c>
      <c r="T2405" s="26">
        <v>0</v>
      </c>
      <c r="U2405" s="26">
        <v>0</v>
      </c>
      <c r="V2405" s="28">
        <v>0</v>
      </c>
      <c r="W2405" s="26">
        <v>0</v>
      </c>
      <c r="X2405" s="26">
        <v>0</v>
      </c>
      <c r="Y2405" s="26">
        <v>0</v>
      </c>
      <c r="Z2405" s="26">
        <v>0</v>
      </c>
    </row>
    <row r="2406" spans="1:26" x14ac:dyDescent="0.2">
      <c r="A2406">
        <f t="shared" si="76"/>
        <v>5</v>
      </c>
      <c r="B2406">
        <f t="shared" si="77"/>
        <v>19</v>
      </c>
      <c r="C2406" s="27">
        <v>46145</v>
      </c>
      <c r="D2406" s="26" t="s">
        <v>26</v>
      </c>
      <c r="E2406" s="26" t="s">
        <v>27</v>
      </c>
      <c r="F2406" s="26" t="s">
        <v>28</v>
      </c>
      <c r="G2406" s="26" t="s">
        <v>29</v>
      </c>
      <c r="H2406" s="26" t="s">
        <v>30</v>
      </c>
      <c r="I2406" s="26" t="s">
        <v>50</v>
      </c>
      <c r="J2406" s="26" t="s">
        <v>32</v>
      </c>
      <c r="K2406" s="26" t="s">
        <v>311</v>
      </c>
      <c r="L2406" s="26">
        <v>1</v>
      </c>
      <c r="M2406" s="26">
        <v>1</v>
      </c>
      <c r="N2406" s="28">
        <v>1</v>
      </c>
      <c r="O2406" s="26">
        <v>0.44</v>
      </c>
      <c r="P2406" s="26">
        <v>0.44</v>
      </c>
      <c r="Q2406" s="26">
        <v>0</v>
      </c>
      <c r="R2406" s="26"/>
      <c r="S2406" s="26">
        <v>0</v>
      </c>
      <c r="T2406" s="26">
        <v>0</v>
      </c>
      <c r="U2406" s="26">
        <v>0</v>
      </c>
      <c r="V2406" s="28">
        <v>0</v>
      </c>
      <c r="W2406" s="26">
        <v>0</v>
      </c>
      <c r="X2406" s="26">
        <v>0</v>
      </c>
      <c r="Y2406" s="26">
        <v>0</v>
      </c>
      <c r="Z2406" s="26">
        <v>0</v>
      </c>
    </row>
    <row r="2407" spans="1:26" x14ac:dyDescent="0.2">
      <c r="A2407">
        <f t="shared" si="76"/>
        <v>5</v>
      </c>
      <c r="B2407">
        <f t="shared" si="77"/>
        <v>19</v>
      </c>
      <c r="C2407" s="27">
        <v>46151</v>
      </c>
      <c r="D2407" s="26" t="s">
        <v>26</v>
      </c>
      <c r="E2407" s="26" t="s">
        <v>27</v>
      </c>
      <c r="F2407" s="26" t="s">
        <v>28</v>
      </c>
      <c r="G2407" s="26" t="s">
        <v>29</v>
      </c>
      <c r="H2407" s="26" t="s">
        <v>30</v>
      </c>
      <c r="I2407" s="26" t="s">
        <v>50</v>
      </c>
      <c r="J2407" s="26" t="s">
        <v>32</v>
      </c>
      <c r="K2407" s="26" t="s">
        <v>311</v>
      </c>
      <c r="L2407" s="26">
        <v>4</v>
      </c>
      <c r="M2407" s="26">
        <v>1</v>
      </c>
      <c r="N2407" s="28">
        <v>0.25</v>
      </c>
      <c r="O2407" s="26">
        <v>0.21</v>
      </c>
      <c r="P2407" s="26">
        <v>0.21</v>
      </c>
      <c r="Q2407" s="26">
        <v>0</v>
      </c>
      <c r="R2407" s="26"/>
      <c r="S2407" s="26">
        <v>0</v>
      </c>
      <c r="T2407" s="26">
        <v>0</v>
      </c>
      <c r="U2407" s="26">
        <v>0</v>
      </c>
      <c r="V2407" s="28">
        <v>0</v>
      </c>
      <c r="W2407" s="26">
        <v>0</v>
      </c>
      <c r="X2407" s="26">
        <v>0</v>
      </c>
      <c r="Y2407" s="26">
        <v>0</v>
      </c>
      <c r="Z2407" s="26">
        <v>0</v>
      </c>
    </row>
    <row r="2408" spans="1:26" x14ac:dyDescent="0.2">
      <c r="A2408">
        <f t="shared" si="76"/>
        <v>5</v>
      </c>
      <c r="B2408">
        <f t="shared" si="77"/>
        <v>20</v>
      </c>
      <c r="C2408" s="27">
        <v>46157</v>
      </c>
      <c r="D2408" s="26" t="s">
        <v>26</v>
      </c>
      <c r="E2408" s="26" t="s">
        <v>27</v>
      </c>
      <c r="F2408" s="26" t="s">
        <v>124</v>
      </c>
      <c r="G2408" s="26" t="s">
        <v>29</v>
      </c>
      <c r="H2408" s="26" t="s">
        <v>30</v>
      </c>
      <c r="I2408" s="26" t="s">
        <v>311</v>
      </c>
      <c r="J2408" s="26" t="s">
        <v>87</v>
      </c>
      <c r="K2408" s="26" t="s">
        <v>311</v>
      </c>
      <c r="L2408" s="26">
        <v>26</v>
      </c>
      <c r="M2408" s="26">
        <v>1</v>
      </c>
      <c r="N2408" s="28">
        <v>3.8462000000000003E-2</v>
      </c>
      <c r="O2408" s="26">
        <v>0.2</v>
      </c>
      <c r="P2408" s="26">
        <v>0.2</v>
      </c>
      <c r="Q2408" s="26">
        <v>0</v>
      </c>
      <c r="R2408" s="26"/>
      <c r="S2408" s="26">
        <v>0</v>
      </c>
      <c r="T2408" s="26">
        <v>0</v>
      </c>
      <c r="U2408" s="26">
        <v>0</v>
      </c>
      <c r="V2408" s="28">
        <v>0</v>
      </c>
      <c r="W2408" s="26">
        <v>0</v>
      </c>
      <c r="X2408" s="26">
        <v>0</v>
      </c>
      <c r="Y2408" s="26">
        <v>0</v>
      </c>
      <c r="Z2408" s="26">
        <v>0</v>
      </c>
    </row>
    <row r="2409" spans="1:26" x14ac:dyDescent="0.2">
      <c r="A2409">
        <f t="shared" si="76"/>
        <v>5</v>
      </c>
      <c r="B2409">
        <f t="shared" si="77"/>
        <v>20</v>
      </c>
      <c r="C2409" s="27">
        <v>46153</v>
      </c>
      <c r="D2409" s="26" t="s">
        <v>26</v>
      </c>
      <c r="E2409" s="26" t="s">
        <v>27</v>
      </c>
      <c r="F2409" s="26" t="s">
        <v>28</v>
      </c>
      <c r="G2409" s="26" t="s">
        <v>29</v>
      </c>
      <c r="H2409" s="26" t="s">
        <v>30</v>
      </c>
      <c r="I2409" s="26" t="s">
        <v>50</v>
      </c>
      <c r="J2409" s="26" t="s">
        <v>32</v>
      </c>
      <c r="K2409" s="26" t="s">
        <v>1553</v>
      </c>
      <c r="L2409" s="26">
        <v>1</v>
      </c>
      <c r="M2409" s="26">
        <v>1</v>
      </c>
      <c r="N2409" s="28">
        <v>1</v>
      </c>
      <c r="O2409" s="26">
        <v>0.4</v>
      </c>
      <c r="P2409" s="26">
        <v>0.4</v>
      </c>
      <c r="Q2409" s="26">
        <v>0</v>
      </c>
      <c r="R2409" s="26"/>
      <c r="S2409" s="26">
        <v>0</v>
      </c>
      <c r="T2409" s="26">
        <v>0</v>
      </c>
      <c r="U2409" s="26">
        <v>0</v>
      </c>
      <c r="V2409" s="28">
        <v>0</v>
      </c>
      <c r="W2409" s="26">
        <v>0</v>
      </c>
      <c r="X2409" s="26">
        <v>0</v>
      </c>
      <c r="Y2409" s="26">
        <v>0</v>
      </c>
      <c r="Z2409" s="26">
        <v>0</v>
      </c>
    </row>
    <row r="2410" spans="1:26" x14ac:dyDescent="0.2">
      <c r="A2410">
        <f t="shared" si="76"/>
        <v>5</v>
      </c>
      <c r="B2410">
        <f t="shared" si="77"/>
        <v>20</v>
      </c>
      <c r="C2410" s="27">
        <v>46152</v>
      </c>
      <c r="D2410" s="26" t="s">
        <v>26</v>
      </c>
      <c r="E2410" s="26" t="s">
        <v>39</v>
      </c>
      <c r="F2410" s="26" t="s">
        <v>40</v>
      </c>
      <c r="G2410" s="26" t="s">
        <v>29</v>
      </c>
      <c r="H2410" s="26" t="s">
        <v>30</v>
      </c>
      <c r="I2410" s="26" t="s">
        <v>1134</v>
      </c>
      <c r="J2410" s="26" t="s">
        <v>42</v>
      </c>
      <c r="K2410" s="26" t="s">
        <v>312</v>
      </c>
      <c r="L2410" s="26">
        <v>1</v>
      </c>
      <c r="M2410" s="26">
        <v>1</v>
      </c>
      <c r="N2410" s="28">
        <v>1</v>
      </c>
      <c r="O2410" s="26">
        <v>0.63</v>
      </c>
      <c r="P2410" s="26">
        <v>0.63</v>
      </c>
      <c r="Q2410" s="26">
        <v>0</v>
      </c>
      <c r="R2410" s="26"/>
      <c r="S2410" s="26">
        <v>0</v>
      </c>
      <c r="T2410" s="26">
        <v>0</v>
      </c>
      <c r="U2410" s="26">
        <v>0</v>
      </c>
      <c r="V2410" s="28">
        <v>0</v>
      </c>
      <c r="W2410" s="26">
        <v>0</v>
      </c>
      <c r="X2410" s="26">
        <v>0</v>
      </c>
      <c r="Y2410" s="26">
        <v>0</v>
      </c>
      <c r="Z2410" s="26">
        <v>0</v>
      </c>
    </row>
    <row r="2411" spans="1:26" x14ac:dyDescent="0.2">
      <c r="A2411">
        <f t="shared" si="76"/>
        <v>5</v>
      </c>
      <c r="B2411">
        <f t="shared" si="77"/>
        <v>18</v>
      </c>
      <c r="C2411" s="27">
        <v>46143</v>
      </c>
      <c r="D2411" s="26" t="s">
        <v>26</v>
      </c>
      <c r="E2411" s="26" t="s">
        <v>27</v>
      </c>
      <c r="F2411" s="26" t="s">
        <v>28</v>
      </c>
      <c r="G2411" s="26" t="s">
        <v>29</v>
      </c>
      <c r="H2411" s="26" t="s">
        <v>30</v>
      </c>
      <c r="I2411" s="26" t="s">
        <v>311</v>
      </c>
      <c r="J2411" s="26" t="s">
        <v>32</v>
      </c>
      <c r="K2411" s="26" t="s">
        <v>1554</v>
      </c>
      <c r="L2411" s="26">
        <v>3</v>
      </c>
      <c r="M2411" s="26">
        <v>1</v>
      </c>
      <c r="N2411" s="28">
        <v>0.33333299999999999</v>
      </c>
      <c r="O2411" s="26">
        <v>0.21</v>
      </c>
      <c r="P2411" s="26">
        <v>0.21</v>
      </c>
      <c r="Q2411" s="26">
        <v>0</v>
      </c>
      <c r="R2411" s="26"/>
      <c r="S2411" s="26">
        <v>0</v>
      </c>
      <c r="T2411" s="26">
        <v>0</v>
      </c>
      <c r="U2411" s="26">
        <v>0</v>
      </c>
      <c r="V2411" s="28">
        <v>0</v>
      </c>
      <c r="W2411" s="26">
        <v>0</v>
      </c>
      <c r="X2411" s="26">
        <v>0</v>
      </c>
      <c r="Y2411" s="26">
        <v>0</v>
      </c>
      <c r="Z2411" s="26">
        <v>0</v>
      </c>
    </row>
    <row r="2412" spans="1:26" x14ac:dyDescent="0.2">
      <c r="A2412">
        <f t="shared" si="76"/>
        <v>5</v>
      </c>
      <c r="B2412">
        <f t="shared" si="77"/>
        <v>21</v>
      </c>
      <c r="C2412" s="27">
        <v>46163</v>
      </c>
      <c r="D2412" s="26" t="s">
        <v>26</v>
      </c>
      <c r="E2412" s="26" t="s">
        <v>27</v>
      </c>
      <c r="F2412" s="26" t="s">
        <v>28</v>
      </c>
      <c r="G2412" s="26" t="s">
        <v>29</v>
      </c>
      <c r="H2412" s="26" t="s">
        <v>30</v>
      </c>
      <c r="I2412" s="26" t="s">
        <v>37</v>
      </c>
      <c r="J2412" s="26" t="s">
        <v>32</v>
      </c>
      <c r="K2412" s="26" t="s">
        <v>1555</v>
      </c>
      <c r="L2412" s="26">
        <v>5</v>
      </c>
      <c r="M2412" s="26">
        <v>1</v>
      </c>
      <c r="N2412" s="28">
        <v>0.2</v>
      </c>
      <c r="O2412" s="26">
        <v>0.21</v>
      </c>
      <c r="P2412" s="26">
        <v>0.21</v>
      </c>
      <c r="Q2412" s="26">
        <v>0</v>
      </c>
      <c r="R2412" s="26"/>
      <c r="S2412" s="26">
        <v>0</v>
      </c>
      <c r="T2412" s="26">
        <v>0</v>
      </c>
      <c r="U2412" s="26">
        <v>0</v>
      </c>
      <c r="V2412" s="28">
        <v>0</v>
      </c>
      <c r="W2412" s="26">
        <v>0</v>
      </c>
      <c r="X2412" s="26">
        <v>0</v>
      </c>
      <c r="Y2412" s="26">
        <v>0</v>
      </c>
      <c r="Z2412" s="26">
        <v>0</v>
      </c>
    </row>
    <row r="2413" spans="1:26" x14ac:dyDescent="0.2">
      <c r="A2413">
        <f t="shared" si="76"/>
        <v>5</v>
      </c>
      <c r="B2413">
        <f t="shared" si="77"/>
        <v>20</v>
      </c>
      <c r="C2413" s="27">
        <v>46155</v>
      </c>
      <c r="D2413" s="26" t="s">
        <v>26</v>
      </c>
      <c r="E2413" s="26" t="s">
        <v>27</v>
      </c>
      <c r="F2413" s="26" t="s">
        <v>28</v>
      </c>
      <c r="G2413" s="26" t="s">
        <v>29</v>
      </c>
      <c r="H2413" s="26" t="s">
        <v>30</v>
      </c>
      <c r="I2413" s="26" t="s">
        <v>119</v>
      </c>
      <c r="J2413" s="26" t="s">
        <v>32</v>
      </c>
      <c r="K2413" s="26" t="s">
        <v>1556</v>
      </c>
      <c r="L2413" s="26">
        <v>1</v>
      </c>
      <c r="M2413" s="26">
        <v>1</v>
      </c>
      <c r="N2413" s="28">
        <v>1</v>
      </c>
      <c r="O2413" s="26">
        <v>0.16</v>
      </c>
      <c r="P2413" s="26">
        <v>0.16</v>
      </c>
      <c r="Q2413" s="26">
        <v>0</v>
      </c>
      <c r="R2413" s="26"/>
      <c r="S2413" s="26">
        <v>0</v>
      </c>
      <c r="T2413" s="26">
        <v>0</v>
      </c>
      <c r="U2413" s="26">
        <v>0</v>
      </c>
      <c r="V2413" s="28">
        <v>0</v>
      </c>
      <c r="W2413" s="26">
        <v>0</v>
      </c>
      <c r="X2413" s="26">
        <v>0</v>
      </c>
      <c r="Y2413" s="26">
        <v>0</v>
      </c>
      <c r="Z2413" s="26">
        <v>0</v>
      </c>
    </row>
    <row r="2414" spans="1:26" x14ac:dyDescent="0.2">
      <c r="A2414">
        <f t="shared" si="76"/>
        <v>5</v>
      </c>
      <c r="B2414">
        <f t="shared" si="77"/>
        <v>19</v>
      </c>
      <c r="C2414" s="27">
        <v>46146</v>
      </c>
      <c r="D2414" s="26" t="s">
        <v>26</v>
      </c>
      <c r="E2414" s="26" t="s">
        <v>61</v>
      </c>
      <c r="F2414" s="26" t="s">
        <v>62</v>
      </c>
      <c r="G2414" s="26" t="s">
        <v>29</v>
      </c>
      <c r="H2414" s="26" t="s">
        <v>30</v>
      </c>
      <c r="I2414" s="26" t="s">
        <v>95</v>
      </c>
      <c r="J2414" s="26" t="s">
        <v>42</v>
      </c>
      <c r="K2414" s="26" t="s">
        <v>1557</v>
      </c>
      <c r="L2414" s="26">
        <v>2</v>
      </c>
      <c r="M2414" s="26">
        <v>1</v>
      </c>
      <c r="N2414" s="28">
        <v>0.5</v>
      </c>
      <c r="O2414" s="26">
        <v>1.35</v>
      </c>
      <c r="P2414" s="26">
        <v>1.35</v>
      </c>
      <c r="Q2414" s="26">
        <v>0</v>
      </c>
      <c r="R2414" s="26"/>
      <c r="S2414" s="26">
        <v>0</v>
      </c>
      <c r="T2414" s="26">
        <v>0</v>
      </c>
      <c r="U2414" s="26">
        <v>0</v>
      </c>
      <c r="V2414" s="28">
        <v>0</v>
      </c>
      <c r="W2414" s="26">
        <v>0</v>
      </c>
      <c r="X2414" s="26">
        <v>0</v>
      </c>
      <c r="Y2414" s="26">
        <v>0</v>
      </c>
      <c r="Z2414" s="26">
        <v>0</v>
      </c>
    </row>
    <row r="2415" spans="1:26" x14ac:dyDescent="0.2">
      <c r="A2415">
        <f t="shared" si="76"/>
        <v>5</v>
      </c>
      <c r="B2415">
        <f t="shared" si="77"/>
        <v>20</v>
      </c>
      <c r="C2415" s="27">
        <v>46152</v>
      </c>
      <c r="D2415" s="26" t="s">
        <v>26</v>
      </c>
      <c r="E2415" s="26" t="s">
        <v>27</v>
      </c>
      <c r="F2415" s="26" t="s">
        <v>28</v>
      </c>
      <c r="G2415" s="26" t="s">
        <v>29</v>
      </c>
      <c r="H2415" s="26" t="s">
        <v>30</v>
      </c>
      <c r="I2415" s="26" t="s">
        <v>37</v>
      </c>
      <c r="J2415" s="26" t="s">
        <v>32</v>
      </c>
      <c r="K2415" s="26" t="s">
        <v>1375</v>
      </c>
      <c r="L2415" s="26">
        <v>3</v>
      </c>
      <c r="M2415" s="26">
        <v>1</v>
      </c>
      <c r="N2415" s="28">
        <v>0.33333299999999999</v>
      </c>
      <c r="O2415" s="26">
        <v>0.2</v>
      </c>
      <c r="P2415" s="26">
        <v>0.2</v>
      </c>
      <c r="Q2415" s="26">
        <v>0</v>
      </c>
      <c r="R2415" s="26"/>
      <c r="S2415" s="26">
        <v>0</v>
      </c>
      <c r="T2415" s="26">
        <v>0</v>
      </c>
      <c r="U2415" s="26">
        <v>0</v>
      </c>
      <c r="V2415" s="28">
        <v>0</v>
      </c>
      <c r="W2415" s="26">
        <v>0</v>
      </c>
      <c r="X2415" s="26">
        <v>0</v>
      </c>
      <c r="Y2415" s="26">
        <v>0</v>
      </c>
      <c r="Z2415" s="26">
        <v>0</v>
      </c>
    </row>
    <row r="2416" spans="1:26" x14ac:dyDescent="0.2">
      <c r="A2416">
        <f t="shared" si="76"/>
        <v>5</v>
      </c>
      <c r="B2416">
        <f t="shared" si="77"/>
        <v>19</v>
      </c>
      <c r="C2416" s="27">
        <v>46148</v>
      </c>
      <c r="D2416" s="26" t="s">
        <v>26</v>
      </c>
      <c r="E2416" s="26" t="s">
        <v>27</v>
      </c>
      <c r="F2416" s="26" t="s">
        <v>28</v>
      </c>
      <c r="G2416" s="26" t="s">
        <v>29</v>
      </c>
      <c r="H2416" s="26" t="s">
        <v>30</v>
      </c>
      <c r="I2416" s="26" t="s">
        <v>37</v>
      </c>
      <c r="J2416" s="26" t="s">
        <v>32</v>
      </c>
      <c r="K2416" s="26" t="s">
        <v>1558</v>
      </c>
      <c r="L2416" s="26">
        <v>1</v>
      </c>
      <c r="M2416" s="26">
        <v>1</v>
      </c>
      <c r="N2416" s="28">
        <v>1</v>
      </c>
      <c r="O2416" s="26">
        <v>0.13</v>
      </c>
      <c r="P2416" s="26">
        <v>0.13</v>
      </c>
      <c r="Q2416" s="26">
        <v>0</v>
      </c>
      <c r="R2416" s="26"/>
      <c r="S2416" s="26">
        <v>0</v>
      </c>
      <c r="T2416" s="26">
        <v>0</v>
      </c>
      <c r="U2416" s="26">
        <v>0</v>
      </c>
      <c r="V2416" s="28">
        <v>0</v>
      </c>
      <c r="W2416" s="26">
        <v>0</v>
      </c>
      <c r="X2416" s="26">
        <v>0</v>
      </c>
      <c r="Y2416" s="26">
        <v>0</v>
      </c>
      <c r="Z2416" s="26">
        <v>0</v>
      </c>
    </row>
    <row r="2417" spans="1:26" x14ac:dyDescent="0.2">
      <c r="A2417">
        <f t="shared" si="76"/>
        <v>5</v>
      </c>
      <c r="B2417">
        <f t="shared" si="77"/>
        <v>19</v>
      </c>
      <c r="C2417" s="27">
        <v>46148</v>
      </c>
      <c r="D2417" s="26" t="s">
        <v>26</v>
      </c>
      <c r="E2417" s="26" t="s">
        <v>27</v>
      </c>
      <c r="F2417" s="26" t="s">
        <v>28</v>
      </c>
      <c r="G2417" s="26" t="s">
        <v>29</v>
      </c>
      <c r="H2417" s="26" t="s">
        <v>30</v>
      </c>
      <c r="I2417" s="26" t="s">
        <v>243</v>
      </c>
      <c r="J2417" s="26" t="s">
        <v>32</v>
      </c>
      <c r="K2417" s="26" t="s">
        <v>1559</v>
      </c>
      <c r="L2417" s="26">
        <v>2</v>
      </c>
      <c r="M2417" s="26">
        <v>2</v>
      </c>
      <c r="N2417" s="28">
        <v>1</v>
      </c>
      <c r="O2417" s="26">
        <v>0.2</v>
      </c>
      <c r="P2417" s="26">
        <v>0.4</v>
      </c>
      <c r="Q2417" s="26">
        <v>0</v>
      </c>
      <c r="R2417" s="26"/>
      <c r="S2417" s="26">
        <v>0</v>
      </c>
      <c r="T2417" s="26">
        <v>0</v>
      </c>
      <c r="U2417" s="26">
        <v>0</v>
      </c>
      <c r="V2417" s="28">
        <v>0</v>
      </c>
      <c r="W2417" s="26">
        <v>0</v>
      </c>
      <c r="X2417" s="26">
        <v>0</v>
      </c>
      <c r="Y2417" s="26">
        <v>0</v>
      </c>
      <c r="Z2417" s="26">
        <v>0</v>
      </c>
    </row>
    <row r="2418" spans="1:26" x14ac:dyDescent="0.2">
      <c r="A2418">
        <f t="shared" si="76"/>
        <v>5</v>
      </c>
      <c r="B2418">
        <f t="shared" si="77"/>
        <v>21</v>
      </c>
      <c r="C2418" s="27">
        <v>46163</v>
      </c>
      <c r="D2418" s="26" t="s">
        <v>26</v>
      </c>
      <c r="E2418" s="26" t="s">
        <v>27</v>
      </c>
      <c r="F2418" s="26" t="s">
        <v>28</v>
      </c>
      <c r="G2418" s="26" t="s">
        <v>29</v>
      </c>
      <c r="H2418" s="26" t="s">
        <v>30</v>
      </c>
      <c r="I2418" s="26" t="s">
        <v>154</v>
      </c>
      <c r="J2418" s="26" t="s">
        <v>32</v>
      </c>
      <c r="K2418" s="26" t="s">
        <v>1560</v>
      </c>
      <c r="L2418" s="26">
        <v>3</v>
      </c>
      <c r="M2418" s="26">
        <v>1</v>
      </c>
      <c r="N2418" s="28">
        <v>0.33333299999999999</v>
      </c>
      <c r="O2418" s="26">
        <v>0.21</v>
      </c>
      <c r="P2418" s="26">
        <v>0.21</v>
      </c>
      <c r="Q2418" s="26">
        <v>0</v>
      </c>
      <c r="R2418" s="26"/>
      <c r="S2418" s="26">
        <v>0</v>
      </c>
      <c r="T2418" s="26">
        <v>0</v>
      </c>
      <c r="U2418" s="26">
        <v>0</v>
      </c>
      <c r="V2418" s="28">
        <v>0</v>
      </c>
      <c r="W2418" s="26">
        <v>0</v>
      </c>
      <c r="X2418" s="26">
        <v>0</v>
      </c>
      <c r="Y2418" s="26">
        <v>0</v>
      </c>
      <c r="Z2418" s="26">
        <v>0</v>
      </c>
    </row>
    <row r="2419" spans="1:26" x14ac:dyDescent="0.2">
      <c r="A2419">
        <f t="shared" si="76"/>
        <v>5</v>
      </c>
      <c r="B2419">
        <f t="shared" si="77"/>
        <v>21</v>
      </c>
      <c r="C2419" s="27">
        <v>46162</v>
      </c>
      <c r="D2419" s="26" t="s">
        <v>26</v>
      </c>
      <c r="E2419" s="26" t="s">
        <v>49</v>
      </c>
      <c r="F2419" s="26" t="s">
        <v>50</v>
      </c>
      <c r="G2419" s="26" t="s">
        <v>29</v>
      </c>
      <c r="H2419" s="26" t="s">
        <v>30</v>
      </c>
      <c r="I2419" s="26" t="s">
        <v>95</v>
      </c>
      <c r="J2419" s="26" t="s">
        <v>42</v>
      </c>
      <c r="K2419" s="26" t="s">
        <v>1561</v>
      </c>
      <c r="L2419" s="26">
        <v>1</v>
      </c>
      <c r="M2419" s="26">
        <v>1</v>
      </c>
      <c r="N2419" s="28">
        <v>1</v>
      </c>
      <c r="O2419" s="26">
        <v>0</v>
      </c>
      <c r="P2419" s="26">
        <v>0</v>
      </c>
      <c r="Q2419" s="26">
        <v>17.47</v>
      </c>
      <c r="R2419" s="28">
        <v>0</v>
      </c>
      <c r="S2419" s="26"/>
      <c r="T2419" s="26">
        <v>1</v>
      </c>
      <c r="U2419" s="26">
        <v>1</v>
      </c>
      <c r="V2419" s="28">
        <v>1</v>
      </c>
      <c r="W2419" s="26">
        <v>1</v>
      </c>
      <c r="X2419" s="26">
        <v>0</v>
      </c>
      <c r="Y2419" s="26">
        <v>17.47</v>
      </c>
      <c r="Z2419" s="26">
        <v>0</v>
      </c>
    </row>
    <row r="2420" spans="1:26" x14ac:dyDescent="0.2">
      <c r="A2420">
        <f t="shared" si="76"/>
        <v>5</v>
      </c>
      <c r="B2420">
        <f t="shared" si="77"/>
        <v>18</v>
      </c>
      <c r="C2420" s="27">
        <v>46143</v>
      </c>
      <c r="D2420" s="26" t="s">
        <v>26</v>
      </c>
      <c r="E2420" s="26" t="s">
        <v>61</v>
      </c>
      <c r="F2420" s="26" t="s">
        <v>62</v>
      </c>
      <c r="G2420" s="26" t="s">
        <v>29</v>
      </c>
      <c r="H2420" s="26" t="s">
        <v>30</v>
      </c>
      <c r="I2420" s="26" t="s">
        <v>47</v>
      </c>
      <c r="J2420" s="26" t="s">
        <v>42</v>
      </c>
      <c r="K2420" s="26" t="s">
        <v>1562</v>
      </c>
      <c r="L2420" s="26">
        <v>1</v>
      </c>
      <c r="M2420" s="26">
        <v>1</v>
      </c>
      <c r="N2420" s="28">
        <v>1</v>
      </c>
      <c r="O2420" s="26">
        <v>1.74</v>
      </c>
      <c r="P2420" s="26">
        <v>1.74</v>
      </c>
      <c r="Q2420" s="26">
        <v>0</v>
      </c>
      <c r="R2420" s="26"/>
      <c r="S2420" s="26">
        <v>0</v>
      </c>
      <c r="T2420" s="26">
        <v>0</v>
      </c>
      <c r="U2420" s="26">
        <v>0</v>
      </c>
      <c r="V2420" s="28">
        <v>0</v>
      </c>
      <c r="W2420" s="26">
        <v>0</v>
      </c>
      <c r="X2420" s="26">
        <v>0</v>
      </c>
      <c r="Y2420" s="26">
        <v>0</v>
      </c>
      <c r="Z2420" s="26">
        <v>0</v>
      </c>
    </row>
    <row r="2421" spans="1:26" x14ac:dyDescent="0.2">
      <c r="A2421">
        <f t="shared" si="76"/>
        <v>5</v>
      </c>
      <c r="B2421">
        <f t="shared" si="77"/>
        <v>21</v>
      </c>
      <c r="C2421" s="27">
        <v>46162</v>
      </c>
      <c r="D2421" s="26" t="s">
        <v>26</v>
      </c>
      <c r="E2421" s="26" t="s">
        <v>27</v>
      </c>
      <c r="F2421" s="26" t="s">
        <v>28</v>
      </c>
      <c r="G2421" s="26" t="s">
        <v>29</v>
      </c>
      <c r="H2421" s="26" t="s">
        <v>30</v>
      </c>
      <c r="I2421" s="26" t="s">
        <v>101</v>
      </c>
      <c r="J2421" s="26" t="s">
        <v>32</v>
      </c>
      <c r="K2421" s="26" t="s">
        <v>1563</v>
      </c>
      <c r="L2421" s="26">
        <v>2</v>
      </c>
      <c r="M2421" s="26">
        <v>1</v>
      </c>
      <c r="N2421" s="28">
        <v>0.5</v>
      </c>
      <c r="O2421" s="26">
        <v>0.21</v>
      </c>
      <c r="P2421" s="26">
        <v>0.21</v>
      </c>
      <c r="Q2421" s="26">
        <v>0</v>
      </c>
      <c r="R2421" s="26"/>
      <c r="S2421" s="26">
        <v>0</v>
      </c>
      <c r="T2421" s="26">
        <v>0</v>
      </c>
      <c r="U2421" s="26">
        <v>0</v>
      </c>
      <c r="V2421" s="28">
        <v>0</v>
      </c>
      <c r="W2421" s="26">
        <v>0</v>
      </c>
      <c r="X2421" s="26">
        <v>0</v>
      </c>
      <c r="Y2421" s="26">
        <v>0</v>
      </c>
      <c r="Z2421" s="26">
        <v>0</v>
      </c>
    </row>
    <row r="2422" spans="1:26" x14ac:dyDescent="0.2">
      <c r="A2422">
        <f t="shared" si="76"/>
        <v>5</v>
      </c>
      <c r="B2422">
        <f t="shared" si="77"/>
        <v>20</v>
      </c>
      <c r="C2422" s="27">
        <v>46155</v>
      </c>
      <c r="D2422" s="26" t="s">
        <v>26</v>
      </c>
      <c r="E2422" s="26" t="s">
        <v>49</v>
      </c>
      <c r="F2422" s="26" t="s">
        <v>50</v>
      </c>
      <c r="G2422" s="26" t="s">
        <v>29</v>
      </c>
      <c r="H2422" s="26" t="s">
        <v>30</v>
      </c>
      <c r="I2422" s="26" t="s">
        <v>95</v>
      </c>
      <c r="J2422" s="26" t="s">
        <v>42</v>
      </c>
      <c r="K2422" s="26" t="s">
        <v>1564</v>
      </c>
      <c r="L2422" s="26">
        <v>1</v>
      </c>
      <c r="M2422" s="26">
        <v>1</v>
      </c>
      <c r="N2422" s="28">
        <v>1</v>
      </c>
      <c r="O2422" s="26">
        <v>0.5</v>
      </c>
      <c r="P2422" s="26">
        <v>0.5</v>
      </c>
      <c r="Q2422" s="26">
        <v>34.94</v>
      </c>
      <c r="R2422" s="28">
        <v>1.431E-2</v>
      </c>
      <c r="S2422" s="26">
        <v>69.88</v>
      </c>
      <c r="T2422" s="26">
        <v>1</v>
      </c>
      <c r="U2422" s="26">
        <v>2</v>
      </c>
      <c r="V2422" s="28">
        <v>1</v>
      </c>
      <c r="W2422" s="26">
        <v>2</v>
      </c>
      <c r="X2422" s="26">
        <v>0</v>
      </c>
      <c r="Y2422" s="26">
        <v>34.94</v>
      </c>
      <c r="Z2422" s="26">
        <v>0</v>
      </c>
    </row>
    <row r="2423" spans="1:26" x14ac:dyDescent="0.2">
      <c r="A2423">
        <f t="shared" si="76"/>
        <v>5</v>
      </c>
      <c r="B2423">
        <f t="shared" si="77"/>
        <v>21</v>
      </c>
      <c r="C2423" s="27">
        <v>46159</v>
      </c>
      <c r="D2423" s="26" t="s">
        <v>26</v>
      </c>
      <c r="E2423" s="26" t="s">
        <v>27</v>
      </c>
      <c r="F2423" s="26" t="s">
        <v>28</v>
      </c>
      <c r="G2423" s="26" t="s">
        <v>29</v>
      </c>
      <c r="H2423" s="26" t="s">
        <v>30</v>
      </c>
      <c r="I2423" s="26" t="s">
        <v>44</v>
      </c>
      <c r="J2423" s="26" t="s">
        <v>32</v>
      </c>
      <c r="K2423" s="26" t="s">
        <v>1565</v>
      </c>
      <c r="L2423" s="26">
        <v>1</v>
      </c>
      <c r="M2423" s="26">
        <v>1</v>
      </c>
      <c r="N2423" s="28">
        <v>1</v>
      </c>
      <c r="O2423" s="26">
        <v>0.21</v>
      </c>
      <c r="P2423" s="26">
        <v>0.21</v>
      </c>
      <c r="Q2423" s="26">
        <v>0</v>
      </c>
      <c r="R2423" s="26"/>
      <c r="S2423" s="26">
        <v>0</v>
      </c>
      <c r="T2423" s="26">
        <v>0</v>
      </c>
      <c r="U2423" s="26">
        <v>0</v>
      </c>
      <c r="V2423" s="28">
        <v>0</v>
      </c>
      <c r="W2423" s="26">
        <v>0</v>
      </c>
      <c r="X2423" s="26">
        <v>0</v>
      </c>
      <c r="Y2423" s="26">
        <v>0</v>
      </c>
      <c r="Z2423" s="26">
        <v>0</v>
      </c>
    </row>
    <row r="2424" spans="1:26" x14ac:dyDescent="0.2">
      <c r="A2424">
        <f t="shared" si="76"/>
        <v>5</v>
      </c>
      <c r="B2424">
        <f t="shared" si="77"/>
        <v>21</v>
      </c>
      <c r="C2424" s="27">
        <v>46161</v>
      </c>
      <c r="D2424" s="26" t="s">
        <v>26</v>
      </c>
      <c r="E2424" s="26" t="s">
        <v>27</v>
      </c>
      <c r="F2424" s="26" t="s">
        <v>28</v>
      </c>
      <c r="G2424" s="26" t="s">
        <v>29</v>
      </c>
      <c r="H2424" s="26" t="s">
        <v>30</v>
      </c>
      <c r="I2424" s="26" t="s">
        <v>50</v>
      </c>
      <c r="J2424" s="26" t="s">
        <v>32</v>
      </c>
      <c r="K2424" s="26" t="s">
        <v>1566</v>
      </c>
      <c r="L2424" s="26">
        <v>1</v>
      </c>
      <c r="M2424" s="26">
        <v>1</v>
      </c>
      <c r="N2424" s="28">
        <v>1</v>
      </c>
      <c r="O2424" s="26">
        <v>0.21</v>
      </c>
      <c r="P2424" s="26">
        <v>0.21</v>
      </c>
      <c r="Q2424" s="26">
        <v>0</v>
      </c>
      <c r="R2424" s="26"/>
      <c r="S2424" s="26">
        <v>0</v>
      </c>
      <c r="T2424" s="26">
        <v>0</v>
      </c>
      <c r="U2424" s="26">
        <v>0</v>
      </c>
      <c r="V2424" s="28">
        <v>0</v>
      </c>
      <c r="W2424" s="26">
        <v>0</v>
      </c>
      <c r="X2424" s="26">
        <v>0</v>
      </c>
      <c r="Y2424" s="26">
        <v>0</v>
      </c>
      <c r="Z2424" s="26">
        <v>0</v>
      </c>
    </row>
    <row r="2425" spans="1:26" x14ac:dyDescent="0.2">
      <c r="A2425">
        <f t="shared" si="76"/>
        <v>5</v>
      </c>
      <c r="B2425">
        <f t="shared" si="77"/>
        <v>22</v>
      </c>
      <c r="C2425" s="27">
        <v>46166</v>
      </c>
      <c r="D2425" s="26" t="s">
        <v>26</v>
      </c>
      <c r="E2425" s="26" t="s">
        <v>49</v>
      </c>
      <c r="F2425" s="26" t="s">
        <v>50</v>
      </c>
      <c r="G2425" s="26" t="s">
        <v>29</v>
      </c>
      <c r="H2425" s="26" t="s">
        <v>30</v>
      </c>
      <c r="I2425" s="26" t="s">
        <v>95</v>
      </c>
      <c r="J2425" s="26" t="s">
        <v>42</v>
      </c>
      <c r="K2425" s="26" t="s">
        <v>1567</v>
      </c>
      <c r="L2425" s="26">
        <v>3</v>
      </c>
      <c r="M2425" s="26">
        <v>1</v>
      </c>
      <c r="N2425" s="28">
        <v>0.33333299999999999</v>
      </c>
      <c r="O2425" s="26">
        <v>0.54</v>
      </c>
      <c r="P2425" s="26">
        <v>0.54</v>
      </c>
      <c r="Q2425" s="26">
        <v>0</v>
      </c>
      <c r="R2425" s="26"/>
      <c r="S2425" s="26">
        <v>0</v>
      </c>
      <c r="T2425" s="26">
        <v>0</v>
      </c>
      <c r="U2425" s="26">
        <v>0</v>
      </c>
      <c r="V2425" s="28">
        <v>0</v>
      </c>
      <c r="W2425" s="26">
        <v>0</v>
      </c>
      <c r="X2425" s="26">
        <v>0</v>
      </c>
      <c r="Y2425" s="26">
        <v>0</v>
      </c>
      <c r="Z2425" s="26">
        <v>0</v>
      </c>
    </row>
    <row r="2426" spans="1:26" x14ac:dyDescent="0.2">
      <c r="A2426">
        <f t="shared" si="76"/>
        <v>5</v>
      </c>
      <c r="B2426">
        <f t="shared" si="77"/>
        <v>21</v>
      </c>
      <c r="C2426" s="27">
        <v>46165</v>
      </c>
      <c r="D2426" s="26" t="s">
        <v>26</v>
      </c>
      <c r="E2426" s="26" t="s">
        <v>27</v>
      </c>
      <c r="F2426" s="26" t="s">
        <v>28</v>
      </c>
      <c r="G2426" s="26" t="s">
        <v>29</v>
      </c>
      <c r="H2426" s="26" t="s">
        <v>30</v>
      </c>
      <c r="I2426" s="26" t="s">
        <v>119</v>
      </c>
      <c r="J2426" s="26" t="s">
        <v>32</v>
      </c>
      <c r="K2426" s="26" t="s">
        <v>1568</v>
      </c>
      <c r="L2426" s="26">
        <v>2</v>
      </c>
      <c r="M2426" s="26">
        <v>1</v>
      </c>
      <c r="N2426" s="28">
        <v>0.5</v>
      </c>
      <c r="O2426" s="26">
        <v>0.16</v>
      </c>
      <c r="P2426" s="26">
        <v>0.16</v>
      </c>
      <c r="Q2426" s="26">
        <v>0</v>
      </c>
      <c r="R2426" s="26"/>
      <c r="S2426" s="26">
        <v>0</v>
      </c>
      <c r="T2426" s="26">
        <v>0</v>
      </c>
      <c r="U2426" s="26">
        <v>0</v>
      </c>
      <c r="V2426" s="28">
        <v>0</v>
      </c>
      <c r="W2426" s="26">
        <v>0</v>
      </c>
      <c r="X2426" s="26">
        <v>0</v>
      </c>
      <c r="Y2426" s="26">
        <v>0</v>
      </c>
      <c r="Z2426" s="26">
        <v>0</v>
      </c>
    </row>
    <row r="2427" spans="1:26" x14ac:dyDescent="0.2">
      <c r="A2427">
        <f t="shared" si="76"/>
        <v>5</v>
      </c>
      <c r="B2427">
        <f t="shared" si="77"/>
        <v>21</v>
      </c>
      <c r="C2427" s="27">
        <v>46164</v>
      </c>
      <c r="D2427" s="26" t="s">
        <v>26</v>
      </c>
      <c r="E2427" s="26" t="s">
        <v>27</v>
      </c>
      <c r="F2427" s="26" t="s">
        <v>28</v>
      </c>
      <c r="G2427" s="26" t="s">
        <v>29</v>
      </c>
      <c r="H2427" s="26" t="s">
        <v>30</v>
      </c>
      <c r="I2427" s="26" t="s">
        <v>50</v>
      </c>
      <c r="J2427" s="26" t="s">
        <v>32</v>
      </c>
      <c r="K2427" s="26" t="s">
        <v>1569</v>
      </c>
      <c r="L2427" s="26">
        <v>2</v>
      </c>
      <c r="M2427" s="26">
        <v>1</v>
      </c>
      <c r="N2427" s="28">
        <v>0.5</v>
      </c>
      <c r="O2427" s="26">
        <v>0.23</v>
      </c>
      <c r="P2427" s="26">
        <v>0.23</v>
      </c>
      <c r="Q2427" s="26">
        <v>0</v>
      </c>
      <c r="R2427" s="26"/>
      <c r="S2427" s="26">
        <v>0</v>
      </c>
      <c r="T2427" s="26">
        <v>0</v>
      </c>
      <c r="U2427" s="26">
        <v>0</v>
      </c>
      <c r="V2427" s="28">
        <v>0</v>
      </c>
      <c r="W2427" s="26">
        <v>0</v>
      </c>
      <c r="X2427" s="26">
        <v>0</v>
      </c>
      <c r="Y2427" s="26">
        <v>0</v>
      </c>
      <c r="Z2427" s="26">
        <v>0</v>
      </c>
    </row>
    <row r="2428" spans="1:26" x14ac:dyDescent="0.2">
      <c r="A2428">
        <f t="shared" ref="A2428:A2491" si="78">MONTH(C2428)</f>
        <v>5</v>
      </c>
      <c r="B2428">
        <f t="shared" ref="B2428:B2491" si="79">WEEKNUM(C2428,1)</f>
        <v>22</v>
      </c>
      <c r="C2428" s="27">
        <v>46169</v>
      </c>
      <c r="D2428" s="26" t="s">
        <v>26</v>
      </c>
      <c r="E2428" s="26" t="s">
        <v>27</v>
      </c>
      <c r="F2428" s="26" t="s">
        <v>28</v>
      </c>
      <c r="G2428" s="26" t="s">
        <v>29</v>
      </c>
      <c r="H2428" s="26" t="s">
        <v>30</v>
      </c>
      <c r="I2428" s="26" t="s">
        <v>50</v>
      </c>
      <c r="J2428" s="26" t="s">
        <v>32</v>
      </c>
      <c r="K2428" s="26" t="s">
        <v>1570</v>
      </c>
      <c r="L2428" s="26">
        <v>1</v>
      </c>
      <c r="M2428" s="26">
        <v>1</v>
      </c>
      <c r="N2428" s="28">
        <v>1</v>
      </c>
      <c r="O2428" s="26">
        <v>0.21</v>
      </c>
      <c r="P2428" s="26">
        <v>0.21</v>
      </c>
      <c r="Q2428" s="26">
        <v>0</v>
      </c>
      <c r="R2428" s="26"/>
      <c r="S2428" s="26">
        <v>0</v>
      </c>
      <c r="T2428" s="26">
        <v>0</v>
      </c>
      <c r="U2428" s="26">
        <v>0</v>
      </c>
      <c r="V2428" s="28">
        <v>0</v>
      </c>
      <c r="W2428" s="26">
        <v>0</v>
      </c>
      <c r="X2428" s="26">
        <v>0</v>
      </c>
      <c r="Y2428" s="26">
        <v>0</v>
      </c>
      <c r="Z2428" s="26">
        <v>0</v>
      </c>
    </row>
    <row r="2429" spans="1:26" x14ac:dyDescent="0.2">
      <c r="A2429">
        <f t="shared" si="78"/>
        <v>5</v>
      </c>
      <c r="B2429">
        <f t="shared" si="79"/>
        <v>23</v>
      </c>
      <c r="C2429" s="27">
        <v>46173</v>
      </c>
      <c r="D2429" s="26" t="s">
        <v>26</v>
      </c>
      <c r="E2429" s="26" t="s">
        <v>27</v>
      </c>
      <c r="F2429" s="26" t="s">
        <v>28</v>
      </c>
      <c r="G2429" s="26" t="s">
        <v>29</v>
      </c>
      <c r="H2429" s="26" t="s">
        <v>30</v>
      </c>
      <c r="I2429" s="26" t="s">
        <v>31</v>
      </c>
      <c r="J2429" s="26" t="s">
        <v>32</v>
      </c>
      <c r="K2429" s="26" t="s">
        <v>1124</v>
      </c>
      <c r="L2429" s="26">
        <v>5</v>
      </c>
      <c r="M2429" s="26">
        <v>1</v>
      </c>
      <c r="N2429" s="28">
        <v>0.2</v>
      </c>
      <c r="O2429" s="26">
        <v>0.21</v>
      </c>
      <c r="P2429" s="26">
        <v>0.21</v>
      </c>
      <c r="Q2429" s="26">
        <v>0</v>
      </c>
      <c r="R2429" s="26"/>
      <c r="S2429" s="26">
        <v>0</v>
      </c>
      <c r="T2429" s="26">
        <v>0</v>
      </c>
      <c r="U2429" s="26">
        <v>0</v>
      </c>
      <c r="V2429" s="28">
        <v>0</v>
      </c>
      <c r="W2429" s="26">
        <v>0</v>
      </c>
      <c r="X2429" s="26">
        <v>0</v>
      </c>
      <c r="Y2429" s="26">
        <v>0</v>
      </c>
      <c r="Z2429" s="26">
        <v>0</v>
      </c>
    </row>
    <row r="2430" spans="1:26" x14ac:dyDescent="0.2">
      <c r="A2430">
        <f t="shared" si="78"/>
        <v>5</v>
      </c>
      <c r="B2430">
        <f t="shared" si="79"/>
        <v>22</v>
      </c>
      <c r="C2430" s="27">
        <v>46167</v>
      </c>
      <c r="D2430" s="26" t="s">
        <v>26</v>
      </c>
      <c r="E2430" s="26" t="s">
        <v>27</v>
      </c>
      <c r="F2430" s="26" t="s">
        <v>28</v>
      </c>
      <c r="G2430" s="26" t="s">
        <v>29</v>
      </c>
      <c r="H2430" s="26" t="s">
        <v>30</v>
      </c>
      <c r="I2430" s="26" t="s">
        <v>133</v>
      </c>
      <c r="J2430" s="26" t="s">
        <v>32</v>
      </c>
      <c r="K2430" s="26" t="s">
        <v>1571</v>
      </c>
      <c r="L2430" s="26">
        <v>2</v>
      </c>
      <c r="M2430" s="26">
        <v>1</v>
      </c>
      <c r="N2430" s="28">
        <v>0.5</v>
      </c>
      <c r="O2430" s="26">
        <v>0.21</v>
      </c>
      <c r="P2430" s="26">
        <v>0.21</v>
      </c>
      <c r="Q2430" s="26">
        <v>0</v>
      </c>
      <c r="R2430" s="26"/>
      <c r="S2430" s="26">
        <v>0</v>
      </c>
      <c r="T2430" s="26">
        <v>0</v>
      </c>
      <c r="U2430" s="26">
        <v>0</v>
      </c>
      <c r="V2430" s="28">
        <v>0</v>
      </c>
      <c r="W2430" s="26">
        <v>0</v>
      </c>
      <c r="X2430" s="26">
        <v>0</v>
      </c>
      <c r="Y2430" s="26">
        <v>0</v>
      </c>
      <c r="Z2430" s="26">
        <v>0</v>
      </c>
    </row>
    <row r="2431" spans="1:26" x14ac:dyDescent="0.2">
      <c r="A2431">
        <f t="shared" si="78"/>
        <v>5</v>
      </c>
      <c r="B2431">
        <f t="shared" si="79"/>
        <v>23</v>
      </c>
      <c r="C2431" s="27">
        <v>46173</v>
      </c>
      <c r="D2431" s="26" t="s">
        <v>26</v>
      </c>
      <c r="E2431" s="26" t="s">
        <v>27</v>
      </c>
      <c r="F2431" s="26" t="s">
        <v>28</v>
      </c>
      <c r="G2431" s="26" t="s">
        <v>29</v>
      </c>
      <c r="H2431" s="26" t="s">
        <v>30</v>
      </c>
      <c r="I2431" s="26" t="s">
        <v>50</v>
      </c>
      <c r="J2431" s="26" t="s">
        <v>32</v>
      </c>
      <c r="K2431" s="26" t="s">
        <v>1572</v>
      </c>
      <c r="L2431" s="26">
        <v>1</v>
      </c>
      <c r="M2431" s="26">
        <v>1</v>
      </c>
      <c r="N2431" s="28">
        <v>1</v>
      </c>
      <c r="O2431" s="26">
        <v>0.08</v>
      </c>
      <c r="P2431" s="26">
        <v>0.08</v>
      </c>
      <c r="Q2431" s="26">
        <v>0</v>
      </c>
      <c r="R2431" s="26"/>
      <c r="S2431" s="26">
        <v>0</v>
      </c>
      <c r="T2431" s="26">
        <v>0</v>
      </c>
      <c r="U2431" s="26">
        <v>0</v>
      </c>
      <c r="V2431" s="28">
        <v>0</v>
      </c>
      <c r="W2431" s="26">
        <v>0</v>
      </c>
      <c r="X2431" s="26">
        <v>0</v>
      </c>
      <c r="Y2431" s="26">
        <v>0</v>
      </c>
      <c r="Z2431" s="26">
        <v>0</v>
      </c>
    </row>
    <row r="2432" spans="1:26" x14ac:dyDescent="0.2">
      <c r="A2432">
        <f t="shared" si="78"/>
        <v>5</v>
      </c>
      <c r="B2432">
        <f t="shared" si="79"/>
        <v>21</v>
      </c>
      <c r="C2432" s="27">
        <v>46165</v>
      </c>
      <c r="D2432" s="26" t="s">
        <v>26</v>
      </c>
      <c r="E2432" s="26" t="s">
        <v>49</v>
      </c>
      <c r="F2432" s="26" t="s">
        <v>50</v>
      </c>
      <c r="G2432" s="26" t="s">
        <v>29</v>
      </c>
      <c r="H2432" s="26" t="s">
        <v>30</v>
      </c>
      <c r="I2432" s="26" t="s">
        <v>51</v>
      </c>
      <c r="J2432" s="26" t="s">
        <v>42</v>
      </c>
      <c r="K2432" s="26" t="s">
        <v>1573</v>
      </c>
      <c r="L2432" s="26">
        <v>5</v>
      </c>
      <c r="M2432" s="26">
        <v>1</v>
      </c>
      <c r="N2432" s="28">
        <v>0.2</v>
      </c>
      <c r="O2432" s="26">
        <v>0.5</v>
      </c>
      <c r="P2432" s="26">
        <v>0.5</v>
      </c>
      <c r="Q2432" s="26">
        <v>0</v>
      </c>
      <c r="R2432" s="26"/>
      <c r="S2432" s="26">
        <v>0</v>
      </c>
      <c r="T2432" s="26">
        <v>0</v>
      </c>
      <c r="U2432" s="26">
        <v>0</v>
      </c>
      <c r="V2432" s="28">
        <v>0</v>
      </c>
      <c r="W2432" s="26">
        <v>0</v>
      </c>
      <c r="X2432" s="26">
        <v>0</v>
      </c>
      <c r="Y2432" s="26">
        <v>0</v>
      </c>
      <c r="Z2432" s="26">
        <v>0</v>
      </c>
    </row>
    <row r="2433" spans="1:26" x14ac:dyDescent="0.2">
      <c r="A2433">
        <f t="shared" si="78"/>
        <v>5</v>
      </c>
      <c r="B2433">
        <f t="shared" si="79"/>
        <v>22</v>
      </c>
      <c r="C2433" s="27">
        <v>46170</v>
      </c>
      <c r="D2433" s="26" t="s">
        <v>26</v>
      </c>
      <c r="E2433" s="26" t="s">
        <v>49</v>
      </c>
      <c r="F2433" s="26" t="s">
        <v>50</v>
      </c>
      <c r="G2433" s="26" t="s">
        <v>29</v>
      </c>
      <c r="H2433" s="26" t="s">
        <v>30</v>
      </c>
      <c r="I2433" s="26" t="s">
        <v>51</v>
      </c>
      <c r="J2433" s="26" t="s">
        <v>42</v>
      </c>
      <c r="K2433" s="26" t="s">
        <v>687</v>
      </c>
      <c r="L2433" s="26">
        <v>17</v>
      </c>
      <c r="M2433" s="26">
        <v>1</v>
      </c>
      <c r="N2433" s="28">
        <v>5.8824000000000001E-2</v>
      </c>
      <c r="O2433" s="26">
        <v>0.5</v>
      </c>
      <c r="P2433" s="26">
        <v>0.5</v>
      </c>
      <c r="Q2433" s="26">
        <v>0</v>
      </c>
      <c r="R2433" s="26"/>
      <c r="S2433" s="26">
        <v>0</v>
      </c>
      <c r="T2433" s="26">
        <v>0</v>
      </c>
      <c r="U2433" s="26">
        <v>0</v>
      </c>
      <c r="V2433" s="28">
        <v>0</v>
      </c>
      <c r="W2433" s="26">
        <v>0</v>
      </c>
      <c r="X2433" s="26">
        <v>0</v>
      </c>
      <c r="Y2433" s="26">
        <v>0</v>
      </c>
      <c r="Z2433" s="26">
        <v>0</v>
      </c>
    </row>
    <row r="2434" spans="1:26" x14ac:dyDescent="0.2">
      <c r="A2434">
        <f t="shared" si="78"/>
        <v>5</v>
      </c>
      <c r="B2434">
        <f t="shared" si="79"/>
        <v>23</v>
      </c>
      <c r="C2434" s="27">
        <v>46173</v>
      </c>
      <c r="D2434" s="26" t="s">
        <v>26</v>
      </c>
      <c r="E2434" s="26" t="s">
        <v>49</v>
      </c>
      <c r="F2434" s="26" t="s">
        <v>50</v>
      </c>
      <c r="G2434" s="26" t="s">
        <v>29</v>
      </c>
      <c r="H2434" s="26" t="s">
        <v>30</v>
      </c>
      <c r="I2434" s="26" t="s">
        <v>51</v>
      </c>
      <c r="J2434" s="26" t="s">
        <v>42</v>
      </c>
      <c r="K2434" s="26" t="s">
        <v>1574</v>
      </c>
      <c r="L2434" s="26">
        <v>1</v>
      </c>
      <c r="M2434" s="26">
        <v>1</v>
      </c>
      <c r="N2434" s="28">
        <v>1</v>
      </c>
      <c r="O2434" s="26">
        <v>0.5</v>
      </c>
      <c r="P2434" s="26">
        <v>0.5</v>
      </c>
      <c r="Q2434" s="26">
        <v>0</v>
      </c>
      <c r="R2434" s="26"/>
      <c r="S2434" s="26">
        <v>0</v>
      </c>
      <c r="T2434" s="26">
        <v>0</v>
      </c>
      <c r="U2434" s="26">
        <v>0</v>
      </c>
      <c r="V2434" s="28">
        <v>0</v>
      </c>
      <c r="W2434" s="26">
        <v>0</v>
      </c>
      <c r="X2434" s="26">
        <v>0</v>
      </c>
      <c r="Y2434" s="26">
        <v>0</v>
      </c>
      <c r="Z2434" s="26">
        <v>0</v>
      </c>
    </row>
    <row r="2435" spans="1:26" x14ac:dyDescent="0.2">
      <c r="A2435">
        <f t="shared" si="78"/>
        <v>5</v>
      </c>
      <c r="B2435">
        <f t="shared" si="79"/>
        <v>21</v>
      </c>
      <c r="C2435" s="27">
        <v>46164</v>
      </c>
      <c r="D2435" s="26" t="s">
        <v>26</v>
      </c>
      <c r="E2435" s="26" t="s">
        <v>39</v>
      </c>
      <c r="F2435" s="26" t="s">
        <v>40</v>
      </c>
      <c r="G2435" s="26" t="s">
        <v>29</v>
      </c>
      <c r="H2435" s="26" t="s">
        <v>30</v>
      </c>
      <c r="I2435" s="26" t="s">
        <v>1134</v>
      </c>
      <c r="J2435" s="26" t="s">
        <v>42</v>
      </c>
      <c r="K2435" s="26" t="s">
        <v>65</v>
      </c>
      <c r="L2435" s="26">
        <v>85</v>
      </c>
      <c r="M2435" s="26">
        <v>1</v>
      </c>
      <c r="N2435" s="28">
        <v>1.1764999999999999E-2</v>
      </c>
      <c r="O2435" s="26">
        <v>0.56000000000000005</v>
      </c>
      <c r="P2435" s="26">
        <v>0.56000000000000005</v>
      </c>
      <c r="Q2435" s="26">
        <v>0</v>
      </c>
      <c r="R2435" s="26"/>
      <c r="S2435" s="26">
        <v>0</v>
      </c>
      <c r="T2435" s="26">
        <v>0</v>
      </c>
      <c r="U2435" s="26">
        <v>0</v>
      </c>
      <c r="V2435" s="28">
        <v>0</v>
      </c>
      <c r="W2435" s="26">
        <v>0</v>
      </c>
      <c r="X2435" s="26">
        <v>0</v>
      </c>
      <c r="Y2435" s="26">
        <v>0</v>
      </c>
      <c r="Z2435" s="26">
        <v>0</v>
      </c>
    </row>
    <row r="2436" spans="1:26" x14ac:dyDescent="0.2">
      <c r="A2436">
        <f t="shared" si="78"/>
        <v>5</v>
      </c>
      <c r="B2436">
        <f t="shared" si="79"/>
        <v>21</v>
      </c>
      <c r="C2436" s="27">
        <v>46165</v>
      </c>
      <c r="D2436" s="26" t="s">
        <v>26</v>
      </c>
      <c r="E2436" s="26" t="s">
        <v>39</v>
      </c>
      <c r="F2436" s="26" t="s">
        <v>40</v>
      </c>
      <c r="G2436" s="26" t="s">
        <v>29</v>
      </c>
      <c r="H2436" s="26" t="s">
        <v>30</v>
      </c>
      <c r="I2436" s="26" t="s">
        <v>1134</v>
      </c>
      <c r="J2436" s="26" t="s">
        <v>42</v>
      </c>
      <c r="K2436" s="26" t="s">
        <v>65</v>
      </c>
      <c r="L2436" s="26">
        <v>166</v>
      </c>
      <c r="M2436" s="26">
        <v>3</v>
      </c>
      <c r="N2436" s="28">
        <v>1.8072000000000001E-2</v>
      </c>
      <c r="O2436" s="26">
        <v>0.46</v>
      </c>
      <c r="P2436" s="26">
        <v>1.39</v>
      </c>
      <c r="Q2436" s="26">
        <v>17.47</v>
      </c>
      <c r="R2436" s="28">
        <v>7.9564999999999997E-2</v>
      </c>
      <c r="S2436" s="26">
        <v>12.57</v>
      </c>
      <c r="T2436" s="26">
        <v>1</v>
      </c>
      <c r="U2436" s="26">
        <v>1</v>
      </c>
      <c r="V2436" s="28">
        <v>0.33333299999999999</v>
      </c>
      <c r="W2436" s="26">
        <v>1</v>
      </c>
      <c r="X2436" s="26">
        <v>0</v>
      </c>
      <c r="Y2436" s="26">
        <v>17.47</v>
      </c>
      <c r="Z2436" s="26">
        <v>0</v>
      </c>
    </row>
    <row r="2437" spans="1:26" x14ac:dyDescent="0.2">
      <c r="A2437">
        <f t="shared" si="78"/>
        <v>5</v>
      </c>
      <c r="B2437">
        <f t="shared" si="79"/>
        <v>22</v>
      </c>
      <c r="C2437" s="27">
        <v>46166</v>
      </c>
      <c r="D2437" s="26" t="s">
        <v>26</v>
      </c>
      <c r="E2437" s="26" t="s">
        <v>39</v>
      </c>
      <c r="F2437" s="26" t="s">
        <v>40</v>
      </c>
      <c r="G2437" s="26" t="s">
        <v>29</v>
      </c>
      <c r="H2437" s="26" t="s">
        <v>30</v>
      </c>
      <c r="I2437" s="26" t="s">
        <v>1134</v>
      </c>
      <c r="J2437" s="26" t="s">
        <v>42</v>
      </c>
      <c r="K2437" s="26" t="s">
        <v>65</v>
      </c>
      <c r="L2437" s="26">
        <v>143</v>
      </c>
      <c r="M2437" s="26">
        <v>4</v>
      </c>
      <c r="N2437" s="28">
        <v>2.7972E-2</v>
      </c>
      <c r="O2437" s="26">
        <v>0.46</v>
      </c>
      <c r="P2437" s="26">
        <v>1.84</v>
      </c>
      <c r="Q2437" s="26">
        <v>34.94</v>
      </c>
      <c r="R2437" s="28">
        <v>5.2662E-2</v>
      </c>
      <c r="S2437" s="26">
        <v>18.989999999999998</v>
      </c>
      <c r="T2437" s="26">
        <v>2</v>
      </c>
      <c r="U2437" s="26">
        <v>2</v>
      </c>
      <c r="V2437" s="28">
        <v>0.5</v>
      </c>
      <c r="W2437" s="26">
        <v>2</v>
      </c>
      <c r="X2437" s="26">
        <v>0</v>
      </c>
      <c r="Y2437" s="26">
        <v>34.94</v>
      </c>
      <c r="Z2437" s="26">
        <v>0</v>
      </c>
    </row>
    <row r="2438" spans="1:26" x14ac:dyDescent="0.2">
      <c r="A2438">
        <f t="shared" si="78"/>
        <v>5</v>
      </c>
      <c r="B2438">
        <f t="shared" si="79"/>
        <v>22</v>
      </c>
      <c r="C2438" s="27">
        <v>46167</v>
      </c>
      <c r="D2438" s="26" t="s">
        <v>26</v>
      </c>
      <c r="E2438" s="26" t="s">
        <v>39</v>
      </c>
      <c r="F2438" s="26" t="s">
        <v>40</v>
      </c>
      <c r="G2438" s="26" t="s">
        <v>29</v>
      </c>
      <c r="H2438" s="26" t="s">
        <v>30</v>
      </c>
      <c r="I2438" s="26" t="s">
        <v>1134</v>
      </c>
      <c r="J2438" s="26" t="s">
        <v>42</v>
      </c>
      <c r="K2438" s="26" t="s">
        <v>65</v>
      </c>
      <c r="L2438" s="26">
        <v>206</v>
      </c>
      <c r="M2438" s="26">
        <v>1</v>
      </c>
      <c r="N2438" s="28">
        <v>4.8539999999999998E-3</v>
      </c>
      <c r="O2438" s="26">
        <v>0.65</v>
      </c>
      <c r="P2438" s="26">
        <v>0.65</v>
      </c>
      <c r="Q2438" s="26">
        <v>17.989999999999998</v>
      </c>
      <c r="R2438" s="28">
        <v>3.6131000000000003E-2</v>
      </c>
      <c r="S2438" s="26">
        <v>27.68</v>
      </c>
      <c r="T2438" s="26">
        <v>1</v>
      </c>
      <c r="U2438" s="26">
        <v>1</v>
      </c>
      <c r="V2438" s="28">
        <v>1</v>
      </c>
      <c r="W2438" s="26">
        <v>0</v>
      </c>
      <c r="X2438" s="26">
        <v>1</v>
      </c>
      <c r="Y2438" s="26">
        <v>0</v>
      </c>
      <c r="Z2438" s="26">
        <v>17.989999999999998</v>
      </c>
    </row>
    <row r="2439" spans="1:26" x14ac:dyDescent="0.2">
      <c r="A2439">
        <f t="shared" si="78"/>
        <v>5</v>
      </c>
      <c r="B2439">
        <f t="shared" si="79"/>
        <v>22</v>
      </c>
      <c r="C2439" s="27">
        <v>46168</v>
      </c>
      <c r="D2439" s="26" t="s">
        <v>26</v>
      </c>
      <c r="E2439" s="26" t="s">
        <v>39</v>
      </c>
      <c r="F2439" s="26" t="s">
        <v>40</v>
      </c>
      <c r="G2439" s="26" t="s">
        <v>29</v>
      </c>
      <c r="H2439" s="26" t="s">
        <v>30</v>
      </c>
      <c r="I2439" s="26" t="s">
        <v>1134</v>
      </c>
      <c r="J2439" s="26" t="s">
        <v>42</v>
      </c>
      <c r="K2439" s="26" t="s">
        <v>65</v>
      </c>
      <c r="L2439" s="26">
        <v>147</v>
      </c>
      <c r="M2439" s="26">
        <v>2</v>
      </c>
      <c r="N2439" s="28">
        <v>1.3605000000000001E-2</v>
      </c>
      <c r="O2439" s="26">
        <v>0.65</v>
      </c>
      <c r="P2439" s="26">
        <v>1.3</v>
      </c>
      <c r="Q2439" s="26">
        <v>0</v>
      </c>
      <c r="R2439" s="26"/>
      <c r="S2439" s="26">
        <v>0</v>
      </c>
      <c r="T2439" s="26">
        <v>0</v>
      </c>
      <c r="U2439" s="26">
        <v>0</v>
      </c>
      <c r="V2439" s="28">
        <v>0</v>
      </c>
      <c r="W2439" s="26">
        <v>0</v>
      </c>
      <c r="X2439" s="26">
        <v>0</v>
      </c>
      <c r="Y2439" s="26">
        <v>0</v>
      </c>
      <c r="Z2439" s="26">
        <v>0</v>
      </c>
    </row>
    <row r="2440" spans="1:26" x14ac:dyDescent="0.2">
      <c r="A2440">
        <f t="shared" si="78"/>
        <v>5</v>
      </c>
      <c r="B2440">
        <f t="shared" si="79"/>
        <v>22</v>
      </c>
      <c r="C2440" s="27">
        <v>46169</v>
      </c>
      <c r="D2440" s="26" t="s">
        <v>26</v>
      </c>
      <c r="E2440" s="26" t="s">
        <v>39</v>
      </c>
      <c r="F2440" s="26" t="s">
        <v>40</v>
      </c>
      <c r="G2440" s="26" t="s">
        <v>29</v>
      </c>
      <c r="H2440" s="26" t="s">
        <v>30</v>
      </c>
      <c r="I2440" s="26" t="s">
        <v>1134</v>
      </c>
      <c r="J2440" s="26" t="s">
        <v>42</v>
      </c>
      <c r="K2440" s="26" t="s">
        <v>65</v>
      </c>
      <c r="L2440" s="26">
        <v>257</v>
      </c>
      <c r="M2440" s="26">
        <v>4</v>
      </c>
      <c r="N2440" s="28">
        <v>1.5564E-2</v>
      </c>
      <c r="O2440" s="26">
        <v>0.66</v>
      </c>
      <c r="P2440" s="26">
        <v>2.64</v>
      </c>
      <c r="Q2440" s="26">
        <v>0</v>
      </c>
      <c r="R2440" s="26"/>
      <c r="S2440" s="26">
        <v>0</v>
      </c>
      <c r="T2440" s="26">
        <v>0</v>
      </c>
      <c r="U2440" s="26">
        <v>0</v>
      </c>
      <c r="V2440" s="28">
        <v>0</v>
      </c>
      <c r="W2440" s="26">
        <v>0</v>
      </c>
      <c r="X2440" s="26">
        <v>0</v>
      </c>
      <c r="Y2440" s="26">
        <v>0</v>
      </c>
      <c r="Z2440" s="26">
        <v>0</v>
      </c>
    </row>
    <row r="2441" spans="1:26" x14ac:dyDescent="0.2">
      <c r="A2441">
        <f t="shared" si="78"/>
        <v>5</v>
      </c>
      <c r="B2441">
        <f t="shared" si="79"/>
        <v>22</v>
      </c>
      <c r="C2441" s="27">
        <v>46170</v>
      </c>
      <c r="D2441" s="26" t="s">
        <v>26</v>
      </c>
      <c r="E2441" s="26" t="s">
        <v>39</v>
      </c>
      <c r="F2441" s="26" t="s">
        <v>40</v>
      </c>
      <c r="G2441" s="26" t="s">
        <v>29</v>
      </c>
      <c r="H2441" s="26" t="s">
        <v>30</v>
      </c>
      <c r="I2441" s="26" t="s">
        <v>1134</v>
      </c>
      <c r="J2441" s="26" t="s">
        <v>42</v>
      </c>
      <c r="K2441" s="26" t="s">
        <v>65</v>
      </c>
      <c r="L2441" s="26">
        <v>155</v>
      </c>
      <c r="M2441" s="26">
        <v>2</v>
      </c>
      <c r="N2441" s="28">
        <v>1.2903E-2</v>
      </c>
      <c r="O2441" s="26">
        <v>0.65</v>
      </c>
      <c r="P2441" s="26">
        <v>1.3</v>
      </c>
      <c r="Q2441" s="26">
        <v>0</v>
      </c>
      <c r="R2441" s="26"/>
      <c r="S2441" s="26">
        <v>0</v>
      </c>
      <c r="T2441" s="26">
        <v>0</v>
      </c>
      <c r="U2441" s="26">
        <v>0</v>
      </c>
      <c r="V2441" s="28">
        <v>0</v>
      </c>
      <c r="W2441" s="26">
        <v>0</v>
      </c>
      <c r="X2441" s="26">
        <v>0</v>
      </c>
      <c r="Y2441" s="26">
        <v>0</v>
      </c>
      <c r="Z2441" s="26">
        <v>0</v>
      </c>
    </row>
    <row r="2442" spans="1:26" x14ac:dyDescent="0.2">
      <c r="A2442">
        <f t="shared" si="78"/>
        <v>5</v>
      </c>
      <c r="B2442">
        <f t="shared" si="79"/>
        <v>22</v>
      </c>
      <c r="C2442" s="27">
        <v>46171</v>
      </c>
      <c r="D2442" s="26" t="s">
        <v>26</v>
      </c>
      <c r="E2442" s="26" t="s">
        <v>39</v>
      </c>
      <c r="F2442" s="26" t="s">
        <v>40</v>
      </c>
      <c r="G2442" s="26" t="s">
        <v>29</v>
      </c>
      <c r="H2442" s="26" t="s">
        <v>30</v>
      </c>
      <c r="I2442" s="26" t="s">
        <v>1134</v>
      </c>
      <c r="J2442" s="26" t="s">
        <v>42</v>
      </c>
      <c r="K2442" s="26" t="s">
        <v>65</v>
      </c>
      <c r="L2442" s="26">
        <v>288</v>
      </c>
      <c r="M2442" s="26">
        <v>2</v>
      </c>
      <c r="N2442" s="28">
        <v>6.9439999999999997E-3</v>
      </c>
      <c r="O2442" s="26">
        <v>0.64</v>
      </c>
      <c r="P2442" s="26">
        <v>1.28</v>
      </c>
      <c r="Q2442" s="26">
        <v>0</v>
      </c>
      <c r="R2442" s="26"/>
      <c r="S2442" s="26">
        <v>0</v>
      </c>
      <c r="T2442" s="26">
        <v>0</v>
      </c>
      <c r="U2442" s="26">
        <v>0</v>
      </c>
      <c r="V2442" s="28">
        <v>0</v>
      </c>
      <c r="W2442" s="26">
        <v>0</v>
      </c>
      <c r="X2442" s="26">
        <v>0</v>
      </c>
      <c r="Y2442" s="26">
        <v>0</v>
      </c>
      <c r="Z2442" s="26">
        <v>0</v>
      </c>
    </row>
    <row r="2443" spans="1:26" x14ac:dyDescent="0.2">
      <c r="A2443">
        <f t="shared" si="78"/>
        <v>5</v>
      </c>
      <c r="B2443">
        <f t="shared" si="79"/>
        <v>22</v>
      </c>
      <c r="C2443" s="27">
        <v>46172</v>
      </c>
      <c r="D2443" s="26" t="s">
        <v>26</v>
      </c>
      <c r="E2443" s="26" t="s">
        <v>39</v>
      </c>
      <c r="F2443" s="26" t="s">
        <v>40</v>
      </c>
      <c r="G2443" s="26" t="s">
        <v>29</v>
      </c>
      <c r="H2443" s="26" t="s">
        <v>30</v>
      </c>
      <c r="I2443" s="26" t="s">
        <v>1134</v>
      </c>
      <c r="J2443" s="26" t="s">
        <v>42</v>
      </c>
      <c r="K2443" s="26" t="s">
        <v>65</v>
      </c>
      <c r="L2443" s="26">
        <v>104</v>
      </c>
      <c r="M2443" s="26">
        <v>4</v>
      </c>
      <c r="N2443" s="28">
        <v>3.8462000000000003E-2</v>
      </c>
      <c r="O2443" s="26">
        <v>0.64</v>
      </c>
      <c r="P2443" s="26">
        <v>2.56</v>
      </c>
      <c r="Q2443" s="26">
        <v>17.47</v>
      </c>
      <c r="R2443" s="28">
        <v>0.146537</v>
      </c>
      <c r="S2443" s="26">
        <v>6.82</v>
      </c>
      <c r="T2443" s="26">
        <v>1</v>
      </c>
      <c r="U2443" s="26">
        <v>1</v>
      </c>
      <c r="V2443" s="28">
        <v>0.25</v>
      </c>
      <c r="W2443" s="26">
        <v>1</v>
      </c>
      <c r="X2443" s="26">
        <v>0</v>
      </c>
      <c r="Y2443" s="26">
        <v>17.47</v>
      </c>
      <c r="Z2443" s="26">
        <v>0</v>
      </c>
    </row>
    <row r="2444" spans="1:26" x14ac:dyDescent="0.2">
      <c r="A2444">
        <f t="shared" si="78"/>
        <v>5</v>
      </c>
      <c r="B2444">
        <f t="shared" si="79"/>
        <v>23</v>
      </c>
      <c r="C2444" s="27">
        <v>46173</v>
      </c>
      <c r="D2444" s="26" t="s">
        <v>26</v>
      </c>
      <c r="E2444" s="26" t="s">
        <v>39</v>
      </c>
      <c r="F2444" s="26" t="s">
        <v>40</v>
      </c>
      <c r="G2444" s="26" t="s">
        <v>29</v>
      </c>
      <c r="H2444" s="26" t="s">
        <v>30</v>
      </c>
      <c r="I2444" s="26" t="s">
        <v>1134</v>
      </c>
      <c r="J2444" s="26" t="s">
        <v>42</v>
      </c>
      <c r="K2444" s="26" t="s">
        <v>65</v>
      </c>
      <c r="L2444" s="26">
        <v>124</v>
      </c>
      <c r="M2444" s="26">
        <v>3</v>
      </c>
      <c r="N2444" s="28">
        <v>2.4194E-2</v>
      </c>
      <c r="O2444" s="26">
        <v>0.52</v>
      </c>
      <c r="P2444" s="26">
        <v>1.55</v>
      </c>
      <c r="Q2444" s="26">
        <v>34.94</v>
      </c>
      <c r="R2444" s="28">
        <v>4.4361999999999999E-2</v>
      </c>
      <c r="S2444" s="26">
        <v>22.54</v>
      </c>
      <c r="T2444" s="26">
        <v>1</v>
      </c>
      <c r="U2444" s="26">
        <v>2</v>
      </c>
      <c r="V2444" s="28">
        <v>0.33333299999999999</v>
      </c>
      <c r="W2444" s="26">
        <v>2</v>
      </c>
      <c r="X2444" s="26">
        <v>0</v>
      </c>
      <c r="Y2444" s="26">
        <v>34.94</v>
      </c>
      <c r="Z2444" s="26">
        <v>0</v>
      </c>
    </row>
    <row r="2445" spans="1:26" x14ac:dyDescent="0.2">
      <c r="A2445">
        <f t="shared" si="78"/>
        <v>5</v>
      </c>
      <c r="B2445">
        <f t="shared" si="79"/>
        <v>23</v>
      </c>
      <c r="C2445" s="27">
        <v>46173</v>
      </c>
      <c r="D2445" s="26" t="s">
        <v>26</v>
      </c>
      <c r="E2445" s="26" t="s">
        <v>49</v>
      </c>
      <c r="F2445" s="26" t="s">
        <v>50</v>
      </c>
      <c r="G2445" s="26" t="s">
        <v>29</v>
      </c>
      <c r="H2445" s="26" t="s">
        <v>30</v>
      </c>
      <c r="I2445" s="26" t="s">
        <v>51</v>
      </c>
      <c r="J2445" s="26" t="s">
        <v>42</v>
      </c>
      <c r="K2445" s="26" t="s">
        <v>1575</v>
      </c>
      <c r="L2445" s="26">
        <v>2</v>
      </c>
      <c r="M2445" s="26">
        <v>1</v>
      </c>
      <c r="N2445" s="28">
        <v>0.5</v>
      </c>
      <c r="O2445" s="26">
        <v>0.5</v>
      </c>
      <c r="P2445" s="26">
        <v>0.5</v>
      </c>
      <c r="Q2445" s="26">
        <v>0</v>
      </c>
      <c r="R2445" s="26"/>
      <c r="S2445" s="26">
        <v>0</v>
      </c>
      <c r="T2445" s="26">
        <v>0</v>
      </c>
      <c r="U2445" s="26">
        <v>0</v>
      </c>
      <c r="V2445" s="28">
        <v>0</v>
      </c>
      <c r="W2445" s="26">
        <v>0</v>
      </c>
      <c r="X2445" s="26">
        <v>0</v>
      </c>
      <c r="Y2445" s="26">
        <v>0</v>
      </c>
      <c r="Z2445" s="26">
        <v>0</v>
      </c>
    </row>
    <row r="2446" spans="1:26" x14ac:dyDescent="0.2">
      <c r="A2446">
        <f t="shared" si="78"/>
        <v>5</v>
      </c>
      <c r="B2446">
        <f t="shared" si="79"/>
        <v>21</v>
      </c>
      <c r="C2446" s="27">
        <v>46164</v>
      </c>
      <c r="D2446" s="26" t="s">
        <v>26</v>
      </c>
      <c r="E2446" s="26" t="s">
        <v>49</v>
      </c>
      <c r="F2446" s="26" t="s">
        <v>50</v>
      </c>
      <c r="G2446" s="26" t="s">
        <v>29</v>
      </c>
      <c r="H2446" s="26" t="s">
        <v>30</v>
      </c>
      <c r="I2446" s="26" t="s">
        <v>51</v>
      </c>
      <c r="J2446" s="26" t="s">
        <v>42</v>
      </c>
      <c r="K2446" s="26" t="s">
        <v>696</v>
      </c>
      <c r="L2446" s="26">
        <v>2</v>
      </c>
      <c r="M2446" s="26">
        <v>1</v>
      </c>
      <c r="N2446" s="28">
        <v>0.5</v>
      </c>
      <c r="O2446" s="26">
        <v>0.5</v>
      </c>
      <c r="P2446" s="26">
        <v>0.5</v>
      </c>
      <c r="Q2446" s="26">
        <v>0</v>
      </c>
      <c r="R2446" s="26"/>
      <c r="S2446" s="26">
        <v>0</v>
      </c>
      <c r="T2446" s="26">
        <v>0</v>
      </c>
      <c r="U2446" s="26">
        <v>0</v>
      </c>
      <c r="V2446" s="28">
        <v>0</v>
      </c>
      <c r="W2446" s="26">
        <v>0</v>
      </c>
      <c r="X2446" s="26">
        <v>0</v>
      </c>
      <c r="Y2446" s="26">
        <v>0</v>
      </c>
      <c r="Z2446" s="26">
        <v>0</v>
      </c>
    </row>
    <row r="2447" spans="1:26" x14ac:dyDescent="0.2">
      <c r="A2447">
        <f t="shared" si="78"/>
        <v>5</v>
      </c>
      <c r="B2447">
        <f t="shared" si="79"/>
        <v>21</v>
      </c>
      <c r="C2447" s="27">
        <v>46165</v>
      </c>
      <c r="D2447" s="26" t="s">
        <v>26</v>
      </c>
      <c r="E2447" s="26" t="s">
        <v>49</v>
      </c>
      <c r="F2447" s="26" t="s">
        <v>50</v>
      </c>
      <c r="G2447" s="26" t="s">
        <v>29</v>
      </c>
      <c r="H2447" s="26" t="s">
        <v>30</v>
      </c>
      <c r="I2447" s="26" t="s">
        <v>51</v>
      </c>
      <c r="J2447" s="26" t="s">
        <v>42</v>
      </c>
      <c r="K2447" s="26" t="s">
        <v>1576</v>
      </c>
      <c r="L2447" s="26">
        <v>3</v>
      </c>
      <c r="M2447" s="26">
        <v>1</v>
      </c>
      <c r="N2447" s="28">
        <v>0.33333299999999999</v>
      </c>
      <c r="O2447" s="26">
        <v>0.5</v>
      </c>
      <c r="P2447" s="26">
        <v>0.5</v>
      </c>
      <c r="Q2447" s="26">
        <v>0</v>
      </c>
      <c r="R2447" s="26"/>
      <c r="S2447" s="26">
        <v>0</v>
      </c>
      <c r="T2447" s="26">
        <v>0</v>
      </c>
      <c r="U2447" s="26">
        <v>0</v>
      </c>
      <c r="V2447" s="28">
        <v>0</v>
      </c>
      <c r="W2447" s="26">
        <v>0</v>
      </c>
      <c r="X2447" s="26">
        <v>0</v>
      </c>
      <c r="Y2447" s="26">
        <v>0</v>
      </c>
      <c r="Z2447" s="26">
        <v>0</v>
      </c>
    </row>
    <row r="2448" spans="1:26" x14ac:dyDescent="0.2">
      <c r="A2448">
        <f t="shared" si="78"/>
        <v>5</v>
      </c>
      <c r="B2448">
        <f t="shared" si="79"/>
        <v>23</v>
      </c>
      <c r="C2448" s="27">
        <v>46173</v>
      </c>
      <c r="D2448" s="26" t="s">
        <v>26</v>
      </c>
      <c r="E2448" s="26" t="s">
        <v>49</v>
      </c>
      <c r="F2448" s="26" t="s">
        <v>50</v>
      </c>
      <c r="G2448" s="26" t="s">
        <v>29</v>
      </c>
      <c r="H2448" s="26" t="s">
        <v>30</v>
      </c>
      <c r="I2448" s="26" t="s">
        <v>51</v>
      </c>
      <c r="J2448" s="26" t="s">
        <v>42</v>
      </c>
      <c r="K2448" s="26" t="s">
        <v>71</v>
      </c>
      <c r="L2448" s="26">
        <v>13</v>
      </c>
      <c r="M2448" s="26">
        <v>1</v>
      </c>
      <c r="N2448" s="28">
        <v>7.6923000000000005E-2</v>
      </c>
      <c r="O2448" s="26">
        <v>0.5</v>
      </c>
      <c r="P2448" s="26">
        <v>0.5</v>
      </c>
      <c r="Q2448" s="26">
        <v>0</v>
      </c>
      <c r="R2448" s="26"/>
      <c r="S2448" s="26">
        <v>0</v>
      </c>
      <c r="T2448" s="26">
        <v>0</v>
      </c>
      <c r="U2448" s="26">
        <v>0</v>
      </c>
      <c r="V2448" s="28">
        <v>0</v>
      </c>
      <c r="W2448" s="26">
        <v>0</v>
      </c>
      <c r="X2448" s="26">
        <v>0</v>
      </c>
      <c r="Y2448" s="26">
        <v>0</v>
      </c>
      <c r="Z2448" s="26">
        <v>0</v>
      </c>
    </row>
    <row r="2449" spans="1:26" x14ac:dyDescent="0.2">
      <c r="A2449">
        <f t="shared" si="78"/>
        <v>5</v>
      </c>
      <c r="B2449">
        <f t="shared" si="79"/>
        <v>22</v>
      </c>
      <c r="C2449" s="27">
        <v>46166</v>
      </c>
      <c r="D2449" s="26" t="s">
        <v>26</v>
      </c>
      <c r="E2449" s="26" t="s">
        <v>39</v>
      </c>
      <c r="F2449" s="26" t="s">
        <v>40</v>
      </c>
      <c r="G2449" s="26" t="s">
        <v>29</v>
      </c>
      <c r="H2449" s="26" t="s">
        <v>30</v>
      </c>
      <c r="I2449" s="26" t="s">
        <v>70</v>
      </c>
      <c r="J2449" s="26" t="s">
        <v>42</v>
      </c>
      <c r="K2449" s="26" t="s">
        <v>71</v>
      </c>
      <c r="L2449" s="26">
        <v>32</v>
      </c>
      <c r="M2449" s="26">
        <v>1</v>
      </c>
      <c r="N2449" s="28">
        <v>3.125E-2</v>
      </c>
      <c r="O2449" s="26">
        <v>0.42</v>
      </c>
      <c r="P2449" s="26">
        <v>0.42</v>
      </c>
      <c r="Q2449" s="26">
        <v>0</v>
      </c>
      <c r="R2449" s="26"/>
      <c r="S2449" s="26">
        <v>0</v>
      </c>
      <c r="T2449" s="26">
        <v>0</v>
      </c>
      <c r="U2449" s="26">
        <v>0</v>
      </c>
      <c r="V2449" s="28">
        <v>0</v>
      </c>
      <c r="W2449" s="26">
        <v>0</v>
      </c>
      <c r="X2449" s="26">
        <v>0</v>
      </c>
      <c r="Y2449" s="26">
        <v>0</v>
      </c>
      <c r="Z2449" s="26">
        <v>0</v>
      </c>
    </row>
    <row r="2450" spans="1:26" x14ac:dyDescent="0.2">
      <c r="A2450">
        <f t="shared" si="78"/>
        <v>5</v>
      </c>
      <c r="B2450">
        <f t="shared" si="79"/>
        <v>22</v>
      </c>
      <c r="C2450" s="27">
        <v>46168</v>
      </c>
      <c r="D2450" s="26" t="s">
        <v>26</v>
      </c>
      <c r="E2450" s="26" t="s">
        <v>39</v>
      </c>
      <c r="F2450" s="26" t="s">
        <v>40</v>
      </c>
      <c r="G2450" s="26" t="s">
        <v>29</v>
      </c>
      <c r="H2450" s="26" t="s">
        <v>30</v>
      </c>
      <c r="I2450" s="26" t="s">
        <v>70</v>
      </c>
      <c r="J2450" s="26" t="s">
        <v>42</v>
      </c>
      <c r="K2450" s="26" t="s">
        <v>71</v>
      </c>
      <c r="L2450" s="26">
        <v>36</v>
      </c>
      <c r="M2450" s="26">
        <v>2</v>
      </c>
      <c r="N2450" s="28">
        <v>5.5556000000000001E-2</v>
      </c>
      <c r="O2450" s="26">
        <v>0.49</v>
      </c>
      <c r="P2450" s="26">
        <v>0.98</v>
      </c>
      <c r="Q2450" s="26">
        <v>0</v>
      </c>
      <c r="R2450" s="26"/>
      <c r="S2450" s="26">
        <v>0</v>
      </c>
      <c r="T2450" s="26">
        <v>0</v>
      </c>
      <c r="U2450" s="26">
        <v>0</v>
      </c>
      <c r="V2450" s="28">
        <v>0</v>
      </c>
      <c r="W2450" s="26">
        <v>0</v>
      </c>
      <c r="X2450" s="26">
        <v>0</v>
      </c>
      <c r="Y2450" s="26">
        <v>0</v>
      </c>
      <c r="Z2450" s="26">
        <v>0</v>
      </c>
    </row>
    <row r="2451" spans="1:26" x14ac:dyDescent="0.2">
      <c r="A2451">
        <f t="shared" si="78"/>
        <v>5</v>
      </c>
      <c r="B2451">
        <f t="shared" si="79"/>
        <v>22</v>
      </c>
      <c r="C2451" s="27">
        <v>46172</v>
      </c>
      <c r="D2451" s="26" t="s">
        <v>26</v>
      </c>
      <c r="E2451" s="26" t="s">
        <v>49</v>
      </c>
      <c r="F2451" s="26" t="s">
        <v>50</v>
      </c>
      <c r="G2451" s="26" t="s">
        <v>29</v>
      </c>
      <c r="H2451" s="26" t="s">
        <v>30</v>
      </c>
      <c r="I2451" s="26" t="s">
        <v>51</v>
      </c>
      <c r="J2451" s="26" t="s">
        <v>42</v>
      </c>
      <c r="K2451" s="26" t="s">
        <v>1577</v>
      </c>
      <c r="L2451" s="26">
        <v>1</v>
      </c>
      <c r="M2451" s="26">
        <v>1</v>
      </c>
      <c r="N2451" s="28">
        <v>1</v>
      </c>
      <c r="O2451" s="26">
        <v>0.5</v>
      </c>
      <c r="P2451" s="26">
        <v>0.5</v>
      </c>
      <c r="Q2451" s="26">
        <v>0</v>
      </c>
      <c r="R2451" s="26"/>
      <c r="S2451" s="26">
        <v>0</v>
      </c>
      <c r="T2451" s="26">
        <v>0</v>
      </c>
      <c r="U2451" s="26">
        <v>0</v>
      </c>
      <c r="V2451" s="28">
        <v>0</v>
      </c>
      <c r="W2451" s="26">
        <v>0</v>
      </c>
      <c r="X2451" s="26">
        <v>0</v>
      </c>
      <c r="Y2451" s="26">
        <v>0</v>
      </c>
      <c r="Z2451" s="26">
        <v>0</v>
      </c>
    </row>
    <row r="2452" spans="1:26" x14ac:dyDescent="0.2">
      <c r="A2452">
        <f t="shared" si="78"/>
        <v>5</v>
      </c>
      <c r="B2452">
        <f t="shared" si="79"/>
        <v>22</v>
      </c>
      <c r="C2452" s="27">
        <v>46169</v>
      </c>
      <c r="D2452" s="26" t="s">
        <v>26</v>
      </c>
      <c r="E2452" s="26" t="s">
        <v>1578</v>
      </c>
      <c r="F2452" s="26" t="s">
        <v>62</v>
      </c>
      <c r="G2452" s="26" t="s">
        <v>29</v>
      </c>
      <c r="H2452" s="26" t="s">
        <v>30</v>
      </c>
      <c r="I2452" s="26" t="s">
        <v>51</v>
      </c>
      <c r="J2452" s="26" t="s">
        <v>42</v>
      </c>
      <c r="K2452" s="26" t="s">
        <v>1579</v>
      </c>
      <c r="L2452" s="26">
        <v>1</v>
      </c>
      <c r="M2452" s="26">
        <v>1</v>
      </c>
      <c r="N2452" s="28">
        <v>1</v>
      </c>
      <c r="O2452" s="26">
        <v>1.3</v>
      </c>
      <c r="P2452" s="26">
        <v>1.3</v>
      </c>
      <c r="Q2452" s="26">
        <v>0</v>
      </c>
      <c r="R2452" s="26"/>
      <c r="S2452" s="26">
        <v>0</v>
      </c>
      <c r="T2452" s="26">
        <v>0</v>
      </c>
      <c r="U2452" s="26">
        <v>0</v>
      </c>
      <c r="V2452" s="28">
        <v>0</v>
      </c>
      <c r="W2452" s="26">
        <v>0</v>
      </c>
      <c r="X2452" s="26">
        <v>0</v>
      </c>
      <c r="Y2452" s="26">
        <v>0</v>
      </c>
      <c r="Z2452" s="26">
        <v>0</v>
      </c>
    </row>
    <row r="2453" spans="1:26" x14ac:dyDescent="0.2">
      <c r="A2453">
        <f t="shared" si="78"/>
        <v>5</v>
      </c>
      <c r="B2453">
        <f t="shared" si="79"/>
        <v>21</v>
      </c>
      <c r="C2453" s="27">
        <v>46164</v>
      </c>
      <c r="D2453" s="26" t="s">
        <v>26</v>
      </c>
      <c r="E2453" s="26" t="s">
        <v>39</v>
      </c>
      <c r="F2453" s="26" t="s">
        <v>40</v>
      </c>
      <c r="G2453" s="26" t="s">
        <v>29</v>
      </c>
      <c r="H2453" s="26" t="s">
        <v>30</v>
      </c>
      <c r="I2453" s="26" t="s">
        <v>1405</v>
      </c>
      <c r="J2453" s="26" t="s">
        <v>42</v>
      </c>
      <c r="K2453" s="26" t="s">
        <v>609</v>
      </c>
      <c r="L2453" s="26">
        <v>65</v>
      </c>
      <c r="M2453" s="26">
        <v>1</v>
      </c>
      <c r="N2453" s="28">
        <v>1.5384999999999999E-2</v>
      </c>
      <c r="O2453" s="26">
        <v>0.64</v>
      </c>
      <c r="P2453" s="26">
        <v>0.64</v>
      </c>
      <c r="Q2453" s="26">
        <v>0</v>
      </c>
      <c r="R2453" s="26"/>
      <c r="S2453" s="26">
        <v>0</v>
      </c>
      <c r="T2453" s="26">
        <v>0</v>
      </c>
      <c r="U2453" s="26">
        <v>0</v>
      </c>
      <c r="V2453" s="28">
        <v>0</v>
      </c>
      <c r="W2453" s="26">
        <v>0</v>
      </c>
      <c r="X2453" s="26">
        <v>0</v>
      </c>
      <c r="Y2453" s="26">
        <v>0</v>
      </c>
      <c r="Z2453" s="26">
        <v>0</v>
      </c>
    </row>
    <row r="2454" spans="1:26" x14ac:dyDescent="0.2">
      <c r="A2454">
        <f t="shared" si="78"/>
        <v>5</v>
      </c>
      <c r="B2454">
        <f t="shared" si="79"/>
        <v>22</v>
      </c>
      <c r="C2454" s="27">
        <v>46167</v>
      </c>
      <c r="D2454" s="26" t="s">
        <v>26</v>
      </c>
      <c r="E2454" s="26" t="s">
        <v>39</v>
      </c>
      <c r="F2454" s="26" t="s">
        <v>40</v>
      </c>
      <c r="G2454" s="26" t="s">
        <v>29</v>
      </c>
      <c r="H2454" s="26" t="s">
        <v>30</v>
      </c>
      <c r="I2454" s="26" t="s">
        <v>1405</v>
      </c>
      <c r="J2454" s="26" t="s">
        <v>42</v>
      </c>
      <c r="K2454" s="26" t="s">
        <v>609</v>
      </c>
      <c r="L2454" s="26">
        <v>138</v>
      </c>
      <c r="M2454" s="26">
        <v>1</v>
      </c>
      <c r="N2454" s="28">
        <v>7.2459999999999998E-3</v>
      </c>
      <c r="O2454" s="26">
        <v>0.5</v>
      </c>
      <c r="P2454" s="26">
        <v>0.5</v>
      </c>
      <c r="Q2454" s="26">
        <v>0</v>
      </c>
      <c r="R2454" s="26"/>
      <c r="S2454" s="26">
        <v>0</v>
      </c>
      <c r="T2454" s="26">
        <v>0</v>
      </c>
      <c r="U2454" s="26">
        <v>0</v>
      </c>
      <c r="V2454" s="28">
        <v>0</v>
      </c>
      <c r="W2454" s="26">
        <v>0</v>
      </c>
      <c r="X2454" s="26">
        <v>0</v>
      </c>
      <c r="Y2454" s="26">
        <v>0</v>
      </c>
      <c r="Z2454" s="26">
        <v>0</v>
      </c>
    </row>
    <row r="2455" spans="1:26" x14ac:dyDescent="0.2">
      <c r="A2455">
        <f t="shared" si="78"/>
        <v>5</v>
      </c>
      <c r="B2455">
        <f t="shared" si="79"/>
        <v>22</v>
      </c>
      <c r="C2455" s="27">
        <v>46170</v>
      </c>
      <c r="D2455" s="26" t="s">
        <v>26</v>
      </c>
      <c r="E2455" s="26" t="s">
        <v>39</v>
      </c>
      <c r="F2455" s="26" t="s">
        <v>40</v>
      </c>
      <c r="G2455" s="26" t="s">
        <v>29</v>
      </c>
      <c r="H2455" s="26" t="s">
        <v>30</v>
      </c>
      <c r="I2455" s="26" t="s">
        <v>1405</v>
      </c>
      <c r="J2455" s="26" t="s">
        <v>42</v>
      </c>
      <c r="K2455" s="26" t="s">
        <v>609</v>
      </c>
      <c r="L2455" s="26">
        <v>28</v>
      </c>
      <c r="M2455" s="26">
        <v>1</v>
      </c>
      <c r="N2455" s="28">
        <v>3.5714000000000003E-2</v>
      </c>
      <c r="O2455" s="26">
        <v>0.62</v>
      </c>
      <c r="P2455" s="26">
        <v>0.62</v>
      </c>
      <c r="Q2455" s="26">
        <v>0</v>
      </c>
      <c r="R2455" s="26"/>
      <c r="S2455" s="26">
        <v>0</v>
      </c>
      <c r="T2455" s="26">
        <v>0</v>
      </c>
      <c r="U2455" s="26">
        <v>0</v>
      </c>
      <c r="V2455" s="28">
        <v>0</v>
      </c>
      <c r="W2455" s="26">
        <v>0</v>
      </c>
      <c r="X2455" s="26">
        <v>0</v>
      </c>
      <c r="Y2455" s="26">
        <v>0</v>
      </c>
      <c r="Z2455" s="26">
        <v>0</v>
      </c>
    </row>
    <row r="2456" spans="1:26" x14ac:dyDescent="0.2">
      <c r="A2456">
        <f t="shared" si="78"/>
        <v>5</v>
      </c>
      <c r="B2456">
        <f t="shared" si="79"/>
        <v>22</v>
      </c>
      <c r="C2456" s="27">
        <v>46171</v>
      </c>
      <c r="D2456" s="26" t="s">
        <v>26</v>
      </c>
      <c r="E2456" s="26" t="s">
        <v>39</v>
      </c>
      <c r="F2456" s="26" t="s">
        <v>40</v>
      </c>
      <c r="G2456" s="26" t="s">
        <v>29</v>
      </c>
      <c r="H2456" s="26" t="s">
        <v>30</v>
      </c>
      <c r="I2456" s="26" t="s">
        <v>1405</v>
      </c>
      <c r="J2456" s="26" t="s">
        <v>42</v>
      </c>
      <c r="K2456" s="26" t="s">
        <v>609</v>
      </c>
      <c r="L2456" s="26">
        <v>117</v>
      </c>
      <c r="M2456" s="26">
        <v>2</v>
      </c>
      <c r="N2456" s="28">
        <v>1.7094000000000002E-2</v>
      </c>
      <c r="O2456" s="26">
        <v>0.62</v>
      </c>
      <c r="P2456" s="26">
        <v>1.24</v>
      </c>
      <c r="Q2456" s="26">
        <v>0</v>
      </c>
      <c r="R2456" s="26"/>
      <c r="S2456" s="26">
        <v>0</v>
      </c>
      <c r="T2456" s="26">
        <v>0</v>
      </c>
      <c r="U2456" s="26">
        <v>0</v>
      </c>
      <c r="V2456" s="28">
        <v>0</v>
      </c>
      <c r="W2456" s="26">
        <v>0</v>
      </c>
      <c r="X2456" s="26">
        <v>0</v>
      </c>
      <c r="Y2456" s="26">
        <v>0</v>
      </c>
      <c r="Z2456" s="26">
        <v>0</v>
      </c>
    </row>
    <row r="2457" spans="1:26" x14ac:dyDescent="0.2">
      <c r="A2457">
        <f t="shared" si="78"/>
        <v>5</v>
      </c>
      <c r="B2457">
        <f t="shared" si="79"/>
        <v>23</v>
      </c>
      <c r="C2457" s="27">
        <v>46173</v>
      </c>
      <c r="D2457" s="26" t="s">
        <v>26</v>
      </c>
      <c r="E2457" s="26" t="s">
        <v>39</v>
      </c>
      <c r="F2457" s="26" t="s">
        <v>40</v>
      </c>
      <c r="G2457" s="26" t="s">
        <v>29</v>
      </c>
      <c r="H2457" s="26" t="s">
        <v>30</v>
      </c>
      <c r="I2457" s="26" t="s">
        <v>1405</v>
      </c>
      <c r="J2457" s="26" t="s">
        <v>42</v>
      </c>
      <c r="K2457" s="26" t="s">
        <v>609</v>
      </c>
      <c r="L2457" s="26">
        <v>16</v>
      </c>
      <c r="M2457" s="26">
        <v>1</v>
      </c>
      <c r="N2457" s="28">
        <v>6.25E-2</v>
      </c>
      <c r="O2457" s="26">
        <v>0.62</v>
      </c>
      <c r="P2457" s="26">
        <v>0.62</v>
      </c>
      <c r="Q2457" s="26">
        <v>0</v>
      </c>
      <c r="R2457" s="26"/>
      <c r="S2457" s="26">
        <v>0</v>
      </c>
      <c r="T2457" s="26">
        <v>0</v>
      </c>
      <c r="U2457" s="26">
        <v>0</v>
      </c>
      <c r="V2457" s="28">
        <v>0</v>
      </c>
      <c r="W2457" s="26">
        <v>0</v>
      </c>
      <c r="X2457" s="26">
        <v>0</v>
      </c>
      <c r="Y2457" s="26">
        <v>0</v>
      </c>
      <c r="Z2457" s="26">
        <v>0</v>
      </c>
    </row>
    <row r="2458" spans="1:26" x14ac:dyDescent="0.2">
      <c r="A2458">
        <f t="shared" si="78"/>
        <v>5</v>
      </c>
      <c r="B2458">
        <f t="shared" si="79"/>
        <v>21</v>
      </c>
      <c r="C2458" s="27">
        <v>46164</v>
      </c>
      <c r="D2458" s="26" t="s">
        <v>26</v>
      </c>
      <c r="E2458" s="26" t="s">
        <v>39</v>
      </c>
      <c r="F2458" s="26" t="s">
        <v>40</v>
      </c>
      <c r="G2458" s="26" t="s">
        <v>29</v>
      </c>
      <c r="H2458" s="26" t="s">
        <v>30</v>
      </c>
      <c r="I2458" s="26" t="s">
        <v>1485</v>
      </c>
      <c r="J2458" s="26" t="s">
        <v>42</v>
      </c>
      <c r="K2458" s="26" t="s">
        <v>1580</v>
      </c>
      <c r="L2458" s="26">
        <v>36</v>
      </c>
      <c r="M2458" s="26">
        <v>1</v>
      </c>
      <c r="N2458" s="28">
        <v>2.7778000000000001E-2</v>
      </c>
      <c r="O2458" s="26">
        <v>0.48</v>
      </c>
      <c r="P2458" s="26">
        <v>0.48</v>
      </c>
      <c r="Q2458" s="26">
        <v>0</v>
      </c>
      <c r="R2458" s="26"/>
      <c r="S2458" s="26">
        <v>0</v>
      </c>
      <c r="T2458" s="26">
        <v>0</v>
      </c>
      <c r="U2458" s="26">
        <v>0</v>
      </c>
      <c r="V2458" s="28">
        <v>0</v>
      </c>
      <c r="W2458" s="26">
        <v>0</v>
      </c>
      <c r="X2458" s="26">
        <v>0</v>
      </c>
      <c r="Y2458" s="26">
        <v>0</v>
      </c>
      <c r="Z2458" s="26">
        <v>0</v>
      </c>
    </row>
    <row r="2459" spans="1:26" x14ac:dyDescent="0.2">
      <c r="A2459">
        <f t="shared" si="78"/>
        <v>5</v>
      </c>
      <c r="B2459">
        <f t="shared" si="79"/>
        <v>21</v>
      </c>
      <c r="C2459" s="27">
        <v>46165</v>
      </c>
      <c r="D2459" s="26" t="s">
        <v>26</v>
      </c>
      <c r="E2459" s="26" t="s">
        <v>39</v>
      </c>
      <c r="F2459" s="26" t="s">
        <v>40</v>
      </c>
      <c r="G2459" s="26" t="s">
        <v>29</v>
      </c>
      <c r="H2459" s="26" t="s">
        <v>30</v>
      </c>
      <c r="I2459" s="26" t="s">
        <v>1485</v>
      </c>
      <c r="J2459" s="26" t="s">
        <v>42</v>
      </c>
      <c r="K2459" s="26" t="s">
        <v>1580</v>
      </c>
      <c r="L2459" s="26">
        <v>67</v>
      </c>
      <c r="M2459" s="26">
        <v>1</v>
      </c>
      <c r="N2459" s="28">
        <v>1.4925000000000001E-2</v>
      </c>
      <c r="O2459" s="26">
        <v>0.48</v>
      </c>
      <c r="P2459" s="26">
        <v>0.48</v>
      </c>
      <c r="Q2459" s="26">
        <v>0</v>
      </c>
      <c r="R2459" s="26"/>
      <c r="S2459" s="26">
        <v>0</v>
      </c>
      <c r="T2459" s="26">
        <v>0</v>
      </c>
      <c r="U2459" s="26">
        <v>0</v>
      </c>
      <c r="V2459" s="28">
        <v>0</v>
      </c>
      <c r="W2459" s="26">
        <v>0</v>
      </c>
      <c r="X2459" s="26">
        <v>0</v>
      </c>
      <c r="Y2459" s="26">
        <v>0</v>
      </c>
      <c r="Z2459" s="26">
        <v>0</v>
      </c>
    </row>
    <row r="2460" spans="1:26" x14ac:dyDescent="0.2">
      <c r="A2460">
        <f t="shared" si="78"/>
        <v>5</v>
      </c>
      <c r="B2460">
        <f t="shared" si="79"/>
        <v>22</v>
      </c>
      <c r="C2460" s="27">
        <v>46166</v>
      </c>
      <c r="D2460" s="26" t="s">
        <v>26</v>
      </c>
      <c r="E2460" s="26" t="s">
        <v>49</v>
      </c>
      <c r="F2460" s="26" t="s">
        <v>50</v>
      </c>
      <c r="G2460" s="26" t="s">
        <v>29</v>
      </c>
      <c r="H2460" s="26" t="s">
        <v>30</v>
      </c>
      <c r="I2460" s="26" t="s">
        <v>95</v>
      </c>
      <c r="J2460" s="26" t="s">
        <v>42</v>
      </c>
      <c r="K2460" s="26" t="s">
        <v>1581</v>
      </c>
      <c r="L2460" s="26">
        <v>4</v>
      </c>
      <c r="M2460" s="26">
        <v>1</v>
      </c>
      <c r="N2460" s="28">
        <v>0.25</v>
      </c>
      <c r="O2460" s="26">
        <v>0.16</v>
      </c>
      <c r="P2460" s="26">
        <v>0.16</v>
      </c>
      <c r="Q2460" s="26">
        <v>0</v>
      </c>
      <c r="R2460" s="26"/>
      <c r="S2460" s="26">
        <v>0</v>
      </c>
      <c r="T2460" s="26">
        <v>0</v>
      </c>
      <c r="U2460" s="26">
        <v>0</v>
      </c>
      <c r="V2460" s="28">
        <v>0</v>
      </c>
      <c r="W2460" s="26">
        <v>0</v>
      </c>
      <c r="X2460" s="26">
        <v>0</v>
      </c>
      <c r="Y2460" s="26">
        <v>0</v>
      </c>
      <c r="Z2460" s="26">
        <v>0</v>
      </c>
    </row>
    <row r="2461" spans="1:26" x14ac:dyDescent="0.2">
      <c r="A2461">
        <f t="shared" si="78"/>
        <v>5</v>
      </c>
      <c r="B2461">
        <f t="shared" si="79"/>
        <v>22</v>
      </c>
      <c r="C2461" s="27">
        <v>46167</v>
      </c>
      <c r="D2461" s="26" t="s">
        <v>26</v>
      </c>
      <c r="E2461" s="26" t="s">
        <v>27</v>
      </c>
      <c r="F2461" s="26" t="s">
        <v>28</v>
      </c>
      <c r="G2461" s="26" t="s">
        <v>29</v>
      </c>
      <c r="H2461" s="26" t="s">
        <v>30</v>
      </c>
      <c r="I2461" s="26" t="s">
        <v>101</v>
      </c>
      <c r="J2461" s="26" t="s">
        <v>32</v>
      </c>
      <c r="K2461" s="26" t="s">
        <v>883</v>
      </c>
      <c r="L2461" s="26">
        <v>1</v>
      </c>
      <c r="M2461" s="26">
        <v>1</v>
      </c>
      <c r="N2461" s="28">
        <v>1</v>
      </c>
      <c r="O2461" s="26">
        <v>0.21</v>
      </c>
      <c r="P2461" s="26">
        <v>0.21</v>
      </c>
      <c r="Q2461" s="26">
        <v>0</v>
      </c>
      <c r="R2461" s="26"/>
      <c r="S2461" s="26">
        <v>0</v>
      </c>
      <c r="T2461" s="26">
        <v>0</v>
      </c>
      <c r="U2461" s="26">
        <v>0</v>
      </c>
      <c r="V2461" s="28">
        <v>0</v>
      </c>
      <c r="W2461" s="26">
        <v>0</v>
      </c>
      <c r="X2461" s="26">
        <v>0</v>
      </c>
      <c r="Y2461" s="26">
        <v>0</v>
      </c>
      <c r="Z2461" s="26">
        <v>0</v>
      </c>
    </row>
    <row r="2462" spans="1:26" x14ac:dyDescent="0.2">
      <c r="A2462">
        <f t="shared" si="78"/>
        <v>5</v>
      </c>
      <c r="B2462">
        <f t="shared" si="79"/>
        <v>22</v>
      </c>
      <c r="C2462" s="27">
        <v>46172</v>
      </c>
      <c r="D2462" s="26" t="s">
        <v>26</v>
      </c>
      <c r="E2462" s="26" t="s">
        <v>1582</v>
      </c>
      <c r="F2462" s="26" t="s">
        <v>1583</v>
      </c>
      <c r="G2462" s="26" t="s">
        <v>29</v>
      </c>
      <c r="H2462" s="26" t="s">
        <v>30</v>
      </c>
      <c r="I2462" s="26" t="s">
        <v>431</v>
      </c>
      <c r="J2462" s="26" t="s">
        <v>87</v>
      </c>
      <c r="K2462" s="26" t="s">
        <v>431</v>
      </c>
      <c r="L2462" s="26">
        <v>4</v>
      </c>
      <c r="M2462" s="26">
        <v>1</v>
      </c>
      <c r="N2462" s="28">
        <v>0.25</v>
      </c>
      <c r="O2462" s="26">
        <v>0.65</v>
      </c>
      <c r="P2462" s="26">
        <v>0.65</v>
      </c>
      <c r="Q2462" s="26">
        <v>0</v>
      </c>
      <c r="R2462" s="26"/>
      <c r="S2462" s="26">
        <v>0</v>
      </c>
      <c r="T2462" s="26">
        <v>0</v>
      </c>
      <c r="U2462" s="26">
        <v>0</v>
      </c>
      <c r="V2462" s="28">
        <v>0</v>
      </c>
      <c r="W2462" s="26">
        <v>0</v>
      </c>
      <c r="X2462" s="26">
        <v>0</v>
      </c>
      <c r="Y2462" s="26">
        <v>0</v>
      </c>
      <c r="Z2462" s="26">
        <v>0</v>
      </c>
    </row>
    <row r="2463" spans="1:26" x14ac:dyDescent="0.2">
      <c r="A2463">
        <f t="shared" si="78"/>
        <v>5</v>
      </c>
      <c r="B2463">
        <f t="shared" si="79"/>
        <v>22</v>
      </c>
      <c r="C2463" s="27">
        <v>46169</v>
      </c>
      <c r="D2463" s="26" t="s">
        <v>26</v>
      </c>
      <c r="E2463" s="26" t="s">
        <v>1414</v>
      </c>
      <c r="F2463" s="26" t="s">
        <v>113</v>
      </c>
      <c r="G2463" s="26" t="s">
        <v>29</v>
      </c>
      <c r="H2463" s="26" t="s">
        <v>30</v>
      </c>
      <c r="I2463" s="26" t="s">
        <v>47</v>
      </c>
      <c r="J2463" s="26" t="s">
        <v>42</v>
      </c>
      <c r="K2463" s="26" t="s">
        <v>431</v>
      </c>
      <c r="L2463" s="26">
        <v>29</v>
      </c>
      <c r="M2463" s="26">
        <v>1</v>
      </c>
      <c r="N2463" s="28">
        <v>3.4483E-2</v>
      </c>
      <c r="O2463" s="26">
        <v>0.91</v>
      </c>
      <c r="P2463" s="26">
        <v>0.91</v>
      </c>
      <c r="Q2463" s="26">
        <v>0</v>
      </c>
      <c r="R2463" s="26"/>
      <c r="S2463" s="26">
        <v>0</v>
      </c>
      <c r="T2463" s="26">
        <v>0</v>
      </c>
      <c r="U2463" s="26">
        <v>0</v>
      </c>
      <c r="V2463" s="28">
        <v>0</v>
      </c>
      <c r="W2463" s="26">
        <v>0</v>
      </c>
      <c r="X2463" s="26">
        <v>0</v>
      </c>
      <c r="Y2463" s="26">
        <v>0</v>
      </c>
      <c r="Z2463" s="26">
        <v>0</v>
      </c>
    </row>
    <row r="2464" spans="1:26" x14ac:dyDescent="0.2">
      <c r="A2464">
        <f t="shared" si="78"/>
        <v>5</v>
      </c>
      <c r="B2464">
        <f t="shared" si="79"/>
        <v>22</v>
      </c>
      <c r="C2464" s="27">
        <v>46171</v>
      </c>
      <c r="D2464" s="26" t="s">
        <v>26</v>
      </c>
      <c r="E2464" s="26" t="s">
        <v>1414</v>
      </c>
      <c r="F2464" s="26" t="s">
        <v>113</v>
      </c>
      <c r="G2464" s="26" t="s">
        <v>29</v>
      </c>
      <c r="H2464" s="26" t="s">
        <v>30</v>
      </c>
      <c r="I2464" s="26" t="s">
        <v>47</v>
      </c>
      <c r="J2464" s="26" t="s">
        <v>42</v>
      </c>
      <c r="K2464" s="26" t="s">
        <v>111</v>
      </c>
      <c r="L2464" s="26">
        <v>139</v>
      </c>
      <c r="M2464" s="26">
        <v>1</v>
      </c>
      <c r="N2464" s="28">
        <v>7.1939999999999999E-3</v>
      </c>
      <c r="O2464" s="26">
        <v>1.02</v>
      </c>
      <c r="P2464" s="26">
        <v>1.02</v>
      </c>
      <c r="Q2464" s="26">
        <v>0</v>
      </c>
      <c r="R2464" s="26"/>
      <c r="S2464" s="26">
        <v>0</v>
      </c>
      <c r="T2464" s="26">
        <v>0</v>
      </c>
      <c r="U2464" s="26">
        <v>0</v>
      </c>
      <c r="V2464" s="28">
        <v>0</v>
      </c>
      <c r="W2464" s="26">
        <v>0</v>
      </c>
      <c r="X2464" s="26">
        <v>0</v>
      </c>
      <c r="Y2464" s="26">
        <v>0</v>
      </c>
      <c r="Z2464" s="26">
        <v>0</v>
      </c>
    </row>
    <row r="2465" spans="1:26" x14ac:dyDescent="0.2">
      <c r="A2465">
        <f t="shared" si="78"/>
        <v>5</v>
      </c>
      <c r="B2465">
        <f t="shared" si="79"/>
        <v>22</v>
      </c>
      <c r="C2465" s="27">
        <v>46172</v>
      </c>
      <c r="D2465" s="26" t="s">
        <v>26</v>
      </c>
      <c r="E2465" s="26" t="s">
        <v>1582</v>
      </c>
      <c r="F2465" s="26" t="s">
        <v>1583</v>
      </c>
      <c r="G2465" s="26" t="s">
        <v>29</v>
      </c>
      <c r="H2465" s="26" t="s">
        <v>30</v>
      </c>
      <c r="I2465" s="26" t="s">
        <v>111</v>
      </c>
      <c r="J2465" s="26" t="s">
        <v>87</v>
      </c>
      <c r="K2465" s="26" t="s">
        <v>1584</v>
      </c>
      <c r="L2465" s="26">
        <v>5</v>
      </c>
      <c r="M2465" s="26">
        <v>1</v>
      </c>
      <c r="N2465" s="28">
        <v>0.2</v>
      </c>
      <c r="O2465" s="26">
        <v>0.65</v>
      </c>
      <c r="P2465" s="26">
        <v>0.65</v>
      </c>
      <c r="Q2465" s="26">
        <v>0</v>
      </c>
      <c r="R2465" s="26"/>
      <c r="S2465" s="26">
        <v>0</v>
      </c>
      <c r="T2465" s="26">
        <v>0</v>
      </c>
      <c r="U2465" s="26">
        <v>0</v>
      </c>
      <c r="V2465" s="28">
        <v>0</v>
      </c>
      <c r="W2465" s="26">
        <v>0</v>
      </c>
      <c r="X2465" s="26">
        <v>0</v>
      </c>
      <c r="Y2465" s="26">
        <v>0</v>
      </c>
      <c r="Z2465" s="26">
        <v>0</v>
      </c>
    </row>
    <row r="2466" spans="1:26" x14ac:dyDescent="0.2">
      <c r="A2466">
        <f t="shared" si="78"/>
        <v>5</v>
      </c>
      <c r="B2466">
        <f t="shared" si="79"/>
        <v>21</v>
      </c>
      <c r="C2466" s="27">
        <v>46164</v>
      </c>
      <c r="D2466" s="26" t="s">
        <v>26</v>
      </c>
      <c r="E2466" s="26" t="s">
        <v>27</v>
      </c>
      <c r="F2466" s="26" t="s">
        <v>28</v>
      </c>
      <c r="G2466" s="26" t="s">
        <v>29</v>
      </c>
      <c r="H2466" s="26" t="s">
        <v>30</v>
      </c>
      <c r="I2466" s="26" t="s">
        <v>50</v>
      </c>
      <c r="J2466" s="26" t="s">
        <v>32</v>
      </c>
      <c r="K2466" s="26" t="s">
        <v>1585</v>
      </c>
      <c r="L2466" s="26">
        <v>1</v>
      </c>
      <c r="M2466" s="26">
        <v>1</v>
      </c>
      <c r="N2466" s="28">
        <v>1</v>
      </c>
      <c r="O2466" s="26">
        <v>0.08</v>
      </c>
      <c r="P2466" s="26">
        <v>0.08</v>
      </c>
      <c r="Q2466" s="26">
        <v>0</v>
      </c>
      <c r="R2466" s="26"/>
      <c r="S2466" s="26">
        <v>0</v>
      </c>
      <c r="T2466" s="26">
        <v>0</v>
      </c>
      <c r="U2466" s="26">
        <v>0</v>
      </c>
      <c r="V2466" s="28">
        <v>0</v>
      </c>
      <c r="W2466" s="26">
        <v>0</v>
      </c>
      <c r="X2466" s="26">
        <v>0</v>
      </c>
      <c r="Y2466" s="26">
        <v>0</v>
      </c>
      <c r="Z2466" s="26">
        <v>0</v>
      </c>
    </row>
    <row r="2467" spans="1:26" x14ac:dyDescent="0.2">
      <c r="A2467">
        <f t="shared" si="78"/>
        <v>5</v>
      </c>
      <c r="B2467">
        <f t="shared" si="79"/>
        <v>22</v>
      </c>
      <c r="C2467" s="27">
        <v>46170</v>
      </c>
      <c r="D2467" s="26" t="s">
        <v>26</v>
      </c>
      <c r="E2467" s="26" t="s">
        <v>27</v>
      </c>
      <c r="F2467" s="26" t="s">
        <v>28</v>
      </c>
      <c r="G2467" s="26" t="s">
        <v>29</v>
      </c>
      <c r="H2467" s="26" t="s">
        <v>30</v>
      </c>
      <c r="I2467" s="26" t="s">
        <v>50</v>
      </c>
      <c r="J2467" s="26" t="s">
        <v>32</v>
      </c>
      <c r="K2467" s="26" t="s">
        <v>1586</v>
      </c>
      <c r="L2467" s="26">
        <v>1</v>
      </c>
      <c r="M2467" s="26">
        <v>1</v>
      </c>
      <c r="N2467" s="28">
        <v>1</v>
      </c>
      <c r="O2467" s="26">
        <v>0.08</v>
      </c>
      <c r="P2467" s="26">
        <v>0.08</v>
      </c>
      <c r="Q2467" s="26">
        <v>0</v>
      </c>
      <c r="R2467" s="26"/>
      <c r="S2467" s="26">
        <v>0</v>
      </c>
      <c r="T2467" s="26">
        <v>0</v>
      </c>
      <c r="U2467" s="26">
        <v>0</v>
      </c>
      <c r="V2467" s="28">
        <v>0</v>
      </c>
      <c r="W2467" s="26">
        <v>0</v>
      </c>
      <c r="X2467" s="26">
        <v>0</v>
      </c>
      <c r="Y2467" s="26">
        <v>0</v>
      </c>
      <c r="Z2467" s="26">
        <v>0</v>
      </c>
    </row>
    <row r="2468" spans="1:26" x14ac:dyDescent="0.2">
      <c r="A2468">
        <f t="shared" si="78"/>
        <v>5</v>
      </c>
      <c r="B2468">
        <f t="shared" si="79"/>
        <v>23</v>
      </c>
      <c r="C2468" s="27">
        <v>46173</v>
      </c>
      <c r="D2468" s="26" t="s">
        <v>26</v>
      </c>
      <c r="E2468" s="26" t="s">
        <v>27</v>
      </c>
      <c r="F2468" s="26" t="s">
        <v>28</v>
      </c>
      <c r="G2468" s="26" t="s">
        <v>29</v>
      </c>
      <c r="H2468" s="26" t="s">
        <v>30</v>
      </c>
      <c r="I2468" s="26" t="s">
        <v>31</v>
      </c>
      <c r="J2468" s="26" t="s">
        <v>32</v>
      </c>
      <c r="K2468" s="26" t="s">
        <v>1587</v>
      </c>
      <c r="L2468" s="26">
        <v>1</v>
      </c>
      <c r="M2468" s="26">
        <v>1</v>
      </c>
      <c r="N2468" s="28">
        <v>1</v>
      </c>
      <c r="O2468" s="26">
        <v>0.21</v>
      </c>
      <c r="P2468" s="26">
        <v>0.21</v>
      </c>
      <c r="Q2468" s="26">
        <v>17.47</v>
      </c>
      <c r="R2468" s="28">
        <v>1.2021E-2</v>
      </c>
      <c r="S2468" s="26">
        <v>83.19</v>
      </c>
      <c r="T2468" s="26">
        <v>1</v>
      </c>
      <c r="U2468" s="26">
        <v>1</v>
      </c>
      <c r="V2468" s="28">
        <v>1</v>
      </c>
      <c r="W2468" s="26">
        <v>1</v>
      </c>
      <c r="X2468" s="26">
        <v>0</v>
      </c>
      <c r="Y2468" s="26">
        <v>17.47</v>
      </c>
      <c r="Z2468" s="26">
        <v>0</v>
      </c>
    </row>
    <row r="2469" spans="1:26" x14ac:dyDescent="0.2">
      <c r="A2469">
        <f t="shared" si="78"/>
        <v>5</v>
      </c>
      <c r="B2469">
        <f t="shared" si="79"/>
        <v>21</v>
      </c>
      <c r="C2469" s="27">
        <v>46165</v>
      </c>
      <c r="D2469" s="26" t="s">
        <v>26</v>
      </c>
      <c r="E2469" s="26" t="s">
        <v>27</v>
      </c>
      <c r="F2469" s="26" t="s">
        <v>28</v>
      </c>
      <c r="G2469" s="26" t="s">
        <v>29</v>
      </c>
      <c r="H2469" s="26" t="s">
        <v>30</v>
      </c>
      <c r="I2469" s="26" t="s">
        <v>280</v>
      </c>
      <c r="J2469" s="26" t="s">
        <v>32</v>
      </c>
      <c r="K2469" s="26" t="s">
        <v>1588</v>
      </c>
      <c r="L2469" s="26">
        <v>3</v>
      </c>
      <c r="M2469" s="26">
        <v>1</v>
      </c>
      <c r="N2469" s="28">
        <v>0.33333299999999999</v>
      </c>
      <c r="O2469" s="26">
        <v>0.21</v>
      </c>
      <c r="P2469" s="26">
        <v>0.21</v>
      </c>
      <c r="Q2469" s="26">
        <v>0</v>
      </c>
      <c r="R2469" s="26"/>
      <c r="S2469" s="26">
        <v>0</v>
      </c>
      <c r="T2469" s="26">
        <v>0</v>
      </c>
      <c r="U2469" s="26">
        <v>0</v>
      </c>
      <c r="V2469" s="28">
        <v>0</v>
      </c>
      <c r="W2469" s="26">
        <v>0</v>
      </c>
      <c r="X2469" s="26">
        <v>0</v>
      </c>
      <c r="Y2469" s="26">
        <v>0</v>
      </c>
      <c r="Z2469" s="26">
        <v>0</v>
      </c>
    </row>
    <row r="2470" spans="1:26" x14ac:dyDescent="0.2">
      <c r="A2470">
        <f t="shared" si="78"/>
        <v>5</v>
      </c>
      <c r="B2470">
        <f t="shared" si="79"/>
        <v>22</v>
      </c>
      <c r="C2470" s="27">
        <v>46169</v>
      </c>
      <c r="D2470" s="26" t="s">
        <v>26</v>
      </c>
      <c r="E2470" s="26" t="s">
        <v>27</v>
      </c>
      <c r="F2470" s="26" t="s">
        <v>28</v>
      </c>
      <c r="G2470" s="26" t="s">
        <v>29</v>
      </c>
      <c r="H2470" s="26" t="s">
        <v>30</v>
      </c>
      <c r="I2470" s="26" t="s">
        <v>44</v>
      </c>
      <c r="J2470" s="26" t="s">
        <v>32</v>
      </c>
      <c r="K2470" s="26" t="s">
        <v>1589</v>
      </c>
      <c r="L2470" s="26">
        <v>1</v>
      </c>
      <c r="M2470" s="26">
        <v>1</v>
      </c>
      <c r="N2470" s="28">
        <v>1</v>
      </c>
      <c r="O2470" s="26">
        <v>0.2</v>
      </c>
      <c r="P2470" s="26">
        <v>0.2</v>
      </c>
      <c r="Q2470" s="26">
        <v>0</v>
      </c>
      <c r="R2470" s="26"/>
      <c r="S2470" s="26">
        <v>0</v>
      </c>
      <c r="T2470" s="26">
        <v>0</v>
      </c>
      <c r="U2470" s="26">
        <v>0</v>
      </c>
      <c r="V2470" s="28">
        <v>0</v>
      </c>
      <c r="W2470" s="26">
        <v>0</v>
      </c>
      <c r="X2470" s="26">
        <v>0</v>
      </c>
      <c r="Y2470" s="26">
        <v>0</v>
      </c>
      <c r="Z2470" s="26">
        <v>0</v>
      </c>
    </row>
    <row r="2471" spans="1:26" x14ac:dyDescent="0.2">
      <c r="A2471">
        <f t="shared" si="78"/>
        <v>5</v>
      </c>
      <c r="B2471">
        <f t="shared" si="79"/>
        <v>22</v>
      </c>
      <c r="C2471" s="27">
        <v>46167</v>
      </c>
      <c r="D2471" s="26" t="s">
        <v>26</v>
      </c>
      <c r="E2471" s="26" t="s">
        <v>27</v>
      </c>
      <c r="F2471" s="26" t="s">
        <v>28</v>
      </c>
      <c r="G2471" s="26" t="s">
        <v>29</v>
      </c>
      <c r="H2471" s="26" t="s">
        <v>30</v>
      </c>
      <c r="I2471" s="26" t="s">
        <v>101</v>
      </c>
      <c r="J2471" s="26" t="s">
        <v>32</v>
      </c>
      <c r="K2471" s="26" t="s">
        <v>1590</v>
      </c>
      <c r="L2471" s="26">
        <v>1</v>
      </c>
      <c r="M2471" s="26">
        <v>1</v>
      </c>
      <c r="N2471" s="28">
        <v>1</v>
      </c>
      <c r="O2471" s="26">
        <v>0.21</v>
      </c>
      <c r="P2471" s="26">
        <v>0.21</v>
      </c>
      <c r="Q2471" s="26">
        <v>0</v>
      </c>
      <c r="R2471" s="26"/>
      <c r="S2471" s="26">
        <v>0</v>
      </c>
      <c r="T2471" s="26">
        <v>0</v>
      </c>
      <c r="U2471" s="26">
        <v>0</v>
      </c>
      <c r="V2471" s="28">
        <v>0</v>
      </c>
      <c r="W2471" s="26">
        <v>0</v>
      </c>
      <c r="X2471" s="26">
        <v>0</v>
      </c>
      <c r="Y2471" s="26">
        <v>0</v>
      </c>
      <c r="Z2471" s="26">
        <v>0</v>
      </c>
    </row>
    <row r="2472" spans="1:26" x14ac:dyDescent="0.2">
      <c r="A2472">
        <f t="shared" si="78"/>
        <v>5</v>
      </c>
      <c r="B2472">
        <f t="shared" si="79"/>
        <v>22</v>
      </c>
      <c r="C2472" s="27">
        <v>46166</v>
      </c>
      <c r="D2472" s="26" t="s">
        <v>26</v>
      </c>
      <c r="E2472" s="26" t="s">
        <v>49</v>
      </c>
      <c r="F2472" s="26" t="s">
        <v>50</v>
      </c>
      <c r="G2472" s="26" t="s">
        <v>29</v>
      </c>
      <c r="H2472" s="26" t="s">
        <v>30</v>
      </c>
      <c r="I2472" s="26" t="s">
        <v>95</v>
      </c>
      <c r="J2472" s="26" t="s">
        <v>42</v>
      </c>
      <c r="K2472" s="26" t="s">
        <v>1591</v>
      </c>
      <c r="L2472" s="26">
        <v>4</v>
      </c>
      <c r="M2472" s="26">
        <v>1</v>
      </c>
      <c r="N2472" s="28">
        <v>0.25</v>
      </c>
      <c r="O2472" s="26">
        <v>0.54</v>
      </c>
      <c r="P2472" s="26">
        <v>0.54</v>
      </c>
      <c r="Q2472" s="26">
        <v>0</v>
      </c>
      <c r="R2472" s="26"/>
      <c r="S2472" s="26">
        <v>0</v>
      </c>
      <c r="T2472" s="26">
        <v>0</v>
      </c>
      <c r="U2472" s="26">
        <v>0</v>
      </c>
      <c r="V2472" s="28">
        <v>0</v>
      </c>
      <c r="W2472" s="26">
        <v>0</v>
      </c>
      <c r="X2472" s="26">
        <v>0</v>
      </c>
      <c r="Y2472" s="26">
        <v>0</v>
      </c>
      <c r="Z2472" s="26">
        <v>0</v>
      </c>
    </row>
    <row r="2473" spans="1:26" x14ac:dyDescent="0.2">
      <c r="A2473">
        <f t="shared" si="78"/>
        <v>5</v>
      </c>
      <c r="B2473">
        <f t="shared" si="79"/>
        <v>21</v>
      </c>
      <c r="C2473" s="27">
        <v>46164</v>
      </c>
      <c r="D2473" s="26" t="s">
        <v>26</v>
      </c>
      <c r="E2473" s="26" t="s">
        <v>27</v>
      </c>
      <c r="F2473" s="26" t="s">
        <v>28</v>
      </c>
      <c r="G2473" s="26" t="s">
        <v>29</v>
      </c>
      <c r="H2473" s="26" t="s">
        <v>30</v>
      </c>
      <c r="I2473" s="26" t="s">
        <v>50</v>
      </c>
      <c r="J2473" s="26" t="s">
        <v>32</v>
      </c>
      <c r="K2473" s="26" t="s">
        <v>1592</v>
      </c>
      <c r="L2473" s="26">
        <v>2</v>
      </c>
      <c r="M2473" s="26">
        <v>1</v>
      </c>
      <c r="N2473" s="28">
        <v>0.5</v>
      </c>
      <c r="O2473" s="26">
        <v>0.21</v>
      </c>
      <c r="P2473" s="26">
        <v>0.21</v>
      </c>
      <c r="Q2473" s="26">
        <v>0</v>
      </c>
      <c r="R2473" s="26"/>
      <c r="S2473" s="26">
        <v>0</v>
      </c>
      <c r="T2473" s="26">
        <v>0</v>
      </c>
      <c r="U2473" s="26">
        <v>0</v>
      </c>
      <c r="V2473" s="28">
        <v>0</v>
      </c>
      <c r="W2473" s="26">
        <v>0</v>
      </c>
      <c r="X2473" s="26">
        <v>0</v>
      </c>
      <c r="Y2473" s="26">
        <v>0</v>
      </c>
      <c r="Z2473" s="26">
        <v>0</v>
      </c>
    </row>
    <row r="2474" spans="1:26" x14ac:dyDescent="0.2">
      <c r="A2474">
        <f t="shared" si="78"/>
        <v>5</v>
      </c>
      <c r="B2474">
        <f t="shared" si="79"/>
        <v>21</v>
      </c>
      <c r="C2474" s="27">
        <v>46164</v>
      </c>
      <c r="D2474" s="26" t="s">
        <v>26</v>
      </c>
      <c r="E2474" s="26" t="s">
        <v>27</v>
      </c>
      <c r="F2474" s="26" t="s">
        <v>28</v>
      </c>
      <c r="G2474" s="26" t="s">
        <v>29</v>
      </c>
      <c r="H2474" s="26" t="s">
        <v>30</v>
      </c>
      <c r="I2474" s="26" t="s">
        <v>44</v>
      </c>
      <c r="J2474" s="26" t="s">
        <v>32</v>
      </c>
      <c r="K2474" s="26" t="s">
        <v>1593</v>
      </c>
      <c r="L2474" s="26">
        <v>1</v>
      </c>
      <c r="M2474" s="26">
        <v>1</v>
      </c>
      <c r="N2474" s="28">
        <v>1</v>
      </c>
      <c r="O2474" s="26">
        <v>0.21</v>
      </c>
      <c r="P2474" s="26">
        <v>0.21</v>
      </c>
      <c r="Q2474" s="26">
        <v>0</v>
      </c>
      <c r="R2474" s="26"/>
      <c r="S2474" s="26">
        <v>0</v>
      </c>
      <c r="T2474" s="26">
        <v>0</v>
      </c>
      <c r="U2474" s="26">
        <v>0</v>
      </c>
      <c r="V2474" s="28">
        <v>0</v>
      </c>
      <c r="W2474" s="26">
        <v>0</v>
      </c>
      <c r="X2474" s="26">
        <v>0</v>
      </c>
      <c r="Y2474" s="26">
        <v>0</v>
      </c>
      <c r="Z2474" s="26">
        <v>0</v>
      </c>
    </row>
    <row r="2475" spans="1:26" x14ac:dyDescent="0.2">
      <c r="A2475">
        <f t="shared" si="78"/>
        <v>5</v>
      </c>
      <c r="B2475">
        <f t="shared" si="79"/>
        <v>22</v>
      </c>
      <c r="C2475" s="27">
        <v>46167</v>
      </c>
      <c r="D2475" s="26" t="s">
        <v>26</v>
      </c>
      <c r="E2475" s="26" t="s">
        <v>27</v>
      </c>
      <c r="F2475" s="26" t="s">
        <v>28</v>
      </c>
      <c r="G2475" s="26" t="s">
        <v>29</v>
      </c>
      <c r="H2475" s="26" t="s">
        <v>30</v>
      </c>
      <c r="I2475" s="26" t="s">
        <v>119</v>
      </c>
      <c r="J2475" s="26" t="s">
        <v>32</v>
      </c>
      <c r="K2475" s="26" t="s">
        <v>337</v>
      </c>
      <c r="L2475" s="26">
        <v>1</v>
      </c>
      <c r="M2475" s="26">
        <v>1</v>
      </c>
      <c r="N2475" s="28">
        <v>1</v>
      </c>
      <c r="O2475" s="26">
        <v>0.16</v>
      </c>
      <c r="P2475" s="26">
        <v>0.16</v>
      </c>
      <c r="Q2475" s="26">
        <v>0</v>
      </c>
      <c r="R2475" s="26"/>
      <c r="S2475" s="26">
        <v>0</v>
      </c>
      <c r="T2475" s="26">
        <v>0</v>
      </c>
      <c r="U2475" s="26">
        <v>0</v>
      </c>
      <c r="V2475" s="28">
        <v>0</v>
      </c>
      <c r="W2475" s="26">
        <v>0</v>
      </c>
      <c r="X2475" s="26">
        <v>0</v>
      </c>
      <c r="Y2475" s="26">
        <v>0</v>
      </c>
      <c r="Z2475" s="26">
        <v>0</v>
      </c>
    </row>
    <row r="2476" spans="1:26" x14ac:dyDescent="0.2">
      <c r="A2476">
        <f t="shared" si="78"/>
        <v>5</v>
      </c>
      <c r="B2476">
        <f t="shared" si="79"/>
        <v>22</v>
      </c>
      <c r="C2476" s="27">
        <v>46166</v>
      </c>
      <c r="D2476" s="26" t="s">
        <v>26</v>
      </c>
      <c r="E2476" s="26" t="s">
        <v>27</v>
      </c>
      <c r="F2476" s="26" t="s">
        <v>28</v>
      </c>
      <c r="G2476" s="26" t="s">
        <v>29</v>
      </c>
      <c r="H2476" s="26" t="s">
        <v>30</v>
      </c>
      <c r="I2476" s="26" t="s">
        <v>44</v>
      </c>
      <c r="J2476" s="26" t="s">
        <v>32</v>
      </c>
      <c r="K2476" s="26" t="s">
        <v>340</v>
      </c>
      <c r="L2476" s="26">
        <v>2</v>
      </c>
      <c r="M2476" s="26">
        <v>1</v>
      </c>
      <c r="N2476" s="28">
        <v>0.5</v>
      </c>
      <c r="O2476" s="26">
        <v>0.21</v>
      </c>
      <c r="P2476" s="26">
        <v>0.21</v>
      </c>
      <c r="Q2476" s="26">
        <v>0</v>
      </c>
      <c r="R2476" s="26"/>
      <c r="S2476" s="26">
        <v>0</v>
      </c>
      <c r="T2476" s="26">
        <v>0</v>
      </c>
      <c r="U2476" s="26">
        <v>0</v>
      </c>
      <c r="V2476" s="28">
        <v>0</v>
      </c>
      <c r="W2476" s="26">
        <v>0</v>
      </c>
      <c r="X2476" s="26">
        <v>0</v>
      </c>
      <c r="Y2476" s="26">
        <v>0</v>
      </c>
      <c r="Z2476" s="26">
        <v>0</v>
      </c>
    </row>
    <row r="2477" spans="1:26" x14ac:dyDescent="0.2">
      <c r="A2477">
        <f t="shared" si="78"/>
        <v>5</v>
      </c>
      <c r="B2477">
        <f t="shared" si="79"/>
        <v>22</v>
      </c>
      <c r="C2477" s="27">
        <v>46166</v>
      </c>
      <c r="D2477" s="26" t="s">
        <v>26</v>
      </c>
      <c r="E2477" s="26" t="s">
        <v>49</v>
      </c>
      <c r="F2477" s="26" t="s">
        <v>50</v>
      </c>
      <c r="G2477" s="26" t="s">
        <v>29</v>
      </c>
      <c r="H2477" s="26" t="s">
        <v>30</v>
      </c>
      <c r="I2477" s="26" t="s">
        <v>95</v>
      </c>
      <c r="J2477" s="26" t="s">
        <v>42</v>
      </c>
      <c r="K2477" s="26" t="s">
        <v>1594</v>
      </c>
      <c r="L2477" s="26">
        <v>2</v>
      </c>
      <c r="M2477" s="26">
        <v>1</v>
      </c>
      <c r="N2477" s="28">
        <v>0.5</v>
      </c>
      <c r="O2477" s="26">
        <v>0.1</v>
      </c>
      <c r="P2477" s="26">
        <v>0.1</v>
      </c>
      <c r="Q2477" s="26">
        <v>0</v>
      </c>
      <c r="R2477" s="26"/>
      <c r="S2477" s="26">
        <v>0</v>
      </c>
      <c r="T2477" s="26">
        <v>0</v>
      </c>
      <c r="U2477" s="26">
        <v>0</v>
      </c>
      <c r="V2477" s="28">
        <v>0</v>
      </c>
      <c r="W2477" s="26">
        <v>0</v>
      </c>
      <c r="X2477" s="26">
        <v>0</v>
      </c>
      <c r="Y2477" s="26">
        <v>0</v>
      </c>
      <c r="Z2477" s="26">
        <v>0</v>
      </c>
    </row>
    <row r="2478" spans="1:26" x14ac:dyDescent="0.2">
      <c r="A2478">
        <f t="shared" si="78"/>
        <v>5</v>
      </c>
      <c r="B2478">
        <f t="shared" si="79"/>
        <v>21</v>
      </c>
      <c r="C2478" s="27">
        <v>46164</v>
      </c>
      <c r="D2478" s="26" t="s">
        <v>26</v>
      </c>
      <c r="E2478" s="26" t="s">
        <v>27</v>
      </c>
      <c r="F2478" s="26" t="s">
        <v>28</v>
      </c>
      <c r="G2478" s="26" t="s">
        <v>29</v>
      </c>
      <c r="H2478" s="26" t="s">
        <v>30</v>
      </c>
      <c r="I2478" s="26" t="s">
        <v>50</v>
      </c>
      <c r="J2478" s="26" t="s">
        <v>32</v>
      </c>
      <c r="K2478" s="26" t="s">
        <v>1595</v>
      </c>
      <c r="L2478" s="26">
        <v>2</v>
      </c>
      <c r="M2478" s="26">
        <v>1</v>
      </c>
      <c r="N2478" s="28">
        <v>0.5</v>
      </c>
      <c r="O2478" s="26">
        <v>0.4</v>
      </c>
      <c r="P2478" s="26">
        <v>0.4</v>
      </c>
      <c r="Q2478" s="26">
        <v>0</v>
      </c>
      <c r="R2478" s="26"/>
      <c r="S2478" s="26">
        <v>0</v>
      </c>
      <c r="T2478" s="26">
        <v>0</v>
      </c>
      <c r="U2478" s="26">
        <v>0</v>
      </c>
      <c r="V2478" s="28">
        <v>0</v>
      </c>
      <c r="W2478" s="26">
        <v>0</v>
      </c>
      <c r="X2478" s="26">
        <v>0</v>
      </c>
      <c r="Y2478" s="26">
        <v>0</v>
      </c>
      <c r="Z2478" s="26">
        <v>0</v>
      </c>
    </row>
    <row r="2479" spans="1:26" x14ac:dyDescent="0.2">
      <c r="A2479">
        <f t="shared" si="78"/>
        <v>5</v>
      </c>
      <c r="B2479">
        <f t="shared" si="79"/>
        <v>22</v>
      </c>
      <c r="C2479" s="27">
        <v>46169</v>
      </c>
      <c r="D2479" s="26" t="s">
        <v>26</v>
      </c>
      <c r="E2479" s="26" t="s">
        <v>27</v>
      </c>
      <c r="F2479" s="26" t="s">
        <v>28</v>
      </c>
      <c r="G2479" s="26" t="s">
        <v>29</v>
      </c>
      <c r="H2479" s="26" t="s">
        <v>30</v>
      </c>
      <c r="I2479" s="26" t="s">
        <v>133</v>
      </c>
      <c r="J2479" s="26" t="s">
        <v>32</v>
      </c>
      <c r="K2479" s="26" t="s">
        <v>1596</v>
      </c>
      <c r="L2479" s="26">
        <v>1</v>
      </c>
      <c r="M2479" s="26">
        <v>1</v>
      </c>
      <c r="N2479" s="28">
        <v>1</v>
      </c>
      <c r="O2479" s="26">
        <v>0.08</v>
      </c>
      <c r="P2479" s="26">
        <v>0.08</v>
      </c>
      <c r="Q2479" s="26">
        <v>0</v>
      </c>
      <c r="R2479" s="26"/>
      <c r="S2479" s="26">
        <v>0</v>
      </c>
      <c r="T2479" s="26">
        <v>0</v>
      </c>
      <c r="U2479" s="26">
        <v>0</v>
      </c>
      <c r="V2479" s="28">
        <v>0</v>
      </c>
      <c r="W2479" s="26">
        <v>0</v>
      </c>
      <c r="X2479" s="26">
        <v>0</v>
      </c>
      <c r="Y2479" s="26">
        <v>0</v>
      </c>
      <c r="Z2479" s="26">
        <v>0</v>
      </c>
    </row>
    <row r="2480" spans="1:26" x14ac:dyDescent="0.2">
      <c r="A2480">
        <f t="shared" si="78"/>
        <v>5</v>
      </c>
      <c r="B2480">
        <f t="shared" si="79"/>
        <v>22</v>
      </c>
      <c r="C2480" s="27">
        <v>46172</v>
      </c>
      <c r="D2480" s="26" t="s">
        <v>26</v>
      </c>
      <c r="E2480" s="26" t="s">
        <v>27</v>
      </c>
      <c r="F2480" s="26" t="s">
        <v>28</v>
      </c>
      <c r="G2480" s="26" t="s">
        <v>29</v>
      </c>
      <c r="H2480" s="26" t="s">
        <v>30</v>
      </c>
      <c r="I2480" s="26" t="s">
        <v>243</v>
      </c>
      <c r="J2480" s="26" t="s">
        <v>32</v>
      </c>
      <c r="K2480" s="26" t="s">
        <v>1597</v>
      </c>
      <c r="L2480" s="26">
        <v>1</v>
      </c>
      <c r="M2480" s="26">
        <v>1</v>
      </c>
      <c r="N2480" s="28">
        <v>1</v>
      </c>
      <c r="O2480" s="26">
        <v>0.21</v>
      </c>
      <c r="P2480" s="26">
        <v>0.21</v>
      </c>
      <c r="Q2480" s="26">
        <v>17.47</v>
      </c>
      <c r="R2480" s="28">
        <v>1.2021E-2</v>
      </c>
      <c r="S2480" s="26">
        <v>83.19</v>
      </c>
      <c r="T2480" s="26">
        <v>1</v>
      </c>
      <c r="U2480" s="26">
        <v>1</v>
      </c>
      <c r="V2480" s="28">
        <v>1</v>
      </c>
      <c r="W2480" s="26">
        <v>1</v>
      </c>
      <c r="X2480" s="26">
        <v>0</v>
      </c>
      <c r="Y2480" s="26">
        <v>17.47</v>
      </c>
      <c r="Z2480" s="26">
        <v>0</v>
      </c>
    </row>
    <row r="2481" spans="1:26" x14ac:dyDescent="0.2">
      <c r="A2481">
        <f t="shared" si="78"/>
        <v>5</v>
      </c>
      <c r="B2481">
        <f t="shared" si="79"/>
        <v>22</v>
      </c>
      <c r="C2481" s="27">
        <v>46172</v>
      </c>
      <c r="D2481" s="26" t="s">
        <v>26</v>
      </c>
      <c r="E2481" s="26" t="s">
        <v>27</v>
      </c>
      <c r="F2481" s="26" t="s">
        <v>28</v>
      </c>
      <c r="G2481" s="26" t="s">
        <v>29</v>
      </c>
      <c r="H2481" s="26" t="s">
        <v>30</v>
      </c>
      <c r="I2481" s="26" t="s">
        <v>31</v>
      </c>
      <c r="J2481" s="26" t="s">
        <v>32</v>
      </c>
      <c r="K2481" s="26" t="s">
        <v>156</v>
      </c>
      <c r="L2481" s="26">
        <v>10</v>
      </c>
      <c r="M2481" s="26">
        <v>1</v>
      </c>
      <c r="N2481" s="28">
        <v>0.1</v>
      </c>
      <c r="O2481" s="26">
        <v>0.2</v>
      </c>
      <c r="P2481" s="26">
        <v>0.2</v>
      </c>
      <c r="Q2481" s="26">
        <v>0</v>
      </c>
      <c r="R2481" s="26"/>
      <c r="S2481" s="26">
        <v>0</v>
      </c>
      <c r="T2481" s="26">
        <v>0</v>
      </c>
      <c r="U2481" s="26">
        <v>0</v>
      </c>
      <c r="V2481" s="28">
        <v>0</v>
      </c>
      <c r="W2481" s="26">
        <v>0</v>
      </c>
      <c r="X2481" s="26">
        <v>0</v>
      </c>
      <c r="Y2481" s="26">
        <v>0</v>
      </c>
      <c r="Z2481" s="26">
        <v>0</v>
      </c>
    </row>
    <row r="2482" spans="1:26" x14ac:dyDescent="0.2">
      <c r="A2482">
        <f t="shared" si="78"/>
        <v>5</v>
      </c>
      <c r="B2482">
        <f t="shared" si="79"/>
        <v>22</v>
      </c>
      <c r="C2482" s="27">
        <v>46166</v>
      </c>
      <c r="D2482" s="26" t="s">
        <v>26</v>
      </c>
      <c r="E2482" s="26" t="s">
        <v>49</v>
      </c>
      <c r="F2482" s="26" t="s">
        <v>50</v>
      </c>
      <c r="G2482" s="26" t="s">
        <v>29</v>
      </c>
      <c r="H2482" s="26" t="s">
        <v>30</v>
      </c>
      <c r="I2482" s="26" t="s">
        <v>95</v>
      </c>
      <c r="J2482" s="26" t="s">
        <v>42</v>
      </c>
      <c r="K2482" s="26" t="s">
        <v>1445</v>
      </c>
      <c r="L2482" s="26">
        <v>3</v>
      </c>
      <c r="M2482" s="26">
        <v>1</v>
      </c>
      <c r="N2482" s="28">
        <v>0.33333299999999999</v>
      </c>
      <c r="O2482" s="26">
        <v>0.54</v>
      </c>
      <c r="P2482" s="26">
        <v>0.54</v>
      </c>
      <c r="Q2482" s="26">
        <v>0</v>
      </c>
      <c r="R2482" s="26"/>
      <c r="S2482" s="26">
        <v>0</v>
      </c>
      <c r="T2482" s="26">
        <v>0</v>
      </c>
      <c r="U2482" s="26">
        <v>0</v>
      </c>
      <c r="V2482" s="28">
        <v>0</v>
      </c>
      <c r="W2482" s="26">
        <v>0</v>
      </c>
      <c r="X2482" s="26">
        <v>0</v>
      </c>
      <c r="Y2482" s="26">
        <v>0</v>
      </c>
      <c r="Z2482" s="26">
        <v>0</v>
      </c>
    </row>
    <row r="2483" spans="1:26" x14ac:dyDescent="0.2">
      <c r="A2483">
        <f t="shared" si="78"/>
        <v>5</v>
      </c>
      <c r="B2483">
        <f t="shared" si="79"/>
        <v>22</v>
      </c>
      <c r="C2483" s="27">
        <v>46166</v>
      </c>
      <c r="D2483" s="26" t="s">
        <v>26</v>
      </c>
      <c r="E2483" s="26" t="s">
        <v>27</v>
      </c>
      <c r="F2483" s="26" t="s">
        <v>28</v>
      </c>
      <c r="G2483" s="26" t="s">
        <v>29</v>
      </c>
      <c r="H2483" s="26" t="s">
        <v>30</v>
      </c>
      <c r="I2483" s="26" t="s">
        <v>101</v>
      </c>
      <c r="J2483" s="26" t="s">
        <v>32</v>
      </c>
      <c r="K2483" s="26" t="s">
        <v>1598</v>
      </c>
      <c r="L2483" s="26">
        <v>1</v>
      </c>
      <c r="M2483" s="26">
        <v>1</v>
      </c>
      <c r="N2483" s="28">
        <v>1</v>
      </c>
      <c r="O2483" s="26">
        <v>0.08</v>
      </c>
      <c r="P2483" s="26">
        <v>0.08</v>
      </c>
      <c r="Q2483" s="26">
        <v>17.47</v>
      </c>
      <c r="R2483" s="28">
        <v>4.5789999999999997E-3</v>
      </c>
      <c r="S2483" s="26">
        <v>218.38</v>
      </c>
      <c r="T2483" s="26">
        <v>1</v>
      </c>
      <c r="U2483" s="26">
        <v>1</v>
      </c>
      <c r="V2483" s="28">
        <v>1</v>
      </c>
      <c r="W2483" s="26">
        <v>1</v>
      </c>
      <c r="X2483" s="26">
        <v>0</v>
      </c>
      <c r="Y2483" s="26">
        <v>17.47</v>
      </c>
      <c r="Z2483" s="26">
        <v>0</v>
      </c>
    </row>
    <row r="2484" spans="1:26" x14ac:dyDescent="0.2">
      <c r="A2484">
        <f t="shared" si="78"/>
        <v>5</v>
      </c>
      <c r="B2484">
        <f t="shared" si="79"/>
        <v>22</v>
      </c>
      <c r="C2484" s="27">
        <v>46167</v>
      </c>
      <c r="D2484" s="26" t="s">
        <v>26</v>
      </c>
      <c r="E2484" s="26" t="s">
        <v>27</v>
      </c>
      <c r="F2484" s="26" t="s">
        <v>28</v>
      </c>
      <c r="G2484" s="26" t="s">
        <v>29</v>
      </c>
      <c r="H2484" s="26" t="s">
        <v>30</v>
      </c>
      <c r="I2484" s="26" t="s">
        <v>845</v>
      </c>
      <c r="J2484" s="26" t="s">
        <v>32</v>
      </c>
      <c r="K2484" s="26" t="s">
        <v>1599</v>
      </c>
      <c r="L2484" s="26">
        <v>2</v>
      </c>
      <c r="M2484" s="26">
        <v>1</v>
      </c>
      <c r="N2484" s="28">
        <v>0.5</v>
      </c>
      <c r="O2484" s="26">
        <v>0.2</v>
      </c>
      <c r="P2484" s="26">
        <v>0.2</v>
      </c>
      <c r="Q2484" s="26">
        <v>0</v>
      </c>
      <c r="R2484" s="26"/>
      <c r="S2484" s="26">
        <v>0</v>
      </c>
      <c r="T2484" s="26">
        <v>0</v>
      </c>
      <c r="U2484" s="26">
        <v>0</v>
      </c>
      <c r="V2484" s="28">
        <v>0</v>
      </c>
      <c r="W2484" s="26">
        <v>0</v>
      </c>
      <c r="X2484" s="26">
        <v>0</v>
      </c>
      <c r="Y2484" s="26">
        <v>0</v>
      </c>
      <c r="Z2484" s="26">
        <v>0</v>
      </c>
    </row>
    <row r="2485" spans="1:26" x14ac:dyDescent="0.2">
      <c r="A2485">
        <f t="shared" si="78"/>
        <v>5</v>
      </c>
      <c r="B2485">
        <f t="shared" si="79"/>
        <v>22</v>
      </c>
      <c r="C2485" s="27">
        <v>46172</v>
      </c>
      <c r="D2485" s="26" t="s">
        <v>26</v>
      </c>
      <c r="E2485" s="26" t="s">
        <v>27</v>
      </c>
      <c r="F2485" s="26" t="s">
        <v>28</v>
      </c>
      <c r="G2485" s="26" t="s">
        <v>29</v>
      </c>
      <c r="H2485" s="26" t="s">
        <v>30</v>
      </c>
      <c r="I2485" s="26" t="s">
        <v>211</v>
      </c>
      <c r="J2485" s="26" t="s">
        <v>32</v>
      </c>
      <c r="K2485" s="26" t="s">
        <v>1600</v>
      </c>
      <c r="L2485" s="26">
        <v>1</v>
      </c>
      <c r="M2485" s="26">
        <v>1</v>
      </c>
      <c r="N2485" s="28">
        <v>1</v>
      </c>
      <c r="O2485" s="26">
        <v>0.4</v>
      </c>
      <c r="P2485" s="26">
        <v>0.4</v>
      </c>
      <c r="Q2485" s="26">
        <v>0</v>
      </c>
      <c r="R2485" s="26"/>
      <c r="S2485" s="26">
        <v>0</v>
      </c>
      <c r="T2485" s="26">
        <v>0</v>
      </c>
      <c r="U2485" s="26">
        <v>0</v>
      </c>
      <c r="V2485" s="28">
        <v>0</v>
      </c>
      <c r="W2485" s="26">
        <v>0</v>
      </c>
      <c r="X2485" s="26">
        <v>0</v>
      </c>
      <c r="Y2485" s="26">
        <v>0</v>
      </c>
      <c r="Z2485" s="26">
        <v>0</v>
      </c>
    </row>
    <row r="2486" spans="1:26" x14ac:dyDescent="0.2">
      <c r="A2486">
        <f t="shared" si="78"/>
        <v>5</v>
      </c>
      <c r="B2486">
        <f t="shared" si="79"/>
        <v>22</v>
      </c>
      <c r="C2486" s="27">
        <v>46166</v>
      </c>
      <c r="D2486" s="26" t="s">
        <v>26</v>
      </c>
      <c r="E2486" s="26" t="s">
        <v>49</v>
      </c>
      <c r="F2486" s="26" t="s">
        <v>50</v>
      </c>
      <c r="G2486" s="26" t="s">
        <v>29</v>
      </c>
      <c r="H2486" s="26" t="s">
        <v>30</v>
      </c>
      <c r="I2486" s="26" t="s">
        <v>95</v>
      </c>
      <c r="J2486" s="26" t="s">
        <v>42</v>
      </c>
      <c r="K2486" s="26" t="s">
        <v>1211</v>
      </c>
      <c r="L2486" s="26">
        <v>3</v>
      </c>
      <c r="M2486" s="26">
        <v>1</v>
      </c>
      <c r="N2486" s="28">
        <v>0.33333299999999999</v>
      </c>
      <c r="O2486" s="26">
        <v>0.54</v>
      </c>
      <c r="P2486" s="26">
        <v>0.54</v>
      </c>
      <c r="Q2486" s="26">
        <v>0</v>
      </c>
      <c r="R2486" s="26"/>
      <c r="S2486" s="26">
        <v>0</v>
      </c>
      <c r="T2486" s="26">
        <v>0</v>
      </c>
      <c r="U2486" s="26">
        <v>0</v>
      </c>
      <c r="V2486" s="28">
        <v>0</v>
      </c>
      <c r="W2486" s="26">
        <v>0</v>
      </c>
      <c r="X2486" s="26">
        <v>0</v>
      </c>
      <c r="Y2486" s="26">
        <v>0</v>
      </c>
      <c r="Z2486" s="26">
        <v>0</v>
      </c>
    </row>
    <row r="2487" spans="1:26" x14ac:dyDescent="0.2">
      <c r="A2487">
        <f t="shared" si="78"/>
        <v>5</v>
      </c>
      <c r="B2487">
        <f t="shared" si="79"/>
        <v>22</v>
      </c>
      <c r="C2487" s="27">
        <v>46170</v>
      </c>
      <c r="D2487" s="26" t="s">
        <v>26</v>
      </c>
      <c r="E2487" s="26" t="s">
        <v>27</v>
      </c>
      <c r="F2487" s="26" t="s">
        <v>28</v>
      </c>
      <c r="G2487" s="26" t="s">
        <v>29</v>
      </c>
      <c r="H2487" s="26" t="s">
        <v>30</v>
      </c>
      <c r="I2487" s="26" t="s">
        <v>31</v>
      </c>
      <c r="J2487" s="26" t="s">
        <v>32</v>
      </c>
      <c r="K2487" s="26" t="s">
        <v>1601</v>
      </c>
      <c r="L2487" s="26">
        <v>1</v>
      </c>
      <c r="M2487" s="26">
        <v>1</v>
      </c>
      <c r="N2487" s="28">
        <v>1</v>
      </c>
      <c r="O2487" s="26">
        <v>0.21</v>
      </c>
      <c r="P2487" s="26">
        <v>0.21</v>
      </c>
      <c r="Q2487" s="26">
        <v>0</v>
      </c>
      <c r="R2487" s="26"/>
      <c r="S2487" s="26">
        <v>0</v>
      </c>
      <c r="T2487" s="26">
        <v>0</v>
      </c>
      <c r="U2487" s="26">
        <v>0</v>
      </c>
      <c r="V2487" s="28">
        <v>0</v>
      </c>
      <c r="W2487" s="26">
        <v>0</v>
      </c>
      <c r="X2487" s="26">
        <v>0</v>
      </c>
      <c r="Y2487" s="26">
        <v>0</v>
      </c>
      <c r="Z2487" s="26">
        <v>0</v>
      </c>
    </row>
    <row r="2488" spans="1:26" x14ac:dyDescent="0.2">
      <c r="A2488">
        <f t="shared" si="78"/>
        <v>5</v>
      </c>
      <c r="B2488">
        <f t="shared" si="79"/>
        <v>22</v>
      </c>
      <c r="C2488" s="27">
        <v>46167</v>
      </c>
      <c r="D2488" s="26" t="s">
        <v>26</v>
      </c>
      <c r="E2488" s="26" t="s">
        <v>27</v>
      </c>
      <c r="F2488" s="26" t="s">
        <v>28</v>
      </c>
      <c r="G2488" s="26" t="s">
        <v>29</v>
      </c>
      <c r="H2488" s="26" t="s">
        <v>30</v>
      </c>
      <c r="I2488" s="26" t="s">
        <v>280</v>
      </c>
      <c r="J2488" s="26" t="s">
        <v>32</v>
      </c>
      <c r="K2488" s="26" t="s">
        <v>1602</v>
      </c>
      <c r="L2488" s="26">
        <v>1</v>
      </c>
      <c r="M2488" s="26">
        <v>1</v>
      </c>
      <c r="N2488" s="28">
        <v>1</v>
      </c>
      <c r="O2488" s="26">
        <v>0.2</v>
      </c>
      <c r="P2488" s="26">
        <v>0.2</v>
      </c>
      <c r="Q2488" s="26">
        <v>0</v>
      </c>
      <c r="R2488" s="26"/>
      <c r="S2488" s="26">
        <v>0</v>
      </c>
      <c r="T2488" s="26">
        <v>0</v>
      </c>
      <c r="U2488" s="26">
        <v>0</v>
      </c>
      <c r="V2488" s="28">
        <v>0</v>
      </c>
      <c r="W2488" s="26">
        <v>0</v>
      </c>
      <c r="X2488" s="26">
        <v>0</v>
      </c>
      <c r="Y2488" s="26">
        <v>0</v>
      </c>
      <c r="Z2488" s="26">
        <v>0</v>
      </c>
    </row>
    <row r="2489" spans="1:26" x14ac:dyDescent="0.2">
      <c r="A2489">
        <f t="shared" si="78"/>
        <v>5</v>
      </c>
      <c r="B2489">
        <f t="shared" si="79"/>
        <v>22</v>
      </c>
      <c r="C2489" s="27">
        <v>46169</v>
      </c>
      <c r="D2489" s="26" t="s">
        <v>26</v>
      </c>
      <c r="E2489" s="26" t="s">
        <v>1414</v>
      </c>
      <c r="F2489" s="26" t="s">
        <v>113</v>
      </c>
      <c r="G2489" s="26" t="s">
        <v>29</v>
      </c>
      <c r="H2489" s="26" t="s">
        <v>30</v>
      </c>
      <c r="I2489" s="26" t="s">
        <v>95</v>
      </c>
      <c r="J2489" s="26" t="s">
        <v>42</v>
      </c>
      <c r="K2489" s="26" t="s">
        <v>1603</v>
      </c>
      <c r="L2489" s="26">
        <v>2875</v>
      </c>
      <c r="M2489" s="26">
        <v>1</v>
      </c>
      <c r="N2489" s="28">
        <v>3.48E-4</v>
      </c>
      <c r="O2489" s="26">
        <v>0.74</v>
      </c>
      <c r="P2489" s="26">
        <v>0.74</v>
      </c>
      <c r="Q2489" s="26">
        <v>0</v>
      </c>
      <c r="R2489" s="26"/>
      <c r="S2489" s="26">
        <v>0</v>
      </c>
      <c r="T2489" s="26">
        <v>0</v>
      </c>
      <c r="U2489" s="26">
        <v>0</v>
      </c>
      <c r="V2489" s="28">
        <v>0</v>
      </c>
      <c r="W2489" s="26">
        <v>0</v>
      </c>
      <c r="X2489" s="26">
        <v>0</v>
      </c>
      <c r="Y2489" s="26">
        <v>0</v>
      </c>
      <c r="Z2489" s="26">
        <v>0</v>
      </c>
    </row>
    <row r="2490" spans="1:26" x14ac:dyDescent="0.2">
      <c r="A2490">
        <f t="shared" si="78"/>
        <v>5</v>
      </c>
      <c r="B2490">
        <f t="shared" si="79"/>
        <v>22</v>
      </c>
      <c r="C2490" s="27">
        <v>46168</v>
      </c>
      <c r="D2490" s="26" t="s">
        <v>26</v>
      </c>
      <c r="E2490" s="26" t="s">
        <v>27</v>
      </c>
      <c r="F2490" s="26" t="s">
        <v>28</v>
      </c>
      <c r="G2490" s="26" t="s">
        <v>29</v>
      </c>
      <c r="H2490" s="26" t="s">
        <v>30</v>
      </c>
      <c r="I2490" s="26" t="s">
        <v>243</v>
      </c>
      <c r="J2490" s="26" t="s">
        <v>32</v>
      </c>
      <c r="K2490" s="26" t="s">
        <v>1604</v>
      </c>
      <c r="L2490" s="26">
        <v>1</v>
      </c>
      <c r="M2490" s="26">
        <v>1</v>
      </c>
      <c r="N2490" s="28">
        <v>1</v>
      </c>
      <c r="O2490" s="26">
        <v>0.21</v>
      </c>
      <c r="P2490" s="26">
        <v>0.21</v>
      </c>
      <c r="Q2490" s="26">
        <v>0</v>
      </c>
      <c r="R2490" s="26"/>
      <c r="S2490" s="26">
        <v>0</v>
      </c>
      <c r="T2490" s="26">
        <v>0</v>
      </c>
      <c r="U2490" s="26">
        <v>0</v>
      </c>
      <c r="V2490" s="28">
        <v>0</v>
      </c>
      <c r="W2490" s="26">
        <v>0</v>
      </c>
      <c r="X2490" s="26">
        <v>0</v>
      </c>
      <c r="Y2490" s="26">
        <v>0</v>
      </c>
      <c r="Z2490" s="26">
        <v>0</v>
      </c>
    </row>
    <row r="2491" spans="1:26" x14ac:dyDescent="0.2">
      <c r="A2491">
        <f t="shared" si="78"/>
        <v>5</v>
      </c>
      <c r="B2491">
        <f t="shared" si="79"/>
        <v>22</v>
      </c>
      <c r="C2491" s="27">
        <v>46166</v>
      </c>
      <c r="D2491" s="26" t="s">
        <v>26</v>
      </c>
      <c r="E2491" s="26" t="s">
        <v>1582</v>
      </c>
      <c r="F2491" s="26" t="s">
        <v>1583</v>
      </c>
      <c r="G2491" s="26" t="s">
        <v>29</v>
      </c>
      <c r="H2491" s="26" t="s">
        <v>30</v>
      </c>
      <c r="I2491" s="26" t="s">
        <v>1220</v>
      </c>
      <c r="J2491" s="26" t="s">
        <v>267</v>
      </c>
      <c r="K2491" s="26" t="s">
        <v>1220</v>
      </c>
      <c r="L2491" s="26">
        <v>1</v>
      </c>
      <c r="M2491" s="26">
        <v>1</v>
      </c>
      <c r="N2491" s="28">
        <v>1</v>
      </c>
      <c r="O2491" s="26">
        <v>0.65</v>
      </c>
      <c r="P2491" s="26">
        <v>0.65</v>
      </c>
      <c r="Q2491" s="26">
        <v>0</v>
      </c>
      <c r="R2491" s="26"/>
      <c r="S2491" s="26">
        <v>0</v>
      </c>
      <c r="T2491" s="26">
        <v>0</v>
      </c>
      <c r="U2491" s="26">
        <v>0</v>
      </c>
      <c r="V2491" s="28">
        <v>0</v>
      </c>
      <c r="W2491" s="26">
        <v>0</v>
      </c>
      <c r="X2491" s="26">
        <v>0</v>
      </c>
      <c r="Y2491" s="26">
        <v>0</v>
      </c>
      <c r="Z2491" s="26">
        <v>0</v>
      </c>
    </row>
    <row r="2492" spans="1:26" x14ac:dyDescent="0.2">
      <c r="A2492">
        <f t="shared" ref="A2492:A2555" si="80">MONTH(C2492)</f>
        <v>5</v>
      </c>
      <c r="B2492">
        <f t="shared" ref="B2492:B2555" si="81">WEEKNUM(C2492,1)</f>
        <v>22</v>
      </c>
      <c r="C2492" s="27">
        <v>46169</v>
      </c>
      <c r="D2492" s="26" t="s">
        <v>26</v>
      </c>
      <c r="E2492" s="26" t="s">
        <v>1578</v>
      </c>
      <c r="F2492" s="26" t="s">
        <v>62</v>
      </c>
      <c r="G2492" s="26" t="s">
        <v>29</v>
      </c>
      <c r="H2492" s="26" t="s">
        <v>30</v>
      </c>
      <c r="I2492" s="26" t="s">
        <v>47</v>
      </c>
      <c r="J2492" s="26" t="s">
        <v>42</v>
      </c>
      <c r="K2492" s="26" t="s">
        <v>1227</v>
      </c>
      <c r="L2492" s="26">
        <v>3</v>
      </c>
      <c r="M2492" s="26">
        <v>1</v>
      </c>
      <c r="N2492" s="28">
        <v>0.33333299999999999</v>
      </c>
      <c r="O2492" s="26">
        <v>1.2</v>
      </c>
      <c r="P2492" s="26">
        <v>1.2</v>
      </c>
      <c r="Q2492" s="26">
        <v>0</v>
      </c>
      <c r="R2492" s="26"/>
      <c r="S2492" s="26">
        <v>0</v>
      </c>
      <c r="T2492" s="26">
        <v>0</v>
      </c>
      <c r="U2492" s="26">
        <v>0</v>
      </c>
      <c r="V2492" s="28">
        <v>0</v>
      </c>
      <c r="W2492" s="26">
        <v>0</v>
      </c>
      <c r="X2492" s="26">
        <v>0</v>
      </c>
      <c r="Y2492" s="26">
        <v>0</v>
      </c>
      <c r="Z2492" s="26">
        <v>0</v>
      </c>
    </row>
    <row r="2493" spans="1:26" x14ac:dyDescent="0.2">
      <c r="A2493">
        <f t="shared" si="80"/>
        <v>5</v>
      </c>
      <c r="B2493">
        <f t="shared" si="81"/>
        <v>22</v>
      </c>
      <c r="C2493" s="27">
        <v>46166</v>
      </c>
      <c r="D2493" s="26" t="s">
        <v>26</v>
      </c>
      <c r="E2493" s="26" t="s">
        <v>1582</v>
      </c>
      <c r="F2493" s="26" t="s">
        <v>1583</v>
      </c>
      <c r="G2493" s="26" t="s">
        <v>29</v>
      </c>
      <c r="H2493" s="26" t="s">
        <v>30</v>
      </c>
      <c r="I2493" s="26" t="s">
        <v>720</v>
      </c>
      <c r="J2493" s="26" t="s">
        <v>87</v>
      </c>
      <c r="K2493" s="26" t="s">
        <v>1605</v>
      </c>
      <c r="L2493" s="26">
        <v>2</v>
      </c>
      <c r="M2493" s="26">
        <v>1</v>
      </c>
      <c r="N2493" s="28">
        <v>0.5</v>
      </c>
      <c r="O2493" s="26">
        <v>0.65</v>
      </c>
      <c r="P2493" s="26">
        <v>0.65</v>
      </c>
      <c r="Q2493" s="26">
        <v>0</v>
      </c>
      <c r="R2493" s="26"/>
      <c r="S2493" s="26">
        <v>0</v>
      </c>
      <c r="T2493" s="26">
        <v>0</v>
      </c>
      <c r="U2493" s="26">
        <v>0</v>
      </c>
      <c r="V2493" s="28">
        <v>0</v>
      </c>
      <c r="W2493" s="26">
        <v>0</v>
      </c>
      <c r="X2493" s="26">
        <v>0</v>
      </c>
      <c r="Y2493" s="26">
        <v>0</v>
      </c>
      <c r="Z2493" s="26">
        <v>0</v>
      </c>
    </row>
    <row r="2494" spans="1:26" x14ac:dyDescent="0.2">
      <c r="A2494">
        <f t="shared" si="80"/>
        <v>5</v>
      </c>
      <c r="B2494">
        <f t="shared" si="81"/>
        <v>22</v>
      </c>
      <c r="C2494" s="27">
        <v>46166</v>
      </c>
      <c r="D2494" s="26" t="s">
        <v>26</v>
      </c>
      <c r="E2494" s="26" t="s">
        <v>27</v>
      </c>
      <c r="F2494" s="26" t="s">
        <v>28</v>
      </c>
      <c r="G2494" s="26" t="s">
        <v>29</v>
      </c>
      <c r="H2494" s="26" t="s">
        <v>30</v>
      </c>
      <c r="I2494" s="26" t="s">
        <v>101</v>
      </c>
      <c r="J2494" s="26" t="s">
        <v>32</v>
      </c>
      <c r="K2494" s="26" t="s">
        <v>1606</v>
      </c>
      <c r="L2494" s="26">
        <v>2</v>
      </c>
      <c r="M2494" s="26">
        <v>1</v>
      </c>
      <c r="N2494" s="28">
        <v>0.5</v>
      </c>
      <c r="O2494" s="26">
        <v>0.21</v>
      </c>
      <c r="P2494" s="26">
        <v>0.21</v>
      </c>
      <c r="Q2494" s="26">
        <v>0</v>
      </c>
      <c r="R2494" s="26"/>
      <c r="S2494" s="26">
        <v>0</v>
      </c>
      <c r="T2494" s="26">
        <v>0</v>
      </c>
      <c r="U2494" s="26">
        <v>0</v>
      </c>
      <c r="V2494" s="28">
        <v>0</v>
      </c>
      <c r="W2494" s="26">
        <v>0</v>
      </c>
      <c r="X2494" s="26">
        <v>0</v>
      </c>
      <c r="Y2494" s="26">
        <v>0</v>
      </c>
      <c r="Z2494" s="26">
        <v>0</v>
      </c>
    </row>
    <row r="2495" spans="1:26" x14ac:dyDescent="0.2">
      <c r="A2495">
        <f t="shared" si="80"/>
        <v>5</v>
      </c>
      <c r="B2495">
        <f t="shared" si="81"/>
        <v>22</v>
      </c>
      <c r="C2495" s="27">
        <v>46172</v>
      </c>
      <c r="D2495" s="26" t="s">
        <v>26</v>
      </c>
      <c r="E2495" s="26" t="s">
        <v>27</v>
      </c>
      <c r="F2495" s="26" t="s">
        <v>28</v>
      </c>
      <c r="G2495" s="26" t="s">
        <v>29</v>
      </c>
      <c r="H2495" s="26" t="s">
        <v>30</v>
      </c>
      <c r="I2495" s="26" t="s">
        <v>31</v>
      </c>
      <c r="J2495" s="26" t="s">
        <v>32</v>
      </c>
      <c r="K2495" s="26" t="s">
        <v>1607</v>
      </c>
      <c r="L2495" s="26">
        <v>1</v>
      </c>
      <c r="M2495" s="26">
        <v>1</v>
      </c>
      <c r="N2495" s="28">
        <v>1</v>
      </c>
      <c r="O2495" s="26">
        <v>0.16</v>
      </c>
      <c r="P2495" s="26">
        <v>0.16</v>
      </c>
      <c r="Q2495" s="26">
        <v>0</v>
      </c>
      <c r="R2495" s="26"/>
      <c r="S2495" s="26">
        <v>0</v>
      </c>
      <c r="T2495" s="26">
        <v>0</v>
      </c>
      <c r="U2495" s="26">
        <v>0</v>
      </c>
      <c r="V2495" s="28">
        <v>0</v>
      </c>
      <c r="W2495" s="26">
        <v>0</v>
      </c>
      <c r="X2495" s="26">
        <v>0</v>
      </c>
      <c r="Y2495" s="26">
        <v>0</v>
      </c>
      <c r="Z2495" s="26">
        <v>0</v>
      </c>
    </row>
    <row r="2496" spans="1:26" x14ac:dyDescent="0.2">
      <c r="A2496">
        <f t="shared" si="80"/>
        <v>5</v>
      </c>
      <c r="B2496">
        <f t="shared" si="81"/>
        <v>22</v>
      </c>
      <c r="C2496" s="27">
        <v>46169</v>
      </c>
      <c r="D2496" s="26" t="s">
        <v>26</v>
      </c>
      <c r="E2496" s="26" t="s">
        <v>27</v>
      </c>
      <c r="F2496" s="26" t="s">
        <v>28</v>
      </c>
      <c r="G2496" s="26" t="s">
        <v>29</v>
      </c>
      <c r="H2496" s="26" t="s">
        <v>30</v>
      </c>
      <c r="I2496" s="26" t="s">
        <v>44</v>
      </c>
      <c r="J2496" s="26" t="s">
        <v>32</v>
      </c>
      <c r="K2496" s="26" t="s">
        <v>1608</v>
      </c>
      <c r="L2496" s="26">
        <v>1</v>
      </c>
      <c r="M2496" s="26">
        <v>1</v>
      </c>
      <c r="N2496" s="28">
        <v>1</v>
      </c>
      <c r="O2496" s="26">
        <v>0.21</v>
      </c>
      <c r="P2496" s="26">
        <v>0.21</v>
      </c>
      <c r="Q2496" s="26">
        <v>0</v>
      </c>
      <c r="R2496" s="26"/>
      <c r="S2496" s="26">
        <v>0</v>
      </c>
      <c r="T2496" s="26">
        <v>0</v>
      </c>
      <c r="U2496" s="26">
        <v>0</v>
      </c>
      <c r="V2496" s="28">
        <v>0</v>
      </c>
      <c r="W2496" s="26">
        <v>0</v>
      </c>
      <c r="X2496" s="26">
        <v>0</v>
      </c>
      <c r="Y2496" s="26">
        <v>0</v>
      </c>
      <c r="Z2496" s="26">
        <v>0</v>
      </c>
    </row>
    <row r="2497" spans="1:26" x14ac:dyDescent="0.2">
      <c r="A2497">
        <f t="shared" si="80"/>
        <v>5</v>
      </c>
      <c r="B2497">
        <f t="shared" si="81"/>
        <v>22</v>
      </c>
      <c r="C2497" s="27">
        <v>46172</v>
      </c>
      <c r="D2497" s="26" t="s">
        <v>26</v>
      </c>
      <c r="E2497" s="26" t="s">
        <v>27</v>
      </c>
      <c r="F2497" s="26" t="s">
        <v>28</v>
      </c>
      <c r="G2497" s="26" t="s">
        <v>29</v>
      </c>
      <c r="H2497" s="26" t="s">
        <v>30</v>
      </c>
      <c r="I2497" s="26" t="s">
        <v>101</v>
      </c>
      <c r="J2497" s="26" t="s">
        <v>32</v>
      </c>
      <c r="K2497" s="26" t="s">
        <v>774</v>
      </c>
      <c r="L2497" s="26">
        <v>1</v>
      </c>
      <c r="M2497" s="26">
        <v>1</v>
      </c>
      <c r="N2497" s="28">
        <v>1</v>
      </c>
      <c r="O2497" s="26">
        <v>0.21</v>
      </c>
      <c r="P2497" s="26">
        <v>0.21</v>
      </c>
      <c r="Q2497" s="26">
        <v>0</v>
      </c>
      <c r="R2497" s="26"/>
      <c r="S2497" s="26">
        <v>0</v>
      </c>
      <c r="T2497" s="26">
        <v>0</v>
      </c>
      <c r="U2497" s="26">
        <v>0</v>
      </c>
      <c r="V2497" s="28">
        <v>0</v>
      </c>
      <c r="W2497" s="26">
        <v>0</v>
      </c>
      <c r="X2497" s="26">
        <v>0</v>
      </c>
      <c r="Y2497" s="26">
        <v>0</v>
      </c>
      <c r="Z2497" s="26">
        <v>0</v>
      </c>
    </row>
    <row r="2498" spans="1:26" x14ac:dyDescent="0.2">
      <c r="A2498">
        <f t="shared" si="80"/>
        <v>5</v>
      </c>
      <c r="B2498">
        <f t="shared" si="81"/>
        <v>21</v>
      </c>
      <c r="C2498" s="27">
        <v>46165</v>
      </c>
      <c r="D2498" s="26" t="s">
        <v>26</v>
      </c>
      <c r="E2498" s="26" t="s">
        <v>27</v>
      </c>
      <c r="F2498" s="26" t="s">
        <v>28</v>
      </c>
      <c r="G2498" s="26" t="s">
        <v>29</v>
      </c>
      <c r="H2498" s="26" t="s">
        <v>30</v>
      </c>
      <c r="I2498" s="26" t="s">
        <v>31</v>
      </c>
      <c r="J2498" s="26" t="s">
        <v>32</v>
      </c>
      <c r="K2498" s="26" t="s">
        <v>1609</v>
      </c>
      <c r="L2498" s="26">
        <v>1</v>
      </c>
      <c r="M2498" s="26">
        <v>1</v>
      </c>
      <c r="N2498" s="28">
        <v>1</v>
      </c>
      <c r="O2498" s="26">
        <v>0.21</v>
      </c>
      <c r="P2498" s="26">
        <v>0.21</v>
      </c>
      <c r="Q2498" s="26">
        <v>0</v>
      </c>
      <c r="R2498" s="26"/>
      <c r="S2498" s="26">
        <v>0</v>
      </c>
      <c r="T2498" s="26">
        <v>0</v>
      </c>
      <c r="U2498" s="26">
        <v>0</v>
      </c>
      <c r="V2498" s="28">
        <v>0</v>
      </c>
      <c r="W2498" s="26">
        <v>0</v>
      </c>
      <c r="X2498" s="26">
        <v>0</v>
      </c>
      <c r="Y2498" s="26">
        <v>0</v>
      </c>
      <c r="Z2498" s="26">
        <v>0</v>
      </c>
    </row>
    <row r="2499" spans="1:26" x14ac:dyDescent="0.2">
      <c r="A2499">
        <f t="shared" si="80"/>
        <v>5</v>
      </c>
      <c r="B2499">
        <f t="shared" si="81"/>
        <v>22</v>
      </c>
      <c r="C2499" s="27">
        <v>46172</v>
      </c>
      <c r="D2499" s="26" t="s">
        <v>26</v>
      </c>
      <c r="E2499" s="26" t="s">
        <v>27</v>
      </c>
      <c r="F2499" s="26" t="s">
        <v>28</v>
      </c>
      <c r="G2499" s="26" t="s">
        <v>29</v>
      </c>
      <c r="H2499" s="26" t="s">
        <v>30</v>
      </c>
      <c r="I2499" s="26" t="s">
        <v>243</v>
      </c>
      <c r="J2499" s="26" t="s">
        <v>32</v>
      </c>
      <c r="K2499" s="26" t="s">
        <v>1610</v>
      </c>
      <c r="L2499" s="26">
        <v>1</v>
      </c>
      <c r="M2499" s="26">
        <v>1</v>
      </c>
      <c r="N2499" s="28">
        <v>1</v>
      </c>
      <c r="O2499" s="26">
        <v>0.08</v>
      </c>
      <c r="P2499" s="26">
        <v>0.08</v>
      </c>
      <c r="Q2499" s="26">
        <v>0</v>
      </c>
      <c r="R2499" s="26"/>
      <c r="S2499" s="26">
        <v>0</v>
      </c>
      <c r="T2499" s="26">
        <v>0</v>
      </c>
      <c r="U2499" s="26">
        <v>0</v>
      </c>
      <c r="V2499" s="28">
        <v>0</v>
      </c>
      <c r="W2499" s="26">
        <v>0</v>
      </c>
      <c r="X2499" s="26">
        <v>0</v>
      </c>
      <c r="Y2499" s="26">
        <v>0</v>
      </c>
      <c r="Z2499" s="26">
        <v>0</v>
      </c>
    </row>
    <row r="2500" spans="1:26" x14ac:dyDescent="0.2">
      <c r="A2500">
        <f t="shared" si="80"/>
        <v>5</v>
      </c>
      <c r="B2500">
        <f t="shared" si="81"/>
        <v>21</v>
      </c>
      <c r="C2500" s="27">
        <v>46164</v>
      </c>
      <c r="D2500" s="26" t="s">
        <v>26</v>
      </c>
      <c r="E2500" s="26" t="s">
        <v>27</v>
      </c>
      <c r="F2500" s="26" t="s">
        <v>28</v>
      </c>
      <c r="G2500" s="26" t="s">
        <v>29</v>
      </c>
      <c r="H2500" s="26" t="s">
        <v>30</v>
      </c>
      <c r="I2500" s="26" t="s">
        <v>50</v>
      </c>
      <c r="J2500" s="26" t="s">
        <v>32</v>
      </c>
      <c r="K2500" s="26" t="s">
        <v>1611</v>
      </c>
      <c r="L2500" s="26">
        <v>2</v>
      </c>
      <c r="M2500" s="26">
        <v>1</v>
      </c>
      <c r="N2500" s="28">
        <v>0.5</v>
      </c>
      <c r="O2500" s="26">
        <v>0.21</v>
      </c>
      <c r="P2500" s="26">
        <v>0.21</v>
      </c>
      <c r="Q2500" s="26">
        <v>0</v>
      </c>
      <c r="R2500" s="26"/>
      <c r="S2500" s="26">
        <v>0</v>
      </c>
      <c r="T2500" s="26">
        <v>0</v>
      </c>
      <c r="U2500" s="26">
        <v>0</v>
      </c>
      <c r="V2500" s="28">
        <v>0</v>
      </c>
      <c r="W2500" s="26">
        <v>0</v>
      </c>
      <c r="X2500" s="26">
        <v>0</v>
      </c>
      <c r="Y2500" s="26">
        <v>0</v>
      </c>
      <c r="Z2500" s="26">
        <v>0</v>
      </c>
    </row>
    <row r="2501" spans="1:26" x14ac:dyDescent="0.2">
      <c r="A2501">
        <f t="shared" si="80"/>
        <v>5</v>
      </c>
      <c r="B2501">
        <f t="shared" si="81"/>
        <v>22</v>
      </c>
      <c r="C2501" s="27">
        <v>46171</v>
      </c>
      <c r="D2501" s="26" t="s">
        <v>26</v>
      </c>
      <c r="E2501" s="26" t="s">
        <v>27</v>
      </c>
      <c r="F2501" s="26" t="s">
        <v>28</v>
      </c>
      <c r="G2501" s="26" t="s">
        <v>29</v>
      </c>
      <c r="H2501" s="26" t="s">
        <v>30</v>
      </c>
      <c r="I2501" s="26" t="s">
        <v>156</v>
      </c>
      <c r="J2501" s="26" t="s">
        <v>32</v>
      </c>
      <c r="K2501" s="26" t="s">
        <v>1612</v>
      </c>
      <c r="L2501" s="26">
        <v>2</v>
      </c>
      <c r="M2501" s="26">
        <v>1</v>
      </c>
      <c r="N2501" s="28">
        <v>0.5</v>
      </c>
      <c r="O2501" s="26">
        <v>0.21</v>
      </c>
      <c r="P2501" s="26">
        <v>0.21</v>
      </c>
      <c r="Q2501" s="26">
        <v>0</v>
      </c>
      <c r="R2501" s="26"/>
      <c r="S2501" s="26">
        <v>0</v>
      </c>
      <c r="T2501" s="26">
        <v>0</v>
      </c>
      <c r="U2501" s="26">
        <v>0</v>
      </c>
      <c r="V2501" s="28">
        <v>0</v>
      </c>
      <c r="W2501" s="26">
        <v>0</v>
      </c>
      <c r="X2501" s="26">
        <v>0</v>
      </c>
      <c r="Y2501" s="26">
        <v>0</v>
      </c>
      <c r="Z2501" s="26">
        <v>0</v>
      </c>
    </row>
    <row r="2502" spans="1:26" x14ac:dyDescent="0.2">
      <c r="A2502">
        <f t="shared" si="80"/>
        <v>5</v>
      </c>
      <c r="B2502">
        <f t="shared" si="81"/>
        <v>21</v>
      </c>
      <c r="C2502" s="27">
        <v>46164</v>
      </c>
      <c r="D2502" s="26" t="s">
        <v>26</v>
      </c>
      <c r="E2502" s="26" t="s">
        <v>27</v>
      </c>
      <c r="F2502" s="26" t="s">
        <v>124</v>
      </c>
      <c r="G2502" s="26" t="s">
        <v>29</v>
      </c>
      <c r="H2502" s="26" t="s">
        <v>30</v>
      </c>
      <c r="I2502" s="26" t="s">
        <v>37</v>
      </c>
      <c r="J2502" s="26" t="s">
        <v>87</v>
      </c>
      <c r="K2502" s="26" t="s">
        <v>1613</v>
      </c>
      <c r="L2502" s="26">
        <v>2</v>
      </c>
      <c r="M2502" s="26">
        <v>1</v>
      </c>
      <c r="N2502" s="28">
        <v>0.5</v>
      </c>
      <c r="O2502" s="26">
        <v>0.03</v>
      </c>
      <c r="P2502" s="26">
        <v>0.03</v>
      </c>
      <c r="Q2502" s="26">
        <v>0</v>
      </c>
      <c r="R2502" s="26"/>
      <c r="S2502" s="26">
        <v>0</v>
      </c>
      <c r="T2502" s="26">
        <v>0</v>
      </c>
      <c r="U2502" s="26">
        <v>0</v>
      </c>
      <c r="V2502" s="28">
        <v>0</v>
      </c>
      <c r="W2502" s="26">
        <v>0</v>
      </c>
      <c r="X2502" s="26">
        <v>0</v>
      </c>
      <c r="Y2502" s="26">
        <v>0</v>
      </c>
      <c r="Z2502" s="26">
        <v>0</v>
      </c>
    </row>
    <row r="2503" spans="1:26" x14ac:dyDescent="0.2">
      <c r="A2503">
        <f t="shared" si="80"/>
        <v>5</v>
      </c>
      <c r="B2503">
        <f t="shared" si="81"/>
        <v>22</v>
      </c>
      <c r="C2503" s="27">
        <v>46166</v>
      </c>
      <c r="D2503" s="26" t="s">
        <v>26</v>
      </c>
      <c r="E2503" s="26" t="s">
        <v>1614</v>
      </c>
      <c r="F2503" s="26" t="s">
        <v>1615</v>
      </c>
      <c r="G2503" s="26" t="s">
        <v>29</v>
      </c>
      <c r="H2503" s="26" t="s">
        <v>30</v>
      </c>
      <c r="I2503" s="26" t="s">
        <v>1616</v>
      </c>
      <c r="J2503" s="26" t="s">
        <v>32</v>
      </c>
      <c r="K2503" s="26" t="s">
        <v>1616</v>
      </c>
      <c r="L2503" s="26">
        <v>1</v>
      </c>
      <c r="M2503" s="26">
        <v>1</v>
      </c>
      <c r="N2503" s="28">
        <v>1</v>
      </c>
      <c r="O2503" s="26">
        <v>0.65</v>
      </c>
      <c r="P2503" s="26">
        <v>0.65</v>
      </c>
      <c r="Q2503" s="26">
        <v>0</v>
      </c>
      <c r="R2503" s="26"/>
      <c r="S2503" s="26">
        <v>0</v>
      </c>
      <c r="T2503" s="26">
        <v>0</v>
      </c>
      <c r="U2503" s="26">
        <v>0</v>
      </c>
      <c r="V2503" s="28">
        <v>0</v>
      </c>
      <c r="W2503" s="26">
        <v>0</v>
      </c>
      <c r="X2503" s="26">
        <v>0</v>
      </c>
      <c r="Y2503" s="26">
        <v>0</v>
      </c>
      <c r="Z2503" s="26">
        <v>0</v>
      </c>
    </row>
    <row r="2504" spans="1:26" x14ac:dyDescent="0.2">
      <c r="A2504">
        <f t="shared" si="80"/>
        <v>5</v>
      </c>
      <c r="B2504">
        <f t="shared" si="81"/>
        <v>21</v>
      </c>
      <c r="C2504" s="27">
        <v>46165</v>
      </c>
      <c r="D2504" s="26" t="s">
        <v>26</v>
      </c>
      <c r="E2504" s="26" t="s">
        <v>1578</v>
      </c>
      <c r="F2504" s="26" t="s">
        <v>62</v>
      </c>
      <c r="G2504" s="26" t="s">
        <v>29</v>
      </c>
      <c r="H2504" s="26" t="s">
        <v>30</v>
      </c>
      <c r="I2504" s="26" t="s">
        <v>47</v>
      </c>
      <c r="J2504" s="26" t="s">
        <v>42</v>
      </c>
      <c r="K2504" s="26" t="s">
        <v>1617</v>
      </c>
      <c r="L2504" s="26">
        <v>21</v>
      </c>
      <c r="M2504" s="26">
        <v>1</v>
      </c>
      <c r="N2504" s="28">
        <v>4.7619000000000002E-2</v>
      </c>
      <c r="O2504" s="26">
        <v>1.3</v>
      </c>
      <c r="P2504" s="26">
        <v>1.3</v>
      </c>
      <c r="Q2504" s="26">
        <v>0</v>
      </c>
      <c r="R2504" s="26"/>
      <c r="S2504" s="26">
        <v>0</v>
      </c>
      <c r="T2504" s="26">
        <v>0</v>
      </c>
      <c r="U2504" s="26">
        <v>0</v>
      </c>
      <c r="V2504" s="28">
        <v>0</v>
      </c>
      <c r="W2504" s="26">
        <v>0</v>
      </c>
      <c r="X2504" s="26">
        <v>0</v>
      </c>
      <c r="Y2504" s="26">
        <v>0</v>
      </c>
      <c r="Z2504" s="26">
        <v>0</v>
      </c>
    </row>
    <row r="2505" spans="1:26" x14ac:dyDescent="0.2">
      <c r="A2505">
        <f t="shared" si="80"/>
        <v>5</v>
      </c>
      <c r="B2505">
        <f t="shared" si="81"/>
        <v>21</v>
      </c>
      <c r="C2505" s="27">
        <v>46165</v>
      </c>
      <c r="D2505" s="26" t="s">
        <v>26</v>
      </c>
      <c r="E2505" s="26" t="s">
        <v>1578</v>
      </c>
      <c r="F2505" s="26" t="s">
        <v>62</v>
      </c>
      <c r="G2505" s="26" t="s">
        <v>29</v>
      </c>
      <c r="H2505" s="26" t="s">
        <v>30</v>
      </c>
      <c r="I2505" s="26" t="s">
        <v>47</v>
      </c>
      <c r="J2505" s="26" t="s">
        <v>42</v>
      </c>
      <c r="K2505" s="26" t="s">
        <v>1618</v>
      </c>
      <c r="L2505" s="26">
        <v>1</v>
      </c>
      <c r="M2505" s="26">
        <v>1</v>
      </c>
      <c r="N2505" s="28">
        <v>1</v>
      </c>
      <c r="O2505" s="26">
        <v>1</v>
      </c>
      <c r="P2505" s="26">
        <v>1</v>
      </c>
      <c r="Q2505" s="26">
        <v>0</v>
      </c>
      <c r="R2505" s="26"/>
      <c r="S2505" s="26">
        <v>0</v>
      </c>
      <c r="T2505" s="26">
        <v>0</v>
      </c>
      <c r="U2505" s="26">
        <v>0</v>
      </c>
      <c r="V2505" s="28">
        <v>0</v>
      </c>
      <c r="W2505" s="26">
        <v>0</v>
      </c>
      <c r="X2505" s="26">
        <v>0</v>
      </c>
      <c r="Y2505" s="26">
        <v>0</v>
      </c>
      <c r="Z2505" s="26">
        <v>0</v>
      </c>
    </row>
    <row r="2506" spans="1:26" x14ac:dyDescent="0.2">
      <c r="A2506">
        <f t="shared" si="80"/>
        <v>5</v>
      </c>
      <c r="B2506">
        <f t="shared" si="81"/>
        <v>23</v>
      </c>
      <c r="C2506" s="27">
        <v>46173</v>
      </c>
      <c r="D2506" s="26" t="s">
        <v>26</v>
      </c>
      <c r="E2506" s="26" t="s">
        <v>27</v>
      </c>
      <c r="F2506" s="26" t="s">
        <v>28</v>
      </c>
      <c r="G2506" s="26" t="s">
        <v>29</v>
      </c>
      <c r="H2506" s="26" t="s">
        <v>30</v>
      </c>
      <c r="I2506" s="26" t="s">
        <v>101</v>
      </c>
      <c r="J2506" s="26" t="s">
        <v>32</v>
      </c>
      <c r="K2506" s="26" t="s">
        <v>1484</v>
      </c>
      <c r="L2506" s="26">
        <v>3</v>
      </c>
      <c r="M2506" s="26">
        <v>1</v>
      </c>
      <c r="N2506" s="28">
        <v>0.33333299999999999</v>
      </c>
      <c r="O2506" s="26">
        <v>0.21</v>
      </c>
      <c r="P2506" s="26">
        <v>0.21</v>
      </c>
      <c r="Q2506" s="26">
        <v>0</v>
      </c>
      <c r="R2506" s="26"/>
      <c r="S2506" s="26">
        <v>0</v>
      </c>
      <c r="T2506" s="26">
        <v>0</v>
      </c>
      <c r="U2506" s="26">
        <v>0</v>
      </c>
      <c r="V2506" s="28">
        <v>0</v>
      </c>
      <c r="W2506" s="26">
        <v>0</v>
      </c>
      <c r="X2506" s="26">
        <v>0</v>
      </c>
      <c r="Y2506" s="26">
        <v>0</v>
      </c>
      <c r="Z2506" s="26">
        <v>0</v>
      </c>
    </row>
    <row r="2507" spans="1:26" x14ac:dyDescent="0.2">
      <c r="A2507">
        <f t="shared" si="80"/>
        <v>5</v>
      </c>
      <c r="B2507">
        <f t="shared" si="81"/>
        <v>22</v>
      </c>
      <c r="C2507" s="27">
        <v>46167</v>
      </c>
      <c r="D2507" s="26" t="s">
        <v>26</v>
      </c>
      <c r="E2507" s="26" t="s">
        <v>27</v>
      </c>
      <c r="F2507" s="26" t="s">
        <v>28</v>
      </c>
      <c r="G2507" s="26" t="s">
        <v>29</v>
      </c>
      <c r="H2507" s="26" t="s">
        <v>30</v>
      </c>
      <c r="I2507" s="26" t="s">
        <v>50</v>
      </c>
      <c r="J2507" s="26" t="s">
        <v>32</v>
      </c>
      <c r="K2507" s="26" t="s">
        <v>242</v>
      </c>
      <c r="L2507" s="26">
        <v>1</v>
      </c>
      <c r="M2507" s="26">
        <v>1</v>
      </c>
      <c r="N2507" s="28">
        <v>1</v>
      </c>
      <c r="O2507" s="26">
        <v>0.08</v>
      </c>
      <c r="P2507" s="26">
        <v>0.08</v>
      </c>
      <c r="Q2507" s="26">
        <v>17.47</v>
      </c>
      <c r="R2507" s="28">
        <v>4.5789999999999997E-3</v>
      </c>
      <c r="S2507" s="26">
        <v>218.38</v>
      </c>
      <c r="T2507" s="26">
        <v>1</v>
      </c>
      <c r="U2507" s="26">
        <v>1</v>
      </c>
      <c r="V2507" s="28">
        <v>1</v>
      </c>
      <c r="W2507" s="26">
        <v>1</v>
      </c>
      <c r="X2507" s="26">
        <v>0</v>
      </c>
      <c r="Y2507" s="26">
        <v>17.47</v>
      </c>
      <c r="Z2507" s="26">
        <v>0</v>
      </c>
    </row>
    <row r="2508" spans="1:26" x14ac:dyDescent="0.2">
      <c r="A2508">
        <f t="shared" si="80"/>
        <v>5</v>
      </c>
      <c r="B2508">
        <f t="shared" si="81"/>
        <v>22</v>
      </c>
      <c r="C2508" s="27">
        <v>46170</v>
      </c>
      <c r="D2508" s="26" t="s">
        <v>26</v>
      </c>
      <c r="E2508" s="26" t="s">
        <v>27</v>
      </c>
      <c r="F2508" s="26" t="s">
        <v>28</v>
      </c>
      <c r="G2508" s="26" t="s">
        <v>29</v>
      </c>
      <c r="H2508" s="26" t="s">
        <v>30</v>
      </c>
      <c r="I2508" s="26" t="s">
        <v>50</v>
      </c>
      <c r="J2508" s="26" t="s">
        <v>32</v>
      </c>
      <c r="K2508" s="26" t="s">
        <v>1619</v>
      </c>
      <c r="L2508" s="26">
        <v>1</v>
      </c>
      <c r="M2508" s="26">
        <v>1</v>
      </c>
      <c r="N2508" s="28">
        <v>1</v>
      </c>
      <c r="O2508" s="26">
        <v>0.08</v>
      </c>
      <c r="P2508" s="26">
        <v>0.08</v>
      </c>
      <c r="Q2508" s="26">
        <v>0</v>
      </c>
      <c r="R2508" s="26"/>
      <c r="S2508" s="26">
        <v>0</v>
      </c>
      <c r="T2508" s="26">
        <v>0</v>
      </c>
      <c r="U2508" s="26">
        <v>0</v>
      </c>
      <c r="V2508" s="28">
        <v>0</v>
      </c>
      <c r="W2508" s="26">
        <v>0</v>
      </c>
      <c r="X2508" s="26">
        <v>0</v>
      </c>
      <c r="Y2508" s="26">
        <v>0</v>
      </c>
      <c r="Z2508" s="26">
        <v>0</v>
      </c>
    </row>
    <row r="2509" spans="1:26" x14ac:dyDescent="0.2">
      <c r="A2509">
        <f t="shared" si="80"/>
        <v>5</v>
      </c>
      <c r="B2509">
        <f t="shared" si="81"/>
        <v>22</v>
      </c>
      <c r="C2509" s="27">
        <v>46168</v>
      </c>
      <c r="D2509" s="26" t="s">
        <v>26</v>
      </c>
      <c r="E2509" s="26" t="s">
        <v>1414</v>
      </c>
      <c r="F2509" s="26" t="s">
        <v>113</v>
      </c>
      <c r="G2509" s="26" t="s">
        <v>29</v>
      </c>
      <c r="H2509" s="26" t="s">
        <v>30</v>
      </c>
      <c r="I2509" s="26" t="s">
        <v>95</v>
      </c>
      <c r="J2509" s="26" t="s">
        <v>42</v>
      </c>
      <c r="K2509" s="26" t="s">
        <v>1620</v>
      </c>
      <c r="L2509" s="26">
        <v>2</v>
      </c>
      <c r="M2509" s="26">
        <v>1</v>
      </c>
      <c r="N2509" s="28">
        <v>0.5</v>
      </c>
      <c r="O2509" s="26">
        <v>2.9</v>
      </c>
      <c r="P2509" s="26">
        <v>2.9</v>
      </c>
      <c r="Q2509" s="26">
        <v>0</v>
      </c>
      <c r="R2509" s="26"/>
      <c r="S2509" s="26">
        <v>0</v>
      </c>
      <c r="T2509" s="26">
        <v>0</v>
      </c>
      <c r="U2509" s="26">
        <v>0</v>
      </c>
      <c r="V2509" s="28">
        <v>0</v>
      </c>
      <c r="W2509" s="26">
        <v>0</v>
      </c>
      <c r="X2509" s="26">
        <v>0</v>
      </c>
      <c r="Y2509" s="26">
        <v>0</v>
      </c>
      <c r="Z2509" s="26">
        <v>0</v>
      </c>
    </row>
    <row r="2510" spans="1:26" x14ac:dyDescent="0.2">
      <c r="A2510">
        <f t="shared" si="80"/>
        <v>5</v>
      </c>
      <c r="B2510">
        <f t="shared" si="81"/>
        <v>22</v>
      </c>
      <c r="C2510" s="27">
        <v>46168</v>
      </c>
      <c r="D2510" s="26" t="s">
        <v>26</v>
      </c>
      <c r="E2510" s="26" t="s">
        <v>27</v>
      </c>
      <c r="F2510" s="26" t="s">
        <v>28</v>
      </c>
      <c r="G2510" s="26" t="s">
        <v>29</v>
      </c>
      <c r="H2510" s="26" t="s">
        <v>30</v>
      </c>
      <c r="I2510" s="26" t="s">
        <v>31</v>
      </c>
      <c r="J2510" s="26" t="s">
        <v>32</v>
      </c>
      <c r="K2510" s="26" t="s">
        <v>1621</v>
      </c>
      <c r="L2510" s="26">
        <v>5</v>
      </c>
      <c r="M2510" s="26">
        <v>2</v>
      </c>
      <c r="N2510" s="28">
        <v>0.4</v>
      </c>
      <c r="O2510" s="26">
        <v>0.21</v>
      </c>
      <c r="P2510" s="26">
        <v>0.42</v>
      </c>
      <c r="Q2510" s="26">
        <v>0</v>
      </c>
      <c r="R2510" s="26"/>
      <c r="S2510" s="26">
        <v>0</v>
      </c>
      <c r="T2510" s="26">
        <v>0</v>
      </c>
      <c r="U2510" s="26">
        <v>0</v>
      </c>
      <c r="V2510" s="28">
        <v>0</v>
      </c>
      <c r="W2510" s="26">
        <v>0</v>
      </c>
      <c r="X2510" s="26">
        <v>0</v>
      </c>
      <c r="Y2510" s="26">
        <v>0</v>
      </c>
      <c r="Z2510" s="26">
        <v>0</v>
      </c>
    </row>
    <row r="2511" spans="1:26" x14ac:dyDescent="0.2">
      <c r="A2511">
        <f t="shared" si="80"/>
        <v>5</v>
      </c>
      <c r="B2511">
        <f t="shared" si="81"/>
        <v>22</v>
      </c>
      <c r="C2511" s="27">
        <v>46170</v>
      </c>
      <c r="D2511" s="26" t="s">
        <v>26</v>
      </c>
      <c r="E2511" s="26" t="s">
        <v>27</v>
      </c>
      <c r="F2511" s="26" t="s">
        <v>124</v>
      </c>
      <c r="G2511" s="26" t="s">
        <v>29</v>
      </c>
      <c r="H2511" s="26" t="s">
        <v>30</v>
      </c>
      <c r="I2511" s="26" t="s">
        <v>44</v>
      </c>
      <c r="J2511" s="26" t="s">
        <v>87</v>
      </c>
      <c r="K2511" s="26" t="s">
        <v>1622</v>
      </c>
      <c r="L2511" s="26">
        <v>1</v>
      </c>
      <c r="M2511" s="26">
        <v>1</v>
      </c>
      <c r="N2511" s="28">
        <v>1</v>
      </c>
      <c r="O2511" s="26">
        <v>0.21</v>
      </c>
      <c r="P2511" s="26">
        <v>0.21</v>
      </c>
      <c r="Q2511" s="26">
        <v>17.47</v>
      </c>
      <c r="R2511" s="28">
        <v>1.2021E-2</v>
      </c>
      <c r="S2511" s="26">
        <v>83.19</v>
      </c>
      <c r="T2511" s="26">
        <v>1</v>
      </c>
      <c r="U2511" s="26">
        <v>1</v>
      </c>
      <c r="V2511" s="28">
        <v>1</v>
      </c>
      <c r="W2511" s="26">
        <v>1</v>
      </c>
      <c r="X2511" s="26">
        <v>0</v>
      </c>
      <c r="Y2511" s="26">
        <v>17.47</v>
      </c>
      <c r="Z2511" s="26">
        <v>0</v>
      </c>
    </row>
    <row r="2512" spans="1:26" x14ac:dyDescent="0.2">
      <c r="A2512">
        <f t="shared" si="80"/>
        <v>5</v>
      </c>
      <c r="B2512">
        <f t="shared" si="81"/>
        <v>22</v>
      </c>
      <c r="C2512" s="27">
        <v>46170</v>
      </c>
      <c r="D2512" s="26" t="s">
        <v>26</v>
      </c>
      <c r="E2512" s="26" t="s">
        <v>27</v>
      </c>
      <c r="F2512" s="26" t="s">
        <v>28</v>
      </c>
      <c r="G2512" s="26" t="s">
        <v>29</v>
      </c>
      <c r="H2512" s="26" t="s">
        <v>30</v>
      </c>
      <c r="I2512" s="26" t="s">
        <v>243</v>
      </c>
      <c r="J2512" s="26" t="s">
        <v>32</v>
      </c>
      <c r="K2512" s="26" t="s">
        <v>523</v>
      </c>
      <c r="L2512" s="26">
        <v>4</v>
      </c>
      <c r="M2512" s="26">
        <v>1</v>
      </c>
      <c r="N2512" s="28">
        <v>0.25</v>
      </c>
      <c r="O2512" s="26">
        <v>0.21</v>
      </c>
      <c r="P2512" s="26">
        <v>0.21</v>
      </c>
      <c r="Q2512" s="26">
        <v>0</v>
      </c>
      <c r="R2512" s="26"/>
      <c r="S2512" s="26">
        <v>0</v>
      </c>
      <c r="T2512" s="26">
        <v>0</v>
      </c>
      <c r="U2512" s="26">
        <v>0</v>
      </c>
      <c r="V2512" s="28">
        <v>0</v>
      </c>
      <c r="W2512" s="26">
        <v>0</v>
      </c>
      <c r="X2512" s="26">
        <v>0</v>
      </c>
      <c r="Y2512" s="26">
        <v>0</v>
      </c>
      <c r="Z2512" s="26">
        <v>0</v>
      </c>
    </row>
    <row r="2513" spans="1:26" x14ac:dyDescent="0.2">
      <c r="A2513">
        <f t="shared" si="80"/>
        <v>5</v>
      </c>
      <c r="B2513">
        <f t="shared" si="81"/>
        <v>22</v>
      </c>
      <c r="C2513" s="27">
        <v>46169</v>
      </c>
      <c r="D2513" s="26" t="s">
        <v>26</v>
      </c>
      <c r="E2513" s="26" t="s">
        <v>27</v>
      </c>
      <c r="F2513" s="26" t="s">
        <v>28</v>
      </c>
      <c r="G2513" s="26" t="s">
        <v>29</v>
      </c>
      <c r="H2513" s="26" t="s">
        <v>30</v>
      </c>
      <c r="I2513" s="26" t="s">
        <v>50</v>
      </c>
      <c r="J2513" s="26" t="s">
        <v>32</v>
      </c>
      <c r="K2513" s="26" t="s">
        <v>1623</v>
      </c>
      <c r="L2513" s="26">
        <v>1</v>
      </c>
      <c r="M2513" s="26">
        <v>1</v>
      </c>
      <c r="N2513" s="28">
        <v>1</v>
      </c>
      <c r="O2513" s="26">
        <v>0.21</v>
      </c>
      <c r="P2513" s="26">
        <v>0.21</v>
      </c>
      <c r="Q2513" s="26">
        <v>0</v>
      </c>
      <c r="R2513" s="26"/>
      <c r="S2513" s="26">
        <v>0</v>
      </c>
      <c r="T2513" s="26">
        <v>0</v>
      </c>
      <c r="U2513" s="26">
        <v>0</v>
      </c>
      <c r="V2513" s="28">
        <v>0</v>
      </c>
      <c r="W2513" s="26">
        <v>0</v>
      </c>
      <c r="X2513" s="26">
        <v>0</v>
      </c>
      <c r="Y2513" s="26">
        <v>0</v>
      </c>
      <c r="Z2513" s="26">
        <v>0</v>
      </c>
    </row>
    <row r="2514" spans="1:26" x14ac:dyDescent="0.2">
      <c r="A2514">
        <f t="shared" si="80"/>
        <v>5</v>
      </c>
      <c r="B2514">
        <f t="shared" si="81"/>
        <v>22</v>
      </c>
      <c r="C2514" s="27">
        <v>46169</v>
      </c>
      <c r="D2514" s="26" t="s">
        <v>26</v>
      </c>
      <c r="E2514" s="26" t="s">
        <v>27</v>
      </c>
      <c r="F2514" s="26" t="s">
        <v>28</v>
      </c>
      <c r="G2514" s="26" t="s">
        <v>29</v>
      </c>
      <c r="H2514" s="26" t="s">
        <v>30</v>
      </c>
      <c r="I2514" s="26" t="s">
        <v>133</v>
      </c>
      <c r="J2514" s="26" t="s">
        <v>32</v>
      </c>
      <c r="K2514" s="26" t="s">
        <v>1624</v>
      </c>
      <c r="L2514" s="26">
        <v>2</v>
      </c>
      <c r="M2514" s="26">
        <v>1</v>
      </c>
      <c r="N2514" s="28">
        <v>0.5</v>
      </c>
      <c r="O2514" s="26">
        <v>0.4</v>
      </c>
      <c r="P2514" s="26">
        <v>0.4</v>
      </c>
      <c r="Q2514" s="26">
        <v>0</v>
      </c>
      <c r="R2514" s="26"/>
      <c r="S2514" s="26">
        <v>0</v>
      </c>
      <c r="T2514" s="26">
        <v>0</v>
      </c>
      <c r="U2514" s="26">
        <v>0</v>
      </c>
      <c r="V2514" s="28">
        <v>0</v>
      </c>
      <c r="W2514" s="26">
        <v>0</v>
      </c>
      <c r="X2514" s="26">
        <v>0</v>
      </c>
      <c r="Y2514" s="26">
        <v>0</v>
      </c>
      <c r="Z2514" s="26">
        <v>0</v>
      </c>
    </row>
    <row r="2515" spans="1:26" x14ac:dyDescent="0.2">
      <c r="A2515">
        <f t="shared" si="80"/>
        <v>5</v>
      </c>
      <c r="B2515">
        <f t="shared" si="81"/>
        <v>22</v>
      </c>
      <c r="C2515" s="27">
        <v>46167</v>
      </c>
      <c r="D2515" s="26" t="s">
        <v>26</v>
      </c>
      <c r="E2515" s="26" t="s">
        <v>39</v>
      </c>
      <c r="F2515" s="26" t="s">
        <v>40</v>
      </c>
      <c r="G2515" s="26" t="s">
        <v>29</v>
      </c>
      <c r="H2515" s="26" t="s">
        <v>30</v>
      </c>
      <c r="I2515" s="26" t="s">
        <v>1134</v>
      </c>
      <c r="J2515" s="26" t="s">
        <v>42</v>
      </c>
      <c r="K2515" s="26" t="s">
        <v>44</v>
      </c>
      <c r="L2515" s="26">
        <v>8</v>
      </c>
      <c r="M2515" s="26">
        <v>1</v>
      </c>
      <c r="N2515" s="28">
        <v>0.125</v>
      </c>
      <c r="O2515" s="26">
        <v>0.45</v>
      </c>
      <c r="P2515" s="26">
        <v>0.45</v>
      </c>
      <c r="Q2515" s="26">
        <v>0</v>
      </c>
      <c r="R2515" s="26"/>
      <c r="S2515" s="26">
        <v>0</v>
      </c>
      <c r="T2515" s="26">
        <v>0</v>
      </c>
      <c r="U2515" s="26">
        <v>0</v>
      </c>
      <c r="V2515" s="28">
        <v>0</v>
      </c>
      <c r="W2515" s="26">
        <v>0</v>
      </c>
      <c r="X2515" s="26">
        <v>0</v>
      </c>
      <c r="Y2515" s="26">
        <v>0</v>
      </c>
      <c r="Z2515" s="26">
        <v>0</v>
      </c>
    </row>
    <row r="2516" spans="1:26" x14ac:dyDescent="0.2">
      <c r="A2516">
        <f t="shared" si="80"/>
        <v>5</v>
      </c>
      <c r="B2516">
        <f t="shared" si="81"/>
        <v>22</v>
      </c>
      <c r="C2516" s="27">
        <v>46169</v>
      </c>
      <c r="D2516" s="26" t="s">
        <v>26</v>
      </c>
      <c r="E2516" s="26" t="s">
        <v>49</v>
      </c>
      <c r="F2516" s="26" t="s">
        <v>50</v>
      </c>
      <c r="G2516" s="26" t="s">
        <v>29</v>
      </c>
      <c r="H2516" s="26" t="s">
        <v>30</v>
      </c>
      <c r="I2516" s="26" t="s">
        <v>47</v>
      </c>
      <c r="J2516" s="26" t="s">
        <v>42</v>
      </c>
      <c r="K2516" s="26" t="s">
        <v>44</v>
      </c>
      <c r="L2516" s="26">
        <v>8</v>
      </c>
      <c r="M2516" s="26">
        <v>1</v>
      </c>
      <c r="N2516" s="28">
        <v>0.125</v>
      </c>
      <c r="O2516" s="26">
        <v>1.02</v>
      </c>
      <c r="P2516" s="26">
        <v>1.02</v>
      </c>
      <c r="Q2516" s="26">
        <v>0</v>
      </c>
      <c r="R2516" s="26"/>
      <c r="S2516" s="26">
        <v>0</v>
      </c>
      <c r="T2516" s="26">
        <v>0</v>
      </c>
      <c r="U2516" s="26">
        <v>0</v>
      </c>
      <c r="V2516" s="28">
        <v>0</v>
      </c>
      <c r="W2516" s="26">
        <v>0</v>
      </c>
      <c r="X2516" s="26">
        <v>0</v>
      </c>
      <c r="Y2516" s="26">
        <v>0</v>
      </c>
      <c r="Z2516" s="26">
        <v>0</v>
      </c>
    </row>
    <row r="2517" spans="1:26" x14ac:dyDescent="0.2">
      <c r="A2517">
        <f t="shared" si="80"/>
        <v>5</v>
      </c>
      <c r="B2517">
        <f t="shared" si="81"/>
        <v>22</v>
      </c>
      <c r="C2517" s="27">
        <v>46167</v>
      </c>
      <c r="D2517" s="26" t="s">
        <v>26</v>
      </c>
      <c r="E2517" s="26" t="s">
        <v>27</v>
      </c>
      <c r="F2517" s="26" t="s">
        <v>28</v>
      </c>
      <c r="G2517" s="26" t="s">
        <v>29</v>
      </c>
      <c r="H2517" s="26" t="s">
        <v>30</v>
      </c>
      <c r="I2517" s="26" t="s">
        <v>50</v>
      </c>
      <c r="J2517" s="26" t="s">
        <v>32</v>
      </c>
      <c r="K2517" s="26" t="s">
        <v>44</v>
      </c>
      <c r="L2517" s="26">
        <v>37</v>
      </c>
      <c r="M2517" s="26">
        <v>1</v>
      </c>
      <c r="N2517" s="28">
        <v>2.7026999999999999E-2</v>
      </c>
      <c r="O2517" s="26">
        <v>0.2</v>
      </c>
      <c r="P2517" s="26">
        <v>0.2</v>
      </c>
      <c r="Q2517" s="26">
        <v>0</v>
      </c>
      <c r="R2517" s="26"/>
      <c r="S2517" s="26">
        <v>0</v>
      </c>
      <c r="T2517" s="26">
        <v>0</v>
      </c>
      <c r="U2517" s="26">
        <v>0</v>
      </c>
      <c r="V2517" s="28">
        <v>0</v>
      </c>
      <c r="W2517" s="26">
        <v>0</v>
      </c>
      <c r="X2517" s="26">
        <v>0</v>
      </c>
      <c r="Y2517" s="26">
        <v>0</v>
      </c>
      <c r="Z2517" s="26">
        <v>0</v>
      </c>
    </row>
    <row r="2518" spans="1:26" x14ac:dyDescent="0.2">
      <c r="A2518">
        <f t="shared" si="80"/>
        <v>5</v>
      </c>
      <c r="B2518">
        <f t="shared" si="81"/>
        <v>22</v>
      </c>
      <c r="C2518" s="27">
        <v>46168</v>
      </c>
      <c r="D2518" s="26" t="s">
        <v>26</v>
      </c>
      <c r="E2518" s="26" t="s">
        <v>27</v>
      </c>
      <c r="F2518" s="26" t="s">
        <v>28</v>
      </c>
      <c r="G2518" s="26" t="s">
        <v>29</v>
      </c>
      <c r="H2518" s="26" t="s">
        <v>30</v>
      </c>
      <c r="I2518" s="26" t="s">
        <v>50</v>
      </c>
      <c r="J2518" s="26" t="s">
        <v>32</v>
      </c>
      <c r="K2518" s="26" t="s">
        <v>44</v>
      </c>
      <c r="L2518" s="26">
        <v>42</v>
      </c>
      <c r="M2518" s="26">
        <v>2</v>
      </c>
      <c r="N2518" s="28">
        <v>4.7619000000000002E-2</v>
      </c>
      <c r="O2518" s="26">
        <v>0.2</v>
      </c>
      <c r="P2518" s="26">
        <v>0.4</v>
      </c>
      <c r="Q2518" s="26">
        <v>0</v>
      </c>
      <c r="R2518" s="26"/>
      <c r="S2518" s="26">
        <v>0</v>
      </c>
      <c r="T2518" s="26">
        <v>0</v>
      </c>
      <c r="U2518" s="26">
        <v>0</v>
      </c>
      <c r="V2518" s="28">
        <v>0</v>
      </c>
      <c r="W2518" s="26">
        <v>0</v>
      </c>
      <c r="X2518" s="26">
        <v>0</v>
      </c>
      <c r="Y2518" s="26">
        <v>0</v>
      </c>
      <c r="Z2518" s="26">
        <v>0</v>
      </c>
    </row>
    <row r="2519" spans="1:26" x14ac:dyDescent="0.2">
      <c r="A2519">
        <f t="shared" si="80"/>
        <v>5</v>
      </c>
      <c r="B2519">
        <f t="shared" si="81"/>
        <v>22</v>
      </c>
      <c r="C2519" s="27">
        <v>46169</v>
      </c>
      <c r="D2519" s="26" t="s">
        <v>26</v>
      </c>
      <c r="E2519" s="26" t="s">
        <v>27</v>
      </c>
      <c r="F2519" s="26" t="s">
        <v>28</v>
      </c>
      <c r="G2519" s="26" t="s">
        <v>29</v>
      </c>
      <c r="H2519" s="26" t="s">
        <v>30</v>
      </c>
      <c r="I2519" s="26" t="s">
        <v>50</v>
      </c>
      <c r="J2519" s="26" t="s">
        <v>32</v>
      </c>
      <c r="K2519" s="26" t="s">
        <v>44</v>
      </c>
      <c r="L2519" s="26">
        <v>36</v>
      </c>
      <c r="M2519" s="26">
        <v>1</v>
      </c>
      <c r="N2519" s="28">
        <v>2.7778000000000001E-2</v>
      </c>
      <c r="O2519" s="26">
        <v>0.2</v>
      </c>
      <c r="P2519" s="26">
        <v>0.2</v>
      </c>
      <c r="Q2519" s="26">
        <v>0</v>
      </c>
      <c r="R2519" s="26"/>
      <c r="S2519" s="26">
        <v>0</v>
      </c>
      <c r="T2519" s="26">
        <v>0</v>
      </c>
      <c r="U2519" s="26">
        <v>0</v>
      </c>
      <c r="V2519" s="28">
        <v>0</v>
      </c>
      <c r="W2519" s="26">
        <v>0</v>
      </c>
      <c r="X2519" s="26">
        <v>0</v>
      </c>
      <c r="Y2519" s="26">
        <v>0</v>
      </c>
      <c r="Z2519" s="26">
        <v>0</v>
      </c>
    </row>
    <row r="2520" spans="1:26" x14ac:dyDescent="0.2">
      <c r="A2520">
        <f t="shared" si="80"/>
        <v>5</v>
      </c>
      <c r="B2520">
        <f t="shared" si="81"/>
        <v>22</v>
      </c>
      <c r="C2520" s="27">
        <v>46170</v>
      </c>
      <c r="D2520" s="26" t="s">
        <v>26</v>
      </c>
      <c r="E2520" s="26" t="s">
        <v>27</v>
      </c>
      <c r="F2520" s="26" t="s">
        <v>28</v>
      </c>
      <c r="G2520" s="26" t="s">
        <v>29</v>
      </c>
      <c r="H2520" s="26" t="s">
        <v>30</v>
      </c>
      <c r="I2520" s="26" t="s">
        <v>50</v>
      </c>
      <c r="J2520" s="26" t="s">
        <v>32</v>
      </c>
      <c r="K2520" s="26" t="s">
        <v>44</v>
      </c>
      <c r="L2520" s="26">
        <v>50</v>
      </c>
      <c r="M2520" s="26">
        <v>2</v>
      </c>
      <c r="N2520" s="28">
        <v>0.04</v>
      </c>
      <c r="O2520" s="26">
        <v>0.22</v>
      </c>
      <c r="P2520" s="26">
        <v>0.43</v>
      </c>
      <c r="Q2520" s="26">
        <v>0</v>
      </c>
      <c r="R2520" s="26"/>
      <c r="S2520" s="26">
        <v>0</v>
      </c>
      <c r="T2520" s="26">
        <v>0</v>
      </c>
      <c r="U2520" s="26">
        <v>0</v>
      </c>
      <c r="V2520" s="28">
        <v>0</v>
      </c>
      <c r="W2520" s="26">
        <v>0</v>
      </c>
      <c r="X2520" s="26">
        <v>0</v>
      </c>
      <c r="Y2520" s="26">
        <v>0</v>
      </c>
      <c r="Z2520" s="26">
        <v>0</v>
      </c>
    </row>
    <row r="2521" spans="1:26" x14ac:dyDescent="0.2">
      <c r="A2521">
        <f t="shared" si="80"/>
        <v>5</v>
      </c>
      <c r="B2521">
        <f t="shared" si="81"/>
        <v>22</v>
      </c>
      <c r="C2521" s="27">
        <v>46168</v>
      </c>
      <c r="D2521" s="26" t="s">
        <v>26</v>
      </c>
      <c r="E2521" s="26" t="s">
        <v>27</v>
      </c>
      <c r="F2521" s="26" t="s">
        <v>28</v>
      </c>
      <c r="G2521" s="26" t="s">
        <v>29</v>
      </c>
      <c r="H2521" s="26" t="s">
        <v>30</v>
      </c>
      <c r="I2521" s="26" t="s">
        <v>50</v>
      </c>
      <c r="J2521" s="26" t="s">
        <v>32</v>
      </c>
      <c r="K2521" s="26" t="s">
        <v>1625</v>
      </c>
      <c r="L2521" s="26">
        <v>1</v>
      </c>
      <c r="M2521" s="26">
        <v>1</v>
      </c>
      <c r="N2521" s="28">
        <v>1</v>
      </c>
      <c r="O2521" s="26">
        <v>0.21</v>
      </c>
      <c r="P2521" s="26">
        <v>0.21</v>
      </c>
      <c r="Q2521" s="26">
        <v>17.47</v>
      </c>
      <c r="R2521" s="28">
        <v>1.2021E-2</v>
      </c>
      <c r="S2521" s="26">
        <v>83.19</v>
      </c>
      <c r="T2521" s="26">
        <v>1</v>
      </c>
      <c r="U2521" s="26">
        <v>1</v>
      </c>
      <c r="V2521" s="28">
        <v>1</v>
      </c>
      <c r="W2521" s="26">
        <v>1</v>
      </c>
      <c r="X2521" s="26">
        <v>0</v>
      </c>
      <c r="Y2521" s="26">
        <v>17.47</v>
      </c>
      <c r="Z2521" s="26">
        <v>0</v>
      </c>
    </row>
    <row r="2522" spans="1:26" x14ac:dyDescent="0.2">
      <c r="A2522">
        <f t="shared" si="80"/>
        <v>5</v>
      </c>
      <c r="B2522">
        <f t="shared" si="81"/>
        <v>21</v>
      </c>
      <c r="C2522" s="27">
        <v>46165</v>
      </c>
      <c r="D2522" s="26" t="s">
        <v>26</v>
      </c>
      <c r="E2522" s="26" t="s">
        <v>27</v>
      </c>
      <c r="F2522" s="26" t="s">
        <v>124</v>
      </c>
      <c r="G2522" s="26" t="s">
        <v>29</v>
      </c>
      <c r="H2522" s="26" t="s">
        <v>30</v>
      </c>
      <c r="I2522" s="26" t="s">
        <v>44</v>
      </c>
      <c r="J2522" s="26" t="s">
        <v>87</v>
      </c>
      <c r="K2522" s="26" t="s">
        <v>263</v>
      </c>
      <c r="L2522" s="26">
        <v>2</v>
      </c>
      <c r="M2522" s="26">
        <v>1</v>
      </c>
      <c r="N2522" s="28">
        <v>0.5</v>
      </c>
      <c r="O2522" s="26">
        <v>0.23</v>
      </c>
      <c r="P2522" s="26">
        <v>0.23</v>
      </c>
      <c r="Q2522" s="26">
        <v>0</v>
      </c>
      <c r="R2522" s="26"/>
      <c r="S2522" s="26">
        <v>0</v>
      </c>
      <c r="T2522" s="26">
        <v>0</v>
      </c>
      <c r="U2522" s="26">
        <v>0</v>
      </c>
      <c r="V2522" s="28">
        <v>0</v>
      </c>
      <c r="W2522" s="26">
        <v>0</v>
      </c>
      <c r="X2522" s="26">
        <v>0</v>
      </c>
      <c r="Y2522" s="26">
        <v>0</v>
      </c>
      <c r="Z2522" s="26">
        <v>0</v>
      </c>
    </row>
    <row r="2523" spans="1:26" x14ac:dyDescent="0.2">
      <c r="A2523">
        <f t="shared" si="80"/>
        <v>5</v>
      </c>
      <c r="B2523">
        <f t="shared" si="81"/>
        <v>23</v>
      </c>
      <c r="C2523" s="27">
        <v>46173</v>
      </c>
      <c r="D2523" s="26" t="s">
        <v>26</v>
      </c>
      <c r="E2523" s="26" t="s">
        <v>27</v>
      </c>
      <c r="F2523" s="26" t="s">
        <v>28</v>
      </c>
      <c r="G2523" s="26" t="s">
        <v>29</v>
      </c>
      <c r="H2523" s="26" t="s">
        <v>30</v>
      </c>
      <c r="I2523" s="26" t="s">
        <v>44</v>
      </c>
      <c r="J2523" s="26" t="s">
        <v>32</v>
      </c>
      <c r="K2523" s="26" t="s">
        <v>1626</v>
      </c>
      <c r="L2523" s="26">
        <v>2</v>
      </c>
      <c r="M2523" s="26">
        <v>1</v>
      </c>
      <c r="N2523" s="28">
        <v>0.5</v>
      </c>
      <c r="O2523" s="26">
        <v>0.21</v>
      </c>
      <c r="P2523" s="26">
        <v>0.21</v>
      </c>
      <c r="Q2523" s="26">
        <v>0</v>
      </c>
      <c r="R2523" s="26"/>
      <c r="S2523" s="26">
        <v>0</v>
      </c>
      <c r="T2523" s="26">
        <v>0</v>
      </c>
      <c r="U2523" s="26">
        <v>0</v>
      </c>
      <c r="V2523" s="28">
        <v>0</v>
      </c>
      <c r="W2523" s="26">
        <v>0</v>
      </c>
      <c r="X2523" s="26">
        <v>0</v>
      </c>
      <c r="Y2523" s="26">
        <v>0</v>
      </c>
      <c r="Z2523" s="26">
        <v>0</v>
      </c>
    </row>
    <row r="2524" spans="1:26" x14ac:dyDescent="0.2">
      <c r="A2524">
        <f t="shared" si="80"/>
        <v>5</v>
      </c>
      <c r="B2524">
        <f t="shared" si="81"/>
        <v>21</v>
      </c>
      <c r="C2524" s="27">
        <v>46165</v>
      </c>
      <c r="D2524" s="26" t="s">
        <v>26</v>
      </c>
      <c r="E2524" s="26" t="s">
        <v>49</v>
      </c>
      <c r="F2524" s="26" t="s">
        <v>50</v>
      </c>
      <c r="G2524" s="26" t="s">
        <v>29</v>
      </c>
      <c r="H2524" s="26" t="s">
        <v>30</v>
      </c>
      <c r="I2524" s="26" t="s">
        <v>47</v>
      </c>
      <c r="J2524" s="26" t="s">
        <v>42</v>
      </c>
      <c r="K2524" s="26" t="s">
        <v>369</v>
      </c>
      <c r="L2524" s="26">
        <v>6</v>
      </c>
      <c r="M2524" s="26">
        <v>1</v>
      </c>
      <c r="N2524" s="28">
        <v>0.16666700000000001</v>
      </c>
      <c r="O2524" s="26">
        <v>0.74</v>
      </c>
      <c r="P2524" s="26">
        <v>0.74</v>
      </c>
      <c r="Q2524" s="26">
        <v>17.47</v>
      </c>
      <c r="R2524" s="28">
        <v>4.2358E-2</v>
      </c>
      <c r="S2524" s="26">
        <v>23.61</v>
      </c>
      <c r="T2524" s="26">
        <v>1</v>
      </c>
      <c r="U2524" s="26">
        <v>1</v>
      </c>
      <c r="V2524" s="28">
        <v>1</v>
      </c>
      <c r="W2524" s="26">
        <v>1</v>
      </c>
      <c r="X2524" s="26">
        <v>0</v>
      </c>
      <c r="Y2524" s="26">
        <v>17.47</v>
      </c>
      <c r="Z2524" s="26">
        <v>0</v>
      </c>
    </row>
    <row r="2525" spans="1:26" x14ac:dyDescent="0.2">
      <c r="A2525">
        <f t="shared" si="80"/>
        <v>5</v>
      </c>
      <c r="B2525">
        <f t="shared" si="81"/>
        <v>22</v>
      </c>
      <c r="C2525" s="27">
        <v>46171</v>
      </c>
      <c r="D2525" s="26" t="s">
        <v>26</v>
      </c>
      <c r="E2525" s="26" t="s">
        <v>27</v>
      </c>
      <c r="F2525" s="26" t="s">
        <v>124</v>
      </c>
      <c r="G2525" s="26" t="s">
        <v>29</v>
      </c>
      <c r="H2525" s="26" t="s">
        <v>30</v>
      </c>
      <c r="I2525" s="26" t="s">
        <v>119</v>
      </c>
      <c r="J2525" s="26" t="s">
        <v>267</v>
      </c>
      <c r="K2525" s="26" t="s">
        <v>119</v>
      </c>
      <c r="L2525" s="26">
        <v>26</v>
      </c>
      <c r="M2525" s="26">
        <v>1</v>
      </c>
      <c r="N2525" s="28">
        <v>3.8462000000000003E-2</v>
      </c>
      <c r="O2525" s="26">
        <v>0.21</v>
      </c>
      <c r="P2525" s="26">
        <v>0.21</v>
      </c>
      <c r="Q2525" s="26">
        <v>0</v>
      </c>
      <c r="R2525" s="26"/>
      <c r="S2525" s="26">
        <v>0</v>
      </c>
      <c r="T2525" s="26">
        <v>0</v>
      </c>
      <c r="U2525" s="26">
        <v>0</v>
      </c>
      <c r="V2525" s="28">
        <v>0</v>
      </c>
      <c r="W2525" s="26">
        <v>0</v>
      </c>
      <c r="X2525" s="26">
        <v>0</v>
      </c>
      <c r="Y2525" s="26">
        <v>0</v>
      </c>
      <c r="Z2525" s="26">
        <v>0</v>
      </c>
    </row>
    <row r="2526" spans="1:26" x14ac:dyDescent="0.2">
      <c r="A2526">
        <f t="shared" si="80"/>
        <v>5</v>
      </c>
      <c r="B2526">
        <f t="shared" si="81"/>
        <v>22</v>
      </c>
      <c r="C2526" s="27">
        <v>46168</v>
      </c>
      <c r="D2526" s="26" t="s">
        <v>26</v>
      </c>
      <c r="E2526" s="26" t="s">
        <v>27</v>
      </c>
      <c r="F2526" s="26" t="s">
        <v>28</v>
      </c>
      <c r="G2526" s="26" t="s">
        <v>29</v>
      </c>
      <c r="H2526" s="26" t="s">
        <v>30</v>
      </c>
      <c r="I2526" s="26" t="s">
        <v>31</v>
      </c>
      <c r="J2526" s="26" t="s">
        <v>32</v>
      </c>
      <c r="K2526" s="26" t="s">
        <v>1627</v>
      </c>
      <c r="L2526" s="26">
        <v>2</v>
      </c>
      <c r="M2526" s="26">
        <v>1</v>
      </c>
      <c r="N2526" s="28">
        <v>0.5</v>
      </c>
      <c r="O2526" s="26">
        <v>0.4</v>
      </c>
      <c r="P2526" s="26">
        <v>0.4</v>
      </c>
      <c r="Q2526" s="26">
        <v>0</v>
      </c>
      <c r="R2526" s="26"/>
      <c r="S2526" s="26">
        <v>0</v>
      </c>
      <c r="T2526" s="26">
        <v>0</v>
      </c>
      <c r="U2526" s="26">
        <v>0</v>
      </c>
      <c r="V2526" s="28">
        <v>0</v>
      </c>
      <c r="W2526" s="26">
        <v>0</v>
      </c>
      <c r="X2526" s="26">
        <v>0</v>
      </c>
      <c r="Y2526" s="26">
        <v>0</v>
      </c>
      <c r="Z2526" s="26">
        <v>0</v>
      </c>
    </row>
    <row r="2527" spans="1:26" x14ac:dyDescent="0.2">
      <c r="A2527">
        <f t="shared" si="80"/>
        <v>5</v>
      </c>
      <c r="B2527">
        <f t="shared" si="81"/>
        <v>22</v>
      </c>
      <c r="C2527" s="27">
        <v>46167</v>
      </c>
      <c r="D2527" s="26" t="s">
        <v>26</v>
      </c>
      <c r="E2527" s="26" t="s">
        <v>49</v>
      </c>
      <c r="F2527" s="26" t="s">
        <v>50</v>
      </c>
      <c r="G2527" s="26" t="s">
        <v>29</v>
      </c>
      <c r="H2527" s="26" t="s">
        <v>30</v>
      </c>
      <c r="I2527" s="26" t="s">
        <v>95</v>
      </c>
      <c r="J2527" s="26" t="s">
        <v>42</v>
      </c>
      <c r="K2527" s="26" t="s">
        <v>1628</v>
      </c>
      <c r="L2527" s="26">
        <v>2</v>
      </c>
      <c r="M2527" s="26">
        <v>1</v>
      </c>
      <c r="N2527" s="28">
        <v>0.5</v>
      </c>
      <c r="O2527" s="26">
        <v>0.47</v>
      </c>
      <c r="P2527" s="26">
        <v>0.47</v>
      </c>
      <c r="Q2527" s="26">
        <v>0</v>
      </c>
      <c r="R2527" s="26"/>
      <c r="S2527" s="26">
        <v>0</v>
      </c>
      <c r="T2527" s="26">
        <v>0</v>
      </c>
      <c r="U2527" s="26">
        <v>0</v>
      </c>
      <c r="V2527" s="28">
        <v>0</v>
      </c>
      <c r="W2527" s="26">
        <v>0</v>
      </c>
      <c r="X2527" s="26">
        <v>0</v>
      </c>
      <c r="Y2527" s="26">
        <v>0</v>
      </c>
      <c r="Z2527" s="26">
        <v>0</v>
      </c>
    </row>
    <row r="2528" spans="1:26" x14ac:dyDescent="0.2">
      <c r="A2528">
        <f t="shared" si="80"/>
        <v>5</v>
      </c>
      <c r="B2528">
        <f t="shared" si="81"/>
        <v>22</v>
      </c>
      <c r="C2528" s="27">
        <v>46171</v>
      </c>
      <c r="D2528" s="26" t="s">
        <v>26</v>
      </c>
      <c r="E2528" s="26" t="s">
        <v>27</v>
      </c>
      <c r="F2528" s="26" t="s">
        <v>28</v>
      </c>
      <c r="G2528" s="26" t="s">
        <v>29</v>
      </c>
      <c r="H2528" s="26" t="s">
        <v>30</v>
      </c>
      <c r="I2528" s="26" t="s">
        <v>31</v>
      </c>
      <c r="J2528" s="26" t="s">
        <v>32</v>
      </c>
      <c r="K2528" s="26" t="s">
        <v>1629</v>
      </c>
      <c r="L2528" s="26">
        <v>3</v>
      </c>
      <c r="M2528" s="26">
        <v>1</v>
      </c>
      <c r="N2528" s="28">
        <v>0.33333299999999999</v>
      </c>
      <c r="O2528" s="26">
        <v>0.21</v>
      </c>
      <c r="P2528" s="26">
        <v>0.21</v>
      </c>
      <c r="Q2528" s="26">
        <v>0</v>
      </c>
      <c r="R2528" s="26"/>
      <c r="S2528" s="26">
        <v>0</v>
      </c>
      <c r="T2528" s="26">
        <v>0</v>
      </c>
      <c r="U2528" s="26">
        <v>0</v>
      </c>
      <c r="V2528" s="28">
        <v>0</v>
      </c>
      <c r="W2528" s="26">
        <v>0</v>
      </c>
      <c r="X2528" s="26">
        <v>0</v>
      </c>
      <c r="Y2528" s="26">
        <v>0</v>
      </c>
      <c r="Z2528" s="26">
        <v>0</v>
      </c>
    </row>
    <row r="2529" spans="1:26" x14ac:dyDescent="0.2">
      <c r="A2529">
        <f t="shared" si="80"/>
        <v>5</v>
      </c>
      <c r="B2529">
        <f t="shared" si="81"/>
        <v>22</v>
      </c>
      <c r="C2529" s="27">
        <v>46169</v>
      </c>
      <c r="D2529" s="26" t="s">
        <v>26</v>
      </c>
      <c r="E2529" s="26" t="s">
        <v>27</v>
      </c>
      <c r="F2529" s="26" t="s">
        <v>28</v>
      </c>
      <c r="G2529" s="26" t="s">
        <v>29</v>
      </c>
      <c r="H2529" s="26" t="s">
        <v>30</v>
      </c>
      <c r="I2529" s="26" t="s">
        <v>542</v>
      </c>
      <c r="J2529" s="26" t="s">
        <v>32</v>
      </c>
      <c r="K2529" s="26" t="s">
        <v>1630</v>
      </c>
      <c r="L2529" s="26">
        <v>1</v>
      </c>
      <c r="M2529" s="26">
        <v>1</v>
      </c>
      <c r="N2529" s="28">
        <v>1</v>
      </c>
      <c r="O2529" s="26">
        <v>0.21</v>
      </c>
      <c r="P2529" s="26">
        <v>0.21</v>
      </c>
      <c r="Q2529" s="26">
        <v>0</v>
      </c>
      <c r="R2529" s="26"/>
      <c r="S2529" s="26">
        <v>0</v>
      </c>
      <c r="T2529" s="26">
        <v>0</v>
      </c>
      <c r="U2529" s="26">
        <v>0</v>
      </c>
      <c r="V2529" s="28">
        <v>0</v>
      </c>
      <c r="W2529" s="26">
        <v>0</v>
      </c>
      <c r="X2529" s="26">
        <v>0</v>
      </c>
      <c r="Y2529" s="26">
        <v>0</v>
      </c>
      <c r="Z2529" s="26">
        <v>0</v>
      </c>
    </row>
    <row r="2530" spans="1:26" x14ac:dyDescent="0.2">
      <c r="A2530">
        <f t="shared" si="80"/>
        <v>5</v>
      </c>
      <c r="B2530">
        <f t="shared" si="81"/>
        <v>22</v>
      </c>
      <c r="C2530" s="27">
        <v>46166</v>
      </c>
      <c r="D2530" s="26" t="s">
        <v>26</v>
      </c>
      <c r="E2530" s="26" t="s">
        <v>27</v>
      </c>
      <c r="F2530" s="26" t="s">
        <v>28</v>
      </c>
      <c r="G2530" s="26" t="s">
        <v>29</v>
      </c>
      <c r="H2530" s="26" t="s">
        <v>30</v>
      </c>
      <c r="I2530" s="26" t="s">
        <v>542</v>
      </c>
      <c r="J2530" s="26" t="s">
        <v>32</v>
      </c>
      <c r="K2530" s="26" t="s">
        <v>542</v>
      </c>
      <c r="L2530" s="26">
        <v>4</v>
      </c>
      <c r="M2530" s="26">
        <v>1</v>
      </c>
      <c r="N2530" s="28">
        <v>0.25</v>
      </c>
      <c r="O2530" s="26">
        <v>0.21</v>
      </c>
      <c r="P2530" s="26">
        <v>0.21</v>
      </c>
      <c r="Q2530" s="26">
        <v>0</v>
      </c>
      <c r="R2530" s="26"/>
      <c r="S2530" s="26">
        <v>0</v>
      </c>
      <c r="T2530" s="26">
        <v>0</v>
      </c>
      <c r="U2530" s="26">
        <v>0</v>
      </c>
      <c r="V2530" s="28">
        <v>0</v>
      </c>
      <c r="W2530" s="26">
        <v>0</v>
      </c>
      <c r="X2530" s="26">
        <v>0</v>
      </c>
      <c r="Y2530" s="26">
        <v>0</v>
      </c>
      <c r="Z2530" s="26">
        <v>0</v>
      </c>
    </row>
    <row r="2531" spans="1:26" x14ac:dyDescent="0.2">
      <c r="A2531">
        <f t="shared" si="80"/>
        <v>5</v>
      </c>
      <c r="B2531">
        <f t="shared" si="81"/>
        <v>22</v>
      </c>
      <c r="C2531" s="27">
        <v>46170</v>
      </c>
      <c r="D2531" s="26" t="s">
        <v>26</v>
      </c>
      <c r="E2531" s="26" t="s">
        <v>27</v>
      </c>
      <c r="F2531" s="26" t="s">
        <v>28</v>
      </c>
      <c r="G2531" s="26" t="s">
        <v>29</v>
      </c>
      <c r="H2531" s="26" t="s">
        <v>30</v>
      </c>
      <c r="I2531" s="26" t="s">
        <v>156</v>
      </c>
      <c r="J2531" s="26" t="s">
        <v>32</v>
      </c>
      <c r="K2531" s="26" t="s">
        <v>374</v>
      </c>
      <c r="L2531" s="26">
        <v>1</v>
      </c>
      <c r="M2531" s="26">
        <v>1</v>
      </c>
      <c r="N2531" s="28">
        <v>1</v>
      </c>
      <c r="O2531" s="26">
        <v>0.4</v>
      </c>
      <c r="P2531" s="26">
        <v>0.4</v>
      </c>
      <c r="Q2531" s="26">
        <v>17.47</v>
      </c>
      <c r="R2531" s="28">
        <v>2.2896E-2</v>
      </c>
      <c r="S2531" s="26">
        <v>43.68</v>
      </c>
      <c r="T2531" s="26">
        <v>1</v>
      </c>
      <c r="U2531" s="26">
        <v>1</v>
      </c>
      <c r="V2531" s="28">
        <v>1</v>
      </c>
      <c r="W2531" s="26">
        <v>1</v>
      </c>
      <c r="X2531" s="26">
        <v>0</v>
      </c>
      <c r="Y2531" s="26">
        <v>17.47</v>
      </c>
      <c r="Z2531" s="26">
        <v>0</v>
      </c>
    </row>
    <row r="2532" spans="1:26" x14ac:dyDescent="0.2">
      <c r="A2532">
        <f t="shared" si="80"/>
        <v>5</v>
      </c>
      <c r="B2532">
        <f t="shared" si="81"/>
        <v>22</v>
      </c>
      <c r="C2532" s="27">
        <v>46166</v>
      </c>
      <c r="D2532" s="26" t="s">
        <v>26</v>
      </c>
      <c r="E2532" s="26" t="s">
        <v>49</v>
      </c>
      <c r="F2532" s="26" t="s">
        <v>50</v>
      </c>
      <c r="G2532" s="26" t="s">
        <v>29</v>
      </c>
      <c r="H2532" s="26" t="s">
        <v>30</v>
      </c>
      <c r="I2532" s="26" t="s">
        <v>47</v>
      </c>
      <c r="J2532" s="26" t="s">
        <v>42</v>
      </c>
      <c r="K2532" s="26" t="s">
        <v>31</v>
      </c>
      <c r="L2532" s="26">
        <v>44</v>
      </c>
      <c r="M2532" s="26">
        <v>1</v>
      </c>
      <c r="N2532" s="28">
        <v>2.2727000000000001E-2</v>
      </c>
      <c r="O2532" s="26">
        <v>0.68</v>
      </c>
      <c r="P2532" s="26">
        <v>0.68</v>
      </c>
      <c r="Q2532" s="26">
        <v>0</v>
      </c>
      <c r="R2532" s="26"/>
      <c r="S2532" s="26">
        <v>0</v>
      </c>
      <c r="T2532" s="26">
        <v>0</v>
      </c>
      <c r="U2532" s="26">
        <v>0</v>
      </c>
      <c r="V2532" s="28">
        <v>0</v>
      </c>
      <c r="W2532" s="26">
        <v>0</v>
      </c>
      <c r="X2532" s="26">
        <v>0</v>
      </c>
      <c r="Y2532" s="26">
        <v>0</v>
      </c>
      <c r="Z2532" s="26">
        <v>0</v>
      </c>
    </row>
    <row r="2533" spans="1:26" x14ac:dyDescent="0.2">
      <c r="A2533">
        <f t="shared" si="80"/>
        <v>5</v>
      </c>
      <c r="B2533">
        <f t="shared" si="81"/>
        <v>22</v>
      </c>
      <c r="C2533" s="27">
        <v>46167</v>
      </c>
      <c r="D2533" s="26" t="s">
        <v>26</v>
      </c>
      <c r="E2533" s="26" t="s">
        <v>49</v>
      </c>
      <c r="F2533" s="26" t="s">
        <v>50</v>
      </c>
      <c r="G2533" s="26" t="s">
        <v>29</v>
      </c>
      <c r="H2533" s="26" t="s">
        <v>30</v>
      </c>
      <c r="I2533" s="26" t="s">
        <v>47</v>
      </c>
      <c r="J2533" s="26" t="s">
        <v>42</v>
      </c>
      <c r="K2533" s="26" t="s">
        <v>31</v>
      </c>
      <c r="L2533" s="26">
        <v>18</v>
      </c>
      <c r="M2533" s="26">
        <v>1</v>
      </c>
      <c r="N2533" s="28">
        <v>5.5556000000000001E-2</v>
      </c>
      <c r="O2533" s="26">
        <v>0.85</v>
      </c>
      <c r="P2533" s="26">
        <v>0.85</v>
      </c>
      <c r="Q2533" s="26">
        <v>0</v>
      </c>
      <c r="R2533" s="26"/>
      <c r="S2533" s="26">
        <v>0</v>
      </c>
      <c r="T2533" s="26">
        <v>0</v>
      </c>
      <c r="U2533" s="26">
        <v>0</v>
      </c>
      <c r="V2533" s="28">
        <v>0</v>
      </c>
      <c r="W2533" s="26">
        <v>0</v>
      </c>
      <c r="X2533" s="26">
        <v>0</v>
      </c>
      <c r="Y2533" s="26">
        <v>0</v>
      </c>
      <c r="Z2533" s="26">
        <v>0</v>
      </c>
    </row>
    <row r="2534" spans="1:26" x14ac:dyDescent="0.2">
      <c r="A2534">
        <f t="shared" si="80"/>
        <v>5</v>
      </c>
      <c r="B2534">
        <f t="shared" si="81"/>
        <v>22</v>
      </c>
      <c r="C2534" s="27">
        <v>46168</v>
      </c>
      <c r="D2534" s="26" t="s">
        <v>26</v>
      </c>
      <c r="E2534" s="26" t="s">
        <v>49</v>
      </c>
      <c r="F2534" s="26" t="s">
        <v>50</v>
      </c>
      <c r="G2534" s="26" t="s">
        <v>29</v>
      </c>
      <c r="H2534" s="26" t="s">
        <v>30</v>
      </c>
      <c r="I2534" s="26" t="s">
        <v>95</v>
      </c>
      <c r="J2534" s="26" t="s">
        <v>42</v>
      </c>
      <c r="K2534" s="26" t="s">
        <v>31</v>
      </c>
      <c r="L2534" s="26">
        <v>1</v>
      </c>
      <c r="M2534" s="26">
        <v>1</v>
      </c>
      <c r="N2534" s="28">
        <v>1</v>
      </c>
      <c r="O2534" s="26">
        <v>0.53</v>
      </c>
      <c r="P2534" s="26">
        <v>0.53</v>
      </c>
      <c r="Q2534" s="26">
        <v>0</v>
      </c>
      <c r="R2534" s="26"/>
      <c r="S2534" s="26">
        <v>0</v>
      </c>
      <c r="T2534" s="26">
        <v>0</v>
      </c>
      <c r="U2534" s="26">
        <v>0</v>
      </c>
      <c r="V2534" s="28">
        <v>0</v>
      </c>
      <c r="W2534" s="26">
        <v>0</v>
      </c>
      <c r="X2534" s="26">
        <v>0</v>
      </c>
      <c r="Y2534" s="26">
        <v>0</v>
      </c>
      <c r="Z2534" s="26">
        <v>0</v>
      </c>
    </row>
    <row r="2535" spans="1:26" x14ac:dyDescent="0.2">
      <c r="A2535">
        <f t="shared" si="80"/>
        <v>5</v>
      </c>
      <c r="B2535">
        <f t="shared" si="81"/>
        <v>22</v>
      </c>
      <c r="C2535" s="27">
        <v>46172</v>
      </c>
      <c r="D2535" s="26" t="s">
        <v>26</v>
      </c>
      <c r="E2535" s="26" t="s">
        <v>49</v>
      </c>
      <c r="F2535" s="26" t="s">
        <v>50</v>
      </c>
      <c r="G2535" s="26" t="s">
        <v>29</v>
      </c>
      <c r="H2535" s="26" t="s">
        <v>30</v>
      </c>
      <c r="I2535" s="26" t="s">
        <v>95</v>
      </c>
      <c r="J2535" s="26" t="s">
        <v>42</v>
      </c>
      <c r="K2535" s="26" t="s">
        <v>31</v>
      </c>
      <c r="L2535" s="26">
        <v>4</v>
      </c>
      <c r="M2535" s="26">
        <v>1</v>
      </c>
      <c r="N2535" s="28">
        <v>0.25</v>
      </c>
      <c r="O2535" s="26">
        <v>0.77</v>
      </c>
      <c r="P2535" s="26">
        <v>0.77</v>
      </c>
      <c r="Q2535" s="26">
        <v>17.47</v>
      </c>
      <c r="R2535" s="28">
        <v>4.4075999999999997E-2</v>
      </c>
      <c r="S2535" s="26">
        <v>22.69</v>
      </c>
      <c r="T2535" s="26">
        <v>1</v>
      </c>
      <c r="U2535" s="26">
        <v>1</v>
      </c>
      <c r="V2535" s="28">
        <v>1</v>
      </c>
      <c r="W2535" s="26">
        <v>1</v>
      </c>
      <c r="X2535" s="26">
        <v>0</v>
      </c>
      <c r="Y2535" s="26">
        <v>17.47</v>
      </c>
      <c r="Z2535" s="26">
        <v>0</v>
      </c>
    </row>
    <row r="2536" spans="1:26" x14ac:dyDescent="0.2">
      <c r="A2536">
        <f t="shared" si="80"/>
        <v>5</v>
      </c>
      <c r="B2536">
        <f t="shared" si="81"/>
        <v>22</v>
      </c>
      <c r="C2536" s="27">
        <v>46167</v>
      </c>
      <c r="D2536" s="26" t="s">
        <v>26</v>
      </c>
      <c r="E2536" s="26" t="s">
        <v>27</v>
      </c>
      <c r="F2536" s="26" t="s">
        <v>124</v>
      </c>
      <c r="G2536" s="26" t="s">
        <v>29</v>
      </c>
      <c r="H2536" s="26" t="s">
        <v>30</v>
      </c>
      <c r="I2536" s="26" t="s">
        <v>31</v>
      </c>
      <c r="J2536" s="26" t="s">
        <v>87</v>
      </c>
      <c r="K2536" s="26" t="s">
        <v>31</v>
      </c>
      <c r="L2536" s="26">
        <v>292</v>
      </c>
      <c r="M2536" s="26">
        <v>1</v>
      </c>
      <c r="N2536" s="28">
        <v>3.4250000000000001E-3</v>
      </c>
      <c r="O2536" s="26">
        <v>0.44</v>
      </c>
      <c r="P2536" s="26">
        <v>0.44</v>
      </c>
      <c r="Q2536" s="26">
        <v>0</v>
      </c>
      <c r="R2536" s="26"/>
      <c r="S2536" s="26">
        <v>0</v>
      </c>
      <c r="T2536" s="26">
        <v>0</v>
      </c>
      <c r="U2536" s="26">
        <v>0</v>
      </c>
      <c r="V2536" s="28">
        <v>0</v>
      </c>
      <c r="W2536" s="26">
        <v>0</v>
      </c>
      <c r="X2536" s="26">
        <v>0</v>
      </c>
      <c r="Y2536" s="26">
        <v>0</v>
      </c>
      <c r="Z2536" s="26">
        <v>0</v>
      </c>
    </row>
    <row r="2537" spans="1:26" x14ac:dyDescent="0.2">
      <c r="A2537">
        <f t="shared" si="80"/>
        <v>5</v>
      </c>
      <c r="B2537">
        <f t="shared" si="81"/>
        <v>22</v>
      </c>
      <c r="C2537" s="27">
        <v>46170</v>
      </c>
      <c r="D2537" s="26" t="s">
        <v>26</v>
      </c>
      <c r="E2537" s="26" t="s">
        <v>27</v>
      </c>
      <c r="F2537" s="26" t="s">
        <v>124</v>
      </c>
      <c r="G2537" s="26" t="s">
        <v>29</v>
      </c>
      <c r="H2537" s="26" t="s">
        <v>30</v>
      </c>
      <c r="I2537" s="26" t="s">
        <v>31</v>
      </c>
      <c r="J2537" s="26" t="s">
        <v>87</v>
      </c>
      <c r="K2537" s="26" t="s">
        <v>31</v>
      </c>
      <c r="L2537" s="26">
        <v>66</v>
      </c>
      <c r="M2537" s="26">
        <v>1</v>
      </c>
      <c r="N2537" s="28">
        <v>1.5152000000000001E-2</v>
      </c>
      <c r="O2537" s="26">
        <v>0.2</v>
      </c>
      <c r="P2537" s="26">
        <v>0.2</v>
      </c>
      <c r="Q2537" s="26">
        <v>0</v>
      </c>
      <c r="R2537" s="26"/>
      <c r="S2537" s="26">
        <v>0</v>
      </c>
      <c r="T2537" s="26">
        <v>0</v>
      </c>
      <c r="U2537" s="26">
        <v>0</v>
      </c>
      <c r="V2537" s="28">
        <v>0</v>
      </c>
      <c r="W2537" s="26">
        <v>0</v>
      </c>
      <c r="X2537" s="26">
        <v>0</v>
      </c>
      <c r="Y2537" s="26">
        <v>0</v>
      </c>
      <c r="Z2537" s="26">
        <v>0</v>
      </c>
    </row>
    <row r="2538" spans="1:26" x14ac:dyDescent="0.2">
      <c r="A2538">
        <f t="shared" si="80"/>
        <v>5</v>
      </c>
      <c r="B2538">
        <f t="shared" si="81"/>
        <v>22</v>
      </c>
      <c r="C2538" s="27">
        <v>46170</v>
      </c>
      <c r="D2538" s="26" t="s">
        <v>26</v>
      </c>
      <c r="E2538" s="26" t="s">
        <v>49</v>
      </c>
      <c r="F2538" s="26" t="s">
        <v>50</v>
      </c>
      <c r="G2538" s="26" t="s">
        <v>29</v>
      </c>
      <c r="H2538" s="26" t="s">
        <v>30</v>
      </c>
      <c r="I2538" s="26" t="s">
        <v>47</v>
      </c>
      <c r="J2538" s="26" t="s">
        <v>42</v>
      </c>
      <c r="K2538" s="26" t="s">
        <v>272</v>
      </c>
      <c r="L2538" s="26">
        <v>22</v>
      </c>
      <c r="M2538" s="26">
        <v>1</v>
      </c>
      <c r="N2538" s="28">
        <v>4.5455000000000002E-2</v>
      </c>
      <c r="O2538" s="26">
        <v>1</v>
      </c>
      <c r="P2538" s="26">
        <v>1</v>
      </c>
      <c r="Q2538" s="26">
        <v>0</v>
      </c>
      <c r="R2538" s="26"/>
      <c r="S2538" s="26">
        <v>0</v>
      </c>
      <c r="T2538" s="26">
        <v>0</v>
      </c>
      <c r="U2538" s="26">
        <v>0</v>
      </c>
      <c r="V2538" s="28">
        <v>0</v>
      </c>
      <c r="W2538" s="26">
        <v>0</v>
      </c>
      <c r="X2538" s="26">
        <v>0</v>
      </c>
      <c r="Y2538" s="26">
        <v>0</v>
      </c>
      <c r="Z2538" s="26">
        <v>0</v>
      </c>
    </row>
    <row r="2539" spans="1:26" x14ac:dyDescent="0.2">
      <c r="A2539">
        <f t="shared" si="80"/>
        <v>5</v>
      </c>
      <c r="B2539">
        <f t="shared" si="81"/>
        <v>22</v>
      </c>
      <c r="C2539" s="27">
        <v>46168</v>
      </c>
      <c r="D2539" s="26" t="s">
        <v>26</v>
      </c>
      <c r="E2539" s="26" t="s">
        <v>27</v>
      </c>
      <c r="F2539" s="26" t="s">
        <v>28</v>
      </c>
      <c r="G2539" s="26" t="s">
        <v>29</v>
      </c>
      <c r="H2539" s="26" t="s">
        <v>30</v>
      </c>
      <c r="I2539" s="26" t="s">
        <v>144</v>
      </c>
      <c r="J2539" s="26" t="s">
        <v>32</v>
      </c>
      <c r="K2539" s="26" t="s">
        <v>272</v>
      </c>
      <c r="L2539" s="26">
        <v>6</v>
      </c>
      <c r="M2539" s="26">
        <v>1</v>
      </c>
      <c r="N2539" s="28">
        <v>0.16666700000000001</v>
      </c>
      <c r="O2539" s="26">
        <v>0.2</v>
      </c>
      <c r="P2539" s="26">
        <v>0.2</v>
      </c>
      <c r="Q2539" s="26">
        <v>0</v>
      </c>
      <c r="R2539" s="26"/>
      <c r="S2539" s="26">
        <v>0</v>
      </c>
      <c r="T2539" s="26">
        <v>0</v>
      </c>
      <c r="U2539" s="26">
        <v>0</v>
      </c>
      <c r="V2539" s="28">
        <v>0</v>
      </c>
      <c r="W2539" s="26">
        <v>0</v>
      </c>
      <c r="X2539" s="26">
        <v>0</v>
      </c>
      <c r="Y2539" s="26">
        <v>0</v>
      </c>
      <c r="Z2539" s="26">
        <v>0</v>
      </c>
    </row>
    <row r="2540" spans="1:26" x14ac:dyDescent="0.2">
      <c r="A2540">
        <f t="shared" si="80"/>
        <v>5</v>
      </c>
      <c r="B2540">
        <f t="shared" si="81"/>
        <v>21</v>
      </c>
      <c r="C2540" s="27">
        <v>46165</v>
      </c>
      <c r="D2540" s="26" t="s">
        <v>26</v>
      </c>
      <c r="E2540" s="26" t="s">
        <v>27</v>
      </c>
      <c r="F2540" s="26" t="s">
        <v>28</v>
      </c>
      <c r="G2540" s="26" t="s">
        <v>29</v>
      </c>
      <c r="H2540" s="26" t="s">
        <v>30</v>
      </c>
      <c r="I2540" s="26" t="s">
        <v>50</v>
      </c>
      <c r="J2540" s="26" t="s">
        <v>32</v>
      </c>
      <c r="K2540" s="26" t="s">
        <v>1631</v>
      </c>
      <c r="L2540" s="26">
        <v>7</v>
      </c>
      <c r="M2540" s="26">
        <v>1</v>
      </c>
      <c r="N2540" s="28">
        <v>0.14285700000000001</v>
      </c>
      <c r="O2540" s="26">
        <v>0.2</v>
      </c>
      <c r="P2540" s="26">
        <v>0.2</v>
      </c>
      <c r="Q2540" s="26">
        <v>0</v>
      </c>
      <c r="R2540" s="26"/>
      <c r="S2540" s="26">
        <v>0</v>
      </c>
      <c r="T2540" s="26">
        <v>0</v>
      </c>
      <c r="U2540" s="26">
        <v>0</v>
      </c>
      <c r="V2540" s="28">
        <v>0</v>
      </c>
      <c r="W2540" s="26">
        <v>0</v>
      </c>
      <c r="X2540" s="26">
        <v>0</v>
      </c>
      <c r="Y2540" s="26">
        <v>0</v>
      </c>
      <c r="Z2540" s="26">
        <v>0</v>
      </c>
    </row>
    <row r="2541" spans="1:26" x14ac:dyDescent="0.2">
      <c r="A2541">
        <f t="shared" si="80"/>
        <v>5</v>
      </c>
      <c r="B2541">
        <f t="shared" si="81"/>
        <v>22</v>
      </c>
      <c r="C2541" s="27">
        <v>46168</v>
      </c>
      <c r="D2541" s="26" t="s">
        <v>26</v>
      </c>
      <c r="E2541" s="26" t="s">
        <v>27</v>
      </c>
      <c r="F2541" s="26" t="s">
        <v>28</v>
      </c>
      <c r="G2541" s="26" t="s">
        <v>29</v>
      </c>
      <c r="H2541" s="26" t="s">
        <v>30</v>
      </c>
      <c r="I2541" s="26" t="s">
        <v>243</v>
      </c>
      <c r="J2541" s="26" t="s">
        <v>32</v>
      </c>
      <c r="K2541" s="26" t="s">
        <v>1632</v>
      </c>
      <c r="L2541" s="26">
        <v>1</v>
      </c>
      <c r="M2541" s="26">
        <v>1</v>
      </c>
      <c r="N2541" s="28">
        <v>1</v>
      </c>
      <c r="O2541" s="26">
        <v>0.4</v>
      </c>
      <c r="P2541" s="26">
        <v>0.4</v>
      </c>
      <c r="Q2541" s="26">
        <v>0</v>
      </c>
      <c r="R2541" s="26"/>
      <c r="S2541" s="26">
        <v>0</v>
      </c>
      <c r="T2541" s="26">
        <v>0</v>
      </c>
      <c r="U2541" s="26">
        <v>0</v>
      </c>
      <c r="V2541" s="28">
        <v>0</v>
      </c>
      <c r="W2541" s="26">
        <v>0</v>
      </c>
      <c r="X2541" s="26">
        <v>0</v>
      </c>
      <c r="Y2541" s="26">
        <v>0</v>
      </c>
      <c r="Z2541" s="26">
        <v>0</v>
      </c>
    </row>
    <row r="2542" spans="1:26" x14ac:dyDescent="0.2">
      <c r="A2542">
        <f t="shared" si="80"/>
        <v>5</v>
      </c>
      <c r="B2542">
        <f t="shared" si="81"/>
        <v>21</v>
      </c>
      <c r="C2542" s="27">
        <v>46164</v>
      </c>
      <c r="D2542" s="26" t="s">
        <v>26</v>
      </c>
      <c r="E2542" s="26" t="s">
        <v>27</v>
      </c>
      <c r="F2542" s="26" t="s">
        <v>28</v>
      </c>
      <c r="G2542" s="26" t="s">
        <v>29</v>
      </c>
      <c r="H2542" s="26" t="s">
        <v>30</v>
      </c>
      <c r="I2542" s="26" t="s">
        <v>119</v>
      </c>
      <c r="J2542" s="26" t="s">
        <v>32</v>
      </c>
      <c r="K2542" s="26" t="s">
        <v>1633</v>
      </c>
      <c r="L2542" s="26">
        <v>1</v>
      </c>
      <c r="M2542" s="26">
        <v>1</v>
      </c>
      <c r="N2542" s="28">
        <v>1</v>
      </c>
      <c r="O2542" s="26">
        <v>0.16</v>
      </c>
      <c r="P2542" s="26">
        <v>0.16</v>
      </c>
      <c r="Q2542" s="26">
        <v>0</v>
      </c>
      <c r="R2542" s="26"/>
      <c r="S2542" s="26">
        <v>0</v>
      </c>
      <c r="T2542" s="26">
        <v>0</v>
      </c>
      <c r="U2542" s="26">
        <v>0</v>
      </c>
      <c r="V2542" s="28">
        <v>0</v>
      </c>
      <c r="W2542" s="26">
        <v>0</v>
      </c>
      <c r="X2542" s="26">
        <v>0</v>
      </c>
      <c r="Y2542" s="26">
        <v>0</v>
      </c>
      <c r="Z2542" s="26">
        <v>0</v>
      </c>
    </row>
    <row r="2543" spans="1:26" x14ac:dyDescent="0.2">
      <c r="A2543">
        <f t="shared" si="80"/>
        <v>5</v>
      </c>
      <c r="B2543">
        <f t="shared" si="81"/>
        <v>22</v>
      </c>
      <c r="C2543" s="27">
        <v>46172</v>
      </c>
      <c r="D2543" s="26" t="s">
        <v>26</v>
      </c>
      <c r="E2543" s="26" t="s">
        <v>49</v>
      </c>
      <c r="F2543" s="26" t="s">
        <v>50</v>
      </c>
      <c r="G2543" s="26" t="s">
        <v>29</v>
      </c>
      <c r="H2543" s="26" t="s">
        <v>30</v>
      </c>
      <c r="I2543" s="26" t="s">
        <v>95</v>
      </c>
      <c r="J2543" s="26" t="s">
        <v>42</v>
      </c>
      <c r="K2543" s="26" t="s">
        <v>1634</v>
      </c>
      <c r="L2543" s="26">
        <v>4</v>
      </c>
      <c r="M2543" s="26">
        <v>1</v>
      </c>
      <c r="N2543" s="28">
        <v>0.25</v>
      </c>
      <c r="O2543" s="26">
        <v>0.7</v>
      </c>
      <c r="P2543" s="26">
        <v>0.7</v>
      </c>
      <c r="Q2543" s="26">
        <v>0</v>
      </c>
      <c r="R2543" s="26"/>
      <c r="S2543" s="26">
        <v>0</v>
      </c>
      <c r="T2543" s="26">
        <v>0</v>
      </c>
      <c r="U2543" s="26">
        <v>0</v>
      </c>
      <c r="V2543" s="28">
        <v>0</v>
      </c>
      <c r="W2543" s="26">
        <v>0</v>
      </c>
      <c r="X2543" s="26">
        <v>0</v>
      </c>
      <c r="Y2543" s="26">
        <v>0</v>
      </c>
      <c r="Z2543" s="26">
        <v>0</v>
      </c>
    </row>
    <row r="2544" spans="1:26" x14ac:dyDescent="0.2">
      <c r="A2544">
        <f t="shared" si="80"/>
        <v>5</v>
      </c>
      <c r="B2544">
        <f t="shared" si="81"/>
        <v>21</v>
      </c>
      <c r="C2544" s="27">
        <v>46165</v>
      </c>
      <c r="D2544" s="26" t="s">
        <v>26</v>
      </c>
      <c r="E2544" s="26" t="s">
        <v>39</v>
      </c>
      <c r="F2544" s="26" t="s">
        <v>40</v>
      </c>
      <c r="G2544" s="26" t="s">
        <v>29</v>
      </c>
      <c r="H2544" s="26" t="s">
        <v>30</v>
      </c>
      <c r="I2544" s="26" t="s">
        <v>1134</v>
      </c>
      <c r="J2544" s="26" t="s">
        <v>42</v>
      </c>
      <c r="K2544" s="26" t="s">
        <v>549</v>
      </c>
      <c r="L2544" s="26">
        <v>3</v>
      </c>
      <c r="M2544" s="26">
        <v>1</v>
      </c>
      <c r="N2544" s="28">
        <v>0.33333299999999999</v>
      </c>
      <c r="O2544" s="26">
        <v>0.45</v>
      </c>
      <c r="P2544" s="26">
        <v>0.45</v>
      </c>
      <c r="Q2544" s="26">
        <v>0</v>
      </c>
      <c r="R2544" s="26"/>
      <c r="S2544" s="26">
        <v>0</v>
      </c>
      <c r="T2544" s="26">
        <v>0</v>
      </c>
      <c r="U2544" s="26">
        <v>0</v>
      </c>
      <c r="V2544" s="28">
        <v>0</v>
      </c>
      <c r="W2544" s="26">
        <v>0</v>
      </c>
      <c r="X2544" s="26">
        <v>0</v>
      </c>
      <c r="Y2544" s="26">
        <v>0</v>
      </c>
      <c r="Z2544" s="26">
        <v>0</v>
      </c>
    </row>
    <row r="2545" spans="1:26" x14ac:dyDescent="0.2">
      <c r="A2545">
        <f t="shared" si="80"/>
        <v>5</v>
      </c>
      <c r="B2545">
        <f t="shared" si="81"/>
        <v>22</v>
      </c>
      <c r="C2545" s="27">
        <v>46167</v>
      </c>
      <c r="D2545" s="26" t="s">
        <v>26</v>
      </c>
      <c r="E2545" s="26" t="s">
        <v>39</v>
      </c>
      <c r="F2545" s="26" t="s">
        <v>40</v>
      </c>
      <c r="G2545" s="26" t="s">
        <v>29</v>
      </c>
      <c r="H2545" s="26" t="s">
        <v>30</v>
      </c>
      <c r="I2545" s="26" t="s">
        <v>1134</v>
      </c>
      <c r="J2545" s="26" t="s">
        <v>42</v>
      </c>
      <c r="K2545" s="26" t="s">
        <v>101</v>
      </c>
      <c r="L2545" s="26">
        <v>17</v>
      </c>
      <c r="M2545" s="26">
        <v>1</v>
      </c>
      <c r="N2545" s="28">
        <v>5.8824000000000001E-2</v>
      </c>
      <c r="O2545" s="26">
        <v>0.65</v>
      </c>
      <c r="P2545" s="26">
        <v>0.65</v>
      </c>
      <c r="Q2545" s="26">
        <v>0</v>
      </c>
      <c r="R2545" s="26"/>
      <c r="S2545" s="26">
        <v>0</v>
      </c>
      <c r="T2545" s="26">
        <v>0</v>
      </c>
      <c r="U2545" s="26">
        <v>0</v>
      </c>
      <c r="V2545" s="28">
        <v>0</v>
      </c>
      <c r="W2545" s="26">
        <v>0</v>
      </c>
      <c r="X2545" s="26">
        <v>0</v>
      </c>
      <c r="Y2545" s="26">
        <v>0</v>
      </c>
      <c r="Z2545" s="26">
        <v>0</v>
      </c>
    </row>
    <row r="2546" spans="1:26" x14ac:dyDescent="0.2">
      <c r="A2546">
        <f t="shared" si="80"/>
        <v>5</v>
      </c>
      <c r="B2546">
        <f t="shared" si="81"/>
        <v>21</v>
      </c>
      <c r="C2546" s="27">
        <v>46164</v>
      </c>
      <c r="D2546" s="26" t="s">
        <v>26</v>
      </c>
      <c r="E2546" s="26" t="s">
        <v>39</v>
      </c>
      <c r="F2546" s="26" t="s">
        <v>40</v>
      </c>
      <c r="G2546" s="26" t="s">
        <v>29</v>
      </c>
      <c r="H2546" s="26" t="s">
        <v>30</v>
      </c>
      <c r="I2546" s="26" t="s">
        <v>1485</v>
      </c>
      <c r="J2546" s="26" t="s">
        <v>42</v>
      </c>
      <c r="K2546" s="26" t="s">
        <v>101</v>
      </c>
      <c r="L2546" s="26">
        <v>7</v>
      </c>
      <c r="M2546" s="26">
        <v>1</v>
      </c>
      <c r="N2546" s="28">
        <v>0.14285700000000001</v>
      </c>
      <c r="O2546" s="26">
        <v>0.48</v>
      </c>
      <c r="P2546" s="26">
        <v>0.48</v>
      </c>
      <c r="Q2546" s="26">
        <v>0</v>
      </c>
      <c r="R2546" s="26"/>
      <c r="S2546" s="26">
        <v>0</v>
      </c>
      <c r="T2546" s="26">
        <v>0</v>
      </c>
      <c r="U2546" s="26">
        <v>0</v>
      </c>
      <c r="V2546" s="28">
        <v>0</v>
      </c>
      <c r="W2546" s="26">
        <v>0</v>
      </c>
      <c r="X2546" s="26">
        <v>0</v>
      </c>
      <c r="Y2546" s="26">
        <v>0</v>
      </c>
      <c r="Z2546" s="26">
        <v>0</v>
      </c>
    </row>
    <row r="2547" spans="1:26" x14ac:dyDescent="0.2">
      <c r="A2547">
        <f t="shared" si="80"/>
        <v>5</v>
      </c>
      <c r="B2547">
        <f t="shared" si="81"/>
        <v>22</v>
      </c>
      <c r="C2547" s="27">
        <v>46168</v>
      </c>
      <c r="D2547" s="26" t="s">
        <v>26</v>
      </c>
      <c r="E2547" s="26" t="s">
        <v>49</v>
      </c>
      <c r="F2547" s="26" t="s">
        <v>50</v>
      </c>
      <c r="G2547" s="26" t="s">
        <v>29</v>
      </c>
      <c r="H2547" s="26" t="s">
        <v>30</v>
      </c>
      <c r="I2547" s="26" t="s">
        <v>47</v>
      </c>
      <c r="J2547" s="26" t="s">
        <v>42</v>
      </c>
      <c r="K2547" s="26" t="s">
        <v>101</v>
      </c>
      <c r="L2547" s="26">
        <v>52</v>
      </c>
      <c r="M2547" s="26">
        <v>1</v>
      </c>
      <c r="N2547" s="28">
        <v>1.9231000000000002E-2</v>
      </c>
      <c r="O2547" s="26">
        <v>0.8</v>
      </c>
      <c r="P2547" s="26">
        <v>0.8</v>
      </c>
      <c r="Q2547" s="26">
        <v>0</v>
      </c>
      <c r="R2547" s="26"/>
      <c r="S2547" s="26">
        <v>0</v>
      </c>
      <c r="T2547" s="26">
        <v>0</v>
      </c>
      <c r="U2547" s="26">
        <v>0</v>
      </c>
      <c r="V2547" s="28">
        <v>0</v>
      </c>
      <c r="W2547" s="26">
        <v>0</v>
      </c>
      <c r="X2547" s="26">
        <v>0</v>
      </c>
      <c r="Y2547" s="26">
        <v>0</v>
      </c>
      <c r="Z2547" s="26">
        <v>0</v>
      </c>
    </row>
    <row r="2548" spans="1:26" x14ac:dyDescent="0.2">
      <c r="A2548">
        <f t="shared" si="80"/>
        <v>5</v>
      </c>
      <c r="B2548">
        <f t="shared" si="81"/>
        <v>22</v>
      </c>
      <c r="C2548" s="27">
        <v>46170</v>
      </c>
      <c r="D2548" s="26" t="s">
        <v>26</v>
      </c>
      <c r="E2548" s="26" t="s">
        <v>49</v>
      </c>
      <c r="F2548" s="26" t="s">
        <v>50</v>
      </c>
      <c r="G2548" s="26" t="s">
        <v>29</v>
      </c>
      <c r="H2548" s="26" t="s">
        <v>30</v>
      </c>
      <c r="I2548" s="26" t="s">
        <v>47</v>
      </c>
      <c r="J2548" s="26" t="s">
        <v>42</v>
      </c>
      <c r="K2548" s="26" t="s">
        <v>101</v>
      </c>
      <c r="L2548" s="26">
        <v>41</v>
      </c>
      <c r="M2548" s="26">
        <v>1</v>
      </c>
      <c r="N2548" s="28">
        <v>2.4389999999999998E-2</v>
      </c>
      <c r="O2548" s="26">
        <v>1</v>
      </c>
      <c r="P2548" s="26">
        <v>1</v>
      </c>
      <c r="Q2548" s="26">
        <v>0</v>
      </c>
      <c r="R2548" s="26"/>
      <c r="S2548" s="26">
        <v>0</v>
      </c>
      <c r="T2548" s="26">
        <v>0</v>
      </c>
      <c r="U2548" s="26">
        <v>0</v>
      </c>
      <c r="V2548" s="28">
        <v>0</v>
      </c>
      <c r="W2548" s="26">
        <v>0</v>
      </c>
      <c r="X2548" s="26">
        <v>0</v>
      </c>
      <c r="Y2548" s="26">
        <v>0</v>
      </c>
      <c r="Z2548" s="26">
        <v>0</v>
      </c>
    </row>
    <row r="2549" spans="1:26" x14ac:dyDescent="0.2">
      <c r="A2549">
        <f t="shared" si="80"/>
        <v>5</v>
      </c>
      <c r="B2549">
        <f t="shared" si="81"/>
        <v>21</v>
      </c>
      <c r="C2549" s="27">
        <v>46164</v>
      </c>
      <c r="D2549" s="26" t="s">
        <v>26</v>
      </c>
      <c r="E2549" s="26" t="s">
        <v>27</v>
      </c>
      <c r="F2549" s="26" t="s">
        <v>28</v>
      </c>
      <c r="G2549" s="26" t="s">
        <v>29</v>
      </c>
      <c r="H2549" s="26" t="s">
        <v>30</v>
      </c>
      <c r="I2549" s="26" t="s">
        <v>50</v>
      </c>
      <c r="J2549" s="26" t="s">
        <v>32</v>
      </c>
      <c r="K2549" s="26" t="s">
        <v>101</v>
      </c>
      <c r="L2549" s="26">
        <v>5</v>
      </c>
      <c r="M2549" s="26">
        <v>1</v>
      </c>
      <c r="N2549" s="28">
        <v>0.2</v>
      </c>
      <c r="O2549" s="26">
        <v>0.21</v>
      </c>
      <c r="P2549" s="26">
        <v>0.21</v>
      </c>
      <c r="Q2549" s="26">
        <v>0</v>
      </c>
      <c r="R2549" s="26"/>
      <c r="S2549" s="26">
        <v>0</v>
      </c>
      <c r="T2549" s="26">
        <v>0</v>
      </c>
      <c r="U2549" s="26">
        <v>0</v>
      </c>
      <c r="V2549" s="28">
        <v>0</v>
      </c>
      <c r="W2549" s="26">
        <v>0</v>
      </c>
      <c r="X2549" s="26">
        <v>0</v>
      </c>
      <c r="Y2549" s="26">
        <v>0</v>
      </c>
      <c r="Z2549" s="26">
        <v>0</v>
      </c>
    </row>
    <row r="2550" spans="1:26" x14ac:dyDescent="0.2">
      <c r="A2550">
        <f t="shared" si="80"/>
        <v>5</v>
      </c>
      <c r="B2550">
        <f t="shared" si="81"/>
        <v>22</v>
      </c>
      <c r="C2550" s="27">
        <v>46172</v>
      </c>
      <c r="D2550" s="26" t="s">
        <v>26</v>
      </c>
      <c r="E2550" s="26" t="s">
        <v>27</v>
      </c>
      <c r="F2550" s="26" t="s">
        <v>28</v>
      </c>
      <c r="G2550" s="26" t="s">
        <v>29</v>
      </c>
      <c r="H2550" s="26" t="s">
        <v>30</v>
      </c>
      <c r="I2550" s="26" t="s">
        <v>50</v>
      </c>
      <c r="J2550" s="26" t="s">
        <v>32</v>
      </c>
      <c r="K2550" s="26" t="s">
        <v>101</v>
      </c>
      <c r="L2550" s="26">
        <v>80</v>
      </c>
      <c r="M2550" s="26">
        <v>1</v>
      </c>
      <c r="N2550" s="28">
        <v>1.2500000000000001E-2</v>
      </c>
      <c r="O2550" s="26">
        <v>0.2</v>
      </c>
      <c r="P2550" s="26">
        <v>0.2</v>
      </c>
      <c r="Q2550" s="26">
        <v>0</v>
      </c>
      <c r="R2550" s="26"/>
      <c r="S2550" s="26">
        <v>0</v>
      </c>
      <c r="T2550" s="26">
        <v>0</v>
      </c>
      <c r="U2550" s="26">
        <v>0</v>
      </c>
      <c r="V2550" s="28">
        <v>0</v>
      </c>
      <c r="W2550" s="26">
        <v>0</v>
      </c>
      <c r="X2550" s="26">
        <v>0</v>
      </c>
      <c r="Y2550" s="26">
        <v>0</v>
      </c>
      <c r="Z2550" s="26">
        <v>0</v>
      </c>
    </row>
    <row r="2551" spans="1:26" x14ac:dyDescent="0.2">
      <c r="A2551">
        <f t="shared" si="80"/>
        <v>5</v>
      </c>
      <c r="B2551">
        <f t="shared" si="81"/>
        <v>23</v>
      </c>
      <c r="C2551" s="27">
        <v>46173</v>
      </c>
      <c r="D2551" s="26" t="s">
        <v>26</v>
      </c>
      <c r="E2551" s="26" t="s">
        <v>27</v>
      </c>
      <c r="F2551" s="26" t="s">
        <v>28</v>
      </c>
      <c r="G2551" s="26" t="s">
        <v>29</v>
      </c>
      <c r="H2551" s="26" t="s">
        <v>30</v>
      </c>
      <c r="I2551" s="26" t="s">
        <v>50</v>
      </c>
      <c r="J2551" s="26" t="s">
        <v>32</v>
      </c>
      <c r="K2551" s="26" t="s">
        <v>101</v>
      </c>
      <c r="L2551" s="26">
        <v>100</v>
      </c>
      <c r="M2551" s="26">
        <v>1</v>
      </c>
      <c r="N2551" s="28">
        <v>0.01</v>
      </c>
      <c r="O2551" s="26">
        <v>0.2</v>
      </c>
      <c r="P2551" s="26">
        <v>0.2</v>
      </c>
      <c r="Q2551" s="26">
        <v>17.47</v>
      </c>
      <c r="R2551" s="28">
        <v>1.1448E-2</v>
      </c>
      <c r="S2551" s="26">
        <v>87.35</v>
      </c>
      <c r="T2551" s="26">
        <v>1</v>
      </c>
      <c r="U2551" s="26">
        <v>1</v>
      </c>
      <c r="V2551" s="28">
        <v>1</v>
      </c>
      <c r="W2551" s="26">
        <v>1</v>
      </c>
      <c r="X2551" s="26">
        <v>0</v>
      </c>
      <c r="Y2551" s="26">
        <v>17.47</v>
      </c>
      <c r="Z2551" s="26">
        <v>0</v>
      </c>
    </row>
    <row r="2552" spans="1:26" x14ac:dyDescent="0.2">
      <c r="A2552">
        <f t="shared" si="80"/>
        <v>5</v>
      </c>
      <c r="B2552">
        <f t="shared" si="81"/>
        <v>23</v>
      </c>
      <c r="C2552" s="27">
        <v>46173</v>
      </c>
      <c r="D2552" s="26" t="s">
        <v>26</v>
      </c>
      <c r="E2552" s="26" t="s">
        <v>27</v>
      </c>
      <c r="F2552" s="26" t="s">
        <v>124</v>
      </c>
      <c r="G2552" s="26" t="s">
        <v>29</v>
      </c>
      <c r="H2552" s="26" t="s">
        <v>30</v>
      </c>
      <c r="I2552" s="26" t="s">
        <v>101</v>
      </c>
      <c r="J2552" s="26" t="s">
        <v>87</v>
      </c>
      <c r="K2552" s="26" t="s">
        <v>101</v>
      </c>
      <c r="L2552" s="26">
        <v>13</v>
      </c>
      <c r="M2552" s="26">
        <v>1</v>
      </c>
      <c r="N2552" s="28">
        <v>7.6923000000000005E-2</v>
      </c>
      <c r="O2552" s="26">
        <v>0.21</v>
      </c>
      <c r="P2552" s="26">
        <v>0.21</v>
      </c>
      <c r="Q2552" s="26">
        <v>0</v>
      </c>
      <c r="R2552" s="26"/>
      <c r="S2552" s="26">
        <v>0</v>
      </c>
      <c r="T2552" s="26">
        <v>0</v>
      </c>
      <c r="U2552" s="26">
        <v>0</v>
      </c>
      <c r="V2552" s="28">
        <v>0</v>
      </c>
      <c r="W2552" s="26">
        <v>0</v>
      </c>
      <c r="X2552" s="26">
        <v>0</v>
      </c>
      <c r="Y2552" s="26">
        <v>0</v>
      </c>
      <c r="Z2552" s="26">
        <v>0</v>
      </c>
    </row>
    <row r="2553" spans="1:26" x14ac:dyDescent="0.2">
      <c r="A2553">
        <f t="shared" si="80"/>
        <v>5</v>
      </c>
      <c r="B2553">
        <f t="shared" si="81"/>
        <v>22</v>
      </c>
      <c r="C2553" s="27">
        <v>46172</v>
      </c>
      <c r="D2553" s="26" t="s">
        <v>26</v>
      </c>
      <c r="E2553" s="26" t="s">
        <v>27</v>
      </c>
      <c r="F2553" s="26" t="s">
        <v>124</v>
      </c>
      <c r="G2553" s="26" t="s">
        <v>29</v>
      </c>
      <c r="H2553" s="26" t="s">
        <v>30</v>
      </c>
      <c r="I2553" s="26" t="s">
        <v>101</v>
      </c>
      <c r="J2553" s="26" t="s">
        <v>267</v>
      </c>
      <c r="K2553" s="26" t="s">
        <v>101</v>
      </c>
      <c r="L2553" s="26">
        <v>45</v>
      </c>
      <c r="M2553" s="26">
        <v>1</v>
      </c>
      <c r="N2553" s="28">
        <v>2.2221999999999999E-2</v>
      </c>
      <c r="O2553" s="26">
        <v>0.2</v>
      </c>
      <c r="P2553" s="26">
        <v>0.2</v>
      </c>
      <c r="Q2553" s="26">
        <v>0</v>
      </c>
      <c r="R2553" s="26"/>
      <c r="S2553" s="26">
        <v>0</v>
      </c>
      <c r="T2553" s="26">
        <v>0</v>
      </c>
      <c r="U2553" s="26">
        <v>0</v>
      </c>
      <c r="V2553" s="28">
        <v>0</v>
      </c>
      <c r="W2553" s="26">
        <v>0</v>
      </c>
      <c r="X2553" s="26">
        <v>0</v>
      </c>
      <c r="Y2553" s="26">
        <v>0</v>
      </c>
      <c r="Z2553" s="26">
        <v>0</v>
      </c>
    </row>
    <row r="2554" spans="1:26" x14ac:dyDescent="0.2">
      <c r="A2554">
        <f t="shared" si="80"/>
        <v>5</v>
      </c>
      <c r="B2554">
        <f t="shared" si="81"/>
        <v>21</v>
      </c>
      <c r="C2554" s="27">
        <v>46165</v>
      </c>
      <c r="D2554" s="26" t="s">
        <v>26</v>
      </c>
      <c r="E2554" s="26" t="s">
        <v>27</v>
      </c>
      <c r="F2554" s="26" t="s">
        <v>28</v>
      </c>
      <c r="G2554" s="26" t="s">
        <v>29</v>
      </c>
      <c r="H2554" s="26" t="s">
        <v>30</v>
      </c>
      <c r="I2554" s="26" t="s">
        <v>44</v>
      </c>
      <c r="J2554" s="26" t="s">
        <v>32</v>
      </c>
      <c r="K2554" s="26" t="s">
        <v>101</v>
      </c>
      <c r="L2554" s="26">
        <v>38</v>
      </c>
      <c r="M2554" s="26">
        <v>2</v>
      </c>
      <c r="N2554" s="28">
        <v>5.2631999999999998E-2</v>
      </c>
      <c r="O2554" s="26">
        <v>0.15</v>
      </c>
      <c r="P2554" s="26">
        <v>0.28999999999999998</v>
      </c>
      <c r="Q2554" s="26">
        <v>0</v>
      </c>
      <c r="R2554" s="26"/>
      <c r="S2554" s="26">
        <v>0</v>
      </c>
      <c r="T2554" s="26">
        <v>0</v>
      </c>
      <c r="U2554" s="26">
        <v>0</v>
      </c>
      <c r="V2554" s="28">
        <v>0</v>
      </c>
      <c r="W2554" s="26">
        <v>0</v>
      </c>
      <c r="X2554" s="26">
        <v>0</v>
      </c>
      <c r="Y2554" s="26">
        <v>0</v>
      </c>
      <c r="Z2554" s="26">
        <v>0</v>
      </c>
    </row>
    <row r="2555" spans="1:26" x14ac:dyDescent="0.2">
      <c r="A2555">
        <f t="shared" si="80"/>
        <v>5</v>
      </c>
      <c r="B2555">
        <f t="shared" si="81"/>
        <v>22</v>
      </c>
      <c r="C2555" s="27">
        <v>46166</v>
      </c>
      <c r="D2555" s="26" t="s">
        <v>26</v>
      </c>
      <c r="E2555" s="26" t="s">
        <v>27</v>
      </c>
      <c r="F2555" s="26" t="s">
        <v>28</v>
      </c>
      <c r="G2555" s="26" t="s">
        <v>29</v>
      </c>
      <c r="H2555" s="26" t="s">
        <v>30</v>
      </c>
      <c r="I2555" s="26" t="s">
        <v>44</v>
      </c>
      <c r="J2555" s="26" t="s">
        <v>32</v>
      </c>
      <c r="K2555" s="26" t="s">
        <v>101</v>
      </c>
      <c r="L2555" s="26">
        <v>24</v>
      </c>
      <c r="M2555" s="26">
        <v>1</v>
      </c>
      <c r="N2555" s="28">
        <v>4.1667000000000003E-2</v>
      </c>
      <c r="O2555" s="26">
        <v>0.2</v>
      </c>
      <c r="P2555" s="26">
        <v>0.2</v>
      </c>
      <c r="Q2555" s="26">
        <v>0</v>
      </c>
      <c r="R2555" s="26"/>
      <c r="S2555" s="26">
        <v>0</v>
      </c>
      <c r="T2555" s="26">
        <v>0</v>
      </c>
      <c r="U2555" s="26">
        <v>0</v>
      </c>
      <c r="V2555" s="28">
        <v>0</v>
      </c>
      <c r="W2555" s="26">
        <v>0</v>
      </c>
      <c r="X2555" s="26">
        <v>0</v>
      </c>
      <c r="Y2555" s="26">
        <v>0</v>
      </c>
      <c r="Z2555" s="26">
        <v>0</v>
      </c>
    </row>
    <row r="2556" spans="1:26" x14ac:dyDescent="0.2">
      <c r="A2556">
        <f t="shared" ref="A2556:A2617" si="82">MONTH(C2556)</f>
        <v>5</v>
      </c>
      <c r="B2556">
        <f t="shared" ref="B2556:B2617" si="83">WEEKNUM(C2556,1)</f>
        <v>23</v>
      </c>
      <c r="C2556" s="27">
        <v>46173</v>
      </c>
      <c r="D2556" s="26" t="s">
        <v>26</v>
      </c>
      <c r="E2556" s="26" t="s">
        <v>27</v>
      </c>
      <c r="F2556" s="26" t="s">
        <v>28</v>
      </c>
      <c r="G2556" s="26" t="s">
        <v>29</v>
      </c>
      <c r="H2556" s="26" t="s">
        <v>30</v>
      </c>
      <c r="I2556" s="26" t="s">
        <v>44</v>
      </c>
      <c r="J2556" s="26" t="s">
        <v>32</v>
      </c>
      <c r="K2556" s="26" t="s">
        <v>101</v>
      </c>
      <c r="L2556" s="26">
        <v>31</v>
      </c>
      <c r="M2556" s="26">
        <v>1</v>
      </c>
      <c r="N2556" s="28">
        <v>3.2258000000000002E-2</v>
      </c>
      <c r="O2556" s="26">
        <v>0.2</v>
      </c>
      <c r="P2556" s="26">
        <v>0.2</v>
      </c>
      <c r="Q2556" s="26">
        <v>0</v>
      </c>
      <c r="R2556" s="26"/>
      <c r="S2556" s="26">
        <v>0</v>
      </c>
      <c r="T2556" s="26">
        <v>0</v>
      </c>
      <c r="U2556" s="26">
        <v>0</v>
      </c>
      <c r="V2556" s="28">
        <v>0</v>
      </c>
      <c r="W2556" s="26">
        <v>0</v>
      </c>
      <c r="X2556" s="26">
        <v>0</v>
      </c>
      <c r="Y2556" s="26">
        <v>0</v>
      </c>
      <c r="Z2556" s="26">
        <v>0</v>
      </c>
    </row>
    <row r="2557" spans="1:26" x14ac:dyDescent="0.2">
      <c r="A2557">
        <f t="shared" si="82"/>
        <v>5</v>
      </c>
      <c r="B2557">
        <f t="shared" si="83"/>
        <v>22</v>
      </c>
      <c r="C2557" s="27">
        <v>46166</v>
      </c>
      <c r="D2557" s="26" t="s">
        <v>26</v>
      </c>
      <c r="E2557" s="26" t="s">
        <v>27</v>
      </c>
      <c r="F2557" s="26" t="s">
        <v>28</v>
      </c>
      <c r="G2557" s="26" t="s">
        <v>29</v>
      </c>
      <c r="H2557" s="26" t="s">
        <v>30</v>
      </c>
      <c r="I2557" s="26" t="s">
        <v>99</v>
      </c>
      <c r="J2557" s="26" t="s">
        <v>32</v>
      </c>
      <c r="K2557" s="26" t="s">
        <v>101</v>
      </c>
      <c r="L2557" s="26">
        <v>1</v>
      </c>
      <c r="M2557" s="26">
        <v>1</v>
      </c>
      <c r="N2557" s="28">
        <v>1</v>
      </c>
      <c r="O2557" s="26">
        <v>0.2</v>
      </c>
      <c r="P2557" s="26">
        <v>0.2</v>
      </c>
      <c r="Q2557" s="26">
        <v>0</v>
      </c>
      <c r="R2557" s="26"/>
      <c r="S2557" s="26">
        <v>0</v>
      </c>
      <c r="T2557" s="26">
        <v>0</v>
      </c>
      <c r="U2557" s="26">
        <v>0</v>
      </c>
      <c r="V2557" s="28">
        <v>0</v>
      </c>
      <c r="W2557" s="26">
        <v>0</v>
      </c>
      <c r="X2557" s="26">
        <v>0</v>
      </c>
      <c r="Y2557" s="26">
        <v>0</v>
      </c>
      <c r="Z2557" s="26">
        <v>0</v>
      </c>
    </row>
    <row r="2558" spans="1:26" x14ac:dyDescent="0.2">
      <c r="A2558">
        <f t="shared" si="82"/>
        <v>5</v>
      </c>
      <c r="B2558">
        <f t="shared" si="83"/>
        <v>21</v>
      </c>
      <c r="C2558" s="27">
        <v>46165</v>
      </c>
      <c r="D2558" s="26" t="s">
        <v>26</v>
      </c>
      <c r="E2558" s="26" t="s">
        <v>27</v>
      </c>
      <c r="F2558" s="26" t="s">
        <v>28</v>
      </c>
      <c r="G2558" s="26" t="s">
        <v>29</v>
      </c>
      <c r="H2558" s="26" t="s">
        <v>30</v>
      </c>
      <c r="I2558" s="26" t="s">
        <v>280</v>
      </c>
      <c r="J2558" s="26" t="s">
        <v>32</v>
      </c>
      <c r="K2558" s="26" t="s">
        <v>99</v>
      </c>
      <c r="L2558" s="26">
        <v>9</v>
      </c>
      <c r="M2558" s="26">
        <v>1</v>
      </c>
      <c r="N2558" s="28">
        <v>0.111111</v>
      </c>
      <c r="O2558" s="26">
        <v>0.2</v>
      </c>
      <c r="P2558" s="26">
        <v>0.2</v>
      </c>
      <c r="Q2558" s="26">
        <v>0</v>
      </c>
      <c r="R2558" s="26"/>
      <c r="S2558" s="26">
        <v>0</v>
      </c>
      <c r="T2558" s="26">
        <v>0</v>
      </c>
      <c r="U2558" s="26">
        <v>0</v>
      </c>
      <c r="V2558" s="28">
        <v>0</v>
      </c>
      <c r="W2558" s="26">
        <v>0</v>
      </c>
      <c r="X2558" s="26">
        <v>0</v>
      </c>
      <c r="Y2558" s="26">
        <v>0</v>
      </c>
      <c r="Z2558" s="26">
        <v>0</v>
      </c>
    </row>
    <row r="2559" spans="1:26" x14ac:dyDescent="0.2">
      <c r="A2559">
        <f t="shared" si="82"/>
        <v>5</v>
      </c>
      <c r="B2559">
        <f t="shared" si="83"/>
        <v>22</v>
      </c>
      <c r="C2559" s="27">
        <v>46167</v>
      </c>
      <c r="D2559" s="26" t="s">
        <v>26</v>
      </c>
      <c r="E2559" s="26" t="s">
        <v>27</v>
      </c>
      <c r="F2559" s="26" t="s">
        <v>28</v>
      </c>
      <c r="G2559" s="26" t="s">
        <v>29</v>
      </c>
      <c r="H2559" s="26" t="s">
        <v>30</v>
      </c>
      <c r="I2559" s="26" t="s">
        <v>280</v>
      </c>
      <c r="J2559" s="26" t="s">
        <v>32</v>
      </c>
      <c r="K2559" s="26" t="s">
        <v>99</v>
      </c>
      <c r="L2559" s="26">
        <v>2</v>
      </c>
      <c r="M2559" s="26">
        <v>1</v>
      </c>
      <c r="N2559" s="28">
        <v>0.5</v>
      </c>
      <c r="O2559" s="26">
        <v>0.2</v>
      </c>
      <c r="P2559" s="26">
        <v>0.2</v>
      </c>
      <c r="Q2559" s="26">
        <v>0</v>
      </c>
      <c r="R2559" s="26"/>
      <c r="S2559" s="26">
        <v>0</v>
      </c>
      <c r="T2559" s="26">
        <v>0</v>
      </c>
      <c r="U2559" s="26">
        <v>0</v>
      </c>
      <c r="V2559" s="28">
        <v>0</v>
      </c>
      <c r="W2559" s="26">
        <v>0</v>
      </c>
      <c r="X2559" s="26">
        <v>0</v>
      </c>
      <c r="Y2559" s="26">
        <v>0</v>
      </c>
      <c r="Z2559" s="26">
        <v>0</v>
      </c>
    </row>
    <row r="2560" spans="1:26" x14ac:dyDescent="0.2">
      <c r="A2560">
        <f t="shared" si="82"/>
        <v>5</v>
      </c>
      <c r="B2560">
        <f t="shared" si="83"/>
        <v>22</v>
      </c>
      <c r="C2560" s="27">
        <v>46171</v>
      </c>
      <c r="D2560" s="26" t="s">
        <v>26</v>
      </c>
      <c r="E2560" s="26" t="s">
        <v>27</v>
      </c>
      <c r="F2560" s="26" t="s">
        <v>28</v>
      </c>
      <c r="G2560" s="26" t="s">
        <v>29</v>
      </c>
      <c r="H2560" s="26" t="s">
        <v>30</v>
      </c>
      <c r="I2560" s="26" t="s">
        <v>280</v>
      </c>
      <c r="J2560" s="26" t="s">
        <v>32</v>
      </c>
      <c r="K2560" s="26" t="s">
        <v>99</v>
      </c>
      <c r="L2560" s="26">
        <v>37</v>
      </c>
      <c r="M2560" s="26">
        <v>1</v>
      </c>
      <c r="N2560" s="28">
        <v>2.7026999999999999E-2</v>
      </c>
      <c r="O2560" s="26">
        <v>0.2</v>
      </c>
      <c r="P2560" s="26">
        <v>0.2</v>
      </c>
      <c r="Q2560" s="26">
        <v>0</v>
      </c>
      <c r="R2560" s="26"/>
      <c r="S2560" s="26">
        <v>0</v>
      </c>
      <c r="T2560" s="26">
        <v>0</v>
      </c>
      <c r="U2560" s="26">
        <v>0</v>
      </c>
      <c r="V2560" s="28">
        <v>0</v>
      </c>
      <c r="W2560" s="26">
        <v>0</v>
      </c>
      <c r="X2560" s="26">
        <v>0</v>
      </c>
      <c r="Y2560" s="26">
        <v>0</v>
      </c>
      <c r="Z2560" s="26">
        <v>0</v>
      </c>
    </row>
    <row r="2561" spans="1:26" x14ac:dyDescent="0.2">
      <c r="A2561">
        <f t="shared" si="82"/>
        <v>5</v>
      </c>
      <c r="B2561">
        <f t="shared" si="83"/>
        <v>21</v>
      </c>
      <c r="C2561" s="27">
        <v>46165</v>
      </c>
      <c r="D2561" s="26" t="s">
        <v>26</v>
      </c>
      <c r="E2561" s="26" t="s">
        <v>27</v>
      </c>
      <c r="F2561" s="26" t="s">
        <v>28</v>
      </c>
      <c r="G2561" s="26" t="s">
        <v>29</v>
      </c>
      <c r="H2561" s="26" t="s">
        <v>30</v>
      </c>
      <c r="I2561" s="26" t="s">
        <v>99</v>
      </c>
      <c r="J2561" s="26" t="s">
        <v>32</v>
      </c>
      <c r="K2561" s="26" t="s">
        <v>99</v>
      </c>
      <c r="L2561" s="26">
        <v>8</v>
      </c>
      <c r="M2561" s="26">
        <v>1</v>
      </c>
      <c r="N2561" s="28">
        <v>0.125</v>
      </c>
      <c r="O2561" s="26">
        <v>0.2</v>
      </c>
      <c r="P2561" s="26">
        <v>0.2</v>
      </c>
      <c r="Q2561" s="26">
        <v>0</v>
      </c>
      <c r="R2561" s="26"/>
      <c r="S2561" s="26">
        <v>0</v>
      </c>
      <c r="T2561" s="26">
        <v>0</v>
      </c>
      <c r="U2561" s="26">
        <v>0</v>
      </c>
      <c r="V2561" s="28">
        <v>0</v>
      </c>
      <c r="W2561" s="26">
        <v>0</v>
      </c>
      <c r="X2561" s="26">
        <v>0</v>
      </c>
      <c r="Y2561" s="26">
        <v>0</v>
      </c>
      <c r="Z2561" s="26">
        <v>0</v>
      </c>
    </row>
    <row r="2562" spans="1:26" x14ac:dyDescent="0.2">
      <c r="A2562">
        <f t="shared" si="82"/>
        <v>5</v>
      </c>
      <c r="B2562">
        <f t="shared" si="83"/>
        <v>22</v>
      </c>
      <c r="C2562" s="27">
        <v>46172</v>
      </c>
      <c r="D2562" s="26" t="s">
        <v>26</v>
      </c>
      <c r="E2562" s="26" t="s">
        <v>49</v>
      </c>
      <c r="F2562" s="26" t="s">
        <v>50</v>
      </c>
      <c r="G2562" s="26" t="s">
        <v>29</v>
      </c>
      <c r="H2562" s="26" t="s">
        <v>30</v>
      </c>
      <c r="I2562" s="26" t="s">
        <v>95</v>
      </c>
      <c r="J2562" s="26" t="s">
        <v>42</v>
      </c>
      <c r="K2562" s="26" t="s">
        <v>1635</v>
      </c>
      <c r="L2562" s="26">
        <v>2</v>
      </c>
      <c r="M2562" s="26">
        <v>1</v>
      </c>
      <c r="N2562" s="28">
        <v>0.5</v>
      </c>
      <c r="O2562" s="26">
        <v>0.53</v>
      </c>
      <c r="P2562" s="26">
        <v>0.53</v>
      </c>
      <c r="Q2562" s="26">
        <v>0</v>
      </c>
      <c r="R2562" s="26"/>
      <c r="S2562" s="26">
        <v>0</v>
      </c>
      <c r="T2562" s="26">
        <v>0</v>
      </c>
      <c r="U2562" s="26">
        <v>0</v>
      </c>
      <c r="V2562" s="28">
        <v>0</v>
      </c>
      <c r="W2562" s="26">
        <v>0</v>
      </c>
      <c r="X2562" s="26">
        <v>0</v>
      </c>
      <c r="Y2562" s="26">
        <v>0</v>
      </c>
      <c r="Z2562" s="26">
        <v>0</v>
      </c>
    </row>
    <row r="2563" spans="1:26" x14ac:dyDescent="0.2">
      <c r="A2563">
        <f t="shared" si="82"/>
        <v>5</v>
      </c>
      <c r="B2563">
        <f t="shared" si="83"/>
        <v>21</v>
      </c>
      <c r="C2563" s="27">
        <v>46165</v>
      </c>
      <c r="D2563" s="26" t="s">
        <v>26</v>
      </c>
      <c r="E2563" s="26" t="s">
        <v>27</v>
      </c>
      <c r="F2563" s="26" t="s">
        <v>28</v>
      </c>
      <c r="G2563" s="26" t="s">
        <v>29</v>
      </c>
      <c r="H2563" s="26" t="s">
        <v>30</v>
      </c>
      <c r="I2563" s="26" t="s">
        <v>242</v>
      </c>
      <c r="J2563" s="26" t="s">
        <v>32</v>
      </c>
      <c r="K2563" s="26" t="s">
        <v>1636</v>
      </c>
      <c r="L2563" s="26">
        <v>2</v>
      </c>
      <c r="M2563" s="26">
        <v>1</v>
      </c>
      <c r="N2563" s="28">
        <v>0.5</v>
      </c>
      <c r="O2563" s="26">
        <v>0.23</v>
      </c>
      <c r="P2563" s="26">
        <v>0.23</v>
      </c>
      <c r="Q2563" s="26">
        <v>0</v>
      </c>
      <c r="R2563" s="26"/>
      <c r="S2563" s="26">
        <v>0</v>
      </c>
      <c r="T2563" s="26">
        <v>0</v>
      </c>
      <c r="U2563" s="26">
        <v>0</v>
      </c>
      <c r="V2563" s="28">
        <v>0</v>
      </c>
      <c r="W2563" s="26">
        <v>0</v>
      </c>
      <c r="X2563" s="26">
        <v>0</v>
      </c>
      <c r="Y2563" s="26">
        <v>0</v>
      </c>
      <c r="Z2563" s="26">
        <v>0</v>
      </c>
    </row>
    <row r="2564" spans="1:26" x14ac:dyDescent="0.2">
      <c r="A2564">
        <f t="shared" si="82"/>
        <v>5</v>
      </c>
      <c r="B2564">
        <f t="shared" si="83"/>
        <v>22</v>
      </c>
      <c r="C2564" s="27">
        <v>46169</v>
      </c>
      <c r="D2564" s="26" t="s">
        <v>26</v>
      </c>
      <c r="E2564" s="26" t="s">
        <v>49</v>
      </c>
      <c r="F2564" s="26" t="s">
        <v>50</v>
      </c>
      <c r="G2564" s="26" t="s">
        <v>29</v>
      </c>
      <c r="H2564" s="26" t="s">
        <v>30</v>
      </c>
      <c r="I2564" s="26" t="s">
        <v>47</v>
      </c>
      <c r="J2564" s="26" t="s">
        <v>42</v>
      </c>
      <c r="K2564" s="26" t="s">
        <v>553</v>
      </c>
      <c r="L2564" s="26">
        <v>4</v>
      </c>
      <c r="M2564" s="26">
        <v>1</v>
      </c>
      <c r="N2564" s="28">
        <v>0.25</v>
      </c>
      <c r="O2564" s="26">
        <v>1.02</v>
      </c>
      <c r="P2564" s="26">
        <v>1.02</v>
      </c>
      <c r="Q2564" s="26">
        <v>0</v>
      </c>
      <c r="R2564" s="26"/>
      <c r="S2564" s="26">
        <v>0</v>
      </c>
      <c r="T2564" s="26">
        <v>0</v>
      </c>
      <c r="U2564" s="26">
        <v>0</v>
      </c>
      <c r="V2564" s="28">
        <v>0</v>
      </c>
      <c r="W2564" s="26">
        <v>0</v>
      </c>
      <c r="X2564" s="26">
        <v>0</v>
      </c>
      <c r="Y2564" s="26">
        <v>0</v>
      </c>
      <c r="Z2564" s="26">
        <v>0</v>
      </c>
    </row>
    <row r="2565" spans="1:26" x14ac:dyDescent="0.2">
      <c r="A2565">
        <f t="shared" si="82"/>
        <v>5</v>
      </c>
      <c r="B2565">
        <f t="shared" si="83"/>
        <v>23</v>
      </c>
      <c r="C2565" s="27">
        <v>46173</v>
      </c>
      <c r="D2565" s="26" t="s">
        <v>26</v>
      </c>
      <c r="E2565" s="26" t="s">
        <v>27</v>
      </c>
      <c r="F2565" s="26" t="s">
        <v>28</v>
      </c>
      <c r="G2565" s="26" t="s">
        <v>29</v>
      </c>
      <c r="H2565" s="26" t="s">
        <v>30</v>
      </c>
      <c r="I2565" s="26" t="s">
        <v>243</v>
      </c>
      <c r="J2565" s="26" t="s">
        <v>32</v>
      </c>
      <c r="K2565" s="26" t="s">
        <v>1340</v>
      </c>
      <c r="L2565" s="26">
        <v>2</v>
      </c>
      <c r="M2565" s="26">
        <v>1</v>
      </c>
      <c r="N2565" s="28">
        <v>0.5</v>
      </c>
      <c r="O2565" s="26">
        <v>0.2</v>
      </c>
      <c r="P2565" s="26">
        <v>0.2</v>
      </c>
      <c r="Q2565" s="26">
        <v>0</v>
      </c>
      <c r="R2565" s="26"/>
      <c r="S2565" s="26">
        <v>0</v>
      </c>
      <c r="T2565" s="26">
        <v>0</v>
      </c>
      <c r="U2565" s="26">
        <v>0</v>
      </c>
      <c r="V2565" s="28">
        <v>0</v>
      </c>
      <c r="W2565" s="26">
        <v>0</v>
      </c>
      <c r="X2565" s="26">
        <v>0</v>
      </c>
      <c r="Y2565" s="26">
        <v>0</v>
      </c>
      <c r="Z2565" s="26">
        <v>0</v>
      </c>
    </row>
    <row r="2566" spans="1:26" x14ac:dyDescent="0.2">
      <c r="A2566">
        <f t="shared" si="82"/>
        <v>5</v>
      </c>
      <c r="B2566">
        <f t="shared" si="83"/>
        <v>22</v>
      </c>
      <c r="C2566" s="27">
        <v>46170</v>
      </c>
      <c r="D2566" s="26" t="s">
        <v>26</v>
      </c>
      <c r="E2566" s="26" t="s">
        <v>39</v>
      </c>
      <c r="F2566" s="26" t="s">
        <v>40</v>
      </c>
      <c r="G2566" s="26" t="s">
        <v>29</v>
      </c>
      <c r="H2566" s="26" t="s">
        <v>30</v>
      </c>
      <c r="I2566" s="26" t="s">
        <v>1134</v>
      </c>
      <c r="J2566" s="26" t="s">
        <v>42</v>
      </c>
      <c r="K2566" s="26" t="s">
        <v>50</v>
      </c>
      <c r="L2566" s="26">
        <v>8</v>
      </c>
      <c r="M2566" s="26">
        <v>1</v>
      </c>
      <c r="N2566" s="28">
        <v>0.125</v>
      </c>
      <c r="O2566" s="26">
        <v>0.65</v>
      </c>
      <c r="P2566" s="26">
        <v>0.65</v>
      </c>
      <c r="Q2566" s="26">
        <v>0</v>
      </c>
      <c r="R2566" s="26"/>
      <c r="S2566" s="26">
        <v>0</v>
      </c>
      <c r="T2566" s="26">
        <v>0</v>
      </c>
      <c r="U2566" s="26">
        <v>0</v>
      </c>
      <c r="V2566" s="28">
        <v>0</v>
      </c>
      <c r="W2566" s="26">
        <v>0</v>
      </c>
      <c r="X2566" s="26">
        <v>0</v>
      </c>
      <c r="Y2566" s="26">
        <v>0</v>
      </c>
      <c r="Z2566" s="26">
        <v>0</v>
      </c>
    </row>
    <row r="2567" spans="1:26" x14ac:dyDescent="0.2">
      <c r="A2567">
        <f t="shared" si="82"/>
        <v>5</v>
      </c>
      <c r="B2567">
        <f t="shared" si="83"/>
        <v>22</v>
      </c>
      <c r="C2567" s="27">
        <v>46168</v>
      </c>
      <c r="D2567" s="26" t="s">
        <v>26</v>
      </c>
      <c r="E2567" s="26" t="s">
        <v>49</v>
      </c>
      <c r="F2567" s="26" t="s">
        <v>50</v>
      </c>
      <c r="G2567" s="26" t="s">
        <v>29</v>
      </c>
      <c r="H2567" s="26" t="s">
        <v>30</v>
      </c>
      <c r="I2567" s="26" t="s">
        <v>47</v>
      </c>
      <c r="J2567" s="26" t="s">
        <v>42</v>
      </c>
      <c r="K2567" s="26" t="s">
        <v>50</v>
      </c>
      <c r="L2567" s="26">
        <v>20</v>
      </c>
      <c r="M2567" s="26">
        <v>1</v>
      </c>
      <c r="N2567" s="28">
        <v>0.05</v>
      </c>
      <c r="O2567" s="26">
        <v>0.85</v>
      </c>
      <c r="P2567" s="26">
        <v>0.85</v>
      </c>
      <c r="Q2567" s="26">
        <v>0</v>
      </c>
      <c r="R2567" s="26"/>
      <c r="S2567" s="26">
        <v>0</v>
      </c>
      <c r="T2567" s="26">
        <v>0</v>
      </c>
      <c r="U2567" s="26">
        <v>0</v>
      </c>
      <c r="V2567" s="28">
        <v>0</v>
      </c>
      <c r="W2567" s="26">
        <v>0</v>
      </c>
      <c r="X2567" s="26">
        <v>0</v>
      </c>
      <c r="Y2567" s="26">
        <v>0</v>
      </c>
      <c r="Z2567" s="26">
        <v>0</v>
      </c>
    </row>
    <row r="2568" spans="1:26" x14ac:dyDescent="0.2">
      <c r="A2568">
        <f t="shared" si="82"/>
        <v>5</v>
      </c>
      <c r="B2568">
        <f t="shared" si="83"/>
        <v>22</v>
      </c>
      <c r="C2568" s="27">
        <v>46171</v>
      </c>
      <c r="D2568" s="26" t="s">
        <v>26</v>
      </c>
      <c r="E2568" s="26" t="s">
        <v>49</v>
      </c>
      <c r="F2568" s="26" t="s">
        <v>50</v>
      </c>
      <c r="G2568" s="26" t="s">
        <v>29</v>
      </c>
      <c r="H2568" s="26" t="s">
        <v>30</v>
      </c>
      <c r="I2568" s="26" t="s">
        <v>47</v>
      </c>
      <c r="J2568" s="26" t="s">
        <v>42</v>
      </c>
      <c r="K2568" s="26" t="s">
        <v>50</v>
      </c>
      <c r="L2568" s="26">
        <v>20</v>
      </c>
      <c r="M2568" s="26">
        <v>1</v>
      </c>
      <c r="N2568" s="28">
        <v>0.05</v>
      </c>
      <c r="O2568" s="26">
        <v>1</v>
      </c>
      <c r="P2568" s="26">
        <v>1</v>
      </c>
      <c r="Q2568" s="26">
        <v>0</v>
      </c>
      <c r="R2568" s="26"/>
      <c r="S2568" s="26">
        <v>0</v>
      </c>
      <c r="T2568" s="26">
        <v>0</v>
      </c>
      <c r="U2568" s="26">
        <v>0</v>
      </c>
      <c r="V2568" s="28">
        <v>0</v>
      </c>
      <c r="W2568" s="26">
        <v>0</v>
      </c>
      <c r="X2568" s="26">
        <v>0</v>
      </c>
      <c r="Y2568" s="26">
        <v>0</v>
      </c>
      <c r="Z2568" s="26">
        <v>0</v>
      </c>
    </row>
    <row r="2569" spans="1:26" x14ac:dyDescent="0.2">
      <c r="A2569">
        <f t="shared" si="82"/>
        <v>5</v>
      </c>
      <c r="B2569">
        <f t="shared" si="83"/>
        <v>22</v>
      </c>
      <c r="C2569" s="27">
        <v>46170</v>
      </c>
      <c r="D2569" s="26" t="s">
        <v>26</v>
      </c>
      <c r="E2569" s="26" t="s">
        <v>27</v>
      </c>
      <c r="F2569" s="26" t="s">
        <v>28</v>
      </c>
      <c r="G2569" s="26" t="s">
        <v>29</v>
      </c>
      <c r="H2569" s="26" t="s">
        <v>30</v>
      </c>
      <c r="I2569" s="26" t="s">
        <v>50</v>
      </c>
      <c r="J2569" s="26" t="s">
        <v>32</v>
      </c>
      <c r="K2569" s="26" t="s">
        <v>50</v>
      </c>
      <c r="L2569" s="26">
        <v>37</v>
      </c>
      <c r="M2569" s="26">
        <v>1</v>
      </c>
      <c r="N2569" s="28">
        <v>2.7026999999999999E-2</v>
      </c>
      <c r="O2569" s="26">
        <v>0.21</v>
      </c>
      <c r="P2569" s="26">
        <v>0.21</v>
      </c>
      <c r="Q2569" s="26">
        <v>0</v>
      </c>
      <c r="R2569" s="26"/>
      <c r="S2569" s="26">
        <v>0</v>
      </c>
      <c r="T2569" s="26">
        <v>0</v>
      </c>
      <c r="U2569" s="26">
        <v>0</v>
      </c>
      <c r="V2569" s="28">
        <v>0</v>
      </c>
      <c r="W2569" s="26">
        <v>0</v>
      </c>
      <c r="X2569" s="26">
        <v>0</v>
      </c>
      <c r="Y2569" s="26">
        <v>0</v>
      </c>
      <c r="Z2569" s="26">
        <v>0</v>
      </c>
    </row>
    <row r="2570" spans="1:26" x14ac:dyDescent="0.2">
      <c r="A2570">
        <f t="shared" si="82"/>
        <v>5</v>
      </c>
      <c r="B2570">
        <f t="shared" si="83"/>
        <v>22</v>
      </c>
      <c r="C2570" s="27">
        <v>46172</v>
      </c>
      <c r="D2570" s="26" t="s">
        <v>26</v>
      </c>
      <c r="E2570" s="26" t="s">
        <v>27</v>
      </c>
      <c r="F2570" s="26" t="s">
        <v>28</v>
      </c>
      <c r="G2570" s="26" t="s">
        <v>29</v>
      </c>
      <c r="H2570" s="26" t="s">
        <v>30</v>
      </c>
      <c r="I2570" s="26" t="s">
        <v>50</v>
      </c>
      <c r="J2570" s="26" t="s">
        <v>32</v>
      </c>
      <c r="K2570" s="26" t="s">
        <v>50</v>
      </c>
      <c r="L2570" s="26">
        <v>42</v>
      </c>
      <c r="M2570" s="26">
        <v>1</v>
      </c>
      <c r="N2570" s="28">
        <v>2.3810000000000001E-2</v>
      </c>
      <c r="O2570" s="26">
        <v>0.08</v>
      </c>
      <c r="P2570" s="26">
        <v>0.08</v>
      </c>
      <c r="Q2570" s="26">
        <v>0</v>
      </c>
      <c r="R2570" s="26"/>
      <c r="S2570" s="26">
        <v>0</v>
      </c>
      <c r="T2570" s="26">
        <v>0</v>
      </c>
      <c r="U2570" s="26">
        <v>0</v>
      </c>
      <c r="V2570" s="28">
        <v>0</v>
      </c>
      <c r="W2570" s="26">
        <v>0</v>
      </c>
      <c r="X2570" s="26">
        <v>0</v>
      </c>
      <c r="Y2570" s="26">
        <v>0</v>
      </c>
      <c r="Z2570" s="26">
        <v>0</v>
      </c>
    </row>
    <row r="2571" spans="1:26" x14ac:dyDescent="0.2">
      <c r="A2571">
        <f t="shared" si="82"/>
        <v>5</v>
      </c>
      <c r="B2571">
        <f t="shared" si="83"/>
        <v>21</v>
      </c>
      <c r="C2571" s="27">
        <v>46164</v>
      </c>
      <c r="D2571" s="26" t="s">
        <v>26</v>
      </c>
      <c r="E2571" s="26" t="s">
        <v>27</v>
      </c>
      <c r="F2571" s="26" t="s">
        <v>124</v>
      </c>
      <c r="G2571" s="26" t="s">
        <v>29</v>
      </c>
      <c r="H2571" s="26" t="s">
        <v>30</v>
      </c>
      <c r="I2571" s="26" t="s">
        <v>280</v>
      </c>
      <c r="J2571" s="26" t="s">
        <v>87</v>
      </c>
      <c r="K2571" s="26" t="s">
        <v>280</v>
      </c>
      <c r="L2571" s="26">
        <v>5</v>
      </c>
      <c r="M2571" s="26">
        <v>1</v>
      </c>
      <c r="N2571" s="28">
        <v>0.2</v>
      </c>
      <c r="O2571" s="26">
        <v>0.2</v>
      </c>
      <c r="P2571" s="26">
        <v>0.2</v>
      </c>
      <c r="Q2571" s="26">
        <v>0</v>
      </c>
      <c r="R2571" s="26"/>
      <c r="S2571" s="26">
        <v>0</v>
      </c>
      <c r="T2571" s="26">
        <v>0</v>
      </c>
      <c r="U2571" s="26">
        <v>0</v>
      </c>
      <c r="V2571" s="28">
        <v>0</v>
      </c>
      <c r="W2571" s="26">
        <v>0</v>
      </c>
      <c r="X2571" s="26">
        <v>0</v>
      </c>
      <c r="Y2571" s="26">
        <v>0</v>
      </c>
      <c r="Z2571" s="26">
        <v>0</v>
      </c>
    </row>
    <row r="2572" spans="1:26" x14ac:dyDescent="0.2">
      <c r="A2572">
        <f t="shared" si="82"/>
        <v>5</v>
      </c>
      <c r="B2572">
        <f t="shared" si="83"/>
        <v>22</v>
      </c>
      <c r="C2572" s="27">
        <v>46171</v>
      </c>
      <c r="D2572" s="26" t="s">
        <v>26</v>
      </c>
      <c r="E2572" s="26" t="s">
        <v>27</v>
      </c>
      <c r="F2572" s="26" t="s">
        <v>28</v>
      </c>
      <c r="G2572" s="26" t="s">
        <v>29</v>
      </c>
      <c r="H2572" s="26" t="s">
        <v>30</v>
      </c>
      <c r="I2572" s="26" t="s">
        <v>50</v>
      </c>
      <c r="J2572" s="26" t="s">
        <v>32</v>
      </c>
      <c r="K2572" s="26" t="s">
        <v>1637</v>
      </c>
      <c r="L2572" s="26">
        <v>1</v>
      </c>
      <c r="M2572" s="26">
        <v>1</v>
      </c>
      <c r="N2572" s="28">
        <v>1</v>
      </c>
      <c r="O2572" s="26">
        <v>0.21</v>
      </c>
      <c r="P2572" s="26">
        <v>0.21</v>
      </c>
      <c r="Q2572" s="26">
        <v>0</v>
      </c>
      <c r="R2572" s="26"/>
      <c r="S2572" s="26">
        <v>0</v>
      </c>
      <c r="T2572" s="26">
        <v>0</v>
      </c>
      <c r="U2572" s="26">
        <v>0</v>
      </c>
      <c r="V2572" s="28">
        <v>0</v>
      </c>
      <c r="W2572" s="26">
        <v>0</v>
      </c>
      <c r="X2572" s="26">
        <v>0</v>
      </c>
      <c r="Y2572" s="26">
        <v>0</v>
      </c>
      <c r="Z2572" s="26">
        <v>0</v>
      </c>
    </row>
    <row r="2573" spans="1:26" x14ac:dyDescent="0.2">
      <c r="A2573">
        <f t="shared" si="82"/>
        <v>5</v>
      </c>
      <c r="B2573">
        <f t="shared" si="83"/>
        <v>22</v>
      </c>
      <c r="C2573" s="27">
        <v>46168</v>
      </c>
      <c r="D2573" s="26" t="s">
        <v>26</v>
      </c>
      <c r="E2573" s="26" t="s">
        <v>27</v>
      </c>
      <c r="F2573" s="26" t="s">
        <v>28</v>
      </c>
      <c r="G2573" s="26" t="s">
        <v>29</v>
      </c>
      <c r="H2573" s="26" t="s">
        <v>30</v>
      </c>
      <c r="I2573" s="26" t="s">
        <v>50</v>
      </c>
      <c r="J2573" s="26" t="s">
        <v>32</v>
      </c>
      <c r="K2573" s="26" t="s">
        <v>1638</v>
      </c>
      <c r="L2573" s="26">
        <v>3</v>
      </c>
      <c r="M2573" s="26">
        <v>1</v>
      </c>
      <c r="N2573" s="28">
        <v>0.33333299999999999</v>
      </c>
      <c r="O2573" s="26">
        <v>0.4</v>
      </c>
      <c r="P2573" s="26">
        <v>0.4</v>
      </c>
      <c r="Q2573" s="26">
        <v>0</v>
      </c>
      <c r="R2573" s="26"/>
      <c r="S2573" s="26">
        <v>0</v>
      </c>
      <c r="T2573" s="26">
        <v>0</v>
      </c>
      <c r="U2573" s="26">
        <v>0</v>
      </c>
      <c r="V2573" s="28">
        <v>0</v>
      </c>
      <c r="W2573" s="26">
        <v>0</v>
      </c>
      <c r="X2573" s="26">
        <v>0</v>
      </c>
      <c r="Y2573" s="26">
        <v>0</v>
      </c>
      <c r="Z2573" s="26">
        <v>0</v>
      </c>
    </row>
    <row r="2574" spans="1:26" x14ac:dyDescent="0.2">
      <c r="A2574">
        <f t="shared" si="82"/>
        <v>5</v>
      </c>
      <c r="B2574">
        <f t="shared" si="83"/>
        <v>21</v>
      </c>
      <c r="C2574" s="27">
        <v>46165</v>
      </c>
      <c r="D2574" s="26" t="s">
        <v>26</v>
      </c>
      <c r="E2574" s="26" t="s">
        <v>49</v>
      </c>
      <c r="F2574" s="26" t="s">
        <v>50</v>
      </c>
      <c r="G2574" s="26" t="s">
        <v>29</v>
      </c>
      <c r="H2574" s="26" t="s">
        <v>30</v>
      </c>
      <c r="I2574" s="26" t="s">
        <v>95</v>
      </c>
      <c r="J2574" s="26" t="s">
        <v>42</v>
      </c>
      <c r="K2574" s="26" t="s">
        <v>1639</v>
      </c>
      <c r="L2574" s="26">
        <v>2</v>
      </c>
      <c r="M2574" s="26">
        <v>1</v>
      </c>
      <c r="N2574" s="28">
        <v>0.5</v>
      </c>
      <c r="O2574" s="26">
        <v>0.59</v>
      </c>
      <c r="P2574" s="26">
        <v>0.59</v>
      </c>
      <c r="Q2574" s="26">
        <v>0</v>
      </c>
      <c r="R2574" s="26"/>
      <c r="S2574" s="26">
        <v>0</v>
      </c>
      <c r="T2574" s="26">
        <v>0</v>
      </c>
      <c r="U2574" s="26">
        <v>0</v>
      </c>
      <c r="V2574" s="28">
        <v>0</v>
      </c>
      <c r="W2574" s="26">
        <v>0</v>
      </c>
      <c r="X2574" s="26">
        <v>0</v>
      </c>
      <c r="Y2574" s="26">
        <v>0</v>
      </c>
      <c r="Z2574" s="26">
        <v>0</v>
      </c>
    </row>
    <row r="2575" spans="1:26" x14ac:dyDescent="0.2">
      <c r="A2575">
        <f t="shared" si="82"/>
        <v>5</v>
      </c>
      <c r="B2575">
        <f t="shared" si="83"/>
        <v>21</v>
      </c>
      <c r="C2575" s="27">
        <v>46164</v>
      </c>
      <c r="D2575" s="26" t="s">
        <v>26</v>
      </c>
      <c r="E2575" s="26" t="s">
        <v>27</v>
      </c>
      <c r="F2575" s="26" t="s">
        <v>28</v>
      </c>
      <c r="G2575" s="26" t="s">
        <v>29</v>
      </c>
      <c r="H2575" s="26" t="s">
        <v>30</v>
      </c>
      <c r="I2575" s="26" t="s">
        <v>31</v>
      </c>
      <c r="J2575" s="26" t="s">
        <v>32</v>
      </c>
      <c r="K2575" s="26" t="s">
        <v>1640</v>
      </c>
      <c r="L2575" s="26">
        <v>1</v>
      </c>
      <c r="M2575" s="26">
        <v>1</v>
      </c>
      <c r="N2575" s="28">
        <v>1</v>
      </c>
      <c r="O2575" s="26">
        <v>0.21</v>
      </c>
      <c r="P2575" s="26">
        <v>0.21</v>
      </c>
      <c r="Q2575" s="26">
        <v>0</v>
      </c>
      <c r="R2575" s="26"/>
      <c r="S2575" s="26">
        <v>0</v>
      </c>
      <c r="T2575" s="26">
        <v>0</v>
      </c>
      <c r="U2575" s="26">
        <v>0</v>
      </c>
      <c r="V2575" s="28">
        <v>0</v>
      </c>
      <c r="W2575" s="26">
        <v>0</v>
      </c>
      <c r="X2575" s="26">
        <v>0</v>
      </c>
      <c r="Y2575" s="26">
        <v>0</v>
      </c>
      <c r="Z2575" s="26">
        <v>0</v>
      </c>
    </row>
    <row r="2576" spans="1:26" x14ac:dyDescent="0.2">
      <c r="A2576">
        <f t="shared" si="82"/>
        <v>5</v>
      </c>
      <c r="B2576">
        <f t="shared" si="83"/>
        <v>23</v>
      </c>
      <c r="C2576" s="27">
        <v>46173</v>
      </c>
      <c r="D2576" s="26" t="s">
        <v>26</v>
      </c>
      <c r="E2576" s="26" t="s">
        <v>49</v>
      </c>
      <c r="F2576" s="26" t="s">
        <v>50</v>
      </c>
      <c r="G2576" s="26" t="s">
        <v>29</v>
      </c>
      <c r="H2576" s="26" t="s">
        <v>30</v>
      </c>
      <c r="I2576" s="26" t="s">
        <v>95</v>
      </c>
      <c r="J2576" s="26" t="s">
        <v>42</v>
      </c>
      <c r="K2576" s="26" t="s">
        <v>559</v>
      </c>
      <c r="L2576" s="26">
        <v>3</v>
      </c>
      <c r="M2576" s="26">
        <v>1</v>
      </c>
      <c r="N2576" s="28">
        <v>0.33333299999999999</v>
      </c>
      <c r="O2576" s="26">
        <v>0.77</v>
      </c>
      <c r="P2576" s="26">
        <v>0.77</v>
      </c>
      <c r="Q2576" s="26">
        <v>0</v>
      </c>
      <c r="R2576" s="26"/>
      <c r="S2576" s="26">
        <v>0</v>
      </c>
      <c r="T2576" s="26">
        <v>0</v>
      </c>
      <c r="U2576" s="26">
        <v>0</v>
      </c>
      <c r="V2576" s="28">
        <v>0</v>
      </c>
      <c r="W2576" s="26">
        <v>0</v>
      </c>
      <c r="X2576" s="26">
        <v>0</v>
      </c>
      <c r="Y2576" s="26">
        <v>0</v>
      </c>
      <c r="Z2576" s="26">
        <v>0</v>
      </c>
    </row>
    <row r="2577" spans="1:26" x14ac:dyDescent="0.2">
      <c r="A2577">
        <f t="shared" si="82"/>
        <v>5</v>
      </c>
      <c r="B2577">
        <f t="shared" si="83"/>
        <v>21</v>
      </c>
      <c r="C2577" s="27">
        <v>46165</v>
      </c>
      <c r="D2577" s="26" t="s">
        <v>26</v>
      </c>
      <c r="E2577" s="26" t="s">
        <v>27</v>
      </c>
      <c r="F2577" s="26" t="s">
        <v>28</v>
      </c>
      <c r="G2577" s="26" t="s">
        <v>29</v>
      </c>
      <c r="H2577" s="26" t="s">
        <v>30</v>
      </c>
      <c r="I2577" s="26" t="s">
        <v>119</v>
      </c>
      <c r="J2577" s="26" t="s">
        <v>32</v>
      </c>
      <c r="K2577" s="26" t="s">
        <v>1641</v>
      </c>
      <c r="L2577" s="26">
        <v>1</v>
      </c>
      <c r="M2577" s="26">
        <v>1</v>
      </c>
      <c r="N2577" s="28">
        <v>1</v>
      </c>
      <c r="O2577" s="26">
        <v>0.16</v>
      </c>
      <c r="P2577" s="26">
        <v>0.16</v>
      </c>
      <c r="Q2577" s="26">
        <v>0</v>
      </c>
      <c r="R2577" s="26"/>
      <c r="S2577" s="26">
        <v>0</v>
      </c>
      <c r="T2577" s="26">
        <v>0</v>
      </c>
      <c r="U2577" s="26">
        <v>0</v>
      </c>
      <c r="V2577" s="28">
        <v>0</v>
      </c>
      <c r="W2577" s="26">
        <v>0</v>
      </c>
      <c r="X2577" s="26">
        <v>0</v>
      </c>
      <c r="Y2577" s="26">
        <v>0</v>
      </c>
      <c r="Z2577" s="26">
        <v>0</v>
      </c>
    </row>
    <row r="2578" spans="1:26" x14ac:dyDescent="0.2">
      <c r="A2578">
        <f t="shared" si="82"/>
        <v>5</v>
      </c>
      <c r="B2578">
        <f t="shared" si="83"/>
        <v>22</v>
      </c>
      <c r="C2578" s="27">
        <v>46172</v>
      </c>
      <c r="D2578" s="26" t="s">
        <v>26</v>
      </c>
      <c r="E2578" s="26" t="s">
        <v>27</v>
      </c>
      <c r="F2578" s="26" t="s">
        <v>28</v>
      </c>
      <c r="G2578" s="26" t="s">
        <v>29</v>
      </c>
      <c r="H2578" s="26" t="s">
        <v>30</v>
      </c>
      <c r="I2578" s="26" t="s">
        <v>119</v>
      </c>
      <c r="J2578" s="26" t="s">
        <v>32</v>
      </c>
      <c r="K2578" s="26" t="s">
        <v>1642</v>
      </c>
      <c r="L2578" s="26">
        <v>1</v>
      </c>
      <c r="M2578" s="26">
        <v>1</v>
      </c>
      <c r="N2578" s="28">
        <v>1</v>
      </c>
      <c r="O2578" s="26">
        <v>0.12</v>
      </c>
      <c r="P2578" s="26">
        <v>0.12</v>
      </c>
      <c r="Q2578" s="26">
        <v>0</v>
      </c>
      <c r="R2578" s="26"/>
      <c r="S2578" s="26">
        <v>0</v>
      </c>
      <c r="T2578" s="26">
        <v>0</v>
      </c>
      <c r="U2578" s="26">
        <v>0</v>
      </c>
      <c r="V2578" s="28">
        <v>0</v>
      </c>
      <c r="W2578" s="26">
        <v>0</v>
      </c>
      <c r="X2578" s="26">
        <v>0</v>
      </c>
      <c r="Y2578" s="26">
        <v>0</v>
      </c>
      <c r="Z2578" s="26">
        <v>0</v>
      </c>
    </row>
    <row r="2579" spans="1:26" x14ac:dyDescent="0.2">
      <c r="A2579">
        <f t="shared" si="82"/>
        <v>5</v>
      </c>
      <c r="B2579">
        <f t="shared" si="83"/>
        <v>22</v>
      </c>
      <c r="C2579" s="27">
        <v>46172</v>
      </c>
      <c r="D2579" s="26" t="s">
        <v>26</v>
      </c>
      <c r="E2579" s="26" t="s">
        <v>27</v>
      </c>
      <c r="F2579" s="26" t="s">
        <v>124</v>
      </c>
      <c r="G2579" s="26" t="s">
        <v>29</v>
      </c>
      <c r="H2579" s="26" t="s">
        <v>30</v>
      </c>
      <c r="I2579" s="26" t="s">
        <v>31</v>
      </c>
      <c r="J2579" s="26" t="s">
        <v>87</v>
      </c>
      <c r="K2579" s="26" t="s">
        <v>1643</v>
      </c>
      <c r="L2579" s="26">
        <v>1</v>
      </c>
      <c r="M2579" s="26">
        <v>1</v>
      </c>
      <c r="N2579" s="28">
        <v>1</v>
      </c>
      <c r="O2579" s="26">
        <v>0.4</v>
      </c>
      <c r="P2579" s="26">
        <v>0.4</v>
      </c>
      <c r="Q2579" s="26">
        <v>0</v>
      </c>
      <c r="R2579" s="26"/>
      <c r="S2579" s="26">
        <v>0</v>
      </c>
      <c r="T2579" s="26">
        <v>0</v>
      </c>
      <c r="U2579" s="26">
        <v>0</v>
      </c>
      <c r="V2579" s="28">
        <v>0</v>
      </c>
      <c r="W2579" s="26">
        <v>0</v>
      </c>
      <c r="X2579" s="26">
        <v>0</v>
      </c>
      <c r="Y2579" s="26">
        <v>0</v>
      </c>
      <c r="Z2579" s="26">
        <v>0</v>
      </c>
    </row>
    <row r="2580" spans="1:26" x14ac:dyDescent="0.2">
      <c r="A2580">
        <f t="shared" si="82"/>
        <v>5</v>
      </c>
      <c r="B2580">
        <f t="shared" si="83"/>
        <v>22</v>
      </c>
      <c r="C2580" s="27">
        <v>46168</v>
      </c>
      <c r="D2580" s="26" t="s">
        <v>26</v>
      </c>
      <c r="E2580" s="26" t="s">
        <v>49</v>
      </c>
      <c r="F2580" s="26" t="s">
        <v>50</v>
      </c>
      <c r="G2580" s="26" t="s">
        <v>29</v>
      </c>
      <c r="H2580" s="26" t="s">
        <v>30</v>
      </c>
      <c r="I2580" s="26" t="s">
        <v>95</v>
      </c>
      <c r="J2580" s="26" t="s">
        <v>42</v>
      </c>
      <c r="K2580" s="26" t="s">
        <v>1644</v>
      </c>
      <c r="L2580" s="26">
        <v>3</v>
      </c>
      <c r="M2580" s="26">
        <v>2</v>
      </c>
      <c r="N2580" s="28">
        <v>0.66666700000000001</v>
      </c>
      <c r="O2580" s="26">
        <v>0.53</v>
      </c>
      <c r="P2580" s="26">
        <v>1.06</v>
      </c>
      <c r="Q2580" s="26">
        <v>17.47</v>
      </c>
      <c r="R2580" s="28">
        <v>6.0675E-2</v>
      </c>
      <c r="S2580" s="26">
        <v>16.48</v>
      </c>
      <c r="T2580" s="26">
        <v>1</v>
      </c>
      <c r="U2580" s="26">
        <v>1</v>
      </c>
      <c r="V2580" s="28">
        <v>0.5</v>
      </c>
      <c r="W2580" s="26">
        <v>1</v>
      </c>
      <c r="X2580" s="26">
        <v>0</v>
      </c>
      <c r="Y2580" s="26">
        <v>17.47</v>
      </c>
      <c r="Z2580" s="26">
        <v>0</v>
      </c>
    </row>
    <row r="2581" spans="1:26" x14ac:dyDescent="0.2">
      <c r="A2581">
        <f t="shared" si="82"/>
        <v>5</v>
      </c>
      <c r="B2581">
        <f t="shared" si="83"/>
        <v>23</v>
      </c>
      <c r="C2581" s="27">
        <v>46173</v>
      </c>
      <c r="D2581" s="26" t="s">
        <v>26</v>
      </c>
      <c r="E2581" s="26" t="s">
        <v>27</v>
      </c>
      <c r="F2581" s="26" t="s">
        <v>28</v>
      </c>
      <c r="G2581" s="26" t="s">
        <v>29</v>
      </c>
      <c r="H2581" s="26" t="s">
        <v>30</v>
      </c>
      <c r="I2581" s="26" t="s">
        <v>50</v>
      </c>
      <c r="J2581" s="26" t="s">
        <v>32</v>
      </c>
      <c r="K2581" s="26" t="s">
        <v>1645</v>
      </c>
      <c r="L2581" s="26">
        <v>1</v>
      </c>
      <c r="M2581" s="26">
        <v>1</v>
      </c>
      <c r="N2581" s="28">
        <v>1</v>
      </c>
      <c r="O2581" s="26">
        <v>0.21</v>
      </c>
      <c r="P2581" s="26">
        <v>0.21</v>
      </c>
      <c r="Q2581" s="26">
        <v>0</v>
      </c>
      <c r="R2581" s="26"/>
      <c r="S2581" s="26">
        <v>0</v>
      </c>
      <c r="T2581" s="26">
        <v>0</v>
      </c>
      <c r="U2581" s="26">
        <v>0</v>
      </c>
      <c r="V2581" s="28">
        <v>0</v>
      </c>
      <c r="W2581" s="26">
        <v>0</v>
      </c>
      <c r="X2581" s="26">
        <v>0</v>
      </c>
      <c r="Y2581" s="26">
        <v>0</v>
      </c>
      <c r="Z2581" s="26">
        <v>0</v>
      </c>
    </row>
    <row r="2582" spans="1:26" x14ac:dyDescent="0.2">
      <c r="A2582">
        <f t="shared" si="82"/>
        <v>5</v>
      </c>
      <c r="B2582">
        <f t="shared" si="83"/>
        <v>22</v>
      </c>
      <c r="C2582" s="27">
        <v>46170</v>
      </c>
      <c r="D2582" s="26" t="s">
        <v>26</v>
      </c>
      <c r="E2582" s="26" t="s">
        <v>27</v>
      </c>
      <c r="F2582" s="26" t="s">
        <v>28</v>
      </c>
      <c r="G2582" s="26" t="s">
        <v>29</v>
      </c>
      <c r="H2582" s="26" t="s">
        <v>30</v>
      </c>
      <c r="I2582" s="26" t="s">
        <v>133</v>
      </c>
      <c r="J2582" s="26" t="s">
        <v>32</v>
      </c>
      <c r="K2582" s="26" t="s">
        <v>1646</v>
      </c>
      <c r="L2582" s="26">
        <v>1</v>
      </c>
      <c r="M2582" s="26">
        <v>1</v>
      </c>
      <c r="N2582" s="28">
        <v>1</v>
      </c>
      <c r="O2582" s="26">
        <v>0.2</v>
      </c>
      <c r="P2582" s="26">
        <v>0.2</v>
      </c>
      <c r="Q2582" s="26">
        <v>0</v>
      </c>
      <c r="R2582" s="26"/>
      <c r="S2582" s="26">
        <v>0</v>
      </c>
      <c r="T2582" s="26">
        <v>0</v>
      </c>
      <c r="U2582" s="26">
        <v>0</v>
      </c>
      <c r="V2582" s="28">
        <v>0</v>
      </c>
      <c r="W2582" s="26">
        <v>0</v>
      </c>
      <c r="X2582" s="26">
        <v>0</v>
      </c>
      <c r="Y2582" s="26">
        <v>0</v>
      </c>
      <c r="Z2582" s="26">
        <v>0</v>
      </c>
    </row>
    <row r="2583" spans="1:26" x14ac:dyDescent="0.2">
      <c r="A2583">
        <f t="shared" si="82"/>
        <v>5</v>
      </c>
      <c r="B2583">
        <f t="shared" si="83"/>
        <v>21</v>
      </c>
      <c r="C2583" s="27">
        <v>46164</v>
      </c>
      <c r="D2583" s="26" t="s">
        <v>26</v>
      </c>
      <c r="E2583" s="26" t="s">
        <v>49</v>
      </c>
      <c r="F2583" s="26" t="s">
        <v>50</v>
      </c>
      <c r="G2583" s="26" t="s">
        <v>29</v>
      </c>
      <c r="H2583" s="26" t="s">
        <v>30</v>
      </c>
      <c r="I2583" s="26" t="s">
        <v>47</v>
      </c>
      <c r="J2583" s="26" t="s">
        <v>42</v>
      </c>
      <c r="K2583" s="26" t="s">
        <v>293</v>
      </c>
      <c r="L2583" s="26">
        <v>14</v>
      </c>
      <c r="M2583" s="26">
        <v>1</v>
      </c>
      <c r="N2583" s="28">
        <v>7.1429000000000006E-2</v>
      </c>
      <c r="O2583" s="26">
        <v>0.85</v>
      </c>
      <c r="P2583" s="26">
        <v>0.85</v>
      </c>
      <c r="Q2583" s="26">
        <v>17.989999999999998</v>
      </c>
      <c r="R2583" s="28">
        <v>4.7247999999999998E-2</v>
      </c>
      <c r="S2583" s="26">
        <v>21.16</v>
      </c>
      <c r="T2583" s="26">
        <v>1</v>
      </c>
      <c r="U2583" s="26">
        <v>1</v>
      </c>
      <c r="V2583" s="28">
        <v>1</v>
      </c>
      <c r="W2583" s="26">
        <v>0</v>
      </c>
      <c r="X2583" s="26">
        <v>1</v>
      </c>
      <c r="Y2583" s="26">
        <v>0</v>
      </c>
      <c r="Z2583" s="26">
        <v>17.989999999999998</v>
      </c>
    </row>
    <row r="2584" spans="1:26" x14ac:dyDescent="0.2">
      <c r="A2584">
        <f t="shared" si="82"/>
        <v>5</v>
      </c>
      <c r="B2584">
        <f t="shared" si="83"/>
        <v>22</v>
      </c>
      <c r="C2584" s="27">
        <v>46169</v>
      </c>
      <c r="D2584" s="26" t="s">
        <v>26</v>
      </c>
      <c r="E2584" s="26" t="s">
        <v>27</v>
      </c>
      <c r="F2584" s="26" t="s">
        <v>28</v>
      </c>
      <c r="G2584" s="26" t="s">
        <v>29</v>
      </c>
      <c r="H2584" s="26" t="s">
        <v>30</v>
      </c>
      <c r="I2584" s="26" t="s">
        <v>50</v>
      </c>
      <c r="J2584" s="26" t="s">
        <v>32</v>
      </c>
      <c r="K2584" s="26" t="s">
        <v>1647</v>
      </c>
      <c r="L2584" s="26">
        <v>2</v>
      </c>
      <c r="M2584" s="26">
        <v>1</v>
      </c>
      <c r="N2584" s="28">
        <v>0.5</v>
      </c>
      <c r="O2584" s="26">
        <v>0.21</v>
      </c>
      <c r="P2584" s="26">
        <v>0.21</v>
      </c>
      <c r="Q2584" s="26">
        <v>0</v>
      </c>
      <c r="R2584" s="26"/>
      <c r="S2584" s="26">
        <v>0</v>
      </c>
      <c r="T2584" s="26">
        <v>0</v>
      </c>
      <c r="U2584" s="26">
        <v>0</v>
      </c>
      <c r="V2584" s="28">
        <v>0</v>
      </c>
      <c r="W2584" s="26">
        <v>0</v>
      </c>
      <c r="X2584" s="26">
        <v>0</v>
      </c>
      <c r="Y2584" s="26">
        <v>0</v>
      </c>
      <c r="Z2584" s="26">
        <v>0</v>
      </c>
    </row>
    <row r="2585" spans="1:26" x14ac:dyDescent="0.2">
      <c r="A2585">
        <f t="shared" si="82"/>
        <v>5</v>
      </c>
      <c r="B2585">
        <f t="shared" si="83"/>
        <v>22</v>
      </c>
      <c r="C2585" s="27">
        <v>46168</v>
      </c>
      <c r="D2585" s="26" t="s">
        <v>26</v>
      </c>
      <c r="E2585" s="26" t="s">
        <v>27</v>
      </c>
      <c r="F2585" s="26" t="s">
        <v>28</v>
      </c>
      <c r="G2585" s="26" t="s">
        <v>29</v>
      </c>
      <c r="H2585" s="26" t="s">
        <v>30</v>
      </c>
      <c r="I2585" s="26" t="s">
        <v>31</v>
      </c>
      <c r="J2585" s="26" t="s">
        <v>32</v>
      </c>
      <c r="K2585" s="26" t="s">
        <v>1648</v>
      </c>
      <c r="L2585" s="26">
        <v>2</v>
      </c>
      <c r="M2585" s="26">
        <v>1</v>
      </c>
      <c r="N2585" s="28">
        <v>0.5</v>
      </c>
      <c r="O2585" s="26">
        <v>0.21</v>
      </c>
      <c r="P2585" s="26">
        <v>0.21</v>
      </c>
      <c r="Q2585" s="26">
        <v>0</v>
      </c>
      <c r="R2585" s="26"/>
      <c r="S2585" s="26">
        <v>0</v>
      </c>
      <c r="T2585" s="26">
        <v>0</v>
      </c>
      <c r="U2585" s="26">
        <v>0</v>
      </c>
      <c r="V2585" s="28">
        <v>0</v>
      </c>
      <c r="W2585" s="26">
        <v>0</v>
      </c>
      <c r="X2585" s="26">
        <v>0</v>
      </c>
      <c r="Y2585" s="26">
        <v>0</v>
      </c>
      <c r="Z2585" s="26">
        <v>0</v>
      </c>
    </row>
    <row r="2586" spans="1:26" x14ac:dyDescent="0.2">
      <c r="A2586">
        <f t="shared" si="82"/>
        <v>5</v>
      </c>
      <c r="B2586">
        <f t="shared" si="83"/>
        <v>22</v>
      </c>
      <c r="C2586" s="27">
        <v>46166</v>
      </c>
      <c r="D2586" s="26" t="s">
        <v>26</v>
      </c>
      <c r="E2586" s="26" t="s">
        <v>27</v>
      </c>
      <c r="F2586" s="26" t="s">
        <v>28</v>
      </c>
      <c r="G2586" s="26" t="s">
        <v>29</v>
      </c>
      <c r="H2586" s="26" t="s">
        <v>30</v>
      </c>
      <c r="I2586" s="26" t="s">
        <v>119</v>
      </c>
      <c r="J2586" s="26" t="s">
        <v>32</v>
      </c>
      <c r="K2586" s="26" t="s">
        <v>577</v>
      </c>
      <c r="L2586" s="26">
        <v>20</v>
      </c>
      <c r="M2586" s="26">
        <v>1</v>
      </c>
      <c r="N2586" s="28">
        <v>0.05</v>
      </c>
      <c r="O2586" s="26">
        <v>0.17</v>
      </c>
      <c r="P2586" s="26">
        <v>0.17</v>
      </c>
      <c r="Q2586" s="26">
        <v>0</v>
      </c>
      <c r="R2586" s="26"/>
      <c r="S2586" s="26">
        <v>0</v>
      </c>
      <c r="T2586" s="26">
        <v>0</v>
      </c>
      <c r="U2586" s="26">
        <v>0</v>
      </c>
      <c r="V2586" s="28">
        <v>0</v>
      </c>
      <c r="W2586" s="26">
        <v>0</v>
      </c>
      <c r="X2586" s="26">
        <v>0</v>
      </c>
      <c r="Y2586" s="26">
        <v>0</v>
      </c>
      <c r="Z2586" s="26">
        <v>0</v>
      </c>
    </row>
    <row r="2587" spans="1:26" x14ac:dyDescent="0.2">
      <c r="A2587">
        <f t="shared" si="82"/>
        <v>5</v>
      </c>
      <c r="B2587">
        <f t="shared" si="83"/>
        <v>22</v>
      </c>
      <c r="C2587" s="27">
        <v>46170</v>
      </c>
      <c r="D2587" s="26" t="s">
        <v>26</v>
      </c>
      <c r="E2587" s="26" t="s">
        <v>27</v>
      </c>
      <c r="F2587" s="26" t="s">
        <v>28</v>
      </c>
      <c r="G2587" s="26" t="s">
        <v>29</v>
      </c>
      <c r="H2587" s="26" t="s">
        <v>30</v>
      </c>
      <c r="I2587" s="26" t="s">
        <v>280</v>
      </c>
      <c r="J2587" s="26" t="s">
        <v>32</v>
      </c>
      <c r="K2587" s="26" t="s">
        <v>1649</v>
      </c>
      <c r="L2587" s="26">
        <v>1</v>
      </c>
      <c r="M2587" s="26">
        <v>1</v>
      </c>
      <c r="N2587" s="28">
        <v>1</v>
      </c>
      <c r="O2587" s="26">
        <v>0.21</v>
      </c>
      <c r="P2587" s="26">
        <v>0.21</v>
      </c>
      <c r="Q2587" s="26">
        <v>0</v>
      </c>
      <c r="R2587" s="26"/>
      <c r="S2587" s="26">
        <v>0</v>
      </c>
      <c r="T2587" s="26">
        <v>0</v>
      </c>
      <c r="U2587" s="26">
        <v>0</v>
      </c>
      <c r="V2587" s="28">
        <v>0</v>
      </c>
      <c r="W2587" s="26">
        <v>0</v>
      </c>
      <c r="X2587" s="26">
        <v>0</v>
      </c>
      <c r="Y2587" s="26">
        <v>0</v>
      </c>
      <c r="Z2587" s="26">
        <v>0</v>
      </c>
    </row>
    <row r="2588" spans="1:26" x14ac:dyDescent="0.2">
      <c r="A2588">
        <f t="shared" si="82"/>
        <v>5</v>
      </c>
      <c r="B2588">
        <f t="shared" si="83"/>
        <v>21</v>
      </c>
      <c r="C2588" s="27">
        <v>46165</v>
      </c>
      <c r="D2588" s="26" t="s">
        <v>26</v>
      </c>
      <c r="E2588" s="26" t="s">
        <v>27</v>
      </c>
      <c r="F2588" s="26" t="s">
        <v>28</v>
      </c>
      <c r="G2588" s="26" t="s">
        <v>29</v>
      </c>
      <c r="H2588" s="26" t="s">
        <v>30</v>
      </c>
      <c r="I2588" s="26" t="s">
        <v>99</v>
      </c>
      <c r="J2588" s="26" t="s">
        <v>32</v>
      </c>
      <c r="K2588" s="26" t="s">
        <v>301</v>
      </c>
      <c r="L2588" s="26">
        <v>5</v>
      </c>
      <c r="M2588" s="26">
        <v>1</v>
      </c>
      <c r="N2588" s="28">
        <v>0.2</v>
      </c>
      <c r="O2588" s="26">
        <v>0.08</v>
      </c>
      <c r="P2588" s="26">
        <v>0.08</v>
      </c>
      <c r="Q2588" s="26">
        <v>0</v>
      </c>
      <c r="R2588" s="26"/>
      <c r="S2588" s="26">
        <v>0</v>
      </c>
      <c r="T2588" s="26">
        <v>0</v>
      </c>
      <c r="U2588" s="26">
        <v>0</v>
      </c>
      <c r="V2588" s="28">
        <v>0</v>
      </c>
      <c r="W2588" s="26">
        <v>0</v>
      </c>
      <c r="X2588" s="26">
        <v>0</v>
      </c>
      <c r="Y2588" s="26">
        <v>0</v>
      </c>
      <c r="Z2588" s="26">
        <v>0</v>
      </c>
    </row>
    <row r="2589" spans="1:26" x14ac:dyDescent="0.2">
      <c r="A2589">
        <f t="shared" si="82"/>
        <v>5</v>
      </c>
      <c r="B2589">
        <f t="shared" si="83"/>
        <v>22</v>
      </c>
      <c r="C2589" s="27">
        <v>46168</v>
      </c>
      <c r="D2589" s="26" t="s">
        <v>26</v>
      </c>
      <c r="E2589" s="26" t="s">
        <v>49</v>
      </c>
      <c r="F2589" s="26" t="s">
        <v>50</v>
      </c>
      <c r="G2589" s="26" t="s">
        <v>29</v>
      </c>
      <c r="H2589" s="26" t="s">
        <v>30</v>
      </c>
      <c r="I2589" s="26" t="s">
        <v>95</v>
      </c>
      <c r="J2589" s="26" t="s">
        <v>42</v>
      </c>
      <c r="K2589" s="26" t="s">
        <v>302</v>
      </c>
      <c r="L2589" s="26">
        <v>1</v>
      </c>
      <c r="M2589" s="26">
        <v>1</v>
      </c>
      <c r="N2589" s="28">
        <v>1</v>
      </c>
      <c r="O2589" s="26">
        <v>0.43</v>
      </c>
      <c r="P2589" s="26">
        <v>0.43</v>
      </c>
      <c r="Q2589" s="26">
        <v>0</v>
      </c>
      <c r="R2589" s="26"/>
      <c r="S2589" s="26">
        <v>0</v>
      </c>
      <c r="T2589" s="26">
        <v>0</v>
      </c>
      <c r="U2589" s="26">
        <v>0</v>
      </c>
      <c r="V2589" s="28">
        <v>0</v>
      </c>
      <c r="W2589" s="26">
        <v>0</v>
      </c>
      <c r="X2589" s="26">
        <v>0</v>
      </c>
      <c r="Y2589" s="26">
        <v>0</v>
      </c>
      <c r="Z2589" s="26">
        <v>0</v>
      </c>
    </row>
    <row r="2590" spans="1:26" x14ac:dyDescent="0.2">
      <c r="A2590">
        <f t="shared" si="82"/>
        <v>5</v>
      </c>
      <c r="B2590">
        <f t="shared" si="83"/>
        <v>22</v>
      </c>
      <c r="C2590" s="27">
        <v>46169</v>
      </c>
      <c r="D2590" s="26" t="s">
        <v>26</v>
      </c>
      <c r="E2590" s="26" t="s">
        <v>27</v>
      </c>
      <c r="F2590" s="26" t="s">
        <v>28</v>
      </c>
      <c r="G2590" s="26" t="s">
        <v>29</v>
      </c>
      <c r="H2590" s="26" t="s">
        <v>30</v>
      </c>
      <c r="I2590" s="26" t="s">
        <v>31</v>
      </c>
      <c r="J2590" s="26" t="s">
        <v>32</v>
      </c>
      <c r="K2590" s="26" t="s">
        <v>857</v>
      </c>
      <c r="L2590" s="26">
        <v>5</v>
      </c>
      <c r="M2590" s="26">
        <v>1</v>
      </c>
      <c r="N2590" s="28">
        <v>0.2</v>
      </c>
      <c r="O2590" s="26">
        <v>0.21</v>
      </c>
      <c r="P2590" s="26">
        <v>0.21</v>
      </c>
      <c r="Q2590" s="26">
        <v>0</v>
      </c>
      <c r="R2590" s="26"/>
      <c r="S2590" s="26">
        <v>0</v>
      </c>
      <c r="T2590" s="26">
        <v>0</v>
      </c>
      <c r="U2590" s="26">
        <v>0</v>
      </c>
      <c r="V2590" s="28">
        <v>0</v>
      </c>
      <c r="W2590" s="26">
        <v>0</v>
      </c>
      <c r="X2590" s="26">
        <v>0</v>
      </c>
      <c r="Y2590" s="26">
        <v>0</v>
      </c>
      <c r="Z2590" s="26">
        <v>0</v>
      </c>
    </row>
    <row r="2591" spans="1:26" x14ac:dyDescent="0.2">
      <c r="A2591">
        <f t="shared" si="82"/>
        <v>5</v>
      </c>
      <c r="B2591">
        <f t="shared" si="83"/>
        <v>23</v>
      </c>
      <c r="C2591" s="27">
        <v>46173</v>
      </c>
      <c r="D2591" s="26" t="s">
        <v>26</v>
      </c>
      <c r="E2591" s="26" t="s">
        <v>27</v>
      </c>
      <c r="F2591" s="26" t="s">
        <v>28</v>
      </c>
      <c r="G2591" s="26" t="s">
        <v>29</v>
      </c>
      <c r="H2591" s="26" t="s">
        <v>30</v>
      </c>
      <c r="I2591" s="26" t="s">
        <v>311</v>
      </c>
      <c r="J2591" s="26" t="s">
        <v>32</v>
      </c>
      <c r="K2591" s="26" t="s">
        <v>1650</v>
      </c>
      <c r="L2591" s="26">
        <v>2</v>
      </c>
      <c r="M2591" s="26">
        <v>1</v>
      </c>
      <c r="N2591" s="28">
        <v>0.5</v>
      </c>
      <c r="O2591" s="26">
        <v>0.4</v>
      </c>
      <c r="P2591" s="26">
        <v>0.4</v>
      </c>
      <c r="Q2591" s="26">
        <v>0</v>
      </c>
      <c r="R2591" s="26"/>
      <c r="S2591" s="26">
        <v>0</v>
      </c>
      <c r="T2591" s="26">
        <v>0</v>
      </c>
      <c r="U2591" s="26">
        <v>0</v>
      </c>
      <c r="V2591" s="28">
        <v>0</v>
      </c>
      <c r="W2591" s="26">
        <v>0</v>
      </c>
      <c r="X2591" s="26">
        <v>0</v>
      </c>
      <c r="Y2591" s="26">
        <v>0</v>
      </c>
      <c r="Z2591" s="26">
        <v>0</v>
      </c>
    </row>
    <row r="2592" spans="1:26" x14ac:dyDescent="0.2">
      <c r="A2592">
        <f t="shared" si="82"/>
        <v>5</v>
      </c>
      <c r="B2592">
        <f t="shared" si="83"/>
        <v>22</v>
      </c>
      <c r="C2592" s="27">
        <v>46170</v>
      </c>
      <c r="D2592" s="26" t="s">
        <v>26</v>
      </c>
      <c r="E2592" s="26" t="s">
        <v>27</v>
      </c>
      <c r="F2592" s="26" t="s">
        <v>28</v>
      </c>
      <c r="G2592" s="26" t="s">
        <v>29</v>
      </c>
      <c r="H2592" s="26" t="s">
        <v>30</v>
      </c>
      <c r="I2592" s="26" t="s">
        <v>311</v>
      </c>
      <c r="J2592" s="26" t="s">
        <v>32</v>
      </c>
      <c r="K2592" s="26" t="s">
        <v>1651</v>
      </c>
      <c r="L2592" s="26">
        <v>1</v>
      </c>
      <c r="M2592" s="26">
        <v>1</v>
      </c>
      <c r="N2592" s="28">
        <v>1</v>
      </c>
      <c r="O2592" s="26">
        <v>0.08</v>
      </c>
      <c r="P2592" s="26">
        <v>0.08</v>
      </c>
      <c r="Q2592" s="26">
        <v>0</v>
      </c>
      <c r="R2592" s="26"/>
      <c r="S2592" s="26">
        <v>0</v>
      </c>
      <c r="T2592" s="26">
        <v>0</v>
      </c>
      <c r="U2592" s="26">
        <v>0</v>
      </c>
      <c r="V2592" s="28">
        <v>0</v>
      </c>
      <c r="W2592" s="26">
        <v>0</v>
      </c>
      <c r="X2592" s="26">
        <v>0</v>
      </c>
      <c r="Y2592" s="26">
        <v>0</v>
      </c>
      <c r="Z2592" s="26">
        <v>0</v>
      </c>
    </row>
    <row r="2593" spans="1:26" x14ac:dyDescent="0.2">
      <c r="A2593">
        <f t="shared" si="82"/>
        <v>5</v>
      </c>
      <c r="B2593">
        <f t="shared" si="83"/>
        <v>22</v>
      </c>
      <c r="C2593" s="27">
        <v>46167</v>
      </c>
      <c r="D2593" s="26" t="s">
        <v>26</v>
      </c>
      <c r="E2593" s="26" t="s">
        <v>27</v>
      </c>
      <c r="F2593" s="26" t="s">
        <v>28</v>
      </c>
      <c r="G2593" s="26" t="s">
        <v>29</v>
      </c>
      <c r="H2593" s="26" t="s">
        <v>30</v>
      </c>
      <c r="I2593" s="26" t="s">
        <v>50</v>
      </c>
      <c r="J2593" s="26" t="s">
        <v>32</v>
      </c>
      <c r="K2593" s="26" t="s">
        <v>1652</v>
      </c>
      <c r="L2593" s="26">
        <v>2</v>
      </c>
      <c r="M2593" s="26">
        <v>1</v>
      </c>
      <c r="N2593" s="28">
        <v>0.5</v>
      </c>
      <c r="O2593" s="26">
        <v>0.21</v>
      </c>
      <c r="P2593" s="26">
        <v>0.21</v>
      </c>
      <c r="Q2593" s="26">
        <v>0</v>
      </c>
      <c r="R2593" s="26"/>
      <c r="S2593" s="26">
        <v>0</v>
      </c>
      <c r="T2593" s="26">
        <v>0</v>
      </c>
      <c r="U2593" s="26">
        <v>0</v>
      </c>
      <c r="V2593" s="28">
        <v>0</v>
      </c>
      <c r="W2593" s="26">
        <v>0</v>
      </c>
      <c r="X2593" s="26">
        <v>0</v>
      </c>
      <c r="Y2593" s="26">
        <v>0</v>
      </c>
      <c r="Z2593" s="26">
        <v>0</v>
      </c>
    </row>
    <row r="2594" spans="1:26" x14ac:dyDescent="0.2">
      <c r="A2594">
        <f t="shared" si="82"/>
        <v>5</v>
      </c>
      <c r="B2594">
        <f t="shared" si="83"/>
        <v>22</v>
      </c>
      <c r="C2594" s="27">
        <v>46166</v>
      </c>
      <c r="D2594" s="26" t="s">
        <v>26</v>
      </c>
      <c r="E2594" s="26" t="s">
        <v>27</v>
      </c>
      <c r="F2594" s="26" t="s">
        <v>28</v>
      </c>
      <c r="G2594" s="26" t="s">
        <v>29</v>
      </c>
      <c r="H2594" s="26" t="s">
        <v>30</v>
      </c>
      <c r="I2594" s="26" t="s">
        <v>37</v>
      </c>
      <c r="J2594" s="26" t="s">
        <v>32</v>
      </c>
      <c r="K2594" s="26" t="s">
        <v>37</v>
      </c>
      <c r="L2594" s="26">
        <v>8</v>
      </c>
      <c r="M2594" s="26">
        <v>1</v>
      </c>
      <c r="N2594" s="28">
        <v>0.125</v>
      </c>
      <c r="O2594" s="26">
        <v>0.21</v>
      </c>
      <c r="P2594" s="26">
        <v>0.21</v>
      </c>
      <c r="Q2594" s="26">
        <v>0</v>
      </c>
      <c r="R2594" s="26"/>
      <c r="S2594" s="26">
        <v>0</v>
      </c>
      <c r="T2594" s="26">
        <v>0</v>
      </c>
      <c r="U2594" s="26">
        <v>0</v>
      </c>
      <c r="V2594" s="28">
        <v>0</v>
      </c>
      <c r="W2594" s="26">
        <v>0</v>
      </c>
      <c r="X2594" s="26">
        <v>0</v>
      </c>
      <c r="Y2594" s="26">
        <v>0</v>
      </c>
      <c r="Z2594" s="26">
        <v>0</v>
      </c>
    </row>
    <row r="2595" spans="1:26" x14ac:dyDescent="0.2">
      <c r="A2595">
        <f t="shared" si="82"/>
        <v>5</v>
      </c>
      <c r="B2595">
        <f t="shared" si="83"/>
        <v>22</v>
      </c>
      <c r="C2595" s="27">
        <v>46171</v>
      </c>
      <c r="D2595" s="26" t="s">
        <v>26</v>
      </c>
      <c r="E2595" s="26" t="s">
        <v>27</v>
      </c>
      <c r="F2595" s="26" t="s">
        <v>28</v>
      </c>
      <c r="G2595" s="26" t="s">
        <v>29</v>
      </c>
      <c r="H2595" s="26" t="s">
        <v>30</v>
      </c>
      <c r="I2595" s="26" t="s">
        <v>37</v>
      </c>
      <c r="J2595" s="26" t="s">
        <v>32</v>
      </c>
      <c r="K2595" s="26" t="s">
        <v>37</v>
      </c>
      <c r="L2595" s="26">
        <v>7</v>
      </c>
      <c r="M2595" s="26">
        <v>1</v>
      </c>
      <c r="N2595" s="28">
        <v>0.14285700000000001</v>
      </c>
      <c r="O2595" s="26">
        <v>0.21</v>
      </c>
      <c r="P2595" s="26">
        <v>0.21</v>
      </c>
      <c r="Q2595" s="26">
        <v>0</v>
      </c>
      <c r="R2595" s="26"/>
      <c r="S2595" s="26">
        <v>0</v>
      </c>
      <c r="T2595" s="26">
        <v>0</v>
      </c>
      <c r="U2595" s="26">
        <v>0</v>
      </c>
      <c r="V2595" s="28">
        <v>0</v>
      </c>
      <c r="W2595" s="26">
        <v>0</v>
      </c>
      <c r="X2595" s="26">
        <v>0</v>
      </c>
      <c r="Y2595" s="26">
        <v>0</v>
      </c>
      <c r="Z2595" s="26">
        <v>0</v>
      </c>
    </row>
    <row r="2596" spans="1:26" x14ac:dyDescent="0.2">
      <c r="A2596">
        <f t="shared" si="82"/>
        <v>5</v>
      </c>
      <c r="B2596">
        <f t="shared" si="83"/>
        <v>22</v>
      </c>
      <c r="C2596" s="27">
        <v>46172</v>
      </c>
      <c r="D2596" s="26" t="s">
        <v>26</v>
      </c>
      <c r="E2596" s="26" t="s">
        <v>27</v>
      </c>
      <c r="F2596" s="26" t="s">
        <v>28</v>
      </c>
      <c r="G2596" s="26" t="s">
        <v>29</v>
      </c>
      <c r="H2596" s="26" t="s">
        <v>30</v>
      </c>
      <c r="I2596" s="26" t="s">
        <v>311</v>
      </c>
      <c r="J2596" s="26" t="s">
        <v>32</v>
      </c>
      <c r="K2596" s="26" t="s">
        <v>305</v>
      </c>
      <c r="L2596" s="26">
        <v>38</v>
      </c>
      <c r="M2596" s="26">
        <v>1</v>
      </c>
      <c r="N2596" s="28">
        <v>2.6315999999999999E-2</v>
      </c>
      <c r="O2596" s="26">
        <v>0.2</v>
      </c>
      <c r="P2596" s="26">
        <v>0.2</v>
      </c>
      <c r="Q2596" s="26">
        <v>0</v>
      </c>
      <c r="R2596" s="26"/>
      <c r="S2596" s="26">
        <v>0</v>
      </c>
      <c r="T2596" s="26">
        <v>0</v>
      </c>
      <c r="U2596" s="26">
        <v>0</v>
      </c>
      <c r="V2596" s="28">
        <v>0</v>
      </c>
      <c r="W2596" s="26">
        <v>0</v>
      </c>
      <c r="X2596" s="26">
        <v>0</v>
      </c>
      <c r="Y2596" s="26">
        <v>0</v>
      </c>
      <c r="Z2596" s="26">
        <v>0</v>
      </c>
    </row>
    <row r="2597" spans="1:26" x14ac:dyDescent="0.2">
      <c r="A2597">
        <f t="shared" si="82"/>
        <v>5</v>
      </c>
      <c r="B2597">
        <f t="shared" si="83"/>
        <v>22</v>
      </c>
      <c r="C2597" s="27">
        <v>46166</v>
      </c>
      <c r="D2597" s="26" t="s">
        <v>26</v>
      </c>
      <c r="E2597" s="26" t="s">
        <v>27</v>
      </c>
      <c r="F2597" s="26" t="s">
        <v>28</v>
      </c>
      <c r="G2597" s="26" t="s">
        <v>29</v>
      </c>
      <c r="H2597" s="26" t="s">
        <v>30</v>
      </c>
      <c r="I2597" s="26" t="s">
        <v>101</v>
      </c>
      <c r="J2597" s="26" t="s">
        <v>32</v>
      </c>
      <c r="K2597" s="26" t="s">
        <v>1369</v>
      </c>
      <c r="L2597" s="26">
        <v>1</v>
      </c>
      <c r="M2597" s="26">
        <v>1</v>
      </c>
      <c r="N2597" s="28">
        <v>1</v>
      </c>
      <c r="O2597" s="26">
        <v>0.21</v>
      </c>
      <c r="P2597" s="26">
        <v>0.21</v>
      </c>
      <c r="Q2597" s="26">
        <v>0</v>
      </c>
      <c r="R2597" s="26"/>
      <c r="S2597" s="26">
        <v>0</v>
      </c>
      <c r="T2597" s="26">
        <v>0</v>
      </c>
      <c r="U2597" s="26">
        <v>0</v>
      </c>
      <c r="V2597" s="28">
        <v>0</v>
      </c>
      <c r="W2597" s="26">
        <v>0</v>
      </c>
      <c r="X2597" s="26">
        <v>0</v>
      </c>
      <c r="Y2597" s="26">
        <v>0</v>
      </c>
      <c r="Z2597" s="26">
        <v>0</v>
      </c>
    </row>
    <row r="2598" spans="1:26" x14ac:dyDescent="0.2">
      <c r="A2598">
        <f t="shared" si="82"/>
        <v>5</v>
      </c>
      <c r="B2598">
        <f t="shared" si="83"/>
        <v>22</v>
      </c>
      <c r="C2598" s="27">
        <v>46167</v>
      </c>
      <c r="D2598" s="26" t="s">
        <v>26</v>
      </c>
      <c r="E2598" s="26" t="s">
        <v>39</v>
      </c>
      <c r="F2598" s="26" t="s">
        <v>40</v>
      </c>
      <c r="G2598" s="26" t="s">
        <v>29</v>
      </c>
      <c r="H2598" s="26" t="s">
        <v>30</v>
      </c>
      <c r="I2598" s="26" t="s">
        <v>1134</v>
      </c>
      <c r="J2598" s="26" t="s">
        <v>42</v>
      </c>
      <c r="K2598" s="26" t="s">
        <v>583</v>
      </c>
      <c r="L2598" s="26">
        <v>2</v>
      </c>
      <c r="M2598" s="26">
        <v>1</v>
      </c>
      <c r="N2598" s="28">
        <v>0.5</v>
      </c>
      <c r="O2598" s="26">
        <v>0</v>
      </c>
      <c r="P2598" s="26">
        <v>0</v>
      </c>
      <c r="Q2598" s="26">
        <v>0</v>
      </c>
      <c r="R2598" s="26"/>
      <c r="S2598" s="26"/>
      <c r="T2598" s="26">
        <v>0</v>
      </c>
      <c r="U2598" s="26">
        <v>0</v>
      </c>
      <c r="V2598" s="28">
        <v>0</v>
      </c>
      <c r="W2598" s="26">
        <v>0</v>
      </c>
      <c r="X2598" s="26">
        <v>0</v>
      </c>
      <c r="Y2598" s="26">
        <v>0</v>
      </c>
      <c r="Z2598" s="26">
        <v>0</v>
      </c>
    </row>
    <row r="2599" spans="1:26" x14ac:dyDescent="0.2">
      <c r="A2599">
        <f t="shared" si="82"/>
        <v>5</v>
      </c>
      <c r="B2599">
        <f t="shared" si="83"/>
        <v>21</v>
      </c>
      <c r="C2599" s="27">
        <v>46164</v>
      </c>
      <c r="D2599" s="26" t="s">
        <v>26</v>
      </c>
      <c r="E2599" s="26" t="s">
        <v>49</v>
      </c>
      <c r="F2599" s="26" t="s">
        <v>50</v>
      </c>
      <c r="G2599" s="26" t="s">
        <v>29</v>
      </c>
      <c r="H2599" s="26" t="s">
        <v>30</v>
      </c>
      <c r="I2599" s="26" t="s">
        <v>47</v>
      </c>
      <c r="J2599" s="26" t="s">
        <v>42</v>
      </c>
      <c r="K2599" s="26" t="s">
        <v>306</v>
      </c>
      <c r="L2599" s="26">
        <v>12</v>
      </c>
      <c r="M2599" s="26">
        <v>1</v>
      </c>
      <c r="N2599" s="28">
        <v>8.3333000000000004E-2</v>
      </c>
      <c r="O2599" s="26">
        <v>0.85</v>
      </c>
      <c r="P2599" s="26">
        <v>0.85</v>
      </c>
      <c r="Q2599" s="26">
        <v>0</v>
      </c>
      <c r="R2599" s="26"/>
      <c r="S2599" s="26">
        <v>0</v>
      </c>
      <c r="T2599" s="26">
        <v>0</v>
      </c>
      <c r="U2599" s="26">
        <v>0</v>
      </c>
      <c r="V2599" s="28">
        <v>0</v>
      </c>
      <c r="W2599" s="26">
        <v>0</v>
      </c>
      <c r="X2599" s="26">
        <v>0</v>
      </c>
      <c r="Y2599" s="26">
        <v>0</v>
      </c>
      <c r="Z2599" s="26">
        <v>0</v>
      </c>
    </row>
    <row r="2600" spans="1:26" x14ac:dyDescent="0.2">
      <c r="A2600">
        <f t="shared" si="82"/>
        <v>5</v>
      </c>
      <c r="B2600">
        <f t="shared" si="83"/>
        <v>22</v>
      </c>
      <c r="C2600" s="27">
        <v>46167</v>
      </c>
      <c r="D2600" s="26" t="s">
        <v>26</v>
      </c>
      <c r="E2600" s="26" t="s">
        <v>49</v>
      </c>
      <c r="F2600" s="26" t="s">
        <v>50</v>
      </c>
      <c r="G2600" s="26" t="s">
        <v>29</v>
      </c>
      <c r="H2600" s="26" t="s">
        <v>30</v>
      </c>
      <c r="I2600" s="26" t="s">
        <v>47</v>
      </c>
      <c r="J2600" s="26" t="s">
        <v>42</v>
      </c>
      <c r="K2600" s="26" t="s">
        <v>306</v>
      </c>
      <c r="L2600" s="26">
        <v>19</v>
      </c>
      <c r="M2600" s="26">
        <v>1</v>
      </c>
      <c r="N2600" s="28">
        <v>5.2631999999999998E-2</v>
      </c>
      <c r="O2600" s="26">
        <v>0.85</v>
      </c>
      <c r="P2600" s="26">
        <v>0.85</v>
      </c>
      <c r="Q2600" s="26">
        <v>0</v>
      </c>
      <c r="R2600" s="26"/>
      <c r="S2600" s="26">
        <v>0</v>
      </c>
      <c r="T2600" s="26">
        <v>0</v>
      </c>
      <c r="U2600" s="26">
        <v>0</v>
      </c>
      <c r="V2600" s="28">
        <v>0</v>
      </c>
      <c r="W2600" s="26">
        <v>0</v>
      </c>
      <c r="X2600" s="26">
        <v>0</v>
      </c>
      <c r="Y2600" s="26">
        <v>0</v>
      </c>
      <c r="Z2600" s="26">
        <v>0</v>
      </c>
    </row>
    <row r="2601" spans="1:26" x14ac:dyDescent="0.2">
      <c r="A2601">
        <f t="shared" si="82"/>
        <v>5</v>
      </c>
      <c r="B2601">
        <f t="shared" si="83"/>
        <v>22</v>
      </c>
      <c r="C2601" s="27">
        <v>46171</v>
      </c>
      <c r="D2601" s="26" t="s">
        <v>26</v>
      </c>
      <c r="E2601" s="26" t="s">
        <v>49</v>
      </c>
      <c r="F2601" s="26" t="s">
        <v>50</v>
      </c>
      <c r="G2601" s="26" t="s">
        <v>29</v>
      </c>
      <c r="H2601" s="26" t="s">
        <v>30</v>
      </c>
      <c r="I2601" s="26" t="s">
        <v>47</v>
      </c>
      <c r="J2601" s="26" t="s">
        <v>42</v>
      </c>
      <c r="K2601" s="26" t="s">
        <v>306</v>
      </c>
      <c r="L2601" s="26">
        <v>15</v>
      </c>
      <c r="M2601" s="26">
        <v>1</v>
      </c>
      <c r="N2601" s="28">
        <v>6.6667000000000004E-2</v>
      </c>
      <c r="O2601" s="26">
        <v>1.22</v>
      </c>
      <c r="P2601" s="26">
        <v>1.22</v>
      </c>
      <c r="Q2601" s="26">
        <v>0</v>
      </c>
      <c r="R2601" s="26"/>
      <c r="S2601" s="26">
        <v>0</v>
      </c>
      <c r="T2601" s="26">
        <v>0</v>
      </c>
      <c r="U2601" s="26">
        <v>0</v>
      </c>
      <c r="V2601" s="28">
        <v>0</v>
      </c>
      <c r="W2601" s="26">
        <v>0</v>
      </c>
      <c r="X2601" s="26">
        <v>0</v>
      </c>
      <c r="Y2601" s="26">
        <v>0</v>
      </c>
      <c r="Z2601" s="26">
        <v>0</v>
      </c>
    </row>
    <row r="2602" spans="1:26" x14ac:dyDescent="0.2">
      <c r="A2602">
        <f t="shared" si="82"/>
        <v>5</v>
      </c>
      <c r="B2602">
        <f t="shared" si="83"/>
        <v>21</v>
      </c>
      <c r="C2602" s="27">
        <v>46165</v>
      </c>
      <c r="D2602" s="26" t="s">
        <v>26</v>
      </c>
      <c r="E2602" s="26" t="s">
        <v>27</v>
      </c>
      <c r="F2602" s="26" t="s">
        <v>28</v>
      </c>
      <c r="G2602" s="26" t="s">
        <v>29</v>
      </c>
      <c r="H2602" s="26" t="s">
        <v>30</v>
      </c>
      <c r="I2602" s="26" t="s">
        <v>44</v>
      </c>
      <c r="J2602" s="26" t="s">
        <v>32</v>
      </c>
      <c r="K2602" s="26" t="s">
        <v>306</v>
      </c>
      <c r="L2602" s="26">
        <v>1</v>
      </c>
      <c r="M2602" s="26">
        <v>1</v>
      </c>
      <c r="N2602" s="28">
        <v>1</v>
      </c>
      <c r="O2602" s="26">
        <v>0.21</v>
      </c>
      <c r="P2602" s="26">
        <v>0.21</v>
      </c>
      <c r="Q2602" s="26">
        <v>0</v>
      </c>
      <c r="R2602" s="26"/>
      <c r="S2602" s="26">
        <v>0</v>
      </c>
      <c r="T2602" s="26">
        <v>0</v>
      </c>
      <c r="U2602" s="26">
        <v>0</v>
      </c>
      <c r="V2602" s="28">
        <v>0</v>
      </c>
      <c r="W2602" s="26">
        <v>0</v>
      </c>
      <c r="X2602" s="26">
        <v>0</v>
      </c>
      <c r="Y2602" s="26">
        <v>0</v>
      </c>
      <c r="Z2602" s="26">
        <v>0</v>
      </c>
    </row>
    <row r="2603" spans="1:26" x14ac:dyDescent="0.2">
      <c r="A2603">
        <f t="shared" si="82"/>
        <v>5</v>
      </c>
      <c r="B2603">
        <f t="shared" si="83"/>
        <v>22</v>
      </c>
      <c r="C2603" s="27">
        <v>46172</v>
      </c>
      <c r="D2603" s="26" t="s">
        <v>26</v>
      </c>
      <c r="E2603" s="26" t="s">
        <v>27</v>
      </c>
      <c r="F2603" s="26" t="s">
        <v>28</v>
      </c>
      <c r="G2603" s="26" t="s">
        <v>29</v>
      </c>
      <c r="H2603" s="26" t="s">
        <v>30</v>
      </c>
      <c r="I2603" s="26" t="s">
        <v>311</v>
      </c>
      <c r="J2603" s="26" t="s">
        <v>32</v>
      </c>
      <c r="K2603" s="26" t="s">
        <v>306</v>
      </c>
      <c r="L2603" s="26">
        <v>4</v>
      </c>
      <c r="M2603" s="26">
        <v>1</v>
      </c>
      <c r="N2603" s="28">
        <v>0.25</v>
      </c>
      <c r="O2603" s="26">
        <v>0.16</v>
      </c>
      <c r="P2603" s="26">
        <v>0.16</v>
      </c>
      <c r="Q2603" s="26">
        <v>0</v>
      </c>
      <c r="R2603" s="26"/>
      <c r="S2603" s="26">
        <v>0</v>
      </c>
      <c r="T2603" s="26">
        <v>0</v>
      </c>
      <c r="U2603" s="26">
        <v>0</v>
      </c>
      <c r="V2603" s="28">
        <v>0</v>
      </c>
      <c r="W2603" s="26">
        <v>0</v>
      </c>
      <c r="X2603" s="26">
        <v>0</v>
      </c>
      <c r="Y2603" s="26">
        <v>0</v>
      </c>
      <c r="Z2603" s="26">
        <v>0</v>
      </c>
    </row>
    <row r="2604" spans="1:26" x14ac:dyDescent="0.2">
      <c r="A2604">
        <f t="shared" si="82"/>
        <v>5</v>
      </c>
      <c r="B2604">
        <f t="shared" si="83"/>
        <v>22</v>
      </c>
      <c r="C2604" s="27">
        <v>46169</v>
      </c>
      <c r="D2604" s="26" t="s">
        <v>26</v>
      </c>
      <c r="E2604" s="26" t="s">
        <v>27</v>
      </c>
      <c r="F2604" s="26" t="s">
        <v>28</v>
      </c>
      <c r="G2604" s="26" t="s">
        <v>29</v>
      </c>
      <c r="H2604" s="26" t="s">
        <v>30</v>
      </c>
      <c r="I2604" s="26" t="s">
        <v>782</v>
      </c>
      <c r="J2604" s="26" t="s">
        <v>32</v>
      </c>
      <c r="K2604" s="26" t="s">
        <v>306</v>
      </c>
      <c r="L2604" s="26">
        <v>3</v>
      </c>
      <c r="M2604" s="26">
        <v>1</v>
      </c>
      <c r="N2604" s="28">
        <v>0.33333299999999999</v>
      </c>
      <c r="O2604" s="26">
        <v>0.2</v>
      </c>
      <c r="P2604" s="26">
        <v>0.2</v>
      </c>
      <c r="Q2604" s="26">
        <v>0</v>
      </c>
      <c r="R2604" s="26"/>
      <c r="S2604" s="26">
        <v>0</v>
      </c>
      <c r="T2604" s="26">
        <v>0</v>
      </c>
      <c r="U2604" s="26">
        <v>0</v>
      </c>
      <c r="V2604" s="28">
        <v>0</v>
      </c>
      <c r="W2604" s="26">
        <v>0</v>
      </c>
      <c r="X2604" s="26">
        <v>0</v>
      </c>
      <c r="Y2604" s="26">
        <v>0</v>
      </c>
      <c r="Z2604" s="26">
        <v>0</v>
      </c>
    </row>
    <row r="2605" spans="1:26" x14ac:dyDescent="0.2">
      <c r="A2605">
        <f t="shared" si="82"/>
        <v>5</v>
      </c>
      <c r="B2605">
        <f t="shared" si="83"/>
        <v>22</v>
      </c>
      <c r="C2605" s="27">
        <v>46172</v>
      </c>
      <c r="D2605" s="26" t="s">
        <v>26</v>
      </c>
      <c r="E2605" s="26" t="s">
        <v>27</v>
      </c>
      <c r="F2605" s="26" t="s">
        <v>28</v>
      </c>
      <c r="G2605" s="26" t="s">
        <v>29</v>
      </c>
      <c r="H2605" s="26" t="s">
        <v>30</v>
      </c>
      <c r="I2605" s="26" t="s">
        <v>37</v>
      </c>
      <c r="J2605" s="26" t="s">
        <v>32</v>
      </c>
      <c r="K2605" s="26" t="s">
        <v>306</v>
      </c>
      <c r="L2605" s="26">
        <v>29</v>
      </c>
      <c r="M2605" s="26">
        <v>1</v>
      </c>
      <c r="N2605" s="28">
        <v>3.4483E-2</v>
      </c>
      <c r="O2605" s="26">
        <v>0.2</v>
      </c>
      <c r="P2605" s="26">
        <v>0.2</v>
      </c>
      <c r="Q2605" s="26">
        <v>17.47</v>
      </c>
      <c r="R2605" s="28">
        <v>1.1448E-2</v>
      </c>
      <c r="S2605" s="26">
        <v>87.35</v>
      </c>
      <c r="T2605" s="26">
        <v>1</v>
      </c>
      <c r="U2605" s="26">
        <v>1</v>
      </c>
      <c r="V2605" s="28">
        <v>1</v>
      </c>
      <c r="W2605" s="26">
        <v>1</v>
      </c>
      <c r="X2605" s="26">
        <v>0</v>
      </c>
      <c r="Y2605" s="26">
        <v>17.47</v>
      </c>
      <c r="Z2605" s="26">
        <v>0</v>
      </c>
    </row>
    <row r="2606" spans="1:26" x14ac:dyDescent="0.2">
      <c r="A2606">
        <f t="shared" si="82"/>
        <v>5</v>
      </c>
      <c r="B2606">
        <f t="shared" si="83"/>
        <v>22</v>
      </c>
      <c r="C2606" s="27">
        <v>46167</v>
      </c>
      <c r="D2606" s="26" t="s">
        <v>26</v>
      </c>
      <c r="E2606" s="26" t="s">
        <v>49</v>
      </c>
      <c r="F2606" s="26" t="s">
        <v>50</v>
      </c>
      <c r="G2606" s="26" t="s">
        <v>29</v>
      </c>
      <c r="H2606" s="26" t="s">
        <v>30</v>
      </c>
      <c r="I2606" s="26" t="s">
        <v>95</v>
      </c>
      <c r="J2606" s="26" t="s">
        <v>42</v>
      </c>
      <c r="K2606" s="26" t="s">
        <v>310</v>
      </c>
      <c r="L2606" s="26">
        <v>3</v>
      </c>
      <c r="M2606" s="26">
        <v>1</v>
      </c>
      <c r="N2606" s="28">
        <v>0.33333299999999999</v>
      </c>
      <c r="O2606" s="26">
        <v>0.54</v>
      </c>
      <c r="P2606" s="26">
        <v>0.54</v>
      </c>
      <c r="Q2606" s="26">
        <v>17.989999999999998</v>
      </c>
      <c r="R2606" s="28">
        <v>3.0016999999999999E-2</v>
      </c>
      <c r="S2606" s="26">
        <v>33.31</v>
      </c>
      <c r="T2606" s="26">
        <v>1</v>
      </c>
      <c r="U2606" s="26">
        <v>1</v>
      </c>
      <c r="V2606" s="28">
        <v>1</v>
      </c>
      <c r="W2606" s="26">
        <v>0</v>
      </c>
      <c r="X2606" s="26">
        <v>1</v>
      </c>
      <c r="Y2606" s="26">
        <v>0</v>
      </c>
      <c r="Z2606" s="26">
        <v>17.989999999999998</v>
      </c>
    </row>
    <row r="2607" spans="1:26" x14ac:dyDescent="0.2">
      <c r="A2607">
        <f t="shared" si="82"/>
        <v>5</v>
      </c>
      <c r="B2607">
        <f t="shared" si="83"/>
        <v>23</v>
      </c>
      <c r="C2607" s="27">
        <v>46173</v>
      </c>
      <c r="D2607" s="26" t="s">
        <v>26</v>
      </c>
      <c r="E2607" s="26" t="s">
        <v>27</v>
      </c>
      <c r="F2607" s="26" t="s">
        <v>124</v>
      </c>
      <c r="G2607" s="26" t="s">
        <v>29</v>
      </c>
      <c r="H2607" s="26" t="s">
        <v>30</v>
      </c>
      <c r="I2607" s="26" t="s">
        <v>306</v>
      </c>
      <c r="J2607" s="26" t="s">
        <v>87</v>
      </c>
      <c r="K2607" s="26" t="s">
        <v>310</v>
      </c>
      <c r="L2607" s="26">
        <v>5</v>
      </c>
      <c r="M2607" s="26">
        <v>1</v>
      </c>
      <c r="N2607" s="28">
        <v>0.2</v>
      </c>
      <c r="O2607" s="26">
        <v>0.3</v>
      </c>
      <c r="P2607" s="26">
        <v>0.3</v>
      </c>
      <c r="Q2607" s="26">
        <v>0</v>
      </c>
      <c r="R2607" s="26"/>
      <c r="S2607" s="26">
        <v>0</v>
      </c>
      <c r="T2607" s="26">
        <v>0</v>
      </c>
      <c r="U2607" s="26">
        <v>0</v>
      </c>
      <c r="V2607" s="28">
        <v>0</v>
      </c>
      <c r="W2607" s="26">
        <v>0</v>
      </c>
      <c r="X2607" s="26">
        <v>0</v>
      </c>
      <c r="Y2607" s="26">
        <v>0</v>
      </c>
      <c r="Z2607" s="26">
        <v>0</v>
      </c>
    </row>
    <row r="2608" spans="1:26" x14ac:dyDescent="0.2">
      <c r="A2608">
        <f t="shared" si="82"/>
        <v>5</v>
      </c>
      <c r="B2608">
        <f t="shared" si="83"/>
        <v>22</v>
      </c>
      <c r="C2608" s="27">
        <v>46171</v>
      </c>
      <c r="D2608" s="26" t="s">
        <v>26</v>
      </c>
      <c r="E2608" s="26" t="s">
        <v>27</v>
      </c>
      <c r="F2608" s="26" t="s">
        <v>28</v>
      </c>
      <c r="G2608" s="26" t="s">
        <v>29</v>
      </c>
      <c r="H2608" s="26" t="s">
        <v>30</v>
      </c>
      <c r="I2608" s="26" t="s">
        <v>50</v>
      </c>
      <c r="J2608" s="26" t="s">
        <v>32</v>
      </c>
      <c r="K2608" s="26" t="s">
        <v>311</v>
      </c>
      <c r="L2608" s="26">
        <v>16</v>
      </c>
      <c r="M2608" s="26">
        <v>1</v>
      </c>
      <c r="N2608" s="28">
        <v>6.25E-2</v>
      </c>
      <c r="O2608" s="26">
        <v>0.2</v>
      </c>
      <c r="P2608" s="26">
        <v>0.2</v>
      </c>
      <c r="Q2608" s="26">
        <v>0</v>
      </c>
      <c r="R2608" s="26"/>
      <c r="S2608" s="26">
        <v>0</v>
      </c>
      <c r="T2608" s="26">
        <v>0</v>
      </c>
      <c r="U2608" s="26">
        <v>0</v>
      </c>
      <c r="V2608" s="28">
        <v>0</v>
      </c>
      <c r="W2608" s="26">
        <v>0</v>
      </c>
      <c r="X2608" s="26">
        <v>0</v>
      </c>
      <c r="Y2608" s="26">
        <v>0</v>
      </c>
      <c r="Z2608" s="26">
        <v>0</v>
      </c>
    </row>
    <row r="2609" spans="1:26" x14ac:dyDescent="0.2">
      <c r="A2609">
        <f t="shared" si="82"/>
        <v>5</v>
      </c>
      <c r="B2609">
        <f t="shared" si="83"/>
        <v>22</v>
      </c>
      <c r="C2609" s="27">
        <v>46166</v>
      </c>
      <c r="D2609" s="26" t="s">
        <v>26</v>
      </c>
      <c r="E2609" s="26" t="s">
        <v>27</v>
      </c>
      <c r="F2609" s="26" t="s">
        <v>28</v>
      </c>
      <c r="G2609" s="26" t="s">
        <v>29</v>
      </c>
      <c r="H2609" s="26" t="s">
        <v>30</v>
      </c>
      <c r="I2609" s="26" t="s">
        <v>306</v>
      </c>
      <c r="J2609" s="26" t="s">
        <v>32</v>
      </c>
      <c r="K2609" s="26" t="s">
        <v>590</v>
      </c>
      <c r="L2609" s="26">
        <v>1</v>
      </c>
      <c r="M2609" s="26">
        <v>1</v>
      </c>
      <c r="N2609" s="28">
        <v>1</v>
      </c>
      <c r="O2609" s="26">
        <v>0.4</v>
      </c>
      <c r="P2609" s="26">
        <v>0.4</v>
      </c>
      <c r="Q2609" s="26">
        <v>0</v>
      </c>
      <c r="R2609" s="26"/>
      <c r="S2609" s="26">
        <v>0</v>
      </c>
      <c r="T2609" s="26">
        <v>0</v>
      </c>
      <c r="U2609" s="26">
        <v>0</v>
      </c>
      <c r="V2609" s="28">
        <v>0</v>
      </c>
      <c r="W2609" s="26">
        <v>0</v>
      </c>
      <c r="X2609" s="26">
        <v>0</v>
      </c>
      <c r="Y2609" s="26">
        <v>0</v>
      </c>
      <c r="Z2609" s="26">
        <v>0</v>
      </c>
    </row>
    <row r="2610" spans="1:26" x14ac:dyDescent="0.2">
      <c r="A2610">
        <f t="shared" si="82"/>
        <v>5</v>
      </c>
      <c r="B2610">
        <f t="shared" si="83"/>
        <v>21</v>
      </c>
      <c r="C2610" s="27">
        <v>46164</v>
      </c>
      <c r="D2610" s="26" t="s">
        <v>26</v>
      </c>
      <c r="E2610" s="26" t="s">
        <v>27</v>
      </c>
      <c r="F2610" s="26" t="s">
        <v>124</v>
      </c>
      <c r="G2610" s="26" t="s">
        <v>29</v>
      </c>
      <c r="H2610" s="26" t="s">
        <v>30</v>
      </c>
      <c r="I2610" s="26" t="s">
        <v>101</v>
      </c>
      <c r="J2610" s="26" t="s">
        <v>87</v>
      </c>
      <c r="K2610" s="26" t="s">
        <v>1653</v>
      </c>
      <c r="L2610" s="26">
        <v>2</v>
      </c>
      <c r="M2610" s="26">
        <v>1</v>
      </c>
      <c r="N2610" s="28">
        <v>0.5</v>
      </c>
      <c r="O2610" s="26">
        <v>0.21</v>
      </c>
      <c r="P2610" s="26">
        <v>0.21</v>
      </c>
      <c r="Q2610" s="26">
        <v>0</v>
      </c>
      <c r="R2610" s="26"/>
      <c r="S2610" s="26">
        <v>0</v>
      </c>
      <c r="T2610" s="26">
        <v>0</v>
      </c>
      <c r="U2610" s="26">
        <v>0</v>
      </c>
      <c r="V2610" s="28">
        <v>0</v>
      </c>
      <c r="W2610" s="26">
        <v>0</v>
      </c>
      <c r="X2610" s="26">
        <v>0</v>
      </c>
      <c r="Y2610" s="26">
        <v>0</v>
      </c>
      <c r="Z2610" s="26">
        <v>0</v>
      </c>
    </row>
    <row r="2611" spans="1:26" x14ac:dyDescent="0.2">
      <c r="A2611">
        <f t="shared" si="82"/>
        <v>5</v>
      </c>
      <c r="B2611">
        <f t="shared" si="83"/>
        <v>22</v>
      </c>
      <c r="C2611" s="27">
        <v>46172</v>
      </c>
      <c r="D2611" s="26" t="s">
        <v>26</v>
      </c>
      <c r="E2611" s="26" t="s">
        <v>27</v>
      </c>
      <c r="F2611" s="26" t="s">
        <v>124</v>
      </c>
      <c r="G2611" s="26" t="s">
        <v>29</v>
      </c>
      <c r="H2611" s="26" t="s">
        <v>30</v>
      </c>
      <c r="I2611" s="26" t="s">
        <v>154</v>
      </c>
      <c r="J2611" s="26" t="s">
        <v>87</v>
      </c>
      <c r="K2611" s="26" t="s">
        <v>1654</v>
      </c>
      <c r="L2611" s="26">
        <v>3</v>
      </c>
      <c r="M2611" s="26">
        <v>1</v>
      </c>
      <c r="N2611" s="28">
        <v>0.33333299999999999</v>
      </c>
      <c r="O2611" s="26">
        <v>0.21</v>
      </c>
      <c r="P2611" s="26">
        <v>0.21</v>
      </c>
      <c r="Q2611" s="26">
        <v>0</v>
      </c>
      <c r="R2611" s="26"/>
      <c r="S2611" s="26">
        <v>0</v>
      </c>
      <c r="T2611" s="26">
        <v>0</v>
      </c>
      <c r="U2611" s="26">
        <v>0</v>
      </c>
      <c r="V2611" s="28">
        <v>0</v>
      </c>
      <c r="W2611" s="26">
        <v>0</v>
      </c>
      <c r="X2611" s="26">
        <v>0</v>
      </c>
      <c r="Y2611" s="26">
        <v>0</v>
      </c>
      <c r="Z2611" s="26">
        <v>0</v>
      </c>
    </row>
    <row r="2612" spans="1:26" x14ac:dyDescent="0.2">
      <c r="A2612">
        <f t="shared" si="82"/>
        <v>5</v>
      </c>
      <c r="B2612">
        <f t="shared" si="83"/>
        <v>23</v>
      </c>
      <c r="C2612" s="27">
        <v>46173</v>
      </c>
      <c r="D2612" s="26" t="s">
        <v>26</v>
      </c>
      <c r="E2612" s="26" t="s">
        <v>27</v>
      </c>
      <c r="F2612" s="26" t="s">
        <v>28</v>
      </c>
      <c r="G2612" s="26" t="s">
        <v>29</v>
      </c>
      <c r="H2612" s="26" t="s">
        <v>30</v>
      </c>
      <c r="I2612" s="26" t="s">
        <v>133</v>
      </c>
      <c r="J2612" s="26" t="s">
        <v>32</v>
      </c>
      <c r="K2612" s="26" t="s">
        <v>1375</v>
      </c>
      <c r="L2612" s="26">
        <v>2</v>
      </c>
      <c r="M2612" s="26">
        <v>1</v>
      </c>
      <c r="N2612" s="28">
        <v>0.5</v>
      </c>
      <c r="O2612" s="26">
        <v>0.21</v>
      </c>
      <c r="P2612" s="26">
        <v>0.21</v>
      </c>
      <c r="Q2612" s="26">
        <v>0</v>
      </c>
      <c r="R2612" s="26"/>
      <c r="S2612" s="26">
        <v>0</v>
      </c>
      <c r="T2612" s="26">
        <v>0</v>
      </c>
      <c r="U2612" s="26">
        <v>0</v>
      </c>
      <c r="V2612" s="28">
        <v>0</v>
      </c>
      <c r="W2612" s="26">
        <v>0</v>
      </c>
      <c r="X2612" s="26">
        <v>0</v>
      </c>
      <c r="Y2612" s="26">
        <v>0</v>
      </c>
      <c r="Z2612" s="26">
        <v>0</v>
      </c>
    </row>
    <row r="2613" spans="1:26" x14ac:dyDescent="0.2">
      <c r="A2613">
        <f t="shared" si="82"/>
        <v>5</v>
      </c>
      <c r="B2613">
        <f t="shared" si="83"/>
        <v>22</v>
      </c>
      <c r="C2613" s="27">
        <v>46172</v>
      </c>
      <c r="D2613" s="26" t="s">
        <v>26</v>
      </c>
      <c r="E2613" s="26" t="s">
        <v>27</v>
      </c>
      <c r="F2613" s="26" t="s">
        <v>28</v>
      </c>
      <c r="G2613" s="26" t="s">
        <v>29</v>
      </c>
      <c r="H2613" s="26" t="s">
        <v>30</v>
      </c>
      <c r="I2613" s="26" t="s">
        <v>845</v>
      </c>
      <c r="J2613" s="26" t="s">
        <v>32</v>
      </c>
      <c r="K2613" s="26" t="s">
        <v>1655</v>
      </c>
      <c r="L2613" s="26">
        <v>3</v>
      </c>
      <c r="M2613" s="26">
        <v>1</v>
      </c>
      <c r="N2613" s="28">
        <v>0.33333299999999999</v>
      </c>
      <c r="O2613" s="26">
        <v>0.2</v>
      </c>
      <c r="P2613" s="26">
        <v>0.2</v>
      </c>
      <c r="Q2613" s="26">
        <v>17.47</v>
      </c>
      <c r="R2613" s="28">
        <v>1.1448E-2</v>
      </c>
      <c r="S2613" s="26">
        <v>87.35</v>
      </c>
      <c r="T2613" s="26">
        <v>1</v>
      </c>
      <c r="U2613" s="26">
        <v>1</v>
      </c>
      <c r="V2613" s="28">
        <v>1</v>
      </c>
      <c r="W2613" s="26">
        <v>1</v>
      </c>
      <c r="X2613" s="26">
        <v>0</v>
      </c>
      <c r="Y2613" s="26">
        <v>17.47</v>
      </c>
      <c r="Z2613" s="26">
        <v>0</v>
      </c>
    </row>
    <row r="2614" spans="1:26" x14ac:dyDescent="0.2">
      <c r="A2614">
        <f t="shared" si="82"/>
        <v>5</v>
      </c>
      <c r="B2614">
        <f t="shared" si="83"/>
        <v>22</v>
      </c>
      <c r="C2614" s="27">
        <v>46166</v>
      </c>
      <c r="D2614" s="26" t="s">
        <v>26</v>
      </c>
      <c r="E2614" s="26" t="s">
        <v>27</v>
      </c>
      <c r="F2614" s="26" t="s">
        <v>28</v>
      </c>
      <c r="G2614" s="26" t="s">
        <v>29</v>
      </c>
      <c r="H2614" s="26" t="s">
        <v>30</v>
      </c>
      <c r="I2614" s="26" t="s">
        <v>31</v>
      </c>
      <c r="J2614" s="26" t="s">
        <v>32</v>
      </c>
      <c r="K2614" s="26" t="s">
        <v>1656</v>
      </c>
      <c r="L2614" s="26">
        <v>2</v>
      </c>
      <c r="M2614" s="26">
        <v>1</v>
      </c>
      <c r="N2614" s="28">
        <v>0.5</v>
      </c>
      <c r="O2614" s="26">
        <v>0.21</v>
      </c>
      <c r="P2614" s="26">
        <v>0.21</v>
      </c>
      <c r="Q2614" s="26">
        <v>0</v>
      </c>
      <c r="R2614" s="26"/>
      <c r="S2614" s="26">
        <v>0</v>
      </c>
      <c r="T2614" s="26">
        <v>0</v>
      </c>
      <c r="U2614" s="26">
        <v>0</v>
      </c>
      <c r="V2614" s="28">
        <v>0</v>
      </c>
      <c r="W2614" s="26">
        <v>0</v>
      </c>
      <c r="X2614" s="26">
        <v>0</v>
      </c>
      <c r="Y2614" s="26">
        <v>0</v>
      </c>
      <c r="Z2614" s="26">
        <v>0</v>
      </c>
    </row>
    <row r="2615" spans="1:26" x14ac:dyDescent="0.2">
      <c r="A2615">
        <f t="shared" si="82"/>
        <v>5</v>
      </c>
      <c r="B2615">
        <f t="shared" si="83"/>
        <v>22</v>
      </c>
      <c r="C2615" s="27">
        <v>46167</v>
      </c>
      <c r="D2615" s="26" t="s">
        <v>26</v>
      </c>
      <c r="E2615" s="26" t="s">
        <v>49</v>
      </c>
      <c r="F2615" s="26" t="s">
        <v>50</v>
      </c>
      <c r="G2615" s="26" t="s">
        <v>29</v>
      </c>
      <c r="H2615" s="26" t="s">
        <v>30</v>
      </c>
      <c r="I2615" s="26" t="s">
        <v>95</v>
      </c>
      <c r="J2615" s="26" t="s">
        <v>42</v>
      </c>
      <c r="K2615" s="26" t="s">
        <v>1657</v>
      </c>
      <c r="L2615" s="26">
        <v>3</v>
      </c>
      <c r="M2615" s="26">
        <v>1</v>
      </c>
      <c r="N2615" s="28">
        <v>0.33333299999999999</v>
      </c>
      <c r="O2615" s="26">
        <v>0.1</v>
      </c>
      <c r="P2615" s="26">
        <v>0.1</v>
      </c>
      <c r="Q2615" s="26">
        <v>0</v>
      </c>
      <c r="R2615" s="26"/>
      <c r="S2615" s="26">
        <v>0</v>
      </c>
      <c r="T2615" s="26">
        <v>0</v>
      </c>
      <c r="U2615" s="26">
        <v>0</v>
      </c>
      <c r="V2615" s="28">
        <v>0</v>
      </c>
      <c r="W2615" s="26">
        <v>0</v>
      </c>
      <c r="X2615" s="26">
        <v>0</v>
      </c>
      <c r="Y2615" s="26">
        <v>0</v>
      </c>
      <c r="Z2615" s="26">
        <v>0</v>
      </c>
    </row>
    <row r="2616" spans="1:26" x14ac:dyDescent="0.2">
      <c r="A2616">
        <f t="shared" si="82"/>
        <v>5</v>
      </c>
      <c r="B2616">
        <f t="shared" si="83"/>
        <v>21</v>
      </c>
      <c r="C2616" s="27">
        <v>46165</v>
      </c>
      <c r="D2616" s="26" t="s">
        <v>26</v>
      </c>
      <c r="E2616" s="26" t="s">
        <v>27</v>
      </c>
      <c r="F2616" s="26" t="s">
        <v>28</v>
      </c>
      <c r="G2616" s="26" t="s">
        <v>29</v>
      </c>
      <c r="H2616" s="26" t="s">
        <v>30</v>
      </c>
      <c r="I2616" s="26" t="s">
        <v>542</v>
      </c>
      <c r="J2616" s="26" t="s">
        <v>32</v>
      </c>
      <c r="K2616" s="26" t="s">
        <v>1658</v>
      </c>
      <c r="L2616" s="26">
        <v>1</v>
      </c>
      <c r="M2616" s="26">
        <v>1</v>
      </c>
      <c r="N2616" s="28">
        <v>1</v>
      </c>
      <c r="O2616" s="26">
        <v>0.21</v>
      </c>
      <c r="P2616" s="26">
        <v>0.21</v>
      </c>
      <c r="Q2616" s="26">
        <v>0</v>
      </c>
      <c r="R2616" s="26"/>
      <c r="S2616" s="26">
        <v>0</v>
      </c>
      <c r="T2616" s="26">
        <v>0</v>
      </c>
      <c r="U2616" s="26">
        <v>0</v>
      </c>
      <c r="V2616" s="28">
        <v>0</v>
      </c>
      <c r="W2616" s="26">
        <v>0</v>
      </c>
      <c r="X2616" s="26">
        <v>0</v>
      </c>
      <c r="Y2616" s="26">
        <v>0</v>
      </c>
      <c r="Z2616" s="26">
        <v>0</v>
      </c>
    </row>
    <row r="2617" spans="1:26" x14ac:dyDescent="0.2">
      <c r="A2617">
        <f t="shared" si="82"/>
        <v>5</v>
      </c>
      <c r="B2617">
        <f t="shared" si="83"/>
        <v>22</v>
      </c>
      <c r="C2617" s="27">
        <v>46169</v>
      </c>
      <c r="D2617" s="26" t="s">
        <v>26</v>
      </c>
      <c r="E2617" s="26" t="s">
        <v>27</v>
      </c>
      <c r="F2617" s="26" t="s">
        <v>28</v>
      </c>
      <c r="G2617" s="26" t="s">
        <v>29</v>
      </c>
      <c r="H2617" s="26" t="s">
        <v>30</v>
      </c>
      <c r="I2617" s="26" t="s">
        <v>50</v>
      </c>
      <c r="J2617" s="26" t="s">
        <v>32</v>
      </c>
      <c r="K2617" s="26" t="s">
        <v>1659</v>
      </c>
      <c r="L2617" s="26">
        <v>1</v>
      </c>
      <c r="M2617" s="26">
        <v>1</v>
      </c>
      <c r="N2617" s="28">
        <v>1</v>
      </c>
      <c r="O2617" s="26">
        <v>0.21</v>
      </c>
      <c r="P2617" s="26">
        <v>0.21</v>
      </c>
      <c r="Q2617" s="26">
        <v>0</v>
      </c>
      <c r="R2617" s="26"/>
      <c r="S2617" s="26">
        <v>0</v>
      </c>
      <c r="T2617" s="26">
        <v>0</v>
      </c>
      <c r="U2617" s="26">
        <v>0</v>
      </c>
      <c r="V2617" s="28">
        <v>0</v>
      </c>
      <c r="W2617" s="26">
        <v>0</v>
      </c>
      <c r="X2617" s="26">
        <v>0</v>
      </c>
      <c r="Y2617" s="26">
        <v>0</v>
      </c>
      <c r="Z2617" s="26">
        <v>0</v>
      </c>
    </row>
    <row r="2618" spans="1:26" x14ac:dyDescent="0.2">
      <c r="A2618">
        <f t="shared" ref="A2618:A2680" si="84">MONTH(C2618)</f>
        <v>6</v>
      </c>
      <c r="B2618">
        <f t="shared" ref="B2618:B2680" si="85">WEEKNUM(C2618,1)</f>
        <v>25</v>
      </c>
      <c r="C2618" s="27">
        <v>46188</v>
      </c>
      <c r="D2618" s="26" t="s">
        <v>26</v>
      </c>
      <c r="E2618" s="26" t="s">
        <v>27</v>
      </c>
      <c r="F2618" s="26" t="s">
        <v>28</v>
      </c>
      <c r="G2618" s="26" t="s">
        <v>29</v>
      </c>
      <c r="H2618" s="26" t="s">
        <v>30</v>
      </c>
      <c r="I2618" s="26" t="s">
        <v>50</v>
      </c>
      <c r="J2618" s="26" t="s">
        <v>32</v>
      </c>
      <c r="K2618" s="26" t="s">
        <v>1660</v>
      </c>
      <c r="L2618" s="26">
        <v>1</v>
      </c>
      <c r="M2618" s="26">
        <v>1</v>
      </c>
      <c r="N2618" s="28">
        <v>1</v>
      </c>
      <c r="O2618" s="26">
        <v>0.21</v>
      </c>
      <c r="P2618" s="26">
        <v>0.21</v>
      </c>
      <c r="Q2618" s="26">
        <v>0</v>
      </c>
      <c r="R2618" s="26"/>
      <c r="S2618" s="26">
        <v>0</v>
      </c>
      <c r="T2618" s="26">
        <v>0</v>
      </c>
      <c r="U2618" s="26">
        <v>0</v>
      </c>
      <c r="V2618" s="28">
        <v>0</v>
      </c>
      <c r="W2618" s="26">
        <v>0</v>
      </c>
      <c r="X2618" s="26">
        <v>0</v>
      </c>
      <c r="Y2618" s="26">
        <v>0</v>
      </c>
      <c r="Z2618" s="26">
        <v>0</v>
      </c>
    </row>
    <row r="2619" spans="1:26" x14ac:dyDescent="0.2">
      <c r="A2619">
        <f t="shared" si="84"/>
        <v>6</v>
      </c>
      <c r="B2619">
        <f t="shared" si="85"/>
        <v>25</v>
      </c>
      <c r="C2619" s="27">
        <v>46187</v>
      </c>
      <c r="D2619" s="26" t="s">
        <v>26</v>
      </c>
      <c r="E2619" s="26" t="s">
        <v>27</v>
      </c>
      <c r="F2619" s="26" t="s">
        <v>28</v>
      </c>
      <c r="G2619" s="26" t="s">
        <v>29</v>
      </c>
      <c r="H2619" s="26" t="s">
        <v>30</v>
      </c>
      <c r="I2619" s="26" t="s">
        <v>50</v>
      </c>
      <c r="J2619" s="26" t="s">
        <v>32</v>
      </c>
      <c r="K2619" s="26" t="s">
        <v>1661</v>
      </c>
      <c r="L2619" s="26">
        <v>1</v>
      </c>
      <c r="M2619" s="26">
        <v>1</v>
      </c>
      <c r="N2619" s="28">
        <v>1</v>
      </c>
      <c r="O2619" s="26">
        <v>0.4</v>
      </c>
      <c r="P2619" s="26">
        <v>0.4</v>
      </c>
      <c r="Q2619" s="26">
        <v>0</v>
      </c>
      <c r="R2619" s="26"/>
      <c r="S2619" s="26">
        <v>0</v>
      </c>
      <c r="T2619" s="26">
        <v>0</v>
      </c>
      <c r="U2619" s="26">
        <v>0</v>
      </c>
      <c r="V2619" s="28">
        <v>0</v>
      </c>
      <c r="W2619" s="26">
        <v>0</v>
      </c>
      <c r="X2619" s="26">
        <v>0</v>
      </c>
      <c r="Y2619" s="26">
        <v>0</v>
      </c>
      <c r="Z2619" s="26">
        <v>0</v>
      </c>
    </row>
    <row r="2620" spans="1:26" x14ac:dyDescent="0.2">
      <c r="A2620">
        <f t="shared" si="84"/>
        <v>6</v>
      </c>
      <c r="B2620">
        <f t="shared" si="85"/>
        <v>23</v>
      </c>
      <c r="C2620" s="27">
        <v>46179</v>
      </c>
      <c r="D2620" s="26" t="s">
        <v>26</v>
      </c>
      <c r="E2620" s="26" t="s">
        <v>27</v>
      </c>
      <c r="F2620" s="26" t="s">
        <v>28</v>
      </c>
      <c r="G2620" s="26" t="s">
        <v>29</v>
      </c>
      <c r="H2620" s="26" t="s">
        <v>30</v>
      </c>
      <c r="I2620" s="26" t="s">
        <v>37</v>
      </c>
      <c r="J2620" s="26" t="s">
        <v>32</v>
      </c>
      <c r="K2620" s="26" t="s">
        <v>1662</v>
      </c>
      <c r="L2620" s="26">
        <v>4</v>
      </c>
      <c r="M2620" s="26">
        <v>1</v>
      </c>
      <c r="N2620" s="28">
        <v>0.25</v>
      </c>
      <c r="O2620" s="26">
        <v>0.21</v>
      </c>
      <c r="P2620" s="26">
        <v>0.21</v>
      </c>
      <c r="Q2620" s="26">
        <v>0</v>
      </c>
      <c r="R2620" s="26"/>
      <c r="S2620" s="26">
        <v>0</v>
      </c>
      <c r="T2620" s="26">
        <v>0</v>
      </c>
      <c r="U2620" s="26">
        <v>0</v>
      </c>
      <c r="V2620" s="28">
        <v>0</v>
      </c>
      <c r="W2620" s="26">
        <v>0</v>
      </c>
      <c r="X2620" s="26">
        <v>0</v>
      </c>
      <c r="Y2620" s="26">
        <v>0</v>
      </c>
      <c r="Z2620" s="26">
        <v>0</v>
      </c>
    </row>
    <row r="2621" spans="1:26" x14ac:dyDescent="0.2">
      <c r="A2621">
        <f t="shared" si="84"/>
        <v>6</v>
      </c>
      <c r="B2621">
        <f t="shared" si="85"/>
        <v>25</v>
      </c>
      <c r="C2621" s="27">
        <v>46190</v>
      </c>
      <c r="D2621" s="26" t="s">
        <v>26</v>
      </c>
      <c r="E2621" s="26" t="s">
        <v>27</v>
      </c>
      <c r="F2621" s="26" t="s">
        <v>124</v>
      </c>
      <c r="G2621" s="26" t="s">
        <v>29</v>
      </c>
      <c r="H2621" s="26" t="s">
        <v>30</v>
      </c>
      <c r="I2621" s="26" t="s">
        <v>257</v>
      </c>
      <c r="J2621" s="26" t="s">
        <v>87</v>
      </c>
      <c r="K2621" s="26" t="s">
        <v>1663</v>
      </c>
      <c r="L2621" s="26">
        <v>1</v>
      </c>
      <c r="M2621" s="26">
        <v>1</v>
      </c>
      <c r="N2621" s="28">
        <v>1</v>
      </c>
      <c r="O2621" s="26">
        <v>0.21</v>
      </c>
      <c r="P2621" s="26">
        <v>0.21</v>
      </c>
      <c r="Q2621" s="26">
        <v>0</v>
      </c>
      <c r="R2621" s="26"/>
      <c r="S2621" s="26">
        <v>0</v>
      </c>
      <c r="T2621" s="26">
        <v>0</v>
      </c>
      <c r="U2621" s="26">
        <v>0</v>
      </c>
      <c r="V2621" s="28">
        <v>0</v>
      </c>
      <c r="W2621" s="26">
        <v>0</v>
      </c>
      <c r="X2621" s="26">
        <v>0</v>
      </c>
      <c r="Y2621" s="26">
        <v>0</v>
      </c>
      <c r="Z2621" s="26">
        <v>0</v>
      </c>
    </row>
    <row r="2622" spans="1:26" x14ac:dyDescent="0.2">
      <c r="A2622">
        <f t="shared" si="84"/>
        <v>6</v>
      </c>
      <c r="B2622">
        <f t="shared" si="85"/>
        <v>25</v>
      </c>
      <c r="C2622" s="27">
        <v>46189</v>
      </c>
      <c r="D2622" s="26" t="s">
        <v>26</v>
      </c>
      <c r="E2622" s="26" t="s">
        <v>27</v>
      </c>
      <c r="F2622" s="26" t="s">
        <v>28</v>
      </c>
      <c r="G2622" s="26" t="s">
        <v>29</v>
      </c>
      <c r="H2622" s="26" t="s">
        <v>30</v>
      </c>
      <c r="I2622" s="26" t="s">
        <v>50</v>
      </c>
      <c r="J2622" s="26" t="s">
        <v>32</v>
      </c>
      <c r="K2622" s="26" t="s">
        <v>43</v>
      </c>
      <c r="L2622" s="26">
        <v>3</v>
      </c>
      <c r="M2622" s="26">
        <v>1</v>
      </c>
      <c r="N2622" s="28">
        <v>0.33333299999999999</v>
      </c>
      <c r="O2622" s="26">
        <v>0.21</v>
      </c>
      <c r="P2622" s="26">
        <v>0.21</v>
      </c>
      <c r="Q2622" s="26">
        <v>0</v>
      </c>
      <c r="R2622" s="26"/>
      <c r="S2622" s="26">
        <v>0</v>
      </c>
      <c r="T2622" s="26">
        <v>0</v>
      </c>
      <c r="U2622" s="26">
        <v>0</v>
      </c>
      <c r="V2622" s="28">
        <v>0</v>
      </c>
      <c r="W2622" s="26">
        <v>0</v>
      </c>
      <c r="X2622" s="26">
        <v>0</v>
      </c>
      <c r="Y2622" s="26">
        <v>0</v>
      </c>
      <c r="Z2622" s="26">
        <v>0</v>
      </c>
    </row>
    <row r="2623" spans="1:26" x14ac:dyDescent="0.2">
      <c r="A2623">
        <f t="shared" si="84"/>
        <v>6</v>
      </c>
      <c r="B2623">
        <f t="shared" si="85"/>
        <v>25</v>
      </c>
      <c r="C2623" s="27">
        <v>46190</v>
      </c>
      <c r="D2623" s="26" t="s">
        <v>26</v>
      </c>
      <c r="E2623" s="26" t="s">
        <v>27</v>
      </c>
      <c r="F2623" s="26" t="s">
        <v>28</v>
      </c>
      <c r="G2623" s="26" t="s">
        <v>29</v>
      </c>
      <c r="H2623" s="26" t="s">
        <v>30</v>
      </c>
      <c r="I2623" s="26" t="s">
        <v>101</v>
      </c>
      <c r="J2623" s="26" t="s">
        <v>32</v>
      </c>
      <c r="K2623" s="26" t="s">
        <v>1664</v>
      </c>
      <c r="L2623" s="26">
        <v>1</v>
      </c>
      <c r="M2623" s="26">
        <v>1</v>
      </c>
      <c r="N2623" s="28">
        <v>1</v>
      </c>
      <c r="O2623" s="26">
        <v>0.21</v>
      </c>
      <c r="P2623" s="26">
        <v>0.21</v>
      </c>
      <c r="Q2623" s="26">
        <v>0</v>
      </c>
      <c r="R2623" s="26"/>
      <c r="S2623" s="26">
        <v>0</v>
      </c>
      <c r="T2623" s="26">
        <v>0</v>
      </c>
      <c r="U2623" s="26">
        <v>0</v>
      </c>
      <c r="V2623" s="28">
        <v>0</v>
      </c>
      <c r="W2623" s="26">
        <v>0</v>
      </c>
      <c r="X2623" s="26">
        <v>0</v>
      </c>
      <c r="Y2623" s="26">
        <v>0</v>
      </c>
      <c r="Z2623" s="26">
        <v>0</v>
      </c>
    </row>
    <row r="2624" spans="1:26" x14ac:dyDescent="0.2">
      <c r="A2624">
        <f t="shared" si="84"/>
        <v>6</v>
      </c>
      <c r="B2624">
        <f t="shared" si="85"/>
        <v>24</v>
      </c>
      <c r="C2624" s="27">
        <v>46182</v>
      </c>
      <c r="D2624" s="26" t="s">
        <v>26</v>
      </c>
      <c r="E2624" s="26" t="s">
        <v>49</v>
      </c>
      <c r="F2624" s="26" t="s">
        <v>50</v>
      </c>
      <c r="G2624" s="26" t="s">
        <v>29</v>
      </c>
      <c r="H2624" s="26" t="s">
        <v>30</v>
      </c>
      <c r="I2624" s="26" t="s">
        <v>51</v>
      </c>
      <c r="J2624" s="26" t="s">
        <v>42</v>
      </c>
      <c r="K2624" s="26" t="s">
        <v>1665</v>
      </c>
      <c r="L2624" s="26">
        <v>1</v>
      </c>
      <c r="M2624" s="26">
        <v>1</v>
      </c>
      <c r="N2624" s="28">
        <v>1</v>
      </c>
      <c r="O2624" s="26">
        <v>0.5</v>
      </c>
      <c r="P2624" s="26">
        <v>0.5</v>
      </c>
      <c r="Q2624" s="26">
        <v>0</v>
      </c>
      <c r="R2624" s="26"/>
      <c r="S2624" s="26">
        <v>0</v>
      </c>
      <c r="T2624" s="26">
        <v>0</v>
      </c>
      <c r="U2624" s="26">
        <v>0</v>
      </c>
      <c r="V2624" s="28">
        <v>0</v>
      </c>
      <c r="W2624" s="26">
        <v>0</v>
      </c>
      <c r="X2624" s="26">
        <v>0</v>
      </c>
      <c r="Y2624" s="26">
        <v>0</v>
      </c>
      <c r="Z2624" s="26">
        <v>0</v>
      </c>
    </row>
    <row r="2625" spans="1:26" x14ac:dyDescent="0.2">
      <c r="A2625">
        <f t="shared" si="84"/>
        <v>6</v>
      </c>
      <c r="B2625">
        <f t="shared" si="85"/>
        <v>25</v>
      </c>
      <c r="C2625" s="27">
        <v>46191</v>
      </c>
      <c r="D2625" s="26" t="s">
        <v>26</v>
      </c>
      <c r="E2625" s="26" t="s">
        <v>49</v>
      </c>
      <c r="F2625" s="26" t="s">
        <v>50</v>
      </c>
      <c r="G2625" s="26" t="s">
        <v>29</v>
      </c>
      <c r="H2625" s="26" t="s">
        <v>30</v>
      </c>
      <c r="I2625" s="26" t="s">
        <v>51</v>
      </c>
      <c r="J2625" s="26" t="s">
        <v>42</v>
      </c>
      <c r="K2625" s="26" t="s">
        <v>1666</v>
      </c>
      <c r="L2625" s="26">
        <v>1</v>
      </c>
      <c r="M2625" s="26">
        <v>1</v>
      </c>
      <c r="N2625" s="28">
        <v>1</v>
      </c>
      <c r="O2625" s="26">
        <v>0.5</v>
      </c>
      <c r="P2625" s="26">
        <v>0.5</v>
      </c>
      <c r="Q2625" s="26">
        <v>0</v>
      </c>
      <c r="R2625" s="26"/>
      <c r="S2625" s="26">
        <v>0</v>
      </c>
      <c r="T2625" s="26">
        <v>0</v>
      </c>
      <c r="U2625" s="26">
        <v>0</v>
      </c>
      <c r="V2625" s="28">
        <v>0</v>
      </c>
      <c r="W2625" s="26">
        <v>0</v>
      </c>
      <c r="X2625" s="26">
        <v>0</v>
      </c>
      <c r="Y2625" s="26">
        <v>0</v>
      </c>
      <c r="Z2625" s="26">
        <v>0</v>
      </c>
    </row>
    <row r="2626" spans="1:26" x14ac:dyDescent="0.2">
      <c r="A2626">
        <f t="shared" si="84"/>
        <v>6</v>
      </c>
      <c r="B2626">
        <f t="shared" si="85"/>
        <v>23</v>
      </c>
      <c r="C2626" s="27">
        <v>46177</v>
      </c>
      <c r="D2626" s="26" t="s">
        <v>26</v>
      </c>
      <c r="E2626" s="26" t="s">
        <v>49</v>
      </c>
      <c r="F2626" s="26" t="s">
        <v>50</v>
      </c>
      <c r="G2626" s="26" t="s">
        <v>29</v>
      </c>
      <c r="H2626" s="26" t="s">
        <v>30</v>
      </c>
      <c r="I2626" s="26" t="s">
        <v>51</v>
      </c>
      <c r="J2626" s="26" t="s">
        <v>42</v>
      </c>
      <c r="K2626" s="26" t="s">
        <v>1667</v>
      </c>
      <c r="L2626" s="26">
        <v>3</v>
      </c>
      <c r="M2626" s="26">
        <v>1</v>
      </c>
      <c r="N2626" s="28">
        <v>0.33333299999999999</v>
      </c>
      <c r="O2626" s="26">
        <v>0.62</v>
      </c>
      <c r="P2626" s="26">
        <v>0.62</v>
      </c>
      <c r="Q2626" s="26">
        <v>17.47</v>
      </c>
      <c r="R2626" s="28">
        <v>3.5489E-2</v>
      </c>
      <c r="S2626" s="26">
        <v>28.18</v>
      </c>
      <c r="T2626" s="26">
        <v>1</v>
      </c>
      <c r="U2626" s="26">
        <v>1</v>
      </c>
      <c r="V2626" s="28">
        <v>1</v>
      </c>
      <c r="W2626" s="26">
        <v>1</v>
      </c>
      <c r="X2626" s="26">
        <v>0</v>
      </c>
      <c r="Y2626" s="26">
        <v>17.47</v>
      </c>
      <c r="Z2626" s="26">
        <v>0</v>
      </c>
    </row>
    <row r="2627" spans="1:26" x14ac:dyDescent="0.2">
      <c r="A2627">
        <f t="shared" si="84"/>
        <v>6</v>
      </c>
      <c r="B2627">
        <f t="shared" si="85"/>
        <v>25</v>
      </c>
      <c r="C2627" s="27">
        <v>46190</v>
      </c>
      <c r="D2627" s="26" t="s">
        <v>26</v>
      </c>
      <c r="E2627" s="26" t="s">
        <v>49</v>
      </c>
      <c r="F2627" s="26" t="s">
        <v>50</v>
      </c>
      <c r="G2627" s="26" t="s">
        <v>29</v>
      </c>
      <c r="H2627" s="26" t="s">
        <v>30</v>
      </c>
      <c r="I2627" s="26" t="s">
        <v>51</v>
      </c>
      <c r="J2627" s="26" t="s">
        <v>42</v>
      </c>
      <c r="K2627" s="26" t="s">
        <v>1668</v>
      </c>
      <c r="L2627" s="26">
        <v>4</v>
      </c>
      <c r="M2627" s="26">
        <v>1</v>
      </c>
      <c r="N2627" s="28">
        <v>0.25</v>
      </c>
      <c r="O2627" s="26">
        <v>0.48</v>
      </c>
      <c r="P2627" s="26">
        <v>0.48</v>
      </c>
      <c r="Q2627" s="26">
        <v>0</v>
      </c>
      <c r="R2627" s="26"/>
      <c r="S2627" s="26">
        <v>0</v>
      </c>
      <c r="T2627" s="26">
        <v>0</v>
      </c>
      <c r="U2627" s="26">
        <v>0</v>
      </c>
      <c r="V2627" s="28">
        <v>0</v>
      </c>
      <c r="W2627" s="26">
        <v>0</v>
      </c>
      <c r="X2627" s="26">
        <v>0</v>
      </c>
      <c r="Y2627" s="26">
        <v>0</v>
      </c>
      <c r="Z2627" s="26">
        <v>0</v>
      </c>
    </row>
    <row r="2628" spans="1:26" x14ac:dyDescent="0.2">
      <c r="A2628">
        <f t="shared" si="84"/>
        <v>6</v>
      </c>
      <c r="B2628">
        <f t="shared" si="85"/>
        <v>25</v>
      </c>
      <c r="C2628" s="27">
        <v>46191</v>
      </c>
      <c r="D2628" s="26" t="s">
        <v>26</v>
      </c>
      <c r="E2628" s="26" t="s">
        <v>49</v>
      </c>
      <c r="F2628" s="26" t="s">
        <v>50</v>
      </c>
      <c r="G2628" s="26" t="s">
        <v>29</v>
      </c>
      <c r="H2628" s="26" t="s">
        <v>30</v>
      </c>
      <c r="I2628" s="26" t="s">
        <v>51</v>
      </c>
      <c r="J2628" s="26" t="s">
        <v>42</v>
      </c>
      <c r="K2628" s="26" t="s">
        <v>1668</v>
      </c>
      <c r="L2628" s="26">
        <v>1</v>
      </c>
      <c r="M2628" s="26">
        <v>1</v>
      </c>
      <c r="N2628" s="28">
        <v>1</v>
      </c>
      <c r="O2628" s="26">
        <v>0.5</v>
      </c>
      <c r="P2628" s="26">
        <v>0.5</v>
      </c>
      <c r="Q2628" s="26">
        <v>0</v>
      </c>
      <c r="R2628" s="26"/>
      <c r="S2628" s="26">
        <v>0</v>
      </c>
      <c r="T2628" s="26">
        <v>0</v>
      </c>
      <c r="U2628" s="26">
        <v>0</v>
      </c>
      <c r="V2628" s="28">
        <v>0</v>
      </c>
      <c r="W2628" s="26">
        <v>0</v>
      </c>
      <c r="X2628" s="26">
        <v>0</v>
      </c>
      <c r="Y2628" s="26">
        <v>0</v>
      </c>
      <c r="Z2628" s="26">
        <v>0</v>
      </c>
    </row>
    <row r="2629" spans="1:26" x14ac:dyDescent="0.2">
      <c r="A2629">
        <f t="shared" si="84"/>
        <v>6</v>
      </c>
      <c r="B2629">
        <f t="shared" si="85"/>
        <v>23</v>
      </c>
      <c r="C2629" s="27">
        <v>46174</v>
      </c>
      <c r="D2629" s="26" t="s">
        <v>26</v>
      </c>
      <c r="E2629" s="26" t="s">
        <v>39</v>
      </c>
      <c r="F2629" s="26" t="s">
        <v>40</v>
      </c>
      <c r="G2629" s="26" t="s">
        <v>29</v>
      </c>
      <c r="H2629" s="26" t="s">
        <v>30</v>
      </c>
      <c r="I2629" s="26" t="s">
        <v>1134</v>
      </c>
      <c r="J2629" s="26" t="s">
        <v>42</v>
      </c>
      <c r="K2629" s="26" t="s">
        <v>65</v>
      </c>
      <c r="L2629" s="26">
        <v>315</v>
      </c>
      <c r="M2629" s="26">
        <v>2</v>
      </c>
      <c r="N2629" s="28">
        <v>6.3489999999999996E-3</v>
      </c>
      <c r="O2629" s="26">
        <v>0.71</v>
      </c>
      <c r="P2629" s="26">
        <v>1.42</v>
      </c>
      <c r="Q2629" s="26">
        <v>17.47</v>
      </c>
      <c r="R2629" s="28">
        <v>8.1281999999999993E-2</v>
      </c>
      <c r="S2629" s="26">
        <v>12.3</v>
      </c>
      <c r="T2629" s="26">
        <v>1</v>
      </c>
      <c r="U2629" s="26">
        <v>1</v>
      </c>
      <c r="V2629" s="28">
        <v>0.5</v>
      </c>
      <c r="W2629" s="26">
        <v>1</v>
      </c>
      <c r="X2629" s="26">
        <v>0</v>
      </c>
      <c r="Y2629" s="26">
        <v>17.47</v>
      </c>
      <c r="Z2629" s="26">
        <v>0</v>
      </c>
    </row>
    <row r="2630" spans="1:26" x14ac:dyDescent="0.2">
      <c r="A2630">
        <f t="shared" si="84"/>
        <v>6</v>
      </c>
      <c r="B2630">
        <f t="shared" si="85"/>
        <v>23</v>
      </c>
      <c r="C2630" s="27">
        <v>46175</v>
      </c>
      <c r="D2630" s="26" t="s">
        <v>26</v>
      </c>
      <c r="E2630" s="26" t="s">
        <v>39</v>
      </c>
      <c r="F2630" s="26" t="s">
        <v>40</v>
      </c>
      <c r="G2630" s="26" t="s">
        <v>29</v>
      </c>
      <c r="H2630" s="26" t="s">
        <v>30</v>
      </c>
      <c r="I2630" s="26" t="s">
        <v>1134</v>
      </c>
      <c r="J2630" s="26" t="s">
        <v>42</v>
      </c>
      <c r="K2630" s="26" t="s">
        <v>65</v>
      </c>
      <c r="L2630" s="26">
        <v>137</v>
      </c>
      <c r="M2630" s="26">
        <v>2</v>
      </c>
      <c r="N2630" s="28">
        <v>1.4599000000000001E-2</v>
      </c>
      <c r="O2630" s="26">
        <v>0.65</v>
      </c>
      <c r="P2630" s="26">
        <v>1.3</v>
      </c>
      <c r="Q2630" s="26">
        <v>17.47</v>
      </c>
      <c r="R2630" s="28">
        <v>7.4413000000000007E-2</v>
      </c>
      <c r="S2630" s="26">
        <v>13.44</v>
      </c>
      <c r="T2630" s="26">
        <v>1</v>
      </c>
      <c r="U2630" s="26">
        <v>1</v>
      </c>
      <c r="V2630" s="28">
        <v>0.5</v>
      </c>
      <c r="W2630" s="26">
        <v>1</v>
      </c>
      <c r="X2630" s="26">
        <v>0</v>
      </c>
      <c r="Y2630" s="26">
        <v>17.47</v>
      </c>
      <c r="Z2630" s="26">
        <v>0</v>
      </c>
    </row>
    <row r="2631" spans="1:26" x14ac:dyDescent="0.2">
      <c r="A2631">
        <f t="shared" si="84"/>
        <v>6</v>
      </c>
      <c r="B2631">
        <f t="shared" si="85"/>
        <v>23</v>
      </c>
      <c r="C2631" s="27">
        <v>46176</v>
      </c>
      <c r="D2631" s="26" t="s">
        <v>26</v>
      </c>
      <c r="E2631" s="26" t="s">
        <v>39</v>
      </c>
      <c r="F2631" s="26" t="s">
        <v>40</v>
      </c>
      <c r="G2631" s="26" t="s">
        <v>29</v>
      </c>
      <c r="H2631" s="26" t="s">
        <v>30</v>
      </c>
      <c r="I2631" s="26" t="s">
        <v>1134</v>
      </c>
      <c r="J2631" s="26" t="s">
        <v>42</v>
      </c>
      <c r="K2631" s="26" t="s">
        <v>65</v>
      </c>
      <c r="L2631" s="26">
        <v>141</v>
      </c>
      <c r="M2631" s="26">
        <v>4</v>
      </c>
      <c r="N2631" s="28">
        <v>2.8368999999999998E-2</v>
      </c>
      <c r="O2631" s="26">
        <v>0.61</v>
      </c>
      <c r="P2631" s="26">
        <v>2.42</v>
      </c>
      <c r="Q2631" s="26">
        <v>0</v>
      </c>
      <c r="R2631" s="26"/>
      <c r="S2631" s="26">
        <v>0</v>
      </c>
      <c r="T2631" s="26">
        <v>0</v>
      </c>
      <c r="U2631" s="26">
        <v>0</v>
      </c>
      <c r="V2631" s="28">
        <v>0</v>
      </c>
      <c r="W2631" s="26">
        <v>0</v>
      </c>
      <c r="X2631" s="26">
        <v>0</v>
      </c>
      <c r="Y2631" s="26">
        <v>0</v>
      </c>
      <c r="Z2631" s="26">
        <v>0</v>
      </c>
    </row>
    <row r="2632" spans="1:26" x14ac:dyDescent="0.2">
      <c r="A2632">
        <f t="shared" si="84"/>
        <v>6</v>
      </c>
      <c r="B2632">
        <f t="shared" si="85"/>
        <v>23</v>
      </c>
      <c r="C2632" s="27">
        <v>46177</v>
      </c>
      <c r="D2632" s="26" t="s">
        <v>26</v>
      </c>
      <c r="E2632" s="26" t="s">
        <v>39</v>
      </c>
      <c r="F2632" s="26" t="s">
        <v>40</v>
      </c>
      <c r="G2632" s="26" t="s">
        <v>29</v>
      </c>
      <c r="H2632" s="26" t="s">
        <v>30</v>
      </c>
      <c r="I2632" s="26" t="s">
        <v>1134</v>
      </c>
      <c r="J2632" s="26" t="s">
        <v>42</v>
      </c>
      <c r="K2632" s="26" t="s">
        <v>65</v>
      </c>
      <c r="L2632" s="26">
        <v>188</v>
      </c>
      <c r="M2632" s="26">
        <v>3</v>
      </c>
      <c r="N2632" s="28">
        <v>1.5956999999999999E-2</v>
      </c>
      <c r="O2632" s="26">
        <v>0.56999999999999995</v>
      </c>
      <c r="P2632" s="26">
        <v>1.71</v>
      </c>
      <c r="Q2632" s="26">
        <v>0</v>
      </c>
      <c r="R2632" s="26"/>
      <c r="S2632" s="26">
        <v>0</v>
      </c>
      <c r="T2632" s="26">
        <v>0</v>
      </c>
      <c r="U2632" s="26">
        <v>0</v>
      </c>
      <c r="V2632" s="28">
        <v>0</v>
      </c>
      <c r="W2632" s="26">
        <v>0</v>
      </c>
      <c r="X2632" s="26">
        <v>0</v>
      </c>
      <c r="Y2632" s="26">
        <v>0</v>
      </c>
      <c r="Z2632" s="26">
        <v>0</v>
      </c>
    </row>
    <row r="2633" spans="1:26" x14ac:dyDescent="0.2">
      <c r="A2633">
        <f t="shared" si="84"/>
        <v>6</v>
      </c>
      <c r="B2633">
        <f t="shared" si="85"/>
        <v>23</v>
      </c>
      <c r="C2633" s="27">
        <v>46178</v>
      </c>
      <c r="D2633" s="26" t="s">
        <v>26</v>
      </c>
      <c r="E2633" s="26" t="s">
        <v>39</v>
      </c>
      <c r="F2633" s="26" t="s">
        <v>40</v>
      </c>
      <c r="G2633" s="26" t="s">
        <v>29</v>
      </c>
      <c r="H2633" s="26" t="s">
        <v>30</v>
      </c>
      <c r="I2633" s="26" t="s">
        <v>1134</v>
      </c>
      <c r="J2633" s="26" t="s">
        <v>42</v>
      </c>
      <c r="K2633" s="26" t="s">
        <v>65</v>
      </c>
      <c r="L2633" s="26">
        <v>354</v>
      </c>
      <c r="M2633" s="26">
        <v>3</v>
      </c>
      <c r="N2633" s="28">
        <v>8.4749999999999999E-3</v>
      </c>
      <c r="O2633" s="26">
        <v>0.6</v>
      </c>
      <c r="P2633" s="26">
        <v>1.8</v>
      </c>
      <c r="Q2633" s="26">
        <v>0</v>
      </c>
      <c r="R2633" s="26"/>
      <c r="S2633" s="26">
        <v>0</v>
      </c>
      <c r="T2633" s="26">
        <v>0</v>
      </c>
      <c r="U2633" s="26">
        <v>0</v>
      </c>
      <c r="V2633" s="28">
        <v>0</v>
      </c>
      <c r="W2633" s="26">
        <v>0</v>
      </c>
      <c r="X2633" s="26">
        <v>0</v>
      </c>
      <c r="Y2633" s="26">
        <v>0</v>
      </c>
      <c r="Z2633" s="26">
        <v>0</v>
      </c>
    </row>
    <row r="2634" spans="1:26" x14ac:dyDescent="0.2">
      <c r="A2634">
        <f t="shared" si="84"/>
        <v>6</v>
      </c>
      <c r="B2634">
        <f t="shared" si="85"/>
        <v>23</v>
      </c>
      <c r="C2634" s="27">
        <v>46179</v>
      </c>
      <c r="D2634" s="26" t="s">
        <v>26</v>
      </c>
      <c r="E2634" s="26" t="s">
        <v>39</v>
      </c>
      <c r="F2634" s="26" t="s">
        <v>40</v>
      </c>
      <c r="G2634" s="26" t="s">
        <v>29</v>
      </c>
      <c r="H2634" s="26" t="s">
        <v>30</v>
      </c>
      <c r="I2634" s="26" t="s">
        <v>1134</v>
      </c>
      <c r="J2634" s="26" t="s">
        <v>42</v>
      </c>
      <c r="K2634" s="26" t="s">
        <v>65</v>
      </c>
      <c r="L2634" s="26">
        <v>389</v>
      </c>
      <c r="M2634" s="26">
        <v>1</v>
      </c>
      <c r="N2634" s="28">
        <v>2.5709999999999999E-3</v>
      </c>
      <c r="O2634" s="26">
        <v>0.61</v>
      </c>
      <c r="P2634" s="26">
        <v>0.61</v>
      </c>
      <c r="Q2634" s="26">
        <v>0</v>
      </c>
      <c r="R2634" s="26"/>
      <c r="S2634" s="26">
        <v>0</v>
      </c>
      <c r="T2634" s="26">
        <v>0</v>
      </c>
      <c r="U2634" s="26">
        <v>0</v>
      </c>
      <c r="V2634" s="28">
        <v>0</v>
      </c>
      <c r="W2634" s="26">
        <v>0</v>
      </c>
      <c r="X2634" s="26">
        <v>0</v>
      </c>
      <c r="Y2634" s="26">
        <v>0</v>
      </c>
      <c r="Z2634" s="26">
        <v>0</v>
      </c>
    </row>
    <row r="2635" spans="1:26" x14ac:dyDescent="0.2">
      <c r="A2635">
        <f t="shared" si="84"/>
        <v>6</v>
      </c>
      <c r="B2635">
        <f t="shared" si="85"/>
        <v>24</v>
      </c>
      <c r="C2635" s="27">
        <v>46180</v>
      </c>
      <c r="D2635" s="26" t="s">
        <v>26</v>
      </c>
      <c r="E2635" s="26" t="s">
        <v>39</v>
      </c>
      <c r="F2635" s="26" t="s">
        <v>40</v>
      </c>
      <c r="G2635" s="26" t="s">
        <v>29</v>
      </c>
      <c r="H2635" s="26" t="s">
        <v>30</v>
      </c>
      <c r="I2635" s="26" t="s">
        <v>1134</v>
      </c>
      <c r="J2635" s="26" t="s">
        <v>42</v>
      </c>
      <c r="K2635" s="26" t="s">
        <v>65</v>
      </c>
      <c r="L2635" s="26">
        <v>231</v>
      </c>
      <c r="M2635" s="26">
        <v>3</v>
      </c>
      <c r="N2635" s="28">
        <v>1.2987E-2</v>
      </c>
      <c r="O2635" s="26">
        <v>0.67</v>
      </c>
      <c r="P2635" s="26">
        <v>2.0099999999999998</v>
      </c>
      <c r="Q2635" s="26">
        <v>0</v>
      </c>
      <c r="R2635" s="26"/>
      <c r="S2635" s="26">
        <v>0</v>
      </c>
      <c r="T2635" s="26">
        <v>0</v>
      </c>
      <c r="U2635" s="26">
        <v>0</v>
      </c>
      <c r="V2635" s="28">
        <v>0</v>
      </c>
      <c r="W2635" s="26">
        <v>0</v>
      </c>
      <c r="X2635" s="26">
        <v>0</v>
      </c>
      <c r="Y2635" s="26">
        <v>0</v>
      </c>
      <c r="Z2635" s="26">
        <v>0</v>
      </c>
    </row>
    <row r="2636" spans="1:26" x14ac:dyDescent="0.2">
      <c r="A2636">
        <f t="shared" si="84"/>
        <v>6</v>
      </c>
      <c r="B2636">
        <f t="shared" si="85"/>
        <v>24</v>
      </c>
      <c r="C2636" s="27">
        <v>46181</v>
      </c>
      <c r="D2636" s="26" t="s">
        <v>26</v>
      </c>
      <c r="E2636" s="26" t="s">
        <v>39</v>
      </c>
      <c r="F2636" s="26" t="s">
        <v>40</v>
      </c>
      <c r="G2636" s="26" t="s">
        <v>29</v>
      </c>
      <c r="H2636" s="26" t="s">
        <v>30</v>
      </c>
      <c r="I2636" s="26" t="s">
        <v>1134</v>
      </c>
      <c r="J2636" s="26" t="s">
        <v>42</v>
      </c>
      <c r="K2636" s="26" t="s">
        <v>65</v>
      </c>
      <c r="L2636" s="26">
        <v>266</v>
      </c>
      <c r="M2636" s="26">
        <v>3</v>
      </c>
      <c r="N2636" s="28">
        <v>1.1278E-2</v>
      </c>
      <c r="O2636" s="26">
        <v>0.69</v>
      </c>
      <c r="P2636" s="26">
        <v>2.0699999999999998</v>
      </c>
      <c r="Q2636" s="26">
        <v>34.94</v>
      </c>
      <c r="R2636" s="28">
        <v>5.9243999999999998E-2</v>
      </c>
      <c r="S2636" s="26">
        <v>16.88</v>
      </c>
      <c r="T2636" s="26">
        <v>1</v>
      </c>
      <c r="U2636" s="26">
        <v>2</v>
      </c>
      <c r="V2636" s="28">
        <v>0.33333299999999999</v>
      </c>
      <c r="W2636" s="26">
        <v>2</v>
      </c>
      <c r="X2636" s="26">
        <v>0</v>
      </c>
      <c r="Y2636" s="26">
        <v>34.94</v>
      </c>
      <c r="Z2636" s="26">
        <v>0</v>
      </c>
    </row>
    <row r="2637" spans="1:26" x14ac:dyDescent="0.2">
      <c r="A2637">
        <f t="shared" si="84"/>
        <v>6</v>
      </c>
      <c r="B2637">
        <f t="shared" si="85"/>
        <v>24</v>
      </c>
      <c r="C2637" s="27">
        <v>46182</v>
      </c>
      <c r="D2637" s="26" t="s">
        <v>26</v>
      </c>
      <c r="E2637" s="26" t="s">
        <v>39</v>
      </c>
      <c r="F2637" s="26" t="s">
        <v>40</v>
      </c>
      <c r="G2637" s="26" t="s">
        <v>29</v>
      </c>
      <c r="H2637" s="26" t="s">
        <v>30</v>
      </c>
      <c r="I2637" s="26" t="s">
        <v>1134</v>
      </c>
      <c r="J2637" s="26" t="s">
        <v>42</v>
      </c>
      <c r="K2637" s="26" t="s">
        <v>65</v>
      </c>
      <c r="L2637" s="26">
        <v>76</v>
      </c>
      <c r="M2637" s="26">
        <v>1</v>
      </c>
      <c r="N2637" s="28">
        <v>1.3158E-2</v>
      </c>
      <c r="O2637" s="26">
        <v>0.67</v>
      </c>
      <c r="P2637" s="26">
        <v>0.67</v>
      </c>
      <c r="Q2637" s="26">
        <v>0</v>
      </c>
      <c r="R2637" s="26"/>
      <c r="S2637" s="26">
        <v>0</v>
      </c>
      <c r="T2637" s="26">
        <v>0</v>
      </c>
      <c r="U2637" s="26">
        <v>0</v>
      </c>
      <c r="V2637" s="28">
        <v>0</v>
      </c>
      <c r="W2637" s="26">
        <v>0</v>
      </c>
      <c r="X2637" s="26">
        <v>0</v>
      </c>
      <c r="Y2637" s="26">
        <v>0</v>
      </c>
      <c r="Z2637" s="26">
        <v>0</v>
      </c>
    </row>
    <row r="2638" spans="1:26" x14ac:dyDescent="0.2">
      <c r="A2638">
        <f t="shared" si="84"/>
        <v>6</v>
      </c>
      <c r="B2638">
        <f t="shared" si="85"/>
        <v>24</v>
      </c>
      <c r="C2638" s="27">
        <v>46183</v>
      </c>
      <c r="D2638" s="26" t="s">
        <v>26</v>
      </c>
      <c r="E2638" s="26" t="s">
        <v>39</v>
      </c>
      <c r="F2638" s="26" t="s">
        <v>40</v>
      </c>
      <c r="G2638" s="26" t="s">
        <v>29</v>
      </c>
      <c r="H2638" s="26" t="s">
        <v>30</v>
      </c>
      <c r="I2638" s="26" t="s">
        <v>1134</v>
      </c>
      <c r="J2638" s="26" t="s">
        <v>42</v>
      </c>
      <c r="K2638" s="26" t="s">
        <v>65</v>
      </c>
      <c r="L2638" s="26">
        <v>139</v>
      </c>
      <c r="M2638" s="26">
        <v>1</v>
      </c>
      <c r="N2638" s="28">
        <v>7.1939999999999999E-3</v>
      </c>
      <c r="O2638" s="26">
        <v>0.67</v>
      </c>
      <c r="P2638" s="26">
        <v>0.67</v>
      </c>
      <c r="Q2638" s="26">
        <v>0</v>
      </c>
      <c r="R2638" s="26"/>
      <c r="S2638" s="26">
        <v>0</v>
      </c>
      <c r="T2638" s="26">
        <v>0</v>
      </c>
      <c r="U2638" s="26">
        <v>0</v>
      </c>
      <c r="V2638" s="28">
        <v>0</v>
      </c>
      <c r="W2638" s="26">
        <v>0</v>
      </c>
      <c r="X2638" s="26">
        <v>0</v>
      </c>
      <c r="Y2638" s="26">
        <v>0</v>
      </c>
      <c r="Z2638" s="26">
        <v>0</v>
      </c>
    </row>
    <row r="2639" spans="1:26" x14ac:dyDescent="0.2">
      <c r="A2639">
        <f t="shared" si="84"/>
        <v>6</v>
      </c>
      <c r="B2639">
        <f t="shared" si="85"/>
        <v>24</v>
      </c>
      <c r="C2639" s="27">
        <v>46184</v>
      </c>
      <c r="D2639" s="26" t="s">
        <v>26</v>
      </c>
      <c r="E2639" s="26" t="s">
        <v>39</v>
      </c>
      <c r="F2639" s="26" t="s">
        <v>40</v>
      </c>
      <c r="G2639" s="26" t="s">
        <v>29</v>
      </c>
      <c r="H2639" s="26" t="s">
        <v>30</v>
      </c>
      <c r="I2639" s="26" t="s">
        <v>1134</v>
      </c>
      <c r="J2639" s="26" t="s">
        <v>42</v>
      </c>
      <c r="K2639" s="26" t="s">
        <v>65</v>
      </c>
      <c r="L2639" s="26">
        <v>167</v>
      </c>
      <c r="M2639" s="26">
        <v>3</v>
      </c>
      <c r="N2639" s="28">
        <v>1.7964000000000001E-2</v>
      </c>
      <c r="O2639" s="26">
        <v>0.67</v>
      </c>
      <c r="P2639" s="26">
        <v>2.02</v>
      </c>
      <c r="Q2639" s="26">
        <v>0</v>
      </c>
      <c r="R2639" s="26"/>
      <c r="S2639" s="26">
        <v>0</v>
      </c>
      <c r="T2639" s="26">
        <v>0</v>
      </c>
      <c r="U2639" s="26">
        <v>0</v>
      </c>
      <c r="V2639" s="28">
        <v>0</v>
      </c>
      <c r="W2639" s="26">
        <v>0</v>
      </c>
      <c r="X2639" s="26">
        <v>0</v>
      </c>
      <c r="Y2639" s="26">
        <v>0</v>
      </c>
      <c r="Z2639" s="26">
        <v>0</v>
      </c>
    </row>
    <row r="2640" spans="1:26" x14ac:dyDescent="0.2">
      <c r="A2640">
        <f t="shared" si="84"/>
        <v>6</v>
      </c>
      <c r="B2640">
        <f t="shared" si="85"/>
        <v>24</v>
      </c>
      <c r="C2640" s="27">
        <v>46185</v>
      </c>
      <c r="D2640" s="26" t="s">
        <v>26</v>
      </c>
      <c r="E2640" s="26" t="s">
        <v>39</v>
      </c>
      <c r="F2640" s="26" t="s">
        <v>40</v>
      </c>
      <c r="G2640" s="26" t="s">
        <v>29</v>
      </c>
      <c r="H2640" s="26" t="s">
        <v>30</v>
      </c>
      <c r="I2640" s="26" t="s">
        <v>1134</v>
      </c>
      <c r="J2640" s="26" t="s">
        <v>42</v>
      </c>
      <c r="K2640" s="26" t="s">
        <v>65</v>
      </c>
      <c r="L2640" s="26">
        <v>78</v>
      </c>
      <c r="M2640" s="26">
        <v>2</v>
      </c>
      <c r="N2640" s="28">
        <v>2.5641000000000001E-2</v>
      </c>
      <c r="O2640" s="26">
        <v>0.67</v>
      </c>
      <c r="P2640" s="26">
        <v>1.33</v>
      </c>
      <c r="Q2640" s="26">
        <v>0</v>
      </c>
      <c r="R2640" s="26"/>
      <c r="S2640" s="26">
        <v>0</v>
      </c>
      <c r="T2640" s="26">
        <v>0</v>
      </c>
      <c r="U2640" s="26">
        <v>0</v>
      </c>
      <c r="V2640" s="28">
        <v>0</v>
      </c>
      <c r="W2640" s="26">
        <v>0</v>
      </c>
      <c r="X2640" s="26">
        <v>0</v>
      </c>
      <c r="Y2640" s="26">
        <v>0</v>
      </c>
      <c r="Z2640" s="26">
        <v>0</v>
      </c>
    </row>
    <row r="2641" spans="1:26" x14ac:dyDescent="0.2">
      <c r="A2641">
        <f t="shared" si="84"/>
        <v>6</v>
      </c>
      <c r="B2641">
        <f t="shared" si="85"/>
        <v>24</v>
      </c>
      <c r="C2641" s="27">
        <v>46186</v>
      </c>
      <c r="D2641" s="26" t="s">
        <v>26</v>
      </c>
      <c r="E2641" s="26" t="s">
        <v>39</v>
      </c>
      <c r="F2641" s="26" t="s">
        <v>40</v>
      </c>
      <c r="G2641" s="26" t="s">
        <v>29</v>
      </c>
      <c r="H2641" s="26" t="s">
        <v>30</v>
      </c>
      <c r="I2641" s="26" t="s">
        <v>1134</v>
      </c>
      <c r="J2641" s="26" t="s">
        <v>42</v>
      </c>
      <c r="K2641" s="26" t="s">
        <v>65</v>
      </c>
      <c r="L2641" s="26">
        <v>163</v>
      </c>
      <c r="M2641" s="26">
        <v>3</v>
      </c>
      <c r="N2641" s="28">
        <v>1.8405000000000001E-2</v>
      </c>
      <c r="O2641" s="26">
        <v>0.72</v>
      </c>
      <c r="P2641" s="26">
        <v>2.16</v>
      </c>
      <c r="Q2641" s="26">
        <v>18.989999999999998</v>
      </c>
      <c r="R2641" s="28">
        <v>0.113744</v>
      </c>
      <c r="S2641" s="26">
        <v>8.7899999999999991</v>
      </c>
      <c r="T2641" s="26">
        <v>1</v>
      </c>
      <c r="U2641" s="26">
        <v>1</v>
      </c>
      <c r="V2641" s="28">
        <v>0.33333299999999999</v>
      </c>
      <c r="W2641" s="26">
        <v>1</v>
      </c>
      <c r="X2641" s="26">
        <v>0</v>
      </c>
      <c r="Y2641" s="26">
        <v>18.989999999999998</v>
      </c>
      <c r="Z2641" s="26">
        <v>0</v>
      </c>
    </row>
    <row r="2642" spans="1:26" x14ac:dyDescent="0.2">
      <c r="A2642">
        <f t="shared" si="84"/>
        <v>6</v>
      </c>
      <c r="B2642">
        <f t="shared" si="85"/>
        <v>25</v>
      </c>
      <c r="C2642" s="27">
        <v>46187</v>
      </c>
      <c r="D2642" s="26" t="s">
        <v>26</v>
      </c>
      <c r="E2642" s="26" t="s">
        <v>39</v>
      </c>
      <c r="F2642" s="26" t="s">
        <v>40</v>
      </c>
      <c r="G2642" s="26" t="s">
        <v>29</v>
      </c>
      <c r="H2642" s="26" t="s">
        <v>30</v>
      </c>
      <c r="I2642" s="26" t="s">
        <v>1134</v>
      </c>
      <c r="J2642" s="26" t="s">
        <v>42</v>
      </c>
      <c r="K2642" s="26" t="s">
        <v>65</v>
      </c>
      <c r="L2642" s="26">
        <v>167</v>
      </c>
      <c r="M2642" s="26">
        <v>2</v>
      </c>
      <c r="N2642" s="28">
        <v>1.1976000000000001E-2</v>
      </c>
      <c r="O2642" s="26">
        <v>0.71</v>
      </c>
      <c r="P2642" s="26">
        <v>1.42</v>
      </c>
      <c r="Q2642" s="26">
        <v>0</v>
      </c>
      <c r="R2642" s="26"/>
      <c r="S2642" s="26">
        <v>0</v>
      </c>
      <c r="T2642" s="26">
        <v>0</v>
      </c>
      <c r="U2642" s="26">
        <v>0</v>
      </c>
      <c r="V2642" s="28">
        <v>0</v>
      </c>
      <c r="W2642" s="26">
        <v>0</v>
      </c>
      <c r="X2642" s="26">
        <v>0</v>
      </c>
      <c r="Y2642" s="26">
        <v>0</v>
      </c>
      <c r="Z2642" s="26">
        <v>0</v>
      </c>
    </row>
    <row r="2643" spans="1:26" x14ac:dyDescent="0.2">
      <c r="A2643">
        <f t="shared" si="84"/>
        <v>6</v>
      </c>
      <c r="B2643">
        <f t="shared" si="85"/>
        <v>25</v>
      </c>
      <c r="C2643" s="27">
        <v>46188</v>
      </c>
      <c r="D2643" s="26" t="s">
        <v>26</v>
      </c>
      <c r="E2643" s="26" t="s">
        <v>39</v>
      </c>
      <c r="F2643" s="26" t="s">
        <v>40</v>
      </c>
      <c r="G2643" s="26" t="s">
        <v>29</v>
      </c>
      <c r="H2643" s="26" t="s">
        <v>30</v>
      </c>
      <c r="I2643" s="26" t="s">
        <v>1134</v>
      </c>
      <c r="J2643" s="26" t="s">
        <v>42</v>
      </c>
      <c r="K2643" s="26" t="s">
        <v>65</v>
      </c>
      <c r="L2643" s="26">
        <v>184</v>
      </c>
      <c r="M2643" s="26">
        <v>3</v>
      </c>
      <c r="N2643" s="28">
        <v>1.6303999999999999E-2</v>
      </c>
      <c r="O2643" s="26">
        <v>0.5</v>
      </c>
      <c r="P2643" s="26">
        <v>1.5</v>
      </c>
      <c r="Q2643" s="26">
        <v>0</v>
      </c>
      <c r="R2643" s="26"/>
      <c r="S2643" s="26">
        <v>0</v>
      </c>
      <c r="T2643" s="26">
        <v>0</v>
      </c>
      <c r="U2643" s="26">
        <v>0</v>
      </c>
      <c r="V2643" s="28">
        <v>0</v>
      </c>
      <c r="W2643" s="26">
        <v>0</v>
      </c>
      <c r="X2643" s="26">
        <v>0</v>
      </c>
      <c r="Y2643" s="26">
        <v>0</v>
      </c>
      <c r="Z2643" s="26">
        <v>0</v>
      </c>
    </row>
    <row r="2644" spans="1:26" x14ac:dyDescent="0.2">
      <c r="A2644">
        <f t="shared" si="84"/>
        <v>6</v>
      </c>
      <c r="B2644">
        <f t="shared" si="85"/>
        <v>25</v>
      </c>
      <c r="C2644" s="27">
        <v>46189</v>
      </c>
      <c r="D2644" s="26" t="s">
        <v>26</v>
      </c>
      <c r="E2644" s="26" t="s">
        <v>39</v>
      </c>
      <c r="F2644" s="26" t="s">
        <v>40</v>
      </c>
      <c r="G2644" s="26" t="s">
        <v>29</v>
      </c>
      <c r="H2644" s="26" t="s">
        <v>30</v>
      </c>
      <c r="I2644" s="26" t="s">
        <v>1134</v>
      </c>
      <c r="J2644" s="26" t="s">
        <v>42</v>
      </c>
      <c r="K2644" s="26" t="s">
        <v>65</v>
      </c>
      <c r="L2644" s="26">
        <v>363</v>
      </c>
      <c r="M2644" s="26">
        <v>1</v>
      </c>
      <c r="N2644" s="28">
        <v>2.7550000000000001E-3</v>
      </c>
      <c r="O2644" s="26">
        <v>0.5</v>
      </c>
      <c r="P2644" s="26">
        <v>0.5</v>
      </c>
      <c r="Q2644" s="26">
        <v>0</v>
      </c>
      <c r="R2644" s="26"/>
      <c r="S2644" s="26">
        <v>0</v>
      </c>
      <c r="T2644" s="26">
        <v>0</v>
      </c>
      <c r="U2644" s="26">
        <v>0</v>
      </c>
      <c r="V2644" s="28">
        <v>0</v>
      </c>
      <c r="W2644" s="26">
        <v>0</v>
      </c>
      <c r="X2644" s="26">
        <v>0</v>
      </c>
      <c r="Y2644" s="26">
        <v>0</v>
      </c>
      <c r="Z2644" s="26">
        <v>0</v>
      </c>
    </row>
    <row r="2645" spans="1:26" x14ac:dyDescent="0.2">
      <c r="A2645">
        <f t="shared" si="84"/>
        <v>6</v>
      </c>
      <c r="B2645">
        <f t="shared" si="85"/>
        <v>25</v>
      </c>
      <c r="C2645" s="27">
        <v>46190</v>
      </c>
      <c r="D2645" s="26" t="s">
        <v>26</v>
      </c>
      <c r="E2645" s="26" t="s">
        <v>39</v>
      </c>
      <c r="F2645" s="26" t="s">
        <v>40</v>
      </c>
      <c r="G2645" s="26" t="s">
        <v>29</v>
      </c>
      <c r="H2645" s="26" t="s">
        <v>30</v>
      </c>
      <c r="I2645" s="26" t="s">
        <v>1134</v>
      </c>
      <c r="J2645" s="26" t="s">
        <v>42</v>
      </c>
      <c r="K2645" s="26" t="s">
        <v>65</v>
      </c>
      <c r="L2645" s="26">
        <v>169</v>
      </c>
      <c r="M2645" s="26">
        <v>4</v>
      </c>
      <c r="N2645" s="28">
        <v>2.3668999999999999E-2</v>
      </c>
      <c r="O2645" s="26">
        <v>0.54</v>
      </c>
      <c r="P2645" s="26">
        <v>2.15</v>
      </c>
      <c r="Q2645" s="26">
        <v>0</v>
      </c>
      <c r="R2645" s="26"/>
      <c r="S2645" s="26">
        <v>0</v>
      </c>
      <c r="T2645" s="26">
        <v>0</v>
      </c>
      <c r="U2645" s="26">
        <v>0</v>
      </c>
      <c r="V2645" s="28">
        <v>0</v>
      </c>
      <c r="W2645" s="26">
        <v>0</v>
      </c>
      <c r="X2645" s="26">
        <v>0</v>
      </c>
      <c r="Y2645" s="26">
        <v>0</v>
      </c>
      <c r="Z2645" s="26">
        <v>0</v>
      </c>
    </row>
    <row r="2646" spans="1:26" x14ac:dyDescent="0.2">
      <c r="A2646">
        <f t="shared" si="84"/>
        <v>6</v>
      </c>
      <c r="B2646">
        <f t="shared" si="85"/>
        <v>25</v>
      </c>
      <c r="C2646" s="27">
        <v>46191</v>
      </c>
      <c r="D2646" s="26" t="s">
        <v>26</v>
      </c>
      <c r="E2646" s="26" t="s">
        <v>39</v>
      </c>
      <c r="F2646" s="26" t="s">
        <v>40</v>
      </c>
      <c r="G2646" s="26" t="s">
        <v>29</v>
      </c>
      <c r="H2646" s="26" t="s">
        <v>30</v>
      </c>
      <c r="I2646" s="26" t="s">
        <v>1134</v>
      </c>
      <c r="J2646" s="26" t="s">
        <v>42</v>
      </c>
      <c r="K2646" s="26" t="s">
        <v>65</v>
      </c>
      <c r="L2646" s="26">
        <v>149</v>
      </c>
      <c r="M2646" s="26">
        <v>2</v>
      </c>
      <c r="N2646" s="28">
        <v>1.3422999999999999E-2</v>
      </c>
      <c r="O2646" s="26">
        <v>0.65</v>
      </c>
      <c r="P2646" s="26">
        <v>1.3</v>
      </c>
      <c r="Q2646" s="26">
        <v>0</v>
      </c>
      <c r="R2646" s="26"/>
      <c r="S2646" s="26">
        <v>0</v>
      </c>
      <c r="T2646" s="26">
        <v>0</v>
      </c>
      <c r="U2646" s="26">
        <v>0</v>
      </c>
      <c r="V2646" s="28">
        <v>0</v>
      </c>
      <c r="W2646" s="26">
        <v>0</v>
      </c>
      <c r="X2646" s="26">
        <v>0</v>
      </c>
      <c r="Y2646" s="26">
        <v>0</v>
      </c>
      <c r="Z2646" s="26">
        <v>0</v>
      </c>
    </row>
    <row r="2647" spans="1:26" x14ac:dyDescent="0.2">
      <c r="A2647">
        <f t="shared" si="84"/>
        <v>6</v>
      </c>
      <c r="B2647">
        <f t="shared" si="85"/>
        <v>25</v>
      </c>
      <c r="C2647" s="27">
        <v>46192</v>
      </c>
      <c r="D2647" s="26" t="s">
        <v>26</v>
      </c>
      <c r="E2647" s="26" t="s">
        <v>39</v>
      </c>
      <c r="F2647" s="26" t="s">
        <v>40</v>
      </c>
      <c r="G2647" s="26" t="s">
        <v>29</v>
      </c>
      <c r="H2647" s="26" t="s">
        <v>30</v>
      </c>
      <c r="I2647" s="26" t="s">
        <v>1134</v>
      </c>
      <c r="J2647" s="26" t="s">
        <v>42</v>
      </c>
      <c r="K2647" s="26" t="s">
        <v>65</v>
      </c>
      <c r="L2647" s="26">
        <v>273</v>
      </c>
      <c r="M2647" s="26">
        <v>3</v>
      </c>
      <c r="N2647" s="28">
        <v>1.0989000000000001E-2</v>
      </c>
      <c r="O2647" s="26">
        <v>0.6</v>
      </c>
      <c r="P2647" s="26">
        <v>1.8</v>
      </c>
      <c r="Q2647" s="26">
        <v>18.989999999999998</v>
      </c>
      <c r="R2647" s="28">
        <v>9.4786999999999996E-2</v>
      </c>
      <c r="S2647" s="26">
        <v>10.55</v>
      </c>
      <c r="T2647" s="26">
        <v>1</v>
      </c>
      <c r="U2647" s="26">
        <v>1</v>
      </c>
      <c r="V2647" s="28">
        <v>0.33333299999999999</v>
      </c>
      <c r="W2647" s="26">
        <v>1</v>
      </c>
      <c r="X2647" s="26">
        <v>0</v>
      </c>
      <c r="Y2647" s="26">
        <v>18.989999999999998</v>
      </c>
      <c r="Z2647" s="26">
        <v>0</v>
      </c>
    </row>
    <row r="2648" spans="1:26" x14ac:dyDescent="0.2">
      <c r="A2648">
        <f t="shared" si="84"/>
        <v>6</v>
      </c>
      <c r="B2648">
        <f t="shared" si="85"/>
        <v>25</v>
      </c>
      <c r="C2648" s="27">
        <v>46193</v>
      </c>
      <c r="D2648" s="26" t="s">
        <v>26</v>
      </c>
      <c r="E2648" s="26" t="s">
        <v>39</v>
      </c>
      <c r="F2648" s="26" t="s">
        <v>40</v>
      </c>
      <c r="G2648" s="26" t="s">
        <v>29</v>
      </c>
      <c r="H2648" s="26" t="s">
        <v>30</v>
      </c>
      <c r="I2648" s="26" t="s">
        <v>1134</v>
      </c>
      <c r="J2648" s="26" t="s">
        <v>42</v>
      </c>
      <c r="K2648" s="26" t="s">
        <v>65</v>
      </c>
      <c r="L2648" s="26">
        <v>218</v>
      </c>
      <c r="M2648" s="26">
        <v>4</v>
      </c>
      <c r="N2648" s="28">
        <v>1.8349000000000001E-2</v>
      </c>
      <c r="O2648" s="26">
        <v>0.6</v>
      </c>
      <c r="P2648" s="26">
        <v>2.4</v>
      </c>
      <c r="Q2648" s="26">
        <v>0</v>
      </c>
      <c r="R2648" s="26"/>
      <c r="S2648" s="26">
        <v>0</v>
      </c>
      <c r="T2648" s="26">
        <v>0</v>
      </c>
      <c r="U2648" s="26">
        <v>0</v>
      </c>
      <c r="V2648" s="28">
        <v>0</v>
      </c>
      <c r="W2648" s="26">
        <v>0</v>
      </c>
      <c r="X2648" s="26">
        <v>0</v>
      </c>
      <c r="Y2648" s="26">
        <v>0</v>
      </c>
      <c r="Z2648" s="26">
        <v>0</v>
      </c>
    </row>
    <row r="2649" spans="1:26" x14ac:dyDescent="0.2">
      <c r="A2649">
        <f t="shared" si="84"/>
        <v>6</v>
      </c>
      <c r="B2649">
        <f t="shared" si="85"/>
        <v>26</v>
      </c>
      <c r="C2649" s="27">
        <v>46194</v>
      </c>
      <c r="D2649" s="26" t="s">
        <v>26</v>
      </c>
      <c r="E2649" s="26" t="s">
        <v>39</v>
      </c>
      <c r="F2649" s="26" t="s">
        <v>40</v>
      </c>
      <c r="G2649" s="26" t="s">
        <v>29</v>
      </c>
      <c r="H2649" s="26" t="s">
        <v>30</v>
      </c>
      <c r="I2649" s="26" t="s">
        <v>1134</v>
      </c>
      <c r="J2649" s="26" t="s">
        <v>42</v>
      </c>
      <c r="K2649" s="26" t="s">
        <v>65</v>
      </c>
      <c r="L2649" s="26">
        <v>90</v>
      </c>
      <c r="M2649" s="26">
        <v>3</v>
      </c>
      <c r="N2649" s="28">
        <v>3.3333000000000002E-2</v>
      </c>
      <c r="O2649" s="26">
        <v>0.68</v>
      </c>
      <c r="P2649" s="26">
        <v>2.0299999999999998</v>
      </c>
      <c r="Q2649" s="26">
        <v>0</v>
      </c>
      <c r="R2649" s="26"/>
      <c r="S2649" s="26">
        <v>0</v>
      </c>
      <c r="T2649" s="26">
        <v>0</v>
      </c>
      <c r="U2649" s="26">
        <v>0</v>
      </c>
      <c r="V2649" s="28">
        <v>0</v>
      </c>
      <c r="W2649" s="26">
        <v>0</v>
      </c>
      <c r="X2649" s="26">
        <v>0</v>
      </c>
      <c r="Y2649" s="26">
        <v>0</v>
      </c>
      <c r="Z2649" s="26">
        <v>0</v>
      </c>
    </row>
    <row r="2650" spans="1:26" x14ac:dyDescent="0.2">
      <c r="A2650">
        <f t="shared" si="84"/>
        <v>6</v>
      </c>
      <c r="B2650">
        <f t="shared" si="85"/>
        <v>24</v>
      </c>
      <c r="C2650" s="27">
        <v>46180</v>
      </c>
      <c r="D2650" s="26" t="s">
        <v>26</v>
      </c>
      <c r="E2650" s="26" t="s">
        <v>49</v>
      </c>
      <c r="F2650" s="26" t="s">
        <v>50</v>
      </c>
      <c r="G2650" s="26" t="s">
        <v>29</v>
      </c>
      <c r="H2650" s="26" t="s">
        <v>30</v>
      </c>
      <c r="I2650" s="26" t="s">
        <v>51</v>
      </c>
      <c r="J2650" s="26" t="s">
        <v>42</v>
      </c>
      <c r="K2650" s="26" t="s">
        <v>1576</v>
      </c>
      <c r="L2650" s="26">
        <v>5</v>
      </c>
      <c r="M2650" s="26">
        <v>1</v>
      </c>
      <c r="N2650" s="28">
        <v>0.2</v>
      </c>
      <c r="O2650" s="26">
        <v>0.5</v>
      </c>
      <c r="P2650" s="26">
        <v>0.5</v>
      </c>
      <c r="Q2650" s="26">
        <v>0</v>
      </c>
      <c r="R2650" s="26"/>
      <c r="S2650" s="26">
        <v>0</v>
      </c>
      <c r="T2650" s="26">
        <v>0</v>
      </c>
      <c r="U2650" s="26">
        <v>0</v>
      </c>
      <c r="V2650" s="28">
        <v>0</v>
      </c>
      <c r="W2650" s="26">
        <v>0</v>
      </c>
      <c r="X2650" s="26">
        <v>0</v>
      </c>
      <c r="Y2650" s="26">
        <v>0</v>
      </c>
      <c r="Z2650" s="26">
        <v>0</v>
      </c>
    </row>
    <row r="2651" spans="1:26" x14ac:dyDescent="0.2">
      <c r="A2651">
        <f t="shared" si="84"/>
        <v>6</v>
      </c>
      <c r="B2651">
        <f t="shared" si="85"/>
        <v>23</v>
      </c>
      <c r="C2651" s="27">
        <v>46174</v>
      </c>
      <c r="D2651" s="26" t="s">
        <v>26</v>
      </c>
      <c r="E2651" s="26" t="s">
        <v>49</v>
      </c>
      <c r="F2651" s="26" t="s">
        <v>50</v>
      </c>
      <c r="G2651" s="26" t="s">
        <v>29</v>
      </c>
      <c r="H2651" s="26" t="s">
        <v>30</v>
      </c>
      <c r="I2651" s="26" t="s">
        <v>51</v>
      </c>
      <c r="J2651" s="26" t="s">
        <v>42</v>
      </c>
      <c r="K2651" s="26" t="s">
        <v>71</v>
      </c>
      <c r="L2651" s="26">
        <v>4</v>
      </c>
      <c r="M2651" s="26">
        <v>1</v>
      </c>
      <c r="N2651" s="28">
        <v>0.25</v>
      </c>
      <c r="O2651" s="26">
        <v>0.6</v>
      </c>
      <c r="P2651" s="26">
        <v>0.6</v>
      </c>
      <c r="Q2651" s="26">
        <v>0</v>
      </c>
      <c r="R2651" s="26"/>
      <c r="S2651" s="26">
        <v>0</v>
      </c>
      <c r="T2651" s="26">
        <v>0</v>
      </c>
      <c r="U2651" s="26">
        <v>0</v>
      </c>
      <c r="V2651" s="28">
        <v>0</v>
      </c>
      <c r="W2651" s="26">
        <v>0</v>
      </c>
      <c r="X2651" s="26">
        <v>0</v>
      </c>
      <c r="Y2651" s="26">
        <v>0</v>
      </c>
      <c r="Z2651" s="26">
        <v>0</v>
      </c>
    </row>
    <row r="2652" spans="1:26" x14ac:dyDescent="0.2">
      <c r="A2652">
        <f t="shared" si="84"/>
        <v>6</v>
      </c>
      <c r="B2652">
        <f t="shared" si="85"/>
        <v>23</v>
      </c>
      <c r="C2652" s="27">
        <v>46175</v>
      </c>
      <c r="D2652" s="26" t="s">
        <v>26</v>
      </c>
      <c r="E2652" s="26" t="s">
        <v>39</v>
      </c>
      <c r="F2652" s="26" t="s">
        <v>40</v>
      </c>
      <c r="G2652" s="26" t="s">
        <v>29</v>
      </c>
      <c r="H2652" s="26" t="s">
        <v>30</v>
      </c>
      <c r="I2652" s="26" t="s">
        <v>70</v>
      </c>
      <c r="J2652" s="26" t="s">
        <v>42</v>
      </c>
      <c r="K2652" s="26" t="s">
        <v>71</v>
      </c>
      <c r="L2652" s="26">
        <v>4</v>
      </c>
      <c r="M2652" s="26">
        <v>1</v>
      </c>
      <c r="N2652" s="28">
        <v>0.25</v>
      </c>
      <c r="O2652" s="26">
        <v>0.5</v>
      </c>
      <c r="P2652" s="26">
        <v>0.5</v>
      </c>
      <c r="Q2652" s="26">
        <v>0</v>
      </c>
      <c r="R2652" s="26"/>
      <c r="S2652" s="26">
        <v>0</v>
      </c>
      <c r="T2652" s="26">
        <v>0</v>
      </c>
      <c r="U2652" s="26">
        <v>0</v>
      </c>
      <c r="V2652" s="28">
        <v>0</v>
      </c>
      <c r="W2652" s="26">
        <v>0</v>
      </c>
      <c r="X2652" s="26">
        <v>0</v>
      </c>
      <c r="Y2652" s="26">
        <v>0</v>
      </c>
      <c r="Z2652" s="26">
        <v>0</v>
      </c>
    </row>
    <row r="2653" spans="1:26" x14ac:dyDescent="0.2">
      <c r="A2653">
        <f t="shared" si="84"/>
        <v>6</v>
      </c>
      <c r="B2653">
        <f t="shared" si="85"/>
        <v>23</v>
      </c>
      <c r="C2653" s="27">
        <v>46177</v>
      </c>
      <c r="D2653" s="26" t="s">
        <v>26</v>
      </c>
      <c r="E2653" s="26" t="s">
        <v>39</v>
      </c>
      <c r="F2653" s="26" t="s">
        <v>40</v>
      </c>
      <c r="G2653" s="26" t="s">
        <v>29</v>
      </c>
      <c r="H2653" s="26" t="s">
        <v>30</v>
      </c>
      <c r="I2653" s="26" t="s">
        <v>70</v>
      </c>
      <c r="J2653" s="26" t="s">
        <v>42</v>
      </c>
      <c r="K2653" s="26" t="s">
        <v>71</v>
      </c>
      <c r="L2653" s="26">
        <v>23</v>
      </c>
      <c r="M2653" s="26">
        <v>1</v>
      </c>
      <c r="N2653" s="28">
        <v>4.3478000000000003E-2</v>
      </c>
      <c r="O2653" s="26">
        <v>0.41</v>
      </c>
      <c r="P2653" s="26">
        <v>0.41</v>
      </c>
      <c r="Q2653" s="26">
        <v>0</v>
      </c>
      <c r="R2653" s="26"/>
      <c r="S2653" s="26">
        <v>0</v>
      </c>
      <c r="T2653" s="26">
        <v>0</v>
      </c>
      <c r="U2653" s="26">
        <v>0</v>
      </c>
      <c r="V2653" s="28">
        <v>0</v>
      </c>
      <c r="W2653" s="26">
        <v>0</v>
      </c>
      <c r="X2653" s="26">
        <v>0</v>
      </c>
      <c r="Y2653" s="26">
        <v>0</v>
      </c>
      <c r="Z2653" s="26">
        <v>0</v>
      </c>
    </row>
    <row r="2654" spans="1:26" x14ac:dyDescent="0.2">
      <c r="A2654">
        <f t="shared" si="84"/>
        <v>6</v>
      </c>
      <c r="B2654">
        <f t="shared" si="85"/>
        <v>23</v>
      </c>
      <c r="C2654" s="27">
        <v>46179</v>
      </c>
      <c r="D2654" s="26" t="s">
        <v>26</v>
      </c>
      <c r="E2654" s="26" t="s">
        <v>39</v>
      </c>
      <c r="F2654" s="26" t="s">
        <v>40</v>
      </c>
      <c r="G2654" s="26" t="s">
        <v>29</v>
      </c>
      <c r="H2654" s="26" t="s">
        <v>30</v>
      </c>
      <c r="I2654" s="26" t="s">
        <v>70</v>
      </c>
      <c r="J2654" s="26" t="s">
        <v>42</v>
      </c>
      <c r="K2654" s="26" t="s">
        <v>71</v>
      </c>
      <c r="L2654" s="26">
        <v>25</v>
      </c>
      <c r="M2654" s="26">
        <v>1</v>
      </c>
      <c r="N2654" s="28">
        <v>0.04</v>
      </c>
      <c r="O2654" s="26">
        <v>0.36</v>
      </c>
      <c r="P2654" s="26">
        <v>0.36</v>
      </c>
      <c r="Q2654" s="26">
        <v>0</v>
      </c>
      <c r="R2654" s="26"/>
      <c r="S2654" s="26">
        <v>0</v>
      </c>
      <c r="T2654" s="26">
        <v>0</v>
      </c>
      <c r="U2654" s="26">
        <v>0</v>
      </c>
      <c r="V2654" s="28">
        <v>0</v>
      </c>
      <c r="W2654" s="26">
        <v>0</v>
      </c>
      <c r="X2654" s="26">
        <v>0</v>
      </c>
      <c r="Y2654" s="26">
        <v>0</v>
      </c>
      <c r="Z2654" s="26">
        <v>0</v>
      </c>
    </row>
    <row r="2655" spans="1:26" x14ac:dyDescent="0.2">
      <c r="A2655">
        <f t="shared" si="84"/>
        <v>6</v>
      </c>
      <c r="B2655">
        <f t="shared" si="85"/>
        <v>25</v>
      </c>
      <c r="C2655" s="27">
        <v>46187</v>
      </c>
      <c r="D2655" s="26" t="s">
        <v>26</v>
      </c>
      <c r="E2655" s="26" t="s">
        <v>39</v>
      </c>
      <c r="F2655" s="26" t="s">
        <v>40</v>
      </c>
      <c r="G2655" s="26" t="s">
        <v>29</v>
      </c>
      <c r="H2655" s="26" t="s">
        <v>30</v>
      </c>
      <c r="I2655" s="26" t="s">
        <v>70</v>
      </c>
      <c r="J2655" s="26" t="s">
        <v>42</v>
      </c>
      <c r="K2655" s="26" t="s">
        <v>71</v>
      </c>
      <c r="L2655" s="26">
        <v>247</v>
      </c>
      <c r="M2655" s="26">
        <v>2</v>
      </c>
      <c r="N2655" s="28">
        <v>8.097E-3</v>
      </c>
      <c r="O2655" s="26">
        <v>0.57999999999999996</v>
      </c>
      <c r="P2655" s="26">
        <v>1.1499999999999999</v>
      </c>
      <c r="Q2655" s="26">
        <v>0</v>
      </c>
      <c r="R2655" s="26"/>
      <c r="S2655" s="26">
        <v>0</v>
      </c>
      <c r="T2655" s="26">
        <v>0</v>
      </c>
      <c r="U2655" s="26">
        <v>0</v>
      </c>
      <c r="V2655" s="28">
        <v>0</v>
      </c>
      <c r="W2655" s="26">
        <v>0</v>
      </c>
      <c r="X2655" s="26">
        <v>0</v>
      </c>
      <c r="Y2655" s="26">
        <v>0</v>
      </c>
      <c r="Z2655" s="26">
        <v>0</v>
      </c>
    </row>
    <row r="2656" spans="1:26" x14ac:dyDescent="0.2">
      <c r="A2656">
        <f t="shared" si="84"/>
        <v>6</v>
      </c>
      <c r="B2656">
        <f t="shared" si="85"/>
        <v>25</v>
      </c>
      <c r="C2656" s="27">
        <v>46188</v>
      </c>
      <c r="D2656" s="26" t="s">
        <v>26</v>
      </c>
      <c r="E2656" s="26" t="s">
        <v>39</v>
      </c>
      <c r="F2656" s="26" t="s">
        <v>40</v>
      </c>
      <c r="G2656" s="26" t="s">
        <v>29</v>
      </c>
      <c r="H2656" s="26" t="s">
        <v>30</v>
      </c>
      <c r="I2656" s="26" t="s">
        <v>70</v>
      </c>
      <c r="J2656" s="26" t="s">
        <v>42</v>
      </c>
      <c r="K2656" s="26" t="s">
        <v>71</v>
      </c>
      <c r="L2656" s="26">
        <v>153</v>
      </c>
      <c r="M2656" s="26">
        <v>2</v>
      </c>
      <c r="N2656" s="28">
        <v>1.3072E-2</v>
      </c>
      <c r="O2656" s="26">
        <v>0.47</v>
      </c>
      <c r="P2656" s="26">
        <v>0.94</v>
      </c>
      <c r="Q2656" s="26">
        <v>0</v>
      </c>
      <c r="R2656" s="26"/>
      <c r="S2656" s="26">
        <v>0</v>
      </c>
      <c r="T2656" s="26">
        <v>0</v>
      </c>
      <c r="U2656" s="26">
        <v>0</v>
      </c>
      <c r="V2656" s="28">
        <v>0</v>
      </c>
      <c r="W2656" s="26">
        <v>0</v>
      </c>
      <c r="X2656" s="26">
        <v>0</v>
      </c>
      <c r="Y2656" s="26">
        <v>0</v>
      </c>
      <c r="Z2656" s="26">
        <v>0</v>
      </c>
    </row>
    <row r="2657" spans="1:26" x14ac:dyDescent="0.2">
      <c r="A2657">
        <f t="shared" si="84"/>
        <v>6</v>
      </c>
      <c r="B2657">
        <f t="shared" si="85"/>
        <v>25</v>
      </c>
      <c r="C2657" s="27">
        <v>46189</v>
      </c>
      <c r="D2657" s="26" t="s">
        <v>26</v>
      </c>
      <c r="E2657" s="26" t="s">
        <v>39</v>
      </c>
      <c r="F2657" s="26" t="s">
        <v>40</v>
      </c>
      <c r="G2657" s="26" t="s">
        <v>29</v>
      </c>
      <c r="H2657" s="26" t="s">
        <v>30</v>
      </c>
      <c r="I2657" s="26" t="s">
        <v>70</v>
      </c>
      <c r="J2657" s="26" t="s">
        <v>42</v>
      </c>
      <c r="K2657" s="26" t="s">
        <v>71</v>
      </c>
      <c r="L2657" s="26">
        <v>69</v>
      </c>
      <c r="M2657" s="26">
        <v>1</v>
      </c>
      <c r="N2657" s="28">
        <v>1.4493000000000001E-2</v>
      </c>
      <c r="O2657" s="26">
        <v>0.47</v>
      </c>
      <c r="P2657" s="26">
        <v>0.47</v>
      </c>
      <c r="Q2657" s="26">
        <v>0</v>
      </c>
      <c r="R2657" s="26"/>
      <c r="S2657" s="26">
        <v>0</v>
      </c>
      <c r="T2657" s="26">
        <v>0</v>
      </c>
      <c r="U2657" s="26">
        <v>0</v>
      </c>
      <c r="V2657" s="28">
        <v>0</v>
      </c>
      <c r="W2657" s="26">
        <v>0</v>
      </c>
      <c r="X2657" s="26">
        <v>0</v>
      </c>
      <c r="Y2657" s="26">
        <v>0</v>
      </c>
      <c r="Z2657" s="26">
        <v>0</v>
      </c>
    </row>
    <row r="2658" spans="1:26" x14ac:dyDescent="0.2">
      <c r="A2658">
        <f t="shared" si="84"/>
        <v>6</v>
      </c>
      <c r="B2658">
        <f t="shared" si="85"/>
        <v>25</v>
      </c>
      <c r="C2658" s="27">
        <v>46190</v>
      </c>
      <c r="D2658" s="26" t="s">
        <v>26</v>
      </c>
      <c r="E2658" s="26" t="s">
        <v>39</v>
      </c>
      <c r="F2658" s="26" t="s">
        <v>40</v>
      </c>
      <c r="G2658" s="26" t="s">
        <v>29</v>
      </c>
      <c r="H2658" s="26" t="s">
        <v>30</v>
      </c>
      <c r="I2658" s="26" t="s">
        <v>70</v>
      </c>
      <c r="J2658" s="26" t="s">
        <v>42</v>
      </c>
      <c r="K2658" s="26" t="s">
        <v>71</v>
      </c>
      <c r="L2658" s="26">
        <v>16</v>
      </c>
      <c r="M2658" s="26">
        <v>1</v>
      </c>
      <c r="N2658" s="28">
        <v>6.25E-2</v>
      </c>
      <c r="O2658" s="26">
        <v>0.47</v>
      </c>
      <c r="P2658" s="26">
        <v>0.47</v>
      </c>
      <c r="Q2658" s="26">
        <v>0</v>
      </c>
      <c r="R2658" s="26"/>
      <c r="S2658" s="26">
        <v>0</v>
      </c>
      <c r="T2658" s="26">
        <v>0</v>
      </c>
      <c r="U2658" s="26">
        <v>0</v>
      </c>
      <c r="V2658" s="28">
        <v>0</v>
      </c>
      <c r="W2658" s="26">
        <v>0</v>
      </c>
      <c r="X2658" s="26">
        <v>0</v>
      </c>
      <c r="Y2658" s="26">
        <v>0</v>
      </c>
      <c r="Z2658" s="26">
        <v>0</v>
      </c>
    </row>
    <row r="2659" spans="1:26" x14ac:dyDescent="0.2">
      <c r="A2659">
        <f t="shared" si="84"/>
        <v>6</v>
      </c>
      <c r="B2659">
        <f t="shared" si="85"/>
        <v>25</v>
      </c>
      <c r="C2659" s="27">
        <v>46191</v>
      </c>
      <c r="D2659" s="26" t="s">
        <v>26</v>
      </c>
      <c r="E2659" s="26" t="s">
        <v>39</v>
      </c>
      <c r="F2659" s="26" t="s">
        <v>40</v>
      </c>
      <c r="G2659" s="26" t="s">
        <v>29</v>
      </c>
      <c r="H2659" s="26" t="s">
        <v>30</v>
      </c>
      <c r="I2659" s="26" t="s">
        <v>70</v>
      </c>
      <c r="J2659" s="26" t="s">
        <v>42</v>
      </c>
      <c r="K2659" s="26" t="s">
        <v>71</v>
      </c>
      <c r="L2659" s="26">
        <v>129</v>
      </c>
      <c r="M2659" s="26">
        <v>2</v>
      </c>
      <c r="N2659" s="28">
        <v>1.5504E-2</v>
      </c>
      <c r="O2659" s="26">
        <v>0.47</v>
      </c>
      <c r="P2659" s="26">
        <v>0.94</v>
      </c>
      <c r="Q2659" s="26">
        <v>0</v>
      </c>
      <c r="R2659" s="26"/>
      <c r="S2659" s="26">
        <v>0</v>
      </c>
      <c r="T2659" s="26">
        <v>0</v>
      </c>
      <c r="U2659" s="26">
        <v>0</v>
      </c>
      <c r="V2659" s="28">
        <v>0</v>
      </c>
      <c r="W2659" s="26">
        <v>0</v>
      </c>
      <c r="X2659" s="26">
        <v>0</v>
      </c>
      <c r="Y2659" s="26">
        <v>0</v>
      </c>
      <c r="Z2659" s="26">
        <v>0</v>
      </c>
    </row>
    <row r="2660" spans="1:26" x14ac:dyDescent="0.2">
      <c r="A2660">
        <f t="shared" si="84"/>
        <v>6</v>
      </c>
      <c r="B2660">
        <f t="shared" si="85"/>
        <v>25</v>
      </c>
      <c r="C2660" s="27">
        <v>46192</v>
      </c>
      <c r="D2660" s="26" t="s">
        <v>26</v>
      </c>
      <c r="E2660" s="26" t="s">
        <v>39</v>
      </c>
      <c r="F2660" s="26" t="s">
        <v>40</v>
      </c>
      <c r="G2660" s="26" t="s">
        <v>29</v>
      </c>
      <c r="H2660" s="26" t="s">
        <v>30</v>
      </c>
      <c r="I2660" s="26" t="s">
        <v>70</v>
      </c>
      <c r="J2660" s="26" t="s">
        <v>42</v>
      </c>
      <c r="K2660" s="26" t="s">
        <v>71</v>
      </c>
      <c r="L2660" s="26">
        <v>59</v>
      </c>
      <c r="M2660" s="26">
        <v>1</v>
      </c>
      <c r="N2660" s="28">
        <v>1.6948999999999999E-2</v>
      </c>
      <c r="O2660" s="26">
        <v>0.4</v>
      </c>
      <c r="P2660" s="26">
        <v>0.4</v>
      </c>
      <c r="Q2660" s="26">
        <v>0</v>
      </c>
      <c r="R2660" s="26"/>
      <c r="S2660" s="26">
        <v>0</v>
      </c>
      <c r="T2660" s="26">
        <v>0</v>
      </c>
      <c r="U2660" s="26">
        <v>0</v>
      </c>
      <c r="V2660" s="28">
        <v>0</v>
      </c>
      <c r="W2660" s="26">
        <v>0</v>
      </c>
      <c r="X2660" s="26">
        <v>0</v>
      </c>
      <c r="Y2660" s="26">
        <v>0</v>
      </c>
      <c r="Z2660" s="26">
        <v>0</v>
      </c>
    </row>
    <row r="2661" spans="1:26" x14ac:dyDescent="0.2">
      <c r="A2661">
        <f t="shared" si="84"/>
        <v>6</v>
      </c>
      <c r="B2661">
        <f t="shared" si="85"/>
        <v>25</v>
      </c>
      <c r="C2661" s="27">
        <v>46190</v>
      </c>
      <c r="D2661" s="26" t="s">
        <v>26</v>
      </c>
      <c r="E2661" s="26" t="s">
        <v>1414</v>
      </c>
      <c r="F2661" s="26" t="s">
        <v>113</v>
      </c>
      <c r="G2661" s="26" t="s">
        <v>29</v>
      </c>
      <c r="H2661" s="26" t="s">
        <v>30</v>
      </c>
      <c r="I2661" s="26" t="s">
        <v>51</v>
      </c>
      <c r="J2661" s="26" t="s">
        <v>42</v>
      </c>
      <c r="K2661" s="26" t="s">
        <v>1669</v>
      </c>
      <c r="L2661" s="26">
        <v>1</v>
      </c>
      <c r="M2661" s="26">
        <v>1</v>
      </c>
      <c r="N2661" s="28">
        <v>1</v>
      </c>
      <c r="O2661" s="26">
        <v>0.52</v>
      </c>
      <c r="P2661" s="26">
        <v>0.52</v>
      </c>
      <c r="Q2661" s="26">
        <v>0</v>
      </c>
      <c r="R2661" s="26"/>
      <c r="S2661" s="26">
        <v>0</v>
      </c>
      <c r="T2661" s="26">
        <v>0</v>
      </c>
      <c r="U2661" s="26">
        <v>0</v>
      </c>
      <c r="V2661" s="28">
        <v>0</v>
      </c>
      <c r="W2661" s="26">
        <v>0</v>
      </c>
      <c r="X2661" s="26">
        <v>0</v>
      </c>
      <c r="Y2661" s="26">
        <v>0</v>
      </c>
      <c r="Z2661" s="26">
        <v>0</v>
      </c>
    </row>
    <row r="2662" spans="1:26" x14ac:dyDescent="0.2">
      <c r="A2662">
        <f t="shared" si="84"/>
        <v>6</v>
      </c>
      <c r="B2662">
        <f t="shared" si="85"/>
        <v>23</v>
      </c>
      <c r="C2662" s="27">
        <v>46178</v>
      </c>
      <c r="D2662" s="26" t="s">
        <v>26</v>
      </c>
      <c r="E2662" s="26" t="s">
        <v>1578</v>
      </c>
      <c r="F2662" s="26" t="s">
        <v>62</v>
      </c>
      <c r="G2662" s="26" t="s">
        <v>29</v>
      </c>
      <c r="H2662" s="26" t="s">
        <v>30</v>
      </c>
      <c r="I2662" s="26" t="s">
        <v>51</v>
      </c>
      <c r="J2662" s="26" t="s">
        <v>42</v>
      </c>
      <c r="K2662" s="26" t="s">
        <v>1141</v>
      </c>
      <c r="L2662" s="26">
        <v>1</v>
      </c>
      <c r="M2662" s="26">
        <v>1</v>
      </c>
      <c r="N2662" s="28">
        <v>1</v>
      </c>
      <c r="O2662" s="26">
        <v>0.45</v>
      </c>
      <c r="P2662" s="26">
        <v>0.45</v>
      </c>
      <c r="Q2662" s="26">
        <v>0</v>
      </c>
      <c r="R2662" s="26"/>
      <c r="S2662" s="26">
        <v>0</v>
      </c>
      <c r="T2662" s="26">
        <v>0</v>
      </c>
      <c r="U2662" s="26">
        <v>0</v>
      </c>
      <c r="V2662" s="28">
        <v>0</v>
      </c>
      <c r="W2662" s="26">
        <v>0</v>
      </c>
      <c r="X2662" s="26">
        <v>0</v>
      </c>
      <c r="Y2662" s="26">
        <v>0</v>
      </c>
      <c r="Z2662" s="26">
        <v>0</v>
      </c>
    </row>
    <row r="2663" spans="1:26" x14ac:dyDescent="0.2">
      <c r="A2663">
        <f t="shared" si="84"/>
        <v>6</v>
      </c>
      <c r="B2663">
        <f t="shared" si="85"/>
        <v>25</v>
      </c>
      <c r="C2663" s="27">
        <v>46188</v>
      </c>
      <c r="D2663" s="26" t="s">
        <v>26</v>
      </c>
      <c r="E2663" s="26" t="s">
        <v>49</v>
      </c>
      <c r="F2663" s="26" t="s">
        <v>50</v>
      </c>
      <c r="G2663" s="26" t="s">
        <v>29</v>
      </c>
      <c r="H2663" s="26" t="s">
        <v>30</v>
      </c>
      <c r="I2663" s="26" t="s">
        <v>51</v>
      </c>
      <c r="J2663" s="26" t="s">
        <v>42</v>
      </c>
      <c r="K2663" s="26" t="s">
        <v>1670</v>
      </c>
      <c r="L2663" s="26">
        <v>1</v>
      </c>
      <c r="M2663" s="26">
        <v>1</v>
      </c>
      <c r="N2663" s="28">
        <v>1</v>
      </c>
      <c r="O2663" s="26">
        <v>0.45</v>
      </c>
      <c r="P2663" s="26">
        <v>0.45</v>
      </c>
      <c r="Q2663" s="26">
        <v>0</v>
      </c>
      <c r="R2663" s="26"/>
      <c r="S2663" s="26">
        <v>0</v>
      </c>
      <c r="T2663" s="26">
        <v>0</v>
      </c>
      <c r="U2663" s="26">
        <v>0</v>
      </c>
      <c r="V2663" s="28">
        <v>0</v>
      </c>
      <c r="W2663" s="26">
        <v>0</v>
      </c>
      <c r="X2663" s="26">
        <v>0</v>
      </c>
      <c r="Y2663" s="26">
        <v>0</v>
      </c>
      <c r="Z2663" s="26">
        <v>0</v>
      </c>
    </row>
    <row r="2664" spans="1:26" x14ac:dyDescent="0.2">
      <c r="A2664">
        <f t="shared" si="84"/>
        <v>6</v>
      </c>
      <c r="B2664">
        <f t="shared" si="85"/>
        <v>23</v>
      </c>
      <c r="C2664" s="27">
        <v>46174</v>
      </c>
      <c r="D2664" s="26" t="s">
        <v>26</v>
      </c>
      <c r="E2664" s="26" t="s">
        <v>39</v>
      </c>
      <c r="F2664" s="26" t="s">
        <v>40</v>
      </c>
      <c r="G2664" s="26" t="s">
        <v>29</v>
      </c>
      <c r="H2664" s="26" t="s">
        <v>30</v>
      </c>
      <c r="I2664" s="26" t="s">
        <v>78</v>
      </c>
      <c r="J2664" s="26" t="s">
        <v>42</v>
      </c>
      <c r="K2664" s="26" t="s">
        <v>79</v>
      </c>
      <c r="L2664" s="26">
        <v>15</v>
      </c>
      <c r="M2664" s="26">
        <v>1</v>
      </c>
      <c r="N2664" s="28">
        <v>6.6667000000000004E-2</v>
      </c>
      <c r="O2664" s="26">
        <v>0.6</v>
      </c>
      <c r="P2664" s="26">
        <v>0.6</v>
      </c>
      <c r="Q2664" s="26">
        <v>0</v>
      </c>
      <c r="R2664" s="26"/>
      <c r="S2664" s="26">
        <v>0</v>
      </c>
      <c r="T2664" s="26">
        <v>0</v>
      </c>
      <c r="U2664" s="26">
        <v>0</v>
      </c>
      <c r="V2664" s="28">
        <v>0</v>
      </c>
      <c r="W2664" s="26">
        <v>0</v>
      </c>
      <c r="X2664" s="26">
        <v>0</v>
      </c>
      <c r="Y2664" s="26">
        <v>0</v>
      </c>
      <c r="Z2664" s="26">
        <v>0</v>
      </c>
    </row>
    <row r="2665" spans="1:26" x14ac:dyDescent="0.2">
      <c r="A2665">
        <f t="shared" si="84"/>
        <v>6</v>
      </c>
      <c r="B2665">
        <f t="shared" si="85"/>
        <v>24</v>
      </c>
      <c r="C2665" s="27">
        <v>46184</v>
      </c>
      <c r="D2665" s="26" t="s">
        <v>26</v>
      </c>
      <c r="E2665" s="26" t="s">
        <v>39</v>
      </c>
      <c r="F2665" s="26" t="s">
        <v>40</v>
      </c>
      <c r="G2665" s="26" t="s">
        <v>29</v>
      </c>
      <c r="H2665" s="26" t="s">
        <v>30</v>
      </c>
      <c r="I2665" s="26" t="s">
        <v>1405</v>
      </c>
      <c r="J2665" s="26" t="s">
        <v>42</v>
      </c>
      <c r="K2665" s="26" t="s">
        <v>609</v>
      </c>
      <c r="L2665" s="26">
        <v>10</v>
      </c>
      <c r="M2665" s="26">
        <v>1</v>
      </c>
      <c r="N2665" s="28">
        <v>0.1</v>
      </c>
      <c r="O2665" s="26">
        <v>0.55000000000000004</v>
      </c>
      <c r="P2665" s="26">
        <v>0.55000000000000004</v>
      </c>
      <c r="Q2665" s="26">
        <v>0</v>
      </c>
      <c r="R2665" s="26"/>
      <c r="S2665" s="26">
        <v>0</v>
      </c>
      <c r="T2665" s="26">
        <v>0</v>
      </c>
      <c r="U2665" s="26">
        <v>0</v>
      </c>
      <c r="V2665" s="28">
        <v>0</v>
      </c>
      <c r="W2665" s="26">
        <v>0</v>
      </c>
      <c r="X2665" s="26">
        <v>0</v>
      </c>
      <c r="Y2665" s="26">
        <v>0</v>
      </c>
      <c r="Z2665" s="26">
        <v>0</v>
      </c>
    </row>
    <row r="2666" spans="1:26" x14ac:dyDescent="0.2">
      <c r="A2666">
        <f t="shared" si="84"/>
        <v>6</v>
      </c>
      <c r="B2666">
        <f t="shared" si="85"/>
        <v>25</v>
      </c>
      <c r="C2666" s="27">
        <v>46193</v>
      </c>
      <c r="D2666" s="26" t="s">
        <v>26</v>
      </c>
      <c r="E2666" s="26" t="s">
        <v>49</v>
      </c>
      <c r="F2666" s="26" t="s">
        <v>50</v>
      </c>
      <c r="G2666" s="26" t="s">
        <v>29</v>
      </c>
      <c r="H2666" s="26" t="s">
        <v>30</v>
      </c>
      <c r="I2666" s="26" t="s">
        <v>51</v>
      </c>
      <c r="J2666" s="26" t="s">
        <v>42</v>
      </c>
      <c r="K2666" s="26" t="s">
        <v>1671</v>
      </c>
      <c r="L2666" s="26">
        <v>2</v>
      </c>
      <c r="M2666" s="26">
        <v>1</v>
      </c>
      <c r="N2666" s="28">
        <v>0.5</v>
      </c>
      <c r="O2666" s="26">
        <v>0.22</v>
      </c>
      <c r="P2666" s="26">
        <v>0.22</v>
      </c>
      <c r="Q2666" s="26">
        <v>0</v>
      </c>
      <c r="R2666" s="26"/>
      <c r="S2666" s="26">
        <v>0</v>
      </c>
      <c r="T2666" s="26">
        <v>0</v>
      </c>
      <c r="U2666" s="26">
        <v>0</v>
      </c>
      <c r="V2666" s="28">
        <v>0</v>
      </c>
      <c r="W2666" s="26">
        <v>0</v>
      </c>
      <c r="X2666" s="26">
        <v>0</v>
      </c>
      <c r="Y2666" s="26">
        <v>0</v>
      </c>
      <c r="Z2666" s="26">
        <v>0</v>
      </c>
    </row>
    <row r="2667" spans="1:26" x14ac:dyDescent="0.2">
      <c r="A2667">
        <f t="shared" si="84"/>
        <v>6</v>
      </c>
      <c r="B2667">
        <f t="shared" si="85"/>
        <v>24</v>
      </c>
      <c r="C2667" s="27">
        <v>46180</v>
      </c>
      <c r="D2667" s="26" t="s">
        <v>26</v>
      </c>
      <c r="E2667" s="26" t="s">
        <v>49</v>
      </c>
      <c r="F2667" s="26" t="s">
        <v>50</v>
      </c>
      <c r="G2667" s="26" t="s">
        <v>29</v>
      </c>
      <c r="H2667" s="26" t="s">
        <v>30</v>
      </c>
      <c r="I2667" s="26" t="s">
        <v>51</v>
      </c>
      <c r="J2667" s="26" t="s">
        <v>42</v>
      </c>
      <c r="K2667" s="26" t="s">
        <v>1672</v>
      </c>
      <c r="L2667" s="26">
        <v>1</v>
      </c>
      <c r="M2667" s="26">
        <v>1</v>
      </c>
      <c r="N2667" s="28">
        <v>1</v>
      </c>
      <c r="O2667" s="26">
        <v>0.5</v>
      </c>
      <c r="P2667" s="26">
        <v>0.5</v>
      </c>
      <c r="Q2667" s="26">
        <v>0</v>
      </c>
      <c r="R2667" s="26"/>
      <c r="S2667" s="26">
        <v>0</v>
      </c>
      <c r="T2667" s="26">
        <v>0</v>
      </c>
      <c r="U2667" s="26">
        <v>0</v>
      </c>
      <c r="V2667" s="28">
        <v>0</v>
      </c>
      <c r="W2667" s="26">
        <v>0</v>
      </c>
      <c r="X2667" s="26">
        <v>0</v>
      </c>
      <c r="Y2667" s="26">
        <v>0</v>
      </c>
      <c r="Z2667" s="26">
        <v>0</v>
      </c>
    </row>
    <row r="2668" spans="1:26" x14ac:dyDescent="0.2">
      <c r="A2668">
        <f t="shared" si="84"/>
        <v>6</v>
      </c>
      <c r="B2668">
        <f t="shared" si="85"/>
        <v>25</v>
      </c>
      <c r="C2668" s="27">
        <v>46190</v>
      </c>
      <c r="D2668" s="26" t="s">
        <v>26</v>
      </c>
      <c r="E2668" s="26" t="s">
        <v>1414</v>
      </c>
      <c r="F2668" s="26" t="s">
        <v>113</v>
      </c>
      <c r="G2668" s="26" t="s">
        <v>29</v>
      </c>
      <c r="H2668" s="26" t="s">
        <v>30</v>
      </c>
      <c r="I2668" s="26" t="s">
        <v>47</v>
      </c>
      <c r="J2668" s="26" t="s">
        <v>42</v>
      </c>
      <c r="K2668" s="26" t="s">
        <v>1673</v>
      </c>
      <c r="L2668" s="26">
        <v>1</v>
      </c>
      <c r="M2668" s="26">
        <v>1</v>
      </c>
      <c r="N2668" s="28">
        <v>1</v>
      </c>
      <c r="O2668" s="26">
        <v>1.44</v>
      </c>
      <c r="P2668" s="26">
        <v>1.44</v>
      </c>
      <c r="Q2668" s="26">
        <v>0</v>
      </c>
      <c r="R2668" s="26"/>
      <c r="S2668" s="26">
        <v>0</v>
      </c>
      <c r="T2668" s="26">
        <v>0</v>
      </c>
      <c r="U2668" s="26">
        <v>0</v>
      </c>
      <c r="V2668" s="28">
        <v>0</v>
      </c>
      <c r="W2668" s="26">
        <v>0</v>
      </c>
      <c r="X2668" s="26">
        <v>0</v>
      </c>
      <c r="Y2668" s="26">
        <v>0</v>
      </c>
      <c r="Z2668" s="26">
        <v>0</v>
      </c>
    </row>
    <row r="2669" spans="1:26" x14ac:dyDescent="0.2">
      <c r="A2669">
        <f t="shared" si="84"/>
        <v>6</v>
      </c>
      <c r="B2669">
        <f t="shared" si="85"/>
        <v>24</v>
      </c>
      <c r="C2669" s="27">
        <v>46182</v>
      </c>
      <c r="D2669" s="26" t="s">
        <v>26</v>
      </c>
      <c r="E2669" s="26" t="s">
        <v>27</v>
      </c>
      <c r="F2669" s="26" t="s">
        <v>28</v>
      </c>
      <c r="G2669" s="26" t="s">
        <v>29</v>
      </c>
      <c r="H2669" s="26" t="s">
        <v>30</v>
      </c>
      <c r="I2669" s="26" t="s">
        <v>50</v>
      </c>
      <c r="J2669" s="26" t="s">
        <v>32</v>
      </c>
      <c r="K2669" s="26" t="s">
        <v>1674</v>
      </c>
      <c r="L2669" s="26">
        <v>3</v>
      </c>
      <c r="M2669" s="26">
        <v>1</v>
      </c>
      <c r="N2669" s="28">
        <v>0.33333299999999999</v>
      </c>
      <c r="O2669" s="26">
        <v>0.21</v>
      </c>
      <c r="P2669" s="26">
        <v>0.21</v>
      </c>
      <c r="Q2669" s="26">
        <v>0</v>
      </c>
      <c r="R2669" s="26"/>
      <c r="S2669" s="26">
        <v>0</v>
      </c>
      <c r="T2669" s="26">
        <v>0</v>
      </c>
      <c r="U2669" s="26">
        <v>0</v>
      </c>
      <c r="V2669" s="28">
        <v>0</v>
      </c>
      <c r="W2669" s="26">
        <v>0</v>
      </c>
      <c r="X2669" s="26">
        <v>0</v>
      </c>
      <c r="Y2669" s="26">
        <v>0</v>
      </c>
      <c r="Z2669" s="26">
        <v>0</v>
      </c>
    </row>
    <row r="2670" spans="1:26" x14ac:dyDescent="0.2">
      <c r="A2670">
        <f t="shared" si="84"/>
        <v>6</v>
      </c>
      <c r="B2670">
        <f t="shared" si="85"/>
        <v>23</v>
      </c>
      <c r="C2670" s="27">
        <v>46178</v>
      </c>
      <c r="D2670" s="26" t="s">
        <v>26</v>
      </c>
      <c r="E2670" s="26" t="s">
        <v>27</v>
      </c>
      <c r="F2670" s="26" t="s">
        <v>28</v>
      </c>
      <c r="G2670" s="26" t="s">
        <v>29</v>
      </c>
      <c r="H2670" s="26" t="s">
        <v>30</v>
      </c>
      <c r="I2670" s="26" t="s">
        <v>305</v>
      </c>
      <c r="J2670" s="26" t="s">
        <v>32</v>
      </c>
      <c r="K2670" s="26" t="s">
        <v>1675</v>
      </c>
      <c r="L2670" s="26">
        <v>1</v>
      </c>
      <c r="M2670" s="26">
        <v>1</v>
      </c>
      <c r="N2670" s="28">
        <v>1</v>
      </c>
      <c r="O2670" s="26">
        <v>0.21</v>
      </c>
      <c r="P2670" s="26">
        <v>0.21</v>
      </c>
      <c r="Q2670" s="26">
        <v>0</v>
      </c>
      <c r="R2670" s="26"/>
      <c r="S2670" s="26">
        <v>0</v>
      </c>
      <c r="T2670" s="26">
        <v>0</v>
      </c>
      <c r="U2670" s="26">
        <v>0</v>
      </c>
      <c r="V2670" s="28">
        <v>0</v>
      </c>
      <c r="W2670" s="26">
        <v>0</v>
      </c>
      <c r="X2670" s="26">
        <v>0</v>
      </c>
      <c r="Y2670" s="26">
        <v>0</v>
      </c>
      <c r="Z2670" s="26">
        <v>0</v>
      </c>
    </row>
    <row r="2671" spans="1:26" x14ac:dyDescent="0.2">
      <c r="A2671">
        <f t="shared" si="84"/>
        <v>6</v>
      </c>
      <c r="B2671">
        <f t="shared" si="85"/>
        <v>23</v>
      </c>
      <c r="C2671" s="27">
        <v>46174</v>
      </c>
      <c r="D2671" s="26" t="s">
        <v>26</v>
      </c>
      <c r="E2671" s="26" t="s">
        <v>1414</v>
      </c>
      <c r="F2671" s="26" t="s">
        <v>113</v>
      </c>
      <c r="G2671" s="26" t="s">
        <v>29</v>
      </c>
      <c r="H2671" s="26" t="s">
        <v>30</v>
      </c>
      <c r="I2671" s="26" t="s">
        <v>47</v>
      </c>
      <c r="J2671" s="26" t="s">
        <v>42</v>
      </c>
      <c r="K2671" s="26" t="s">
        <v>108</v>
      </c>
      <c r="L2671" s="26">
        <v>12</v>
      </c>
      <c r="M2671" s="26">
        <v>1</v>
      </c>
      <c r="N2671" s="28">
        <v>8.3333000000000004E-2</v>
      </c>
      <c r="O2671" s="26">
        <v>0.89</v>
      </c>
      <c r="P2671" s="26">
        <v>0.89</v>
      </c>
      <c r="Q2671" s="26">
        <v>0</v>
      </c>
      <c r="R2671" s="26"/>
      <c r="S2671" s="26">
        <v>0</v>
      </c>
      <c r="T2671" s="26">
        <v>0</v>
      </c>
      <c r="U2671" s="26">
        <v>0</v>
      </c>
      <c r="V2671" s="28">
        <v>0</v>
      </c>
      <c r="W2671" s="26">
        <v>0</v>
      </c>
      <c r="X2671" s="26">
        <v>0</v>
      </c>
      <c r="Y2671" s="26">
        <v>0</v>
      </c>
      <c r="Z2671" s="26">
        <v>0</v>
      </c>
    </row>
    <row r="2672" spans="1:26" x14ac:dyDescent="0.2">
      <c r="A2672">
        <f t="shared" si="84"/>
        <v>6</v>
      </c>
      <c r="B2672">
        <f t="shared" si="85"/>
        <v>25</v>
      </c>
      <c r="C2672" s="27">
        <v>46191</v>
      </c>
      <c r="D2672" s="26" t="s">
        <v>26</v>
      </c>
      <c r="E2672" s="26" t="s">
        <v>1582</v>
      </c>
      <c r="F2672" s="26" t="s">
        <v>1583</v>
      </c>
      <c r="G2672" s="26" t="s">
        <v>29</v>
      </c>
      <c r="H2672" s="26" t="s">
        <v>30</v>
      </c>
      <c r="I2672" s="26" t="s">
        <v>109</v>
      </c>
      <c r="J2672" s="26" t="s">
        <v>87</v>
      </c>
      <c r="K2672" s="26" t="s">
        <v>1676</v>
      </c>
      <c r="L2672" s="26">
        <v>1</v>
      </c>
      <c r="M2672" s="26">
        <v>1</v>
      </c>
      <c r="N2672" s="28">
        <v>1</v>
      </c>
      <c r="O2672" s="26">
        <v>0.85</v>
      </c>
      <c r="P2672" s="26">
        <v>0.85</v>
      </c>
      <c r="Q2672" s="26">
        <v>0</v>
      </c>
      <c r="R2672" s="26"/>
      <c r="S2672" s="26">
        <v>0</v>
      </c>
      <c r="T2672" s="26">
        <v>0</v>
      </c>
      <c r="U2672" s="26">
        <v>0</v>
      </c>
      <c r="V2672" s="28">
        <v>0</v>
      </c>
      <c r="W2672" s="26">
        <v>0</v>
      </c>
      <c r="X2672" s="26">
        <v>0</v>
      </c>
      <c r="Y2672" s="26">
        <v>0</v>
      </c>
      <c r="Z2672" s="26">
        <v>0</v>
      </c>
    </row>
    <row r="2673" spans="1:26" x14ac:dyDescent="0.2">
      <c r="A2673">
        <f t="shared" si="84"/>
        <v>6</v>
      </c>
      <c r="B2673">
        <f t="shared" si="85"/>
        <v>23</v>
      </c>
      <c r="C2673" s="27">
        <v>46179</v>
      </c>
      <c r="D2673" s="26" t="s">
        <v>26</v>
      </c>
      <c r="E2673" s="26" t="s">
        <v>1414</v>
      </c>
      <c r="F2673" s="26" t="s">
        <v>113</v>
      </c>
      <c r="G2673" s="26" t="s">
        <v>29</v>
      </c>
      <c r="H2673" s="26" t="s">
        <v>30</v>
      </c>
      <c r="I2673" s="26" t="s">
        <v>47</v>
      </c>
      <c r="J2673" s="26" t="s">
        <v>42</v>
      </c>
      <c r="K2673" s="26" t="s">
        <v>111</v>
      </c>
      <c r="L2673" s="26">
        <v>73</v>
      </c>
      <c r="M2673" s="26">
        <v>1</v>
      </c>
      <c r="N2673" s="28">
        <v>1.3698999999999999E-2</v>
      </c>
      <c r="O2673" s="26">
        <v>0.99</v>
      </c>
      <c r="P2673" s="26">
        <v>0.99</v>
      </c>
      <c r="Q2673" s="26">
        <v>0</v>
      </c>
      <c r="R2673" s="26"/>
      <c r="S2673" s="26">
        <v>0</v>
      </c>
      <c r="T2673" s="26">
        <v>0</v>
      </c>
      <c r="U2673" s="26">
        <v>0</v>
      </c>
      <c r="V2673" s="28">
        <v>0</v>
      </c>
      <c r="W2673" s="26">
        <v>0</v>
      </c>
      <c r="X2673" s="26">
        <v>0</v>
      </c>
      <c r="Y2673" s="26">
        <v>0</v>
      </c>
      <c r="Z2673" s="26">
        <v>0</v>
      </c>
    </row>
    <row r="2674" spans="1:26" x14ac:dyDescent="0.2">
      <c r="A2674">
        <f t="shared" si="84"/>
        <v>6</v>
      </c>
      <c r="B2674">
        <f t="shared" si="85"/>
        <v>25</v>
      </c>
      <c r="C2674" s="27">
        <v>46190</v>
      </c>
      <c r="D2674" s="26" t="s">
        <v>26</v>
      </c>
      <c r="E2674" s="26" t="s">
        <v>1414</v>
      </c>
      <c r="F2674" s="26" t="s">
        <v>113</v>
      </c>
      <c r="G2674" s="26" t="s">
        <v>29</v>
      </c>
      <c r="H2674" s="26" t="s">
        <v>30</v>
      </c>
      <c r="I2674" s="26" t="s">
        <v>47</v>
      </c>
      <c r="J2674" s="26" t="s">
        <v>42</v>
      </c>
      <c r="K2674" s="26" t="s">
        <v>111</v>
      </c>
      <c r="L2674" s="26">
        <v>26</v>
      </c>
      <c r="M2674" s="26">
        <v>1</v>
      </c>
      <c r="N2674" s="28">
        <v>3.8462000000000003E-2</v>
      </c>
      <c r="O2674" s="26">
        <v>0.94</v>
      </c>
      <c r="P2674" s="26">
        <v>0.94</v>
      </c>
      <c r="Q2674" s="26">
        <v>0</v>
      </c>
      <c r="R2674" s="26"/>
      <c r="S2674" s="26">
        <v>0</v>
      </c>
      <c r="T2674" s="26">
        <v>0</v>
      </c>
      <c r="U2674" s="26">
        <v>0</v>
      </c>
      <c r="V2674" s="28">
        <v>0</v>
      </c>
      <c r="W2674" s="26">
        <v>0</v>
      </c>
      <c r="X2674" s="26">
        <v>0</v>
      </c>
      <c r="Y2674" s="26">
        <v>0</v>
      </c>
      <c r="Z2674" s="26">
        <v>0</v>
      </c>
    </row>
    <row r="2675" spans="1:26" x14ac:dyDescent="0.2">
      <c r="A2675">
        <f t="shared" si="84"/>
        <v>6</v>
      </c>
      <c r="B2675">
        <f t="shared" si="85"/>
        <v>24</v>
      </c>
      <c r="C2675" s="27">
        <v>46184</v>
      </c>
      <c r="D2675" s="26" t="s">
        <v>26</v>
      </c>
      <c r="E2675" s="26" t="s">
        <v>49</v>
      </c>
      <c r="F2675" s="26" t="s">
        <v>50</v>
      </c>
      <c r="G2675" s="26" t="s">
        <v>29</v>
      </c>
      <c r="H2675" s="26" t="s">
        <v>30</v>
      </c>
      <c r="I2675" s="26" t="s">
        <v>95</v>
      </c>
      <c r="J2675" s="26" t="s">
        <v>42</v>
      </c>
      <c r="K2675" s="26" t="s">
        <v>1677</v>
      </c>
      <c r="L2675" s="26">
        <v>1</v>
      </c>
      <c r="M2675" s="26">
        <v>1</v>
      </c>
      <c r="N2675" s="28">
        <v>1</v>
      </c>
      <c r="O2675" s="26">
        <v>0.77</v>
      </c>
      <c r="P2675" s="26">
        <v>0.77</v>
      </c>
      <c r="Q2675" s="26">
        <v>0</v>
      </c>
      <c r="R2675" s="26"/>
      <c r="S2675" s="26">
        <v>0</v>
      </c>
      <c r="T2675" s="26">
        <v>0</v>
      </c>
      <c r="U2675" s="26">
        <v>0</v>
      </c>
      <c r="V2675" s="28">
        <v>0</v>
      </c>
      <c r="W2675" s="26">
        <v>0</v>
      </c>
      <c r="X2675" s="26">
        <v>0</v>
      </c>
      <c r="Y2675" s="26">
        <v>0</v>
      </c>
      <c r="Z2675" s="26">
        <v>0</v>
      </c>
    </row>
    <row r="2676" spans="1:26" x14ac:dyDescent="0.2">
      <c r="A2676">
        <f t="shared" si="84"/>
        <v>6</v>
      </c>
      <c r="B2676">
        <f t="shared" si="85"/>
        <v>23</v>
      </c>
      <c r="C2676" s="27">
        <v>46177</v>
      </c>
      <c r="D2676" s="26" t="s">
        <v>26</v>
      </c>
      <c r="E2676" s="26" t="s">
        <v>49</v>
      </c>
      <c r="F2676" s="26" t="s">
        <v>50</v>
      </c>
      <c r="G2676" s="26" t="s">
        <v>29</v>
      </c>
      <c r="H2676" s="26" t="s">
        <v>30</v>
      </c>
      <c r="I2676" s="26" t="s">
        <v>95</v>
      </c>
      <c r="J2676" s="26" t="s">
        <v>42</v>
      </c>
      <c r="K2676" s="26" t="s">
        <v>1678</v>
      </c>
      <c r="L2676" s="26">
        <v>4</v>
      </c>
      <c r="M2676" s="26">
        <v>1</v>
      </c>
      <c r="N2676" s="28">
        <v>0.25</v>
      </c>
      <c r="O2676" s="26">
        <v>0.78</v>
      </c>
      <c r="P2676" s="26">
        <v>0.78</v>
      </c>
      <c r="Q2676" s="26">
        <v>0</v>
      </c>
      <c r="R2676" s="26"/>
      <c r="S2676" s="26">
        <v>0</v>
      </c>
      <c r="T2676" s="26">
        <v>0</v>
      </c>
      <c r="U2676" s="26">
        <v>0</v>
      </c>
      <c r="V2676" s="28">
        <v>0</v>
      </c>
      <c r="W2676" s="26">
        <v>0</v>
      </c>
      <c r="X2676" s="26">
        <v>0</v>
      </c>
      <c r="Y2676" s="26">
        <v>0</v>
      </c>
      <c r="Z2676" s="26">
        <v>0</v>
      </c>
    </row>
    <row r="2677" spans="1:26" x14ac:dyDescent="0.2">
      <c r="A2677">
        <f t="shared" si="84"/>
        <v>6</v>
      </c>
      <c r="B2677">
        <f t="shared" si="85"/>
        <v>25</v>
      </c>
      <c r="C2677" s="27">
        <v>46192</v>
      </c>
      <c r="D2677" s="26" t="s">
        <v>26</v>
      </c>
      <c r="E2677" s="26" t="s">
        <v>27</v>
      </c>
      <c r="F2677" s="26" t="s">
        <v>124</v>
      </c>
      <c r="G2677" s="26" t="s">
        <v>29</v>
      </c>
      <c r="H2677" s="26" t="s">
        <v>30</v>
      </c>
      <c r="I2677" s="26" t="s">
        <v>101</v>
      </c>
      <c r="J2677" s="26" t="s">
        <v>87</v>
      </c>
      <c r="K2677" s="26" t="s">
        <v>1679</v>
      </c>
      <c r="L2677" s="26">
        <v>3</v>
      </c>
      <c r="M2677" s="26">
        <v>1</v>
      </c>
      <c r="N2677" s="28">
        <v>0.33333299999999999</v>
      </c>
      <c r="O2677" s="26">
        <v>0.21</v>
      </c>
      <c r="P2677" s="26">
        <v>0.21</v>
      </c>
      <c r="Q2677" s="26">
        <v>0</v>
      </c>
      <c r="R2677" s="26"/>
      <c r="S2677" s="26">
        <v>0</v>
      </c>
      <c r="T2677" s="26">
        <v>0</v>
      </c>
      <c r="U2677" s="26">
        <v>0</v>
      </c>
      <c r="V2677" s="28">
        <v>0</v>
      </c>
      <c r="W2677" s="26">
        <v>0</v>
      </c>
      <c r="X2677" s="26">
        <v>0</v>
      </c>
      <c r="Y2677" s="26">
        <v>0</v>
      </c>
      <c r="Z2677" s="26">
        <v>0</v>
      </c>
    </row>
    <row r="2678" spans="1:26" x14ac:dyDescent="0.2">
      <c r="A2678">
        <f t="shared" si="84"/>
        <v>6</v>
      </c>
      <c r="B2678">
        <f t="shared" si="85"/>
        <v>26</v>
      </c>
      <c r="C2678" s="27">
        <v>46194</v>
      </c>
      <c r="D2678" s="26" t="s">
        <v>26</v>
      </c>
      <c r="E2678" s="26" t="s">
        <v>27</v>
      </c>
      <c r="F2678" s="26" t="s">
        <v>28</v>
      </c>
      <c r="G2678" s="26" t="s">
        <v>29</v>
      </c>
      <c r="H2678" s="26" t="s">
        <v>30</v>
      </c>
      <c r="I2678" s="26" t="s">
        <v>119</v>
      </c>
      <c r="J2678" s="26" t="s">
        <v>32</v>
      </c>
      <c r="K2678" s="26" t="s">
        <v>120</v>
      </c>
      <c r="L2678" s="26">
        <v>4</v>
      </c>
      <c r="M2678" s="26">
        <v>1</v>
      </c>
      <c r="N2678" s="28">
        <v>0.25</v>
      </c>
      <c r="O2678" s="26">
        <v>0.16</v>
      </c>
      <c r="P2678" s="26">
        <v>0.16</v>
      </c>
      <c r="Q2678" s="26">
        <v>0</v>
      </c>
      <c r="R2678" s="26"/>
      <c r="S2678" s="26">
        <v>0</v>
      </c>
      <c r="T2678" s="26">
        <v>0</v>
      </c>
      <c r="U2678" s="26">
        <v>0</v>
      </c>
      <c r="V2678" s="28">
        <v>0</v>
      </c>
      <c r="W2678" s="26">
        <v>0</v>
      </c>
      <c r="X2678" s="26">
        <v>0</v>
      </c>
      <c r="Y2678" s="26">
        <v>0</v>
      </c>
      <c r="Z2678" s="26">
        <v>0</v>
      </c>
    </row>
    <row r="2679" spans="1:26" x14ac:dyDescent="0.2">
      <c r="A2679">
        <f t="shared" si="84"/>
        <v>6</v>
      </c>
      <c r="B2679">
        <f t="shared" si="85"/>
        <v>24</v>
      </c>
      <c r="C2679" s="27">
        <v>46183</v>
      </c>
      <c r="D2679" s="26" t="s">
        <v>26</v>
      </c>
      <c r="E2679" s="26" t="s">
        <v>49</v>
      </c>
      <c r="F2679" s="26" t="s">
        <v>50</v>
      </c>
      <c r="G2679" s="26" t="s">
        <v>29</v>
      </c>
      <c r="H2679" s="26" t="s">
        <v>30</v>
      </c>
      <c r="I2679" s="26" t="s">
        <v>95</v>
      </c>
      <c r="J2679" s="26" t="s">
        <v>42</v>
      </c>
      <c r="K2679" s="26" t="s">
        <v>1680</v>
      </c>
      <c r="L2679" s="26">
        <v>1</v>
      </c>
      <c r="M2679" s="26">
        <v>1</v>
      </c>
      <c r="N2679" s="28">
        <v>1</v>
      </c>
      <c r="O2679" s="26">
        <v>0.77</v>
      </c>
      <c r="P2679" s="26">
        <v>0.77</v>
      </c>
      <c r="Q2679" s="26">
        <v>0</v>
      </c>
      <c r="R2679" s="26"/>
      <c r="S2679" s="26">
        <v>0</v>
      </c>
      <c r="T2679" s="26">
        <v>0</v>
      </c>
      <c r="U2679" s="26">
        <v>0</v>
      </c>
      <c r="V2679" s="28">
        <v>0</v>
      </c>
      <c r="W2679" s="26">
        <v>0</v>
      </c>
      <c r="X2679" s="26">
        <v>0</v>
      </c>
      <c r="Y2679" s="26">
        <v>0</v>
      </c>
      <c r="Z2679" s="26">
        <v>0</v>
      </c>
    </row>
    <row r="2680" spans="1:26" x14ac:dyDescent="0.2">
      <c r="A2680">
        <f t="shared" si="84"/>
        <v>6</v>
      </c>
      <c r="B2680">
        <f t="shared" si="85"/>
        <v>23</v>
      </c>
      <c r="C2680" s="27">
        <v>46175</v>
      </c>
      <c r="D2680" s="26" t="s">
        <v>26</v>
      </c>
      <c r="E2680" s="26" t="s">
        <v>27</v>
      </c>
      <c r="F2680" s="26" t="s">
        <v>28</v>
      </c>
      <c r="G2680" s="26" t="s">
        <v>29</v>
      </c>
      <c r="H2680" s="26" t="s">
        <v>30</v>
      </c>
      <c r="I2680" s="26" t="s">
        <v>243</v>
      </c>
      <c r="J2680" s="26" t="s">
        <v>32</v>
      </c>
      <c r="K2680" s="26" t="s">
        <v>1681</v>
      </c>
      <c r="L2680" s="26">
        <v>9</v>
      </c>
      <c r="M2680" s="26">
        <v>1</v>
      </c>
      <c r="N2680" s="28">
        <v>0.111111</v>
      </c>
      <c r="O2680" s="26">
        <v>0.2</v>
      </c>
      <c r="P2680" s="26">
        <v>0.2</v>
      </c>
      <c r="Q2680" s="26">
        <v>0</v>
      </c>
      <c r="R2680" s="26"/>
      <c r="S2680" s="26">
        <v>0</v>
      </c>
      <c r="T2680" s="26">
        <v>0</v>
      </c>
      <c r="U2680" s="26">
        <v>0</v>
      </c>
      <c r="V2680" s="28">
        <v>0</v>
      </c>
      <c r="W2680" s="26">
        <v>0</v>
      </c>
      <c r="X2680" s="26">
        <v>0</v>
      </c>
      <c r="Y2680" s="26">
        <v>0</v>
      </c>
      <c r="Z2680" s="26">
        <v>0</v>
      </c>
    </row>
    <row r="2681" spans="1:26" x14ac:dyDescent="0.2">
      <c r="A2681">
        <f t="shared" ref="A2681:A2744" si="86">MONTH(C2681)</f>
        <v>6</v>
      </c>
      <c r="B2681">
        <f t="shared" ref="B2681:B2744" si="87">WEEKNUM(C2681,1)</f>
        <v>24</v>
      </c>
      <c r="C2681" s="27">
        <v>46180</v>
      </c>
      <c r="D2681" s="26" t="s">
        <v>26</v>
      </c>
      <c r="E2681" s="26" t="s">
        <v>27</v>
      </c>
      <c r="F2681" s="26" t="s">
        <v>28</v>
      </c>
      <c r="G2681" s="26" t="s">
        <v>29</v>
      </c>
      <c r="H2681" s="26" t="s">
        <v>30</v>
      </c>
      <c r="I2681" s="26" t="s">
        <v>31</v>
      </c>
      <c r="J2681" s="26" t="s">
        <v>32</v>
      </c>
      <c r="K2681" s="26" t="s">
        <v>1682</v>
      </c>
      <c r="L2681" s="26">
        <v>1</v>
      </c>
      <c r="M2681" s="26">
        <v>1</v>
      </c>
      <c r="N2681" s="28">
        <v>1</v>
      </c>
      <c r="O2681" s="26">
        <v>0.21</v>
      </c>
      <c r="P2681" s="26">
        <v>0.21</v>
      </c>
      <c r="Q2681" s="26">
        <v>0</v>
      </c>
      <c r="R2681" s="26"/>
      <c r="S2681" s="26">
        <v>0</v>
      </c>
      <c r="T2681" s="26">
        <v>0</v>
      </c>
      <c r="U2681" s="26">
        <v>0</v>
      </c>
      <c r="V2681" s="28">
        <v>0</v>
      </c>
      <c r="W2681" s="26">
        <v>0</v>
      </c>
      <c r="X2681" s="26">
        <v>0</v>
      </c>
      <c r="Y2681" s="26">
        <v>0</v>
      </c>
      <c r="Z2681" s="26">
        <v>0</v>
      </c>
    </row>
    <row r="2682" spans="1:26" x14ac:dyDescent="0.2">
      <c r="A2682">
        <f t="shared" si="86"/>
        <v>6</v>
      </c>
      <c r="B2682">
        <f t="shared" si="87"/>
        <v>25</v>
      </c>
      <c r="C2682" s="27">
        <v>46193</v>
      </c>
      <c r="D2682" s="26" t="s">
        <v>26</v>
      </c>
      <c r="E2682" s="26" t="s">
        <v>27</v>
      </c>
      <c r="F2682" s="26" t="s">
        <v>28</v>
      </c>
      <c r="G2682" s="26" t="s">
        <v>29</v>
      </c>
      <c r="H2682" s="26" t="s">
        <v>30</v>
      </c>
      <c r="I2682" s="26" t="s">
        <v>50</v>
      </c>
      <c r="J2682" s="26" t="s">
        <v>32</v>
      </c>
      <c r="K2682" s="26" t="s">
        <v>1683</v>
      </c>
      <c r="L2682" s="26">
        <v>1</v>
      </c>
      <c r="M2682" s="26">
        <v>1</v>
      </c>
      <c r="N2682" s="28">
        <v>1</v>
      </c>
      <c r="O2682" s="26">
        <v>0.21</v>
      </c>
      <c r="P2682" s="26">
        <v>0.21</v>
      </c>
      <c r="Q2682" s="26">
        <v>0</v>
      </c>
      <c r="R2682" s="26"/>
      <c r="S2682" s="26">
        <v>0</v>
      </c>
      <c r="T2682" s="26">
        <v>0</v>
      </c>
      <c r="U2682" s="26">
        <v>0</v>
      </c>
      <c r="V2682" s="28">
        <v>0</v>
      </c>
      <c r="W2682" s="26">
        <v>0</v>
      </c>
      <c r="X2682" s="26">
        <v>0</v>
      </c>
      <c r="Y2682" s="26">
        <v>0</v>
      </c>
      <c r="Z2682" s="26">
        <v>0</v>
      </c>
    </row>
    <row r="2683" spans="1:26" x14ac:dyDescent="0.2">
      <c r="A2683">
        <f t="shared" si="86"/>
        <v>6</v>
      </c>
      <c r="B2683">
        <f t="shared" si="87"/>
        <v>24</v>
      </c>
      <c r="C2683" s="27">
        <v>46184</v>
      </c>
      <c r="D2683" s="26" t="s">
        <v>26</v>
      </c>
      <c r="E2683" s="26" t="s">
        <v>27</v>
      </c>
      <c r="F2683" s="26" t="s">
        <v>28</v>
      </c>
      <c r="G2683" s="26" t="s">
        <v>29</v>
      </c>
      <c r="H2683" s="26" t="s">
        <v>30</v>
      </c>
      <c r="I2683" s="26" t="s">
        <v>50</v>
      </c>
      <c r="J2683" s="26" t="s">
        <v>32</v>
      </c>
      <c r="K2683" s="26" t="s">
        <v>1684</v>
      </c>
      <c r="L2683" s="26">
        <v>3</v>
      </c>
      <c r="M2683" s="26">
        <v>1</v>
      </c>
      <c r="N2683" s="28">
        <v>0.33333299999999999</v>
      </c>
      <c r="O2683" s="26">
        <v>0.2</v>
      </c>
      <c r="P2683" s="26">
        <v>0.2</v>
      </c>
      <c r="Q2683" s="26">
        <v>0</v>
      </c>
      <c r="R2683" s="26"/>
      <c r="S2683" s="26">
        <v>0</v>
      </c>
      <c r="T2683" s="26">
        <v>0</v>
      </c>
      <c r="U2683" s="26">
        <v>0</v>
      </c>
      <c r="V2683" s="28">
        <v>0</v>
      </c>
      <c r="W2683" s="26">
        <v>0</v>
      </c>
      <c r="X2683" s="26">
        <v>0</v>
      </c>
      <c r="Y2683" s="26">
        <v>0</v>
      </c>
      <c r="Z2683" s="26">
        <v>0</v>
      </c>
    </row>
    <row r="2684" spans="1:26" x14ac:dyDescent="0.2">
      <c r="A2684">
        <f t="shared" si="86"/>
        <v>6</v>
      </c>
      <c r="B2684">
        <f t="shared" si="87"/>
        <v>23</v>
      </c>
      <c r="C2684" s="27">
        <v>46178</v>
      </c>
      <c r="D2684" s="26" t="s">
        <v>26</v>
      </c>
      <c r="E2684" s="26" t="s">
        <v>27</v>
      </c>
      <c r="F2684" s="26" t="s">
        <v>28</v>
      </c>
      <c r="G2684" s="26" t="s">
        <v>29</v>
      </c>
      <c r="H2684" s="26" t="s">
        <v>30</v>
      </c>
      <c r="I2684" s="26" t="s">
        <v>101</v>
      </c>
      <c r="J2684" s="26" t="s">
        <v>32</v>
      </c>
      <c r="K2684" s="26" t="s">
        <v>1685</v>
      </c>
      <c r="L2684" s="26">
        <v>4</v>
      </c>
      <c r="M2684" s="26">
        <v>1</v>
      </c>
      <c r="N2684" s="28">
        <v>0.25</v>
      </c>
      <c r="O2684" s="26">
        <v>0.21</v>
      </c>
      <c r="P2684" s="26">
        <v>0.21</v>
      </c>
      <c r="Q2684" s="26">
        <v>0</v>
      </c>
      <c r="R2684" s="26"/>
      <c r="S2684" s="26">
        <v>0</v>
      </c>
      <c r="T2684" s="26">
        <v>0</v>
      </c>
      <c r="U2684" s="26">
        <v>0</v>
      </c>
      <c r="V2684" s="28">
        <v>0</v>
      </c>
      <c r="W2684" s="26">
        <v>0</v>
      </c>
      <c r="X2684" s="26">
        <v>0</v>
      </c>
      <c r="Y2684" s="26">
        <v>0</v>
      </c>
      <c r="Z2684" s="26">
        <v>0</v>
      </c>
    </row>
    <row r="2685" spans="1:26" x14ac:dyDescent="0.2">
      <c r="A2685">
        <f t="shared" si="86"/>
        <v>6</v>
      </c>
      <c r="B2685">
        <f t="shared" si="87"/>
        <v>23</v>
      </c>
      <c r="C2685" s="27">
        <v>46177</v>
      </c>
      <c r="D2685" s="26" t="s">
        <v>26</v>
      </c>
      <c r="E2685" s="26" t="s">
        <v>27</v>
      </c>
      <c r="F2685" s="26" t="s">
        <v>28</v>
      </c>
      <c r="G2685" s="26" t="s">
        <v>29</v>
      </c>
      <c r="H2685" s="26" t="s">
        <v>30</v>
      </c>
      <c r="I2685" s="26" t="s">
        <v>133</v>
      </c>
      <c r="J2685" s="26" t="s">
        <v>32</v>
      </c>
      <c r="K2685" s="26" t="s">
        <v>1686</v>
      </c>
      <c r="L2685" s="26">
        <v>2</v>
      </c>
      <c r="M2685" s="26">
        <v>1</v>
      </c>
      <c r="N2685" s="28">
        <v>0.5</v>
      </c>
      <c r="O2685" s="26">
        <v>0.21</v>
      </c>
      <c r="P2685" s="26">
        <v>0.21</v>
      </c>
      <c r="Q2685" s="26">
        <v>17.47</v>
      </c>
      <c r="R2685" s="28">
        <v>1.2021E-2</v>
      </c>
      <c r="S2685" s="26">
        <v>83.19</v>
      </c>
      <c r="T2685" s="26">
        <v>1</v>
      </c>
      <c r="U2685" s="26">
        <v>1</v>
      </c>
      <c r="V2685" s="28">
        <v>1</v>
      </c>
      <c r="W2685" s="26">
        <v>1</v>
      </c>
      <c r="X2685" s="26">
        <v>0</v>
      </c>
      <c r="Y2685" s="26">
        <v>17.47</v>
      </c>
      <c r="Z2685" s="26">
        <v>0</v>
      </c>
    </row>
    <row r="2686" spans="1:26" x14ac:dyDescent="0.2">
      <c r="A2686">
        <f t="shared" si="86"/>
        <v>6</v>
      </c>
      <c r="B2686">
        <f t="shared" si="87"/>
        <v>24</v>
      </c>
      <c r="C2686" s="27">
        <v>46184</v>
      </c>
      <c r="D2686" s="26" t="s">
        <v>26</v>
      </c>
      <c r="E2686" s="26" t="s">
        <v>49</v>
      </c>
      <c r="F2686" s="26" t="s">
        <v>50</v>
      </c>
      <c r="G2686" s="26" t="s">
        <v>29</v>
      </c>
      <c r="H2686" s="26" t="s">
        <v>30</v>
      </c>
      <c r="I2686" s="26" t="s">
        <v>95</v>
      </c>
      <c r="J2686" s="26" t="s">
        <v>42</v>
      </c>
      <c r="K2686" s="26" t="s">
        <v>1687</v>
      </c>
      <c r="L2686" s="26">
        <v>1</v>
      </c>
      <c r="M2686" s="26">
        <v>1</v>
      </c>
      <c r="N2686" s="28">
        <v>1</v>
      </c>
      <c r="O2686" s="26">
        <v>0.77</v>
      </c>
      <c r="P2686" s="26">
        <v>0.77</v>
      </c>
      <c r="Q2686" s="26">
        <v>0</v>
      </c>
      <c r="R2686" s="26"/>
      <c r="S2686" s="26">
        <v>0</v>
      </c>
      <c r="T2686" s="26">
        <v>0</v>
      </c>
      <c r="U2686" s="26">
        <v>0</v>
      </c>
      <c r="V2686" s="28">
        <v>0</v>
      </c>
      <c r="W2686" s="26">
        <v>0</v>
      </c>
      <c r="X2686" s="26">
        <v>0</v>
      </c>
      <c r="Y2686" s="26">
        <v>0</v>
      </c>
      <c r="Z2686" s="26">
        <v>0</v>
      </c>
    </row>
    <row r="2687" spans="1:26" x14ac:dyDescent="0.2">
      <c r="A2687">
        <f t="shared" si="86"/>
        <v>6</v>
      </c>
      <c r="B2687">
        <f t="shared" si="87"/>
        <v>24</v>
      </c>
      <c r="C2687" s="27">
        <v>46180</v>
      </c>
      <c r="D2687" s="26" t="s">
        <v>26</v>
      </c>
      <c r="E2687" s="26" t="s">
        <v>27</v>
      </c>
      <c r="F2687" s="26" t="s">
        <v>28</v>
      </c>
      <c r="G2687" s="26" t="s">
        <v>29</v>
      </c>
      <c r="H2687" s="26" t="s">
        <v>30</v>
      </c>
      <c r="I2687" s="26" t="s">
        <v>119</v>
      </c>
      <c r="J2687" s="26" t="s">
        <v>32</v>
      </c>
      <c r="K2687" s="26" t="s">
        <v>1427</v>
      </c>
      <c r="L2687" s="26">
        <v>2</v>
      </c>
      <c r="M2687" s="26">
        <v>1</v>
      </c>
      <c r="N2687" s="28">
        <v>0.5</v>
      </c>
      <c r="O2687" s="26">
        <v>0.15</v>
      </c>
      <c r="P2687" s="26">
        <v>0.15</v>
      </c>
      <c r="Q2687" s="26">
        <v>0</v>
      </c>
      <c r="R2687" s="26"/>
      <c r="S2687" s="26">
        <v>0</v>
      </c>
      <c r="T2687" s="26">
        <v>0</v>
      </c>
      <c r="U2687" s="26">
        <v>0</v>
      </c>
      <c r="V2687" s="28">
        <v>0</v>
      </c>
      <c r="W2687" s="26">
        <v>0</v>
      </c>
      <c r="X2687" s="26">
        <v>0</v>
      </c>
      <c r="Y2687" s="26">
        <v>0</v>
      </c>
      <c r="Z2687" s="26">
        <v>0</v>
      </c>
    </row>
    <row r="2688" spans="1:26" x14ac:dyDescent="0.2">
      <c r="A2688">
        <f t="shared" si="86"/>
        <v>6</v>
      </c>
      <c r="B2688">
        <f t="shared" si="87"/>
        <v>24</v>
      </c>
      <c r="C2688" s="27">
        <v>46182</v>
      </c>
      <c r="D2688" s="26" t="s">
        <v>26</v>
      </c>
      <c r="E2688" s="26" t="s">
        <v>27</v>
      </c>
      <c r="F2688" s="26" t="s">
        <v>28</v>
      </c>
      <c r="G2688" s="26" t="s">
        <v>29</v>
      </c>
      <c r="H2688" s="26" t="s">
        <v>30</v>
      </c>
      <c r="I2688" s="26" t="s">
        <v>50</v>
      </c>
      <c r="J2688" s="26" t="s">
        <v>32</v>
      </c>
      <c r="K2688" s="26" t="s">
        <v>1688</v>
      </c>
      <c r="L2688" s="26">
        <v>1</v>
      </c>
      <c r="M2688" s="26">
        <v>1</v>
      </c>
      <c r="N2688" s="28">
        <v>1</v>
      </c>
      <c r="O2688" s="26">
        <v>0.21</v>
      </c>
      <c r="P2688" s="26">
        <v>0.21</v>
      </c>
      <c r="Q2688" s="26">
        <v>0</v>
      </c>
      <c r="R2688" s="26"/>
      <c r="S2688" s="26">
        <v>0</v>
      </c>
      <c r="T2688" s="26">
        <v>0</v>
      </c>
      <c r="U2688" s="26">
        <v>0</v>
      </c>
      <c r="V2688" s="28">
        <v>0</v>
      </c>
      <c r="W2688" s="26">
        <v>0</v>
      </c>
      <c r="X2688" s="26">
        <v>0</v>
      </c>
      <c r="Y2688" s="26">
        <v>0</v>
      </c>
      <c r="Z2688" s="26">
        <v>0</v>
      </c>
    </row>
    <row r="2689" spans="1:26" x14ac:dyDescent="0.2">
      <c r="A2689">
        <f t="shared" si="86"/>
        <v>6</v>
      </c>
      <c r="B2689">
        <f t="shared" si="87"/>
        <v>23</v>
      </c>
      <c r="C2689" s="27">
        <v>46176</v>
      </c>
      <c r="D2689" s="26" t="s">
        <v>26</v>
      </c>
      <c r="E2689" s="26" t="s">
        <v>49</v>
      </c>
      <c r="F2689" s="26" t="s">
        <v>50</v>
      </c>
      <c r="G2689" s="26" t="s">
        <v>29</v>
      </c>
      <c r="H2689" s="26" t="s">
        <v>30</v>
      </c>
      <c r="I2689" s="26" t="s">
        <v>95</v>
      </c>
      <c r="J2689" s="26" t="s">
        <v>42</v>
      </c>
      <c r="K2689" s="26" t="s">
        <v>1689</v>
      </c>
      <c r="L2689" s="26">
        <v>1</v>
      </c>
      <c r="M2689" s="26">
        <v>1</v>
      </c>
      <c r="N2689" s="28">
        <v>1</v>
      </c>
      <c r="O2689" s="26">
        <v>0.1</v>
      </c>
      <c r="P2689" s="26">
        <v>0.1</v>
      </c>
      <c r="Q2689" s="26">
        <v>0</v>
      </c>
      <c r="R2689" s="26"/>
      <c r="S2689" s="26">
        <v>0</v>
      </c>
      <c r="T2689" s="26">
        <v>0</v>
      </c>
      <c r="U2689" s="26">
        <v>0</v>
      </c>
      <c r="V2689" s="28">
        <v>0</v>
      </c>
      <c r="W2689" s="26">
        <v>0</v>
      </c>
      <c r="X2689" s="26">
        <v>0</v>
      </c>
      <c r="Y2689" s="26">
        <v>0</v>
      </c>
      <c r="Z2689" s="26">
        <v>0</v>
      </c>
    </row>
    <row r="2690" spans="1:26" x14ac:dyDescent="0.2">
      <c r="A2690">
        <f t="shared" si="86"/>
        <v>6</v>
      </c>
      <c r="B2690">
        <f t="shared" si="87"/>
        <v>25</v>
      </c>
      <c r="C2690" s="27">
        <v>46193</v>
      </c>
      <c r="D2690" s="26" t="s">
        <v>26</v>
      </c>
      <c r="E2690" s="26" t="s">
        <v>27</v>
      </c>
      <c r="F2690" s="26" t="s">
        <v>28</v>
      </c>
      <c r="G2690" s="26" t="s">
        <v>29</v>
      </c>
      <c r="H2690" s="26" t="s">
        <v>30</v>
      </c>
      <c r="I2690" s="26" t="s">
        <v>50</v>
      </c>
      <c r="J2690" s="26" t="s">
        <v>32</v>
      </c>
      <c r="K2690" s="26" t="s">
        <v>1690</v>
      </c>
      <c r="L2690" s="26">
        <v>1</v>
      </c>
      <c r="M2690" s="26">
        <v>1</v>
      </c>
      <c r="N2690" s="28">
        <v>1</v>
      </c>
      <c r="O2690" s="26">
        <v>0.21</v>
      </c>
      <c r="P2690" s="26">
        <v>0.21</v>
      </c>
      <c r="Q2690" s="26">
        <v>0</v>
      </c>
      <c r="R2690" s="26"/>
      <c r="S2690" s="26">
        <v>0</v>
      </c>
      <c r="T2690" s="26">
        <v>0</v>
      </c>
      <c r="U2690" s="26">
        <v>0</v>
      </c>
      <c r="V2690" s="28">
        <v>0</v>
      </c>
      <c r="W2690" s="26">
        <v>0</v>
      </c>
      <c r="X2690" s="26">
        <v>0</v>
      </c>
      <c r="Y2690" s="26">
        <v>0</v>
      </c>
      <c r="Z2690" s="26">
        <v>0</v>
      </c>
    </row>
    <row r="2691" spans="1:26" x14ac:dyDescent="0.2">
      <c r="A2691">
        <f t="shared" si="86"/>
        <v>6</v>
      </c>
      <c r="B2691">
        <f t="shared" si="87"/>
        <v>23</v>
      </c>
      <c r="C2691" s="27">
        <v>46177</v>
      </c>
      <c r="D2691" s="26" t="s">
        <v>26</v>
      </c>
      <c r="E2691" s="26" t="s">
        <v>49</v>
      </c>
      <c r="F2691" s="26" t="s">
        <v>50</v>
      </c>
      <c r="G2691" s="26" t="s">
        <v>29</v>
      </c>
      <c r="H2691" s="26" t="s">
        <v>30</v>
      </c>
      <c r="I2691" s="26" t="s">
        <v>95</v>
      </c>
      <c r="J2691" s="26" t="s">
        <v>42</v>
      </c>
      <c r="K2691" s="26" t="s">
        <v>1691</v>
      </c>
      <c r="L2691" s="26">
        <v>2</v>
      </c>
      <c r="M2691" s="26">
        <v>1</v>
      </c>
      <c r="N2691" s="28">
        <v>0.5</v>
      </c>
      <c r="O2691" s="26">
        <v>0.78</v>
      </c>
      <c r="P2691" s="26">
        <v>0.78</v>
      </c>
      <c r="Q2691" s="26">
        <v>0</v>
      </c>
      <c r="R2691" s="26"/>
      <c r="S2691" s="26">
        <v>0</v>
      </c>
      <c r="T2691" s="26">
        <v>0</v>
      </c>
      <c r="U2691" s="26">
        <v>0</v>
      </c>
      <c r="V2691" s="28">
        <v>0</v>
      </c>
      <c r="W2691" s="26">
        <v>0</v>
      </c>
      <c r="X2691" s="26">
        <v>0</v>
      </c>
      <c r="Y2691" s="26">
        <v>0</v>
      </c>
      <c r="Z2691" s="26">
        <v>0</v>
      </c>
    </row>
    <row r="2692" spans="1:26" x14ac:dyDescent="0.2">
      <c r="A2692">
        <f t="shared" si="86"/>
        <v>6</v>
      </c>
      <c r="B2692">
        <f t="shared" si="87"/>
        <v>23</v>
      </c>
      <c r="C2692" s="27">
        <v>46176</v>
      </c>
      <c r="D2692" s="26" t="s">
        <v>26</v>
      </c>
      <c r="E2692" s="26" t="s">
        <v>27</v>
      </c>
      <c r="F2692" s="26" t="s">
        <v>28</v>
      </c>
      <c r="G2692" s="26" t="s">
        <v>29</v>
      </c>
      <c r="H2692" s="26" t="s">
        <v>30</v>
      </c>
      <c r="I2692" s="26" t="s">
        <v>133</v>
      </c>
      <c r="J2692" s="26" t="s">
        <v>32</v>
      </c>
      <c r="K2692" s="26" t="s">
        <v>1692</v>
      </c>
      <c r="L2692" s="26">
        <v>4</v>
      </c>
      <c r="M2692" s="26">
        <v>1</v>
      </c>
      <c r="N2692" s="28">
        <v>0.25</v>
      </c>
      <c r="O2692" s="26">
        <v>0.21</v>
      </c>
      <c r="P2692" s="26">
        <v>0.21</v>
      </c>
      <c r="Q2692" s="26">
        <v>0</v>
      </c>
      <c r="R2692" s="26"/>
      <c r="S2692" s="26">
        <v>0</v>
      </c>
      <c r="T2692" s="26">
        <v>0</v>
      </c>
      <c r="U2692" s="26">
        <v>0</v>
      </c>
      <c r="V2692" s="28">
        <v>0</v>
      </c>
      <c r="W2692" s="26">
        <v>0</v>
      </c>
      <c r="X2692" s="26">
        <v>0</v>
      </c>
      <c r="Y2692" s="26">
        <v>0</v>
      </c>
      <c r="Z2692" s="26">
        <v>0</v>
      </c>
    </row>
    <row r="2693" spans="1:26" x14ac:dyDescent="0.2">
      <c r="A2693">
        <f t="shared" si="86"/>
        <v>6</v>
      </c>
      <c r="B2693">
        <f t="shared" si="87"/>
        <v>25</v>
      </c>
      <c r="C2693" s="27">
        <v>46188</v>
      </c>
      <c r="D2693" s="26" t="s">
        <v>26</v>
      </c>
      <c r="E2693" s="26" t="s">
        <v>27</v>
      </c>
      <c r="F2693" s="26" t="s">
        <v>28</v>
      </c>
      <c r="G2693" s="26" t="s">
        <v>29</v>
      </c>
      <c r="H2693" s="26" t="s">
        <v>30</v>
      </c>
      <c r="I2693" s="26" t="s">
        <v>50</v>
      </c>
      <c r="J2693" s="26" t="s">
        <v>32</v>
      </c>
      <c r="K2693" s="26" t="s">
        <v>149</v>
      </c>
      <c r="L2693" s="26">
        <v>5</v>
      </c>
      <c r="M2693" s="26">
        <v>1</v>
      </c>
      <c r="N2693" s="28">
        <v>0.2</v>
      </c>
      <c r="O2693" s="26">
        <v>0.21</v>
      </c>
      <c r="P2693" s="26">
        <v>0.21</v>
      </c>
      <c r="Q2693" s="26">
        <v>37.979999999999997</v>
      </c>
      <c r="R2693" s="28">
        <v>5.5290000000000001E-3</v>
      </c>
      <c r="S2693" s="26">
        <v>180.86</v>
      </c>
      <c r="T2693" s="26">
        <v>1</v>
      </c>
      <c r="U2693" s="26">
        <v>2</v>
      </c>
      <c r="V2693" s="28">
        <v>1</v>
      </c>
      <c r="W2693" s="26">
        <v>2</v>
      </c>
      <c r="X2693" s="26">
        <v>0</v>
      </c>
      <c r="Y2693" s="26">
        <v>37.979999999999997</v>
      </c>
      <c r="Z2693" s="26">
        <v>0</v>
      </c>
    </row>
    <row r="2694" spans="1:26" x14ac:dyDescent="0.2">
      <c r="A2694">
        <f t="shared" si="86"/>
        <v>6</v>
      </c>
      <c r="B2694">
        <f t="shared" si="87"/>
        <v>26</v>
      </c>
      <c r="C2694" s="27">
        <v>46194</v>
      </c>
      <c r="D2694" s="26" t="s">
        <v>26</v>
      </c>
      <c r="E2694" s="26" t="s">
        <v>27</v>
      </c>
      <c r="F2694" s="26" t="s">
        <v>124</v>
      </c>
      <c r="G2694" s="26" t="s">
        <v>29</v>
      </c>
      <c r="H2694" s="26" t="s">
        <v>30</v>
      </c>
      <c r="I2694" s="26" t="s">
        <v>133</v>
      </c>
      <c r="J2694" s="26" t="s">
        <v>87</v>
      </c>
      <c r="K2694" s="26" t="s">
        <v>1693</v>
      </c>
      <c r="L2694" s="26">
        <v>1</v>
      </c>
      <c r="M2694" s="26">
        <v>1</v>
      </c>
      <c r="N2694" s="28">
        <v>1</v>
      </c>
      <c r="O2694" s="26">
        <v>0.21</v>
      </c>
      <c r="P2694" s="26">
        <v>0.21</v>
      </c>
      <c r="Q2694" s="26">
        <v>0</v>
      </c>
      <c r="R2694" s="26"/>
      <c r="S2694" s="26">
        <v>0</v>
      </c>
      <c r="T2694" s="26">
        <v>0</v>
      </c>
      <c r="U2694" s="26">
        <v>0</v>
      </c>
      <c r="V2694" s="28">
        <v>0</v>
      </c>
      <c r="W2694" s="26">
        <v>0</v>
      </c>
      <c r="X2694" s="26">
        <v>0</v>
      </c>
      <c r="Y2694" s="26">
        <v>0</v>
      </c>
      <c r="Z2694" s="26">
        <v>0</v>
      </c>
    </row>
    <row r="2695" spans="1:26" x14ac:dyDescent="0.2">
      <c r="A2695">
        <f t="shared" si="86"/>
        <v>6</v>
      </c>
      <c r="B2695">
        <f t="shared" si="87"/>
        <v>23</v>
      </c>
      <c r="C2695" s="27">
        <v>46177</v>
      </c>
      <c r="D2695" s="26" t="s">
        <v>26</v>
      </c>
      <c r="E2695" s="26" t="s">
        <v>27</v>
      </c>
      <c r="F2695" s="26" t="s">
        <v>28</v>
      </c>
      <c r="G2695" s="26" t="s">
        <v>29</v>
      </c>
      <c r="H2695" s="26" t="s">
        <v>30</v>
      </c>
      <c r="I2695" s="26" t="s">
        <v>542</v>
      </c>
      <c r="J2695" s="26" t="s">
        <v>32</v>
      </c>
      <c r="K2695" s="26" t="s">
        <v>1694</v>
      </c>
      <c r="L2695" s="26">
        <v>2</v>
      </c>
      <c r="M2695" s="26">
        <v>1</v>
      </c>
      <c r="N2695" s="28">
        <v>0.5</v>
      </c>
      <c r="O2695" s="26">
        <v>0.21</v>
      </c>
      <c r="P2695" s="26">
        <v>0.21</v>
      </c>
      <c r="Q2695" s="26">
        <v>0</v>
      </c>
      <c r="R2695" s="26"/>
      <c r="S2695" s="26">
        <v>0</v>
      </c>
      <c r="T2695" s="26">
        <v>0</v>
      </c>
      <c r="U2695" s="26">
        <v>0</v>
      </c>
      <c r="V2695" s="28">
        <v>0</v>
      </c>
      <c r="W2695" s="26">
        <v>0</v>
      </c>
      <c r="X2695" s="26">
        <v>0</v>
      </c>
      <c r="Y2695" s="26">
        <v>0</v>
      </c>
      <c r="Z2695" s="26">
        <v>0</v>
      </c>
    </row>
    <row r="2696" spans="1:26" x14ac:dyDescent="0.2">
      <c r="A2696">
        <f t="shared" si="86"/>
        <v>6</v>
      </c>
      <c r="B2696">
        <f t="shared" si="87"/>
        <v>24</v>
      </c>
      <c r="C2696" s="27">
        <v>46181</v>
      </c>
      <c r="D2696" s="26" t="s">
        <v>26</v>
      </c>
      <c r="E2696" s="26" t="s">
        <v>27</v>
      </c>
      <c r="F2696" s="26" t="s">
        <v>28</v>
      </c>
      <c r="G2696" s="26" t="s">
        <v>29</v>
      </c>
      <c r="H2696" s="26" t="s">
        <v>30</v>
      </c>
      <c r="I2696" s="26" t="s">
        <v>542</v>
      </c>
      <c r="J2696" s="26" t="s">
        <v>32</v>
      </c>
      <c r="K2696" s="26" t="s">
        <v>1695</v>
      </c>
      <c r="L2696" s="26">
        <v>1</v>
      </c>
      <c r="M2696" s="26">
        <v>1</v>
      </c>
      <c r="N2696" s="28">
        <v>1</v>
      </c>
      <c r="O2696" s="26">
        <v>0.21</v>
      </c>
      <c r="P2696" s="26">
        <v>0.21</v>
      </c>
      <c r="Q2696" s="26">
        <v>0</v>
      </c>
      <c r="R2696" s="26"/>
      <c r="S2696" s="26">
        <v>0</v>
      </c>
      <c r="T2696" s="26">
        <v>0</v>
      </c>
      <c r="U2696" s="26">
        <v>0</v>
      </c>
      <c r="V2696" s="28">
        <v>0</v>
      </c>
      <c r="W2696" s="26">
        <v>0</v>
      </c>
      <c r="X2696" s="26">
        <v>0</v>
      </c>
      <c r="Y2696" s="26">
        <v>0</v>
      </c>
      <c r="Z2696" s="26">
        <v>0</v>
      </c>
    </row>
    <row r="2697" spans="1:26" x14ac:dyDescent="0.2">
      <c r="A2697">
        <f t="shared" si="86"/>
        <v>6</v>
      </c>
      <c r="B2697">
        <f t="shared" si="87"/>
        <v>24</v>
      </c>
      <c r="C2697" s="27">
        <v>46180</v>
      </c>
      <c r="D2697" s="26" t="s">
        <v>26</v>
      </c>
      <c r="E2697" s="26" t="s">
        <v>49</v>
      </c>
      <c r="F2697" s="26" t="s">
        <v>50</v>
      </c>
      <c r="G2697" s="26" t="s">
        <v>29</v>
      </c>
      <c r="H2697" s="26" t="s">
        <v>30</v>
      </c>
      <c r="I2697" s="26" t="s">
        <v>47</v>
      </c>
      <c r="J2697" s="26" t="s">
        <v>42</v>
      </c>
      <c r="K2697" s="26" t="s">
        <v>156</v>
      </c>
      <c r="L2697" s="26">
        <v>3</v>
      </c>
      <c r="M2697" s="26">
        <v>1</v>
      </c>
      <c r="N2697" s="28">
        <v>0.33333299999999999</v>
      </c>
      <c r="O2697" s="26">
        <v>0.9</v>
      </c>
      <c r="P2697" s="26">
        <v>0.9</v>
      </c>
      <c r="Q2697" s="26">
        <v>0</v>
      </c>
      <c r="R2697" s="26"/>
      <c r="S2697" s="26">
        <v>0</v>
      </c>
      <c r="T2697" s="26">
        <v>0</v>
      </c>
      <c r="U2697" s="26">
        <v>0</v>
      </c>
      <c r="V2697" s="28">
        <v>0</v>
      </c>
      <c r="W2697" s="26">
        <v>0</v>
      </c>
      <c r="X2697" s="26">
        <v>0</v>
      </c>
      <c r="Y2697" s="26">
        <v>0</v>
      </c>
      <c r="Z2697" s="26">
        <v>0</v>
      </c>
    </row>
    <row r="2698" spans="1:26" x14ac:dyDescent="0.2">
      <c r="A2698">
        <f t="shared" si="86"/>
        <v>6</v>
      </c>
      <c r="B2698">
        <f t="shared" si="87"/>
        <v>25</v>
      </c>
      <c r="C2698" s="27">
        <v>46189</v>
      </c>
      <c r="D2698" s="26" t="s">
        <v>26</v>
      </c>
      <c r="E2698" s="26" t="s">
        <v>49</v>
      </c>
      <c r="F2698" s="26" t="s">
        <v>50</v>
      </c>
      <c r="G2698" s="26" t="s">
        <v>29</v>
      </c>
      <c r="H2698" s="26" t="s">
        <v>30</v>
      </c>
      <c r="I2698" s="26" t="s">
        <v>47</v>
      </c>
      <c r="J2698" s="26" t="s">
        <v>42</v>
      </c>
      <c r="K2698" s="26" t="s">
        <v>156</v>
      </c>
      <c r="L2698" s="26">
        <v>5</v>
      </c>
      <c r="M2698" s="26">
        <v>1</v>
      </c>
      <c r="N2698" s="28">
        <v>0.2</v>
      </c>
      <c r="O2698" s="26">
        <v>0.85</v>
      </c>
      <c r="P2698" s="26">
        <v>0.85</v>
      </c>
      <c r="Q2698" s="26">
        <v>0</v>
      </c>
      <c r="R2698" s="26"/>
      <c r="S2698" s="26">
        <v>0</v>
      </c>
      <c r="T2698" s="26">
        <v>0</v>
      </c>
      <c r="U2698" s="26">
        <v>0</v>
      </c>
      <c r="V2698" s="28">
        <v>0</v>
      </c>
      <c r="W2698" s="26">
        <v>0</v>
      </c>
      <c r="X2698" s="26">
        <v>0</v>
      </c>
      <c r="Y2698" s="26">
        <v>0</v>
      </c>
      <c r="Z2698" s="26">
        <v>0</v>
      </c>
    </row>
    <row r="2699" spans="1:26" x14ac:dyDescent="0.2">
      <c r="A2699">
        <f t="shared" si="86"/>
        <v>6</v>
      </c>
      <c r="B2699">
        <f t="shared" si="87"/>
        <v>25</v>
      </c>
      <c r="C2699" s="27">
        <v>46190</v>
      </c>
      <c r="D2699" s="26" t="s">
        <v>26</v>
      </c>
      <c r="E2699" s="26" t="s">
        <v>27</v>
      </c>
      <c r="F2699" s="26" t="s">
        <v>28</v>
      </c>
      <c r="G2699" s="26" t="s">
        <v>29</v>
      </c>
      <c r="H2699" s="26" t="s">
        <v>30</v>
      </c>
      <c r="I2699" s="26" t="s">
        <v>31</v>
      </c>
      <c r="J2699" s="26" t="s">
        <v>32</v>
      </c>
      <c r="K2699" s="26" t="s">
        <v>156</v>
      </c>
      <c r="L2699" s="26">
        <v>2</v>
      </c>
      <c r="M2699" s="26">
        <v>1</v>
      </c>
      <c r="N2699" s="28">
        <v>0.5</v>
      </c>
      <c r="O2699" s="26">
        <v>0.2</v>
      </c>
      <c r="P2699" s="26">
        <v>0.2</v>
      </c>
      <c r="Q2699" s="26">
        <v>37.979999999999997</v>
      </c>
      <c r="R2699" s="28">
        <v>5.2659999999999998E-3</v>
      </c>
      <c r="S2699" s="26">
        <v>189.9</v>
      </c>
      <c r="T2699" s="26">
        <v>1</v>
      </c>
      <c r="U2699" s="26">
        <v>2</v>
      </c>
      <c r="V2699" s="28">
        <v>1</v>
      </c>
      <c r="W2699" s="26">
        <v>2</v>
      </c>
      <c r="X2699" s="26">
        <v>0</v>
      </c>
      <c r="Y2699" s="26">
        <v>37.979999999999997</v>
      </c>
      <c r="Z2699" s="26">
        <v>0</v>
      </c>
    </row>
    <row r="2700" spans="1:26" x14ac:dyDescent="0.2">
      <c r="A2700">
        <f t="shared" si="86"/>
        <v>6</v>
      </c>
      <c r="B2700">
        <f t="shared" si="87"/>
        <v>25</v>
      </c>
      <c r="C2700" s="27">
        <v>46191</v>
      </c>
      <c r="D2700" s="26" t="s">
        <v>26</v>
      </c>
      <c r="E2700" s="26" t="s">
        <v>27</v>
      </c>
      <c r="F2700" s="26" t="s">
        <v>28</v>
      </c>
      <c r="G2700" s="26" t="s">
        <v>29</v>
      </c>
      <c r="H2700" s="26" t="s">
        <v>30</v>
      </c>
      <c r="I2700" s="26" t="s">
        <v>144</v>
      </c>
      <c r="J2700" s="26" t="s">
        <v>32</v>
      </c>
      <c r="K2700" s="26" t="s">
        <v>156</v>
      </c>
      <c r="L2700" s="26">
        <v>4</v>
      </c>
      <c r="M2700" s="26">
        <v>1</v>
      </c>
      <c r="N2700" s="28">
        <v>0.25</v>
      </c>
      <c r="O2700" s="26">
        <v>0.2</v>
      </c>
      <c r="P2700" s="26">
        <v>0.2</v>
      </c>
      <c r="Q2700" s="26">
        <v>0</v>
      </c>
      <c r="R2700" s="26"/>
      <c r="S2700" s="26">
        <v>0</v>
      </c>
      <c r="T2700" s="26">
        <v>0</v>
      </c>
      <c r="U2700" s="26">
        <v>0</v>
      </c>
      <c r="V2700" s="28">
        <v>0</v>
      </c>
      <c r="W2700" s="26">
        <v>0</v>
      </c>
      <c r="X2700" s="26">
        <v>0</v>
      </c>
      <c r="Y2700" s="26">
        <v>0</v>
      </c>
      <c r="Z2700" s="26">
        <v>0</v>
      </c>
    </row>
    <row r="2701" spans="1:26" x14ac:dyDescent="0.2">
      <c r="A2701">
        <f t="shared" si="86"/>
        <v>6</v>
      </c>
      <c r="B2701">
        <f t="shared" si="87"/>
        <v>25</v>
      </c>
      <c r="C2701" s="27">
        <v>46192</v>
      </c>
      <c r="D2701" s="26" t="s">
        <v>26</v>
      </c>
      <c r="E2701" s="26" t="s">
        <v>27</v>
      </c>
      <c r="F2701" s="26" t="s">
        <v>28</v>
      </c>
      <c r="G2701" s="26" t="s">
        <v>29</v>
      </c>
      <c r="H2701" s="26" t="s">
        <v>30</v>
      </c>
      <c r="I2701" s="26" t="s">
        <v>31</v>
      </c>
      <c r="J2701" s="26" t="s">
        <v>32</v>
      </c>
      <c r="K2701" s="26" t="s">
        <v>1696</v>
      </c>
      <c r="L2701" s="26">
        <v>4</v>
      </c>
      <c r="M2701" s="26">
        <v>2</v>
      </c>
      <c r="N2701" s="28">
        <v>0.5</v>
      </c>
      <c r="O2701" s="26">
        <v>0.21</v>
      </c>
      <c r="P2701" s="26">
        <v>0.42</v>
      </c>
      <c r="Q2701" s="26">
        <v>0</v>
      </c>
      <c r="R2701" s="26"/>
      <c r="S2701" s="26">
        <v>0</v>
      </c>
      <c r="T2701" s="26">
        <v>0</v>
      </c>
      <c r="U2701" s="26">
        <v>0</v>
      </c>
      <c r="V2701" s="28">
        <v>0</v>
      </c>
      <c r="W2701" s="26">
        <v>0</v>
      </c>
      <c r="X2701" s="26">
        <v>0</v>
      </c>
      <c r="Y2701" s="26">
        <v>0</v>
      </c>
      <c r="Z2701" s="26">
        <v>0</v>
      </c>
    </row>
    <row r="2702" spans="1:26" x14ac:dyDescent="0.2">
      <c r="A2702">
        <f t="shared" si="86"/>
        <v>6</v>
      </c>
      <c r="B2702">
        <f t="shared" si="87"/>
        <v>24</v>
      </c>
      <c r="C2702" s="27">
        <v>46186</v>
      </c>
      <c r="D2702" s="26" t="s">
        <v>26</v>
      </c>
      <c r="E2702" s="26" t="s">
        <v>49</v>
      </c>
      <c r="F2702" s="26" t="s">
        <v>50</v>
      </c>
      <c r="G2702" s="26" t="s">
        <v>29</v>
      </c>
      <c r="H2702" s="26" t="s">
        <v>30</v>
      </c>
      <c r="I2702" s="26" t="s">
        <v>47</v>
      </c>
      <c r="J2702" s="26" t="s">
        <v>42</v>
      </c>
      <c r="K2702" s="26" t="s">
        <v>1697</v>
      </c>
      <c r="L2702" s="26">
        <v>1</v>
      </c>
      <c r="M2702" s="26">
        <v>1</v>
      </c>
      <c r="N2702" s="28">
        <v>1</v>
      </c>
      <c r="O2702" s="26">
        <v>1.1000000000000001</v>
      </c>
      <c r="P2702" s="26">
        <v>1.1000000000000001</v>
      </c>
      <c r="Q2702" s="26">
        <v>0</v>
      </c>
      <c r="R2702" s="26"/>
      <c r="S2702" s="26">
        <v>0</v>
      </c>
      <c r="T2702" s="26">
        <v>0</v>
      </c>
      <c r="U2702" s="26">
        <v>0</v>
      </c>
      <c r="V2702" s="28">
        <v>0</v>
      </c>
      <c r="W2702" s="26">
        <v>0</v>
      </c>
      <c r="X2702" s="26">
        <v>0</v>
      </c>
      <c r="Y2702" s="26">
        <v>0</v>
      </c>
      <c r="Z2702" s="26">
        <v>0</v>
      </c>
    </row>
    <row r="2703" spans="1:26" x14ac:dyDescent="0.2">
      <c r="A2703">
        <f t="shared" si="86"/>
        <v>6</v>
      </c>
      <c r="B2703">
        <f t="shared" si="87"/>
        <v>24</v>
      </c>
      <c r="C2703" s="27">
        <v>46184</v>
      </c>
      <c r="D2703" s="26" t="s">
        <v>26</v>
      </c>
      <c r="E2703" s="26" t="s">
        <v>27</v>
      </c>
      <c r="F2703" s="26" t="s">
        <v>28</v>
      </c>
      <c r="G2703" s="26" t="s">
        <v>29</v>
      </c>
      <c r="H2703" s="26" t="s">
        <v>30</v>
      </c>
      <c r="I2703" s="26" t="s">
        <v>154</v>
      </c>
      <c r="J2703" s="26" t="s">
        <v>32</v>
      </c>
      <c r="K2703" s="26" t="s">
        <v>1698</v>
      </c>
      <c r="L2703" s="26">
        <v>4</v>
      </c>
      <c r="M2703" s="26">
        <v>1</v>
      </c>
      <c r="N2703" s="28">
        <v>0.25</v>
      </c>
      <c r="O2703" s="26">
        <v>0.21</v>
      </c>
      <c r="P2703" s="26">
        <v>0.21</v>
      </c>
      <c r="Q2703" s="26">
        <v>0</v>
      </c>
      <c r="R2703" s="26"/>
      <c r="S2703" s="26">
        <v>0</v>
      </c>
      <c r="T2703" s="26">
        <v>0</v>
      </c>
      <c r="U2703" s="26">
        <v>0</v>
      </c>
      <c r="V2703" s="28">
        <v>0</v>
      </c>
      <c r="W2703" s="26">
        <v>0</v>
      </c>
      <c r="X2703" s="26">
        <v>0</v>
      </c>
      <c r="Y2703" s="26">
        <v>0</v>
      </c>
      <c r="Z2703" s="26">
        <v>0</v>
      </c>
    </row>
    <row r="2704" spans="1:26" x14ac:dyDescent="0.2">
      <c r="A2704">
        <f t="shared" si="86"/>
        <v>6</v>
      </c>
      <c r="B2704">
        <f t="shared" si="87"/>
        <v>23</v>
      </c>
      <c r="C2704" s="27">
        <v>46174</v>
      </c>
      <c r="D2704" s="26" t="s">
        <v>26</v>
      </c>
      <c r="E2704" s="26" t="s">
        <v>27</v>
      </c>
      <c r="F2704" s="26" t="s">
        <v>28</v>
      </c>
      <c r="G2704" s="26" t="s">
        <v>29</v>
      </c>
      <c r="H2704" s="26" t="s">
        <v>30</v>
      </c>
      <c r="I2704" s="26" t="s">
        <v>845</v>
      </c>
      <c r="J2704" s="26" t="s">
        <v>32</v>
      </c>
      <c r="K2704" s="26" t="s">
        <v>1599</v>
      </c>
      <c r="L2704" s="26">
        <v>4</v>
      </c>
      <c r="M2704" s="26">
        <v>1</v>
      </c>
      <c r="N2704" s="28">
        <v>0.25</v>
      </c>
      <c r="O2704" s="26">
        <v>0.2</v>
      </c>
      <c r="P2704" s="26">
        <v>0.2</v>
      </c>
      <c r="Q2704" s="26">
        <v>0</v>
      </c>
      <c r="R2704" s="26"/>
      <c r="S2704" s="26">
        <v>0</v>
      </c>
      <c r="T2704" s="26">
        <v>0</v>
      </c>
      <c r="U2704" s="26">
        <v>0</v>
      </c>
      <c r="V2704" s="28">
        <v>0</v>
      </c>
      <c r="W2704" s="26">
        <v>0</v>
      </c>
      <c r="X2704" s="26">
        <v>0</v>
      </c>
      <c r="Y2704" s="26">
        <v>0</v>
      </c>
      <c r="Z2704" s="26">
        <v>0</v>
      </c>
    </row>
    <row r="2705" spans="1:26" x14ac:dyDescent="0.2">
      <c r="A2705">
        <f t="shared" si="86"/>
        <v>6</v>
      </c>
      <c r="B2705">
        <f t="shared" si="87"/>
        <v>24</v>
      </c>
      <c r="C2705" s="27">
        <v>46182</v>
      </c>
      <c r="D2705" s="26" t="s">
        <v>26</v>
      </c>
      <c r="E2705" s="26" t="s">
        <v>1414</v>
      </c>
      <c r="F2705" s="26" t="s">
        <v>113</v>
      </c>
      <c r="G2705" s="26" t="s">
        <v>29</v>
      </c>
      <c r="H2705" s="26" t="s">
        <v>30</v>
      </c>
      <c r="I2705" s="26" t="s">
        <v>47</v>
      </c>
      <c r="J2705" s="26" t="s">
        <v>42</v>
      </c>
      <c r="K2705" s="26" t="s">
        <v>1699</v>
      </c>
      <c r="L2705" s="26">
        <v>3</v>
      </c>
      <c r="M2705" s="26">
        <v>1</v>
      </c>
      <c r="N2705" s="28">
        <v>0.33333299999999999</v>
      </c>
      <c r="O2705" s="26">
        <v>0.12</v>
      </c>
      <c r="P2705" s="26">
        <v>0.12</v>
      </c>
      <c r="Q2705" s="26">
        <v>0</v>
      </c>
      <c r="R2705" s="26"/>
      <c r="S2705" s="26">
        <v>0</v>
      </c>
      <c r="T2705" s="26">
        <v>0</v>
      </c>
      <c r="U2705" s="26">
        <v>0</v>
      </c>
      <c r="V2705" s="28">
        <v>0</v>
      </c>
      <c r="W2705" s="26">
        <v>0</v>
      </c>
      <c r="X2705" s="26">
        <v>0</v>
      </c>
      <c r="Y2705" s="26">
        <v>0</v>
      </c>
      <c r="Z2705" s="26">
        <v>0</v>
      </c>
    </row>
    <row r="2706" spans="1:26" x14ac:dyDescent="0.2">
      <c r="A2706">
        <f t="shared" si="86"/>
        <v>6</v>
      </c>
      <c r="B2706">
        <f t="shared" si="87"/>
        <v>26</v>
      </c>
      <c r="C2706" s="27">
        <v>46194</v>
      </c>
      <c r="D2706" s="26" t="s">
        <v>26</v>
      </c>
      <c r="E2706" s="26" t="s">
        <v>27</v>
      </c>
      <c r="F2706" s="26" t="s">
        <v>28</v>
      </c>
      <c r="G2706" s="26" t="s">
        <v>29</v>
      </c>
      <c r="H2706" s="26" t="s">
        <v>30</v>
      </c>
      <c r="I2706" s="26" t="s">
        <v>50</v>
      </c>
      <c r="J2706" s="26" t="s">
        <v>32</v>
      </c>
      <c r="K2706" s="26" t="s">
        <v>1700</v>
      </c>
      <c r="L2706" s="26">
        <v>1</v>
      </c>
      <c r="M2706" s="26">
        <v>1</v>
      </c>
      <c r="N2706" s="28">
        <v>1</v>
      </c>
      <c r="O2706" s="26">
        <v>0.08</v>
      </c>
      <c r="P2706" s="26">
        <v>0.08</v>
      </c>
      <c r="Q2706" s="26">
        <v>0</v>
      </c>
      <c r="R2706" s="26"/>
      <c r="S2706" s="26">
        <v>0</v>
      </c>
      <c r="T2706" s="26">
        <v>0</v>
      </c>
      <c r="U2706" s="26">
        <v>0</v>
      </c>
      <c r="V2706" s="28">
        <v>0</v>
      </c>
      <c r="W2706" s="26">
        <v>0</v>
      </c>
      <c r="X2706" s="26">
        <v>0</v>
      </c>
      <c r="Y2706" s="26">
        <v>0</v>
      </c>
      <c r="Z2706" s="26">
        <v>0</v>
      </c>
    </row>
    <row r="2707" spans="1:26" x14ac:dyDescent="0.2">
      <c r="A2707">
        <f t="shared" si="86"/>
        <v>6</v>
      </c>
      <c r="B2707">
        <f t="shared" si="87"/>
        <v>23</v>
      </c>
      <c r="C2707" s="27">
        <v>46174</v>
      </c>
      <c r="D2707" s="26" t="s">
        <v>26</v>
      </c>
      <c r="E2707" s="26" t="s">
        <v>27</v>
      </c>
      <c r="F2707" s="26" t="s">
        <v>124</v>
      </c>
      <c r="G2707" s="26" t="s">
        <v>29</v>
      </c>
      <c r="H2707" s="26" t="s">
        <v>30</v>
      </c>
      <c r="I2707" s="26" t="s">
        <v>31</v>
      </c>
      <c r="J2707" s="26" t="s">
        <v>87</v>
      </c>
      <c r="K2707" s="26" t="s">
        <v>468</v>
      </c>
      <c r="L2707" s="26">
        <v>4</v>
      </c>
      <c r="M2707" s="26">
        <v>1</v>
      </c>
      <c r="N2707" s="28">
        <v>0.25</v>
      </c>
      <c r="O2707" s="26">
        <v>0.2</v>
      </c>
      <c r="P2707" s="26">
        <v>0.2</v>
      </c>
      <c r="Q2707" s="26">
        <v>0</v>
      </c>
      <c r="R2707" s="26"/>
      <c r="S2707" s="26">
        <v>0</v>
      </c>
      <c r="T2707" s="26">
        <v>0</v>
      </c>
      <c r="U2707" s="26">
        <v>0</v>
      </c>
      <c r="V2707" s="28">
        <v>0</v>
      </c>
      <c r="W2707" s="26">
        <v>0</v>
      </c>
      <c r="X2707" s="26">
        <v>0</v>
      </c>
      <c r="Y2707" s="26">
        <v>0</v>
      </c>
      <c r="Z2707" s="26">
        <v>0</v>
      </c>
    </row>
    <row r="2708" spans="1:26" x14ac:dyDescent="0.2">
      <c r="A2708">
        <f t="shared" si="86"/>
        <v>6</v>
      </c>
      <c r="B2708">
        <f t="shared" si="87"/>
        <v>25</v>
      </c>
      <c r="C2708" s="27">
        <v>46189</v>
      </c>
      <c r="D2708" s="26" t="s">
        <v>26</v>
      </c>
      <c r="E2708" s="26" t="s">
        <v>27</v>
      </c>
      <c r="F2708" s="26" t="s">
        <v>28</v>
      </c>
      <c r="G2708" s="26" t="s">
        <v>29</v>
      </c>
      <c r="H2708" s="26" t="s">
        <v>30</v>
      </c>
      <c r="I2708" s="26" t="s">
        <v>50</v>
      </c>
      <c r="J2708" s="26" t="s">
        <v>32</v>
      </c>
      <c r="K2708" s="26" t="s">
        <v>470</v>
      </c>
      <c r="L2708" s="26">
        <v>1</v>
      </c>
      <c r="M2708" s="26">
        <v>1</v>
      </c>
      <c r="N2708" s="28">
        <v>1</v>
      </c>
      <c r="O2708" s="26">
        <v>0.21</v>
      </c>
      <c r="P2708" s="26">
        <v>0.21</v>
      </c>
      <c r="Q2708" s="26">
        <v>0</v>
      </c>
      <c r="R2708" s="26"/>
      <c r="S2708" s="26">
        <v>0</v>
      </c>
      <c r="T2708" s="26">
        <v>0</v>
      </c>
      <c r="U2708" s="26">
        <v>0</v>
      </c>
      <c r="V2708" s="28">
        <v>0</v>
      </c>
      <c r="W2708" s="26">
        <v>0</v>
      </c>
      <c r="X2708" s="26">
        <v>0</v>
      </c>
      <c r="Y2708" s="26">
        <v>0</v>
      </c>
      <c r="Z2708" s="26">
        <v>0</v>
      </c>
    </row>
    <row r="2709" spans="1:26" x14ac:dyDescent="0.2">
      <c r="A2709">
        <f t="shared" si="86"/>
        <v>6</v>
      </c>
      <c r="B2709">
        <f t="shared" si="87"/>
        <v>26</v>
      </c>
      <c r="C2709" s="27">
        <v>46194</v>
      </c>
      <c r="D2709" s="26" t="s">
        <v>26</v>
      </c>
      <c r="E2709" s="26" t="s">
        <v>27</v>
      </c>
      <c r="F2709" s="26" t="s">
        <v>28</v>
      </c>
      <c r="G2709" s="26" t="s">
        <v>29</v>
      </c>
      <c r="H2709" s="26" t="s">
        <v>30</v>
      </c>
      <c r="I2709" s="26" t="s">
        <v>50</v>
      </c>
      <c r="J2709" s="26" t="s">
        <v>32</v>
      </c>
      <c r="K2709" s="26" t="s">
        <v>470</v>
      </c>
      <c r="L2709" s="26">
        <v>6</v>
      </c>
      <c r="M2709" s="26">
        <v>1</v>
      </c>
      <c r="N2709" s="28">
        <v>0.16666700000000001</v>
      </c>
      <c r="O2709" s="26">
        <v>0.21</v>
      </c>
      <c r="P2709" s="26">
        <v>0.21</v>
      </c>
      <c r="Q2709" s="26">
        <v>0</v>
      </c>
      <c r="R2709" s="26"/>
      <c r="S2709" s="26">
        <v>0</v>
      </c>
      <c r="T2709" s="26">
        <v>0</v>
      </c>
      <c r="U2709" s="26">
        <v>0</v>
      </c>
      <c r="V2709" s="28">
        <v>0</v>
      </c>
      <c r="W2709" s="26">
        <v>0</v>
      </c>
      <c r="X2709" s="26">
        <v>0</v>
      </c>
      <c r="Y2709" s="26">
        <v>0</v>
      </c>
      <c r="Z2709" s="26">
        <v>0</v>
      </c>
    </row>
    <row r="2710" spans="1:26" x14ac:dyDescent="0.2">
      <c r="A2710">
        <f t="shared" si="86"/>
        <v>6</v>
      </c>
      <c r="B2710">
        <f t="shared" si="87"/>
        <v>26</v>
      </c>
      <c r="C2710" s="27">
        <v>46194</v>
      </c>
      <c r="D2710" s="26" t="s">
        <v>26</v>
      </c>
      <c r="E2710" s="26" t="s">
        <v>27</v>
      </c>
      <c r="F2710" s="26" t="s">
        <v>28</v>
      </c>
      <c r="G2710" s="26" t="s">
        <v>29</v>
      </c>
      <c r="H2710" s="26" t="s">
        <v>30</v>
      </c>
      <c r="I2710" s="26" t="s">
        <v>50</v>
      </c>
      <c r="J2710" s="26" t="s">
        <v>32</v>
      </c>
      <c r="K2710" s="26" t="s">
        <v>167</v>
      </c>
      <c r="L2710" s="26">
        <v>2</v>
      </c>
      <c r="M2710" s="26">
        <v>1</v>
      </c>
      <c r="N2710" s="28">
        <v>0.5</v>
      </c>
      <c r="O2710" s="26">
        <v>0.21</v>
      </c>
      <c r="P2710" s="26">
        <v>0.21</v>
      </c>
      <c r="Q2710" s="26">
        <v>0</v>
      </c>
      <c r="R2710" s="26"/>
      <c r="S2710" s="26">
        <v>0</v>
      </c>
      <c r="T2710" s="26">
        <v>0</v>
      </c>
      <c r="U2710" s="26">
        <v>0</v>
      </c>
      <c r="V2710" s="28">
        <v>0</v>
      </c>
      <c r="W2710" s="26">
        <v>0</v>
      </c>
      <c r="X2710" s="26">
        <v>0</v>
      </c>
      <c r="Y2710" s="26">
        <v>0</v>
      </c>
      <c r="Z2710" s="26">
        <v>0</v>
      </c>
    </row>
    <row r="2711" spans="1:26" x14ac:dyDescent="0.2">
      <c r="A2711">
        <f t="shared" si="86"/>
        <v>6</v>
      </c>
      <c r="B2711">
        <f t="shared" si="87"/>
        <v>23</v>
      </c>
      <c r="C2711" s="27">
        <v>46174</v>
      </c>
      <c r="D2711" s="26" t="s">
        <v>26</v>
      </c>
      <c r="E2711" s="26" t="s">
        <v>27</v>
      </c>
      <c r="F2711" s="26" t="s">
        <v>28</v>
      </c>
      <c r="G2711" s="26" t="s">
        <v>29</v>
      </c>
      <c r="H2711" s="26" t="s">
        <v>30</v>
      </c>
      <c r="I2711" s="26" t="s">
        <v>133</v>
      </c>
      <c r="J2711" s="26" t="s">
        <v>32</v>
      </c>
      <c r="K2711" s="26" t="s">
        <v>1701</v>
      </c>
      <c r="L2711" s="26">
        <v>2</v>
      </c>
      <c r="M2711" s="26">
        <v>1</v>
      </c>
      <c r="N2711" s="28">
        <v>0.5</v>
      </c>
      <c r="O2711" s="26">
        <v>0.4</v>
      </c>
      <c r="P2711" s="26">
        <v>0.4</v>
      </c>
      <c r="Q2711" s="26">
        <v>0</v>
      </c>
      <c r="R2711" s="26"/>
      <c r="S2711" s="26">
        <v>0</v>
      </c>
      <c r="T2711" s="26">
        <v>0</v>
      </c>
      <c r="U2711" s="26">
        <v>0</v>
      </c>
      <c r="V2711" s="28">
        <v>0</v>
      </c>
      <c r="W2711" s="26">
        <v>0</v>
      </c>
      <c r="X2711" s="26">
        <v>0</v>
      </c>
      <c r="Y2711" s="26">
        <v>0</v>
      </c>
      <c r="Z2711" s="26">
        <v>0</v>
      </c>
    </row>
    <row r="2712" spans="1:26" x14ac:dyDescent="0.2">
      <c r="A2712">
        <f t="shared" si="86"/>
        <v>6</v>
      </c>
      <c r="B2712">
        <f t="shared" si="87"/>
        <v>23</v>
      </c>
      <c r="C2712" s="27">
        <v>46178</v>
      </c>
      <c r="D2712" s="26" t="s">
        <v>26</v>
      </c>
      <c r="E2712" s="26" t="s">
        <v>1414</v>
      </c>
      <c r="F2712" s="26" t="s">
        <v>113</v>
      </c>
      <c r="G2712" s="26" t="s">
        <v>29</v>
      </c>
      <c r="H2712" s="26" t="s">
        <v>30</v>
      </c>
      <c r="I2712" s="26" t="s">
        <v>47</v>
      </c>
      <c r="J2712" s="26" t="s">
        <v>42</v>
      </c>
      <c r="K2712" s="26" t="s">
        <v>188</v>
      </c>
      <c r="L2712" s="26">
        <v>6</v>
      </c>
      <c r="M2712" s="26">
        <v>1</v>
      </c>
      <c r="N2712" s="28">
        <v>0.16666700000000001</v>
      </c>
      <c r="O2712" s="26">
        <v>1.05</v>
      </c>
      <c r="P2712" s="26">
        <v>1.05</v>
      </c>
      <c r="Q2712" s="26">
        <v>0</v>
      </c>
      <c r="R2712" s="26"/>
      <c r="S2712" s="26">
        <v>0</v>
      </c>
      <c r="T2712" s="26">
        <v>0</v>
      </c>
      <c r="U2712" s="26">
        <v>0</v>
      </c>
      <c r="V2712" s="28">
        <v>0</v>
      </c>
      <c r="W2712" s="26">
        <v>0</v>
      </c>
      <c r="X2712" s="26">
        <v>0</v>
      </c>
      <c r="Y2712" s="26">
        <v>0</v>
      </c>
      <c r="Z2712" s="26">
        <v>0</v>
      </c>
    </row>
    <row r="2713" spans="1:26" x14ac:dyDescent="0.2">
      <c r="A2713">
        <f t="shared" si="86"/>
        <v>6</v>
      </c>
      <c r="B2713">
        <f t="shared" si="87"/>
        <v>25</v>
      </c>
      <c r="C2713" s="27">
        <v>46188</v>
      </c>
      <c r="D2713" s="26" t="s">
        <v>26</v>
      </c>
      <c r="E2713" s="26" t="s">
        <v>49</v>
      </c>
      <c r="F2713" s="26" t="s">
        <v>50</v>
      </c>
      <c r="G2713" s="26" t="s">
        <v>29</v>
      </c>
      <c r="H2713" s="26" t="s">
        <v>30</v>
      </c>
      <c r="I2713" s="26" t="s">
        <v>95</v>
      </c>
      <c r="J2713" s="26" t="s">
        <v>42</v>
      </c>
      <c r="K2713" s="26" t="s">
        <v>1702</v>
      </c>
      <c r="L2713" s="26">
        <v>1</v>
      </c>
      <c r="M2713" s="26">
        <v>1</v>
      </c>
      <c r="N2713" s="28">
        <v>1</v>
      </c>
      <c r="O2713" s="26">
        <v>0.5</v>
      </c>
      <c r="P2713" s="26">
        <v>0.5</v>
      </c>
      <c r="Q2713" s="26">
        <v>0</v>
      </c>
      <c r="R2713" s="26"/>
      <c r="S2713" s="26">
        <v>0</v>
      </c>
      <c r="T2713" s="26">
        <v>0</v>
      </c>
      <c r="U2713" s="26">
        <v>0</v>
      </c>
      <c r="V2713" s="28">
        <v>0</v>
      </c>
      <c r="W2713" s="26">
        <v>0</v>
      </c>
      <c r="X2713" s="26">
        <v>0</v>
      </c>
      <c r="Y2713" s="26">
        <v>0</v>
      </c>
      <c r="Z2713" s="26">
        <v>0</v>
      </c>
    </row>
    <row r="2714" spans="1:26" x14ac:dyDescent="0.2">
      <c r="A2714">
        <f t="shared" si="86"/>
        <v>6</v>
      </c>
      <c r="B2714">
        <f t="shared" si="87"/>
        <v>24</v>
      </c>
      <c r="C2714" s="27">
        <v>46184</v>
      </c>
      <c r="D2714" s="26" t="s">
        <v>26</v>
      </c>
      <c r="E2714" s="26" t="s">
        <v>1578</v>
      </c>
      <c r="F2714" s="26" t="s">
        <v>62</v>
      </c>
      <c r="G2714" s="26" t="s">
        <v>29</v>
      </c>
      <c r="H2714" s="26" t="s">
        <v>30</v>
      </c>
      <c r="I2714" s="26" t="s">
        <v>47</v>
      </c>
      <c r="J2714" s="26" t="s">
        <v>42</v>
      </c>
      <c r="K2714" s="26" t="s">
        <v>1703</v>
      </c>
      <c r="L2714" s="26">
        <v>13</v>
      </c>
      <c r="M2714" s="26">
        <v>1</v>
      </c>
      <c r="N2714" s="28">
        <v>7.6923000000000005E-2</v>
      </c>
      <c r="O2714" s="26">
        <v>1.3</v>
      </c>
      <c r="P2714" s="26">
        <v>1.3</v>
      </c>
      <c r="Q2714" s="26">
        <v>0</v>
      </c>
      <c r="R2714" s="26"/>
      <c r="S2714" s="26">
        <v>0</v>
      </c>
      <c r="T2714" s="26">
        <v>0</v>
      </c>
      <c r="U2714" s="26">
        <v>0</v>
      </c>
      <c r="V2714" s="28">
        <v>0</v>
      </c>
      <c r="W2714" s="26">
        <v>0</v>
      </c>
      <c r="X2714" s="26">
        <v>0</v>
      </c>
      <c r="Y2714" s="26">
        <v>0</v>
      </c>
      <c r="Z2714" s="26">
        <v>0</v>
      </c>
    </row>
    <row r="2715" spans="1:26" x14ac:dyDescent="0.2">
      <c r="A2715">
        <f t="shared" si="86"/>
        <v>6</v>
      </c>
      <c r="B2715">
        <f t="shared" si="87"/>
        <v>24</v>
      </c>
      <c r="C2715" s="27">
        <v>46186</v>
      </c>
      <c r="D2715" s="26" t="s">
        <v>26</v>
      </c>
      <c r="E2715" s="26" t="s">
        <v>1578</v>
      </c>
      <c r="F2715" s="26" t="s">
        <v>62</v>
      </c>
      <c r="G2715" s="26" t="s">
        <v>29</v>
      </c>
      <c r="H2715" s="26" t="s">
        <v>30</v>
      </c>
      <c r="I2715" s="26" t="s">
        <v>47</v>
      </c>
      <c r="J2715" s="26" t="s">
        <v>42</v>
      </c>
      <c r="K2715" s="26" t="s">
        <v>1703</v>
      </c>
      <c r="L2715" s="26">
        <v>41</v>
      </c>
      <c r="M2715" s="26">
        <v>1</v>
      </c>
      <c r="N2715" s="28">
        <v>2.4389999999999998E-2</v>
      </c>
      <c r="O2715" s="26">
        <v>1.3</v>
      </c>
      <c r="P2715" s="26">
        <v>1.3</v>
      </c>
      <c r="Q2715" s="26">
        <v>0</v>
      </c>
      <c r="R2715" s="26"/>
      <c r="S2715" s="26">
        <v>0</v>
      </c>
      <c r="T2715" s="26">
        <v>0</v>
      </c>
      <c r="U2715" s="26">
        <v>0</v>
      </c>
      <c r="V2715" s="28">
        <v>0</v>
      </c>
      <c r="W2715" s="26">
        <v>0</v>
      </c>
      <c r="X2715" s="26">
        <v>0</v>
      </c>
      <c r="Y2715" s="26">
        <v>0</v>
      </c>
      <c r="Z2715" s="26">
        <v>0</v>
      </c>
    </row>
    <row r="2716" spans="1:26" x14ac:dyDescent="0.2">
      <c r="A2716">
        <f t="shared" si="86"/>
        <v>6</v>
      </c>
      <c r="B2716">
        <f t="shared" si="87"/>
        <v>23</v>
      </c>
      <c r="C2716" s="27">
        <v>46174</v>
      </c>
      <c r="D2716" s="26" t="s">
        <v>26</v>
      </c>
      <c r="E2716" s="26" t="s">
        <v>27</v>
      </c>
      <c r="F2716" s="26" t="s">
        <v>28</v>
      </c>
      <c r="G2716" s="26" t="s">
        <v>29</v>
      </c>
      <c r="H2716" s="26" t="s">
        <v>30</v>
      </c>
      <c r="I2716" s="26" t="s">
        <v>50</v>
      </c>
      <c r="J2716" s="26" t="s">
        <v>32</v>
      </c>
      <c r="K2716" s="26" t="s">
        <v>1704</v>
      </c>
      <c r="L2716" s="26">
        <v>3</v>
      </c>
      <c r="M2716" s="26">
        <v>1</v>
      </c>
      <c r="N2716" s="28">
        <v>0.33333299999999999</v>
      </c>
      <c r="O2716" s="26">
        <v>0.21</v>
      </c>
      <c r="P2716" s="26">
        <v>0.21</v>
      </c>
      <c r="Q2716" s="26">
        <v>0</v>
      </c>
      <c r="R2716" s="26"/>
      <c r="S2716" s="26">
        <v>0</v>
      </c>
      <c r="T2716" s="26">
        <v>0</v>
      </c>
      <c r="U2716" s="26">
        <v>0</v>
      </c>
      <c r="V2716" s="28">
        <v>0</v>
      </c>
      <c r="W2716" s="26">
        <v>0</v>
      </c>
      <c r="X2716" s="26">
        <v>0</v>
      </c>
      <c r="Y2716" s="26">
        <v>0</v>
      </c>
      <c r="Z2716" s="26">
        <v>0</v>
      </c>
    </row>
    <row r="2717" spans="1:26" x14ac:dyDescent="0.2">
      <c r="A2717">
        <f t="shared" si="86"/>
        <v>6</v>
      </c>
      <c r="B2717">
        <f t="shared" si="87"/>
        <v>24</v>
      </c>
      <c r="C2717" s="27">
        <v>46180</v>
      </c>
      <c r="D2717" s="26" t="s">
        <v>26</v>
      </c>
      <c r="E2717" s="26" t="s">
        <v>27</v>
      </c>
      <c r="F2717" s="26" t="s">
        <v>28</v>
      </c>
      <c r="G2717" s="26" t="s">
        <v>29</v>
      </c>
      <c r="H2717" s="26" t="s">
        <v>30</v>
      </c>
      <c r="I2717" s="26" t="s">
        <v>101</v>
      </c>
      <c r="J2717" s="26" t="s">
        <v>32</v>
      </c>
      <c r="K2717" s="26" t="s">
        <v>1705</v>
      </c>
      <c r="L2717" s="26">
        <v>1</v>
      </c>
      <c r="M2717" s="26">
        <v>1</v>
      </c>
      <c r="N2717" s="28">
        <v>1</v>
      </c>
      <c r="O2717" s="26">
        <v>0.21</v>
      </c>
      <c r="P2717" s="26">
        <v>0.21</v>
      </c>
      <c r="Q2717" s="26">
        <v>0</v>
      </c>
      <c r="R2717" s="26"/>
      <c r="S2717" s="26">
        <v>0</v>
      </c>
      <c r="T2717" s="26">
        <v>0</v>
      </c>
      <c r="U2717" s="26">
        <v>0</v>
      </c>
      <c r="V2717" s="28">
        <v>0</v>
      </c>
      <c r="W2717" s="26">
        <v>0</v>
      </c>
      <c r="X2717" s="26">
        <v>0</v>
      </c>
      <c r="Y2717" s="26">
        <v>0</v>
      </c>
      <c r="Z2717" s="26">
        <v>0</v>
      </c>
    </row>
    <row r="2718" spans="1:26" x14ac:dyDescent="0.2">
      <c r="A2718">
        <f t="shared" si="86"/>
        <v>6</v>
      </c>
      <c r="B2718">
        <f t="shared" si="87"/>
        <v>26</v>
      </c>
      <c r="C2718" s="27">
        <v>46194</v>
      </c>
      <c r="D2718" s="26" t="s">
        <v>26</v>
      </c>
      <c r="E2718" s="26" t="s">
        <v>27</v>
      </c>
      <c r="F2718" s="26" t="s">
        <v>28</v>
      </c>
      <c r="G2718" s="26" t="s">
        <v>29</v>
      </c>
      <c r="H2718" s="26" t="s">
        <v>30</v>
      </c>
      <c r="I2718" s="26" t="s">
        <v>154</v>
      </c>
      <c r="J2718" s="26" t="s">
        <v>32</v>
      </c>
      <c r="K2718" s="26" t="s">
        <v>1706</v>
      </c>
      <c r="L2718" s="26">
        <v>2</v>
      </c>
      <c r="M2718" s="26">
        <v>1</v>
      </c>
      <c r="N2718" s="28">
        <v>0.5</v>
      </c>
      <c r="O2718" s="26">
        <v>0.2</v>
      </c>
      <c r="P2718" s="26">
        <v>0.2</v>
      </c>
      <c r="Q2718" s="26">
        <v>0</v>
      </c>
      <c r="R2718" s="26"/>
      <c r="S2718" s="26">
        <v>0</v>
      </c>
      <c r="T2718" s="26">
        <v>0</v>
      </c>
      <c r="U2718" s="26">
        <v>0</v>
      </c>
      <c r="V2718" s="28">
        <v>0</v>
      </c>
      <c r="W2718" s="26">
        <v>0</v>
      </c>
      <c r="X2718" s="26">
        <v>0</v>
      </c>
      <c r="Y2718" s="26">
        <v>0</v>
      </c>
      <c r="Z2718" s="26">
        <v>0</v>
      </c>
    </row>
    <row r="2719" spans="1:26" x14ac:dyDescent="0.2">
      <c r="A2719">
        <f t="shared" si="86"/>
        <v>6</v>
      </c>
      <c r="B2719">
        <f t="shared" si="87"/>
        <v>24</v>
      </c>
      <c r="C2719" s="27">
        <v>46182</v>
      </c>
      <c r="D2719" s="26" t="s">
        <v>26</v>
      </c>
      <c r="E2719" s="26" t="s">
        <v>27</v>
      </c>
      <c r="F2719" s="26" t="s">
        <v>28</v>
      </c>
      <c r="G2719" s="26" t="s">
        <v>29</v>
      </c>
      <c r="H2719" s="26" t="s">
        <v>30</v>
      </c>
      <c r="I2719" s="26" t="s">
        <v>50</v>
      </c>
      <c r="J2719" s="26" t="s">
        <v>32</v>
      </c>
      <c r="K2719" s="26" t="s">
        <v>205</v>
      </c>
      <c r="L2719" s="26">
        <v>6</v>
      </c>
      <c r="M2719" s="26">
        <v>1</v>
      </c>
      <c r="N2719" s="28">
        <v>0.16666700000000001</v>
      </c>
      <c r="O2719" s="26">
        <v>0.21</v>
      </c>
      <c r="P2719" s="26">
        <v>0.21</v>
      </c>
      <c r="Q2719" s="26">
        <v>0</v>
      </c>
      <c r="R2719" s="26"/>
      <c r="S2719" s="26">
        <v>0</v>
      </c>
      <c r="T2719" s="26">
        <v>0</v>
      </c>
      <c r="U2719" s="26">
        <v>0</v>
      </c>
      <c r="V2719" s="28">
        <v>0</v>
      </c>
      <c r="W2719" s="26">
        <v>0</v>
      </c>
      <c r="X2719" s="26">
        <v>0</v>
      </c>
      <c r="Y2719" s="26">
        <v>0</v>
      </c>
      <c r="Z2719" s="26">
        <v>0</v>
      </c>
    </row>
    <row r="2720" spans="1:26" x14ac:dyDescent="0.2">
      <c r="A2720">
        <f t="shared" si="86"/>
        <v>6</v>
      </c>
      <c r="B2720">
        <f t="shared" si="87"/>
        <v>24</v>
      </c>
      <c r="C2720" s="27">
        <v>46182</v>
      </c>
      <c r="D2720" s="26" t="s">
        <v>26</v>
      </c>
      <c r="E2720" s="26" t="s">
        <v>1578</v>
      </c>
      <c r="F2720" s="26" t="s">
        <v>62</v>
      </c>
      <c r="G2720" s="26" t="s">
        <v>29</v>
      </c>
      <c r="H2720" s="26" t="s">
        <v>30</v>
      </c>
      <c r="I2720" s="26" t="s">
        <v>95</v>
      </c>
      <c r="J2720" s="26" t="s">
        <v>42</v>
      </c>
      <c r="K2720" s="26" t="s">
        <v>1707</v>
      </c>
      <c r="L2720" s="26">
        <v>1</v>
      </c>
      <c r="M2720" s="26">
        <v>1</v>
      </c>
      <c r="N2720" s="28">
        <v>1</v>
      </c>
      <c r="O2720" s="26">
        <v>1.36</v>
      </c>
      <c r="P2720" s="26">
        <v>1.36</v>
      </c>
      <c r="Q2720" s="26">
        <v>0</v>
      </c>
      <c r="R2720" s="26"/>
      <c r="S2720" s="26">
        <v>0</v>
      </c>
      <c r="T2720" s="26">
        <v>0</v>
      </c>
      <c r="U2720" s="26">
        <v>0</v>
      </c>
      <c r="V2720" s="28">
        <v>0</v>
      </c>
      <c r="W2720" s="26">
        <v>0</v>
      </c>
      <c r="X2720" s="26">
        <v>0</v>
      </c>
      <c r="Y2720" s="26">
        <v>0</v>
      </c>
      <c r="Z2720" s="26">
        <v>0</v>
      </c>
    </row>
    <row r="2721" spans="1:26" x14ac:dyDescent="0.2">
      <c r="A2721">
        <f t="shared" si="86"/>
        <v>6</v>
      </c>
      <c r="B2721">
        <f t="shared" si="87"/>
        <v>25</v>
      </c>
      <c r="C2721" s="27">
        <v>46191</v>
      </c>
      <c r="D2721" s="26" t="s">
        <v>26</v>
      </c>
      <c r="E2721" s="26" t="s">
        <v>27</v>
      </c>
      <c r="F2721" s="26" t="s">
        <v>28</v>
      </c>
      <c r="G2721" s="26" t="s">
        <v>29</v>
      </c>
      <c r="H2721" s="26" t="s">
        <v>30</v>
      </c>
      <c r="I2721" s="26" t="s">
        <v>243</v>
      </c>
      <c r="J2721" s="26" t="s">
        <v>32</v>
      </c>
      <c r="K2721" s="26" t="s">
        <v>1708</v>
      </c>
      <c r="L2721" s="26">
        <v>2</v>
      </c>
      <c r="M2721" s="26">
        <v>1</v>
      </c>
      <c r="N2721" s="28">
        <v>0.5</v>
      </c>
      <c r="O2721" s="26">
        <v>0.08</v>
      </c>
      <c r="P2721" s="26">
        <v>0.08</v>
      </c>
      <c r="Q2721" s="26">
        <v>0</v>
      </c>
      <c r="R2721" s="26"/>
      <c r="S2721" s="26">
        <v>0</v>
      </c>
      <c r="T2721" s="26">
        <v>0</v>
      </c>
      <c r="U2721" s="26">
        <v>0</v>
      </c>
      <c r="V2721" s="28">
        <v>0</v>
      </c>
      <c r="W2721" s="26">
        <v>0</v>
      </c>
      <c r="X2721" s="26">
        <v>0</v>
      </c>
      <c r="Y2721" s="26">
        <v>0</v>
      </c>
      <c r="Z2721" s="26">
        <v>0</v>
      </c>
    </row>
    <row r="2722" spans="1:26" x14ac:dyDescent="0.2">
      <c r="A2722">
        <f t="shared" si="86"/>
        <v>6</v>
      </c>
      <c r="B2722">
        <f t="shared" si="87"/>
        <v>24</v>
      </c>
      <c r="C2722" s="27">
        <v>46183</v>
      </c>
      <c r="D2722" s="26" t="s">
        <v>26</v>
      </c>
      <c r="E2722" s="26" t="s">
        <v>49</v>
      </c>
      <c r="F2722" s="26" t="s">
        <v>50</v>
      </c>
      <c r="G2722" s="26" t="s">
        <v>29</v>
      </c>
      <c r="H2722" s="26" t="s">
        <v>30</v>
      </c>
      <c r="I2722" s="26" t="s">
        <v>95</v>
      </c>
      <c r="J2722" s="26" t="s">
        <v>42</v>
      </c>
      <c r="K2722" s="26" t="s">
        <v>1709</v>
      </c>
      <c r="L2722" s="26">
        <v>2</v>
      </c>
      <c r="M2722" s="26">
        <v>1</v>
      </c>
      <c r="N2722" s="28">
        <v>0.5</v>
      </c>
      <c r="O2722" s="26">
        <v>0.77</v>
      </c>
      <c r="P2722" s="26">
        <v>0.77</v>
      </c>
      <c r="Q2722" s="26">
        <v>0</v>
      </c>
      <c r="R2722" s="26"/>
      <c r="S2722" s="26">
        <v>0</v>
      </c>
      <c r="T2722" s="26">
        <v>0</v>
      </c>
      <c r="U2722" s="26">
        <v>0</v>
      </c>
      <c r="V2722" s="28">
        <v>0</v>
      </c>
      <c r="W2722" s="26">
        <v>0</v>
      </c>
      <c r="X2722" s="26">
        <v>0</v>
      </c>
      <c r="Y2722" s="26">
        <v>0</v>
      </c>
      <c r="Z2722" s="26">
        <v>0</v>
      </c>
    </row>
    <row r="2723" spans="1:26" x14ac:dyDescent="0.2">
      <c r="A2723">
        <f t="shared" si="86"/>
        <v>6</v>
      </c>
      <c r="B2723">
        <f t="shared" si="87"/>
        <v>24</v>
      </c>
      <c r="C2723" s="27">
        <v>46184</v>
      </c>
      <c r="D2723" s="26" t="s">
        <v>26</v>
      </c>
      <c r="E2723" s="26" t="s">
        <v>27</v>
      </c>
      <c r="F2723" s="26" t="s">
        <v>28</v>
      </c>
      <c r="G2723" s="26" t="s">
        <v>29</v>
      </c>
      <c r="H2723" s="26" t="s">
        <v>30</v>
      </c>
      <c r="I2723" s="26" t="s">
        <v>50</v>
      </c>
      <c r="J2723" s="26" t="s">
        <v>32</v>
      </c>
      <c r="K2723" s="26" t="s">
        <v>1710</v>
      </c>
      <c r="L2723" s="26">
        <v>1</v>
      </c>
      <c r="M2723" s="26">
        <v>1</v>
      </c>
      <c r="N2723" s="28">
        <v>1</v>
      </c>
      <c r="O2723" s="26">
        <v>0.21</v>
      </c>
      <c r="P2723" s="26">
        <v>0.21</v>
      </c>
      <c r="Q2723" s="26">
        <v>0</v>
      </c>
      <c r="R2723" s="26"/>
      <c r="S2723" s="26">
        <v>0</v>
      </c>
      <c r="T2723" s="26">
        <v>0</v>
      </c>
      <c r="U2723" s="26">
        <v>0</v>
      </c>
      <c r="V2723" s="28">
        <v>0</v>
      </c>
      <c r="W2723" s="26">
        <v>0</v>
      </c>
      <c r="X2723" s="26">
        <v>0</v>
      </c>
      <c r="Y2723" s="26">
        <v>0</v>
      </c>
      <c r="Z2723" s="26">
        <v>0</v>
      </c>
    </row>
    <row r="2724" spans="1:26" x14ac:dyDescent="0.2">
      <c r="A2724">
        <f t="shared" si="86"/>
        <v>6</v>
      </c>
      <c r="B2724">
        <f t="shared" si="87"/>
        <v>25</v>
      </c>
      <c r="C2724" s="27">
        <v>46193</v>
      </c>
      <c r="D2724" s="26" t="s">
        <v>26</v>
      </c>
      <c r="E2724" s="26" t="s">
        <v>27</v>
      </c>
      <c r="F2724" s="26" t="s">
        <v>28</v>
      </c>
      <c r="G2724" s="26" t="s">
        <v>29</v>
      </c>
      <c r="H2724" s="26" t="s">
        <v>30</v>
      </c>
      <c r="I2724" s="26" t="s">
        <v>50</v>
      </c>
      <c r="J2724" s="26" t="s">
        <v>32</v>
      </c>
      <c r="K2724" s="26" t="s">
        <v>1711</v>
      </c>
      <c r="L2724" s="26">
        <v>8</v>
      </c>
      <c r="M2724" s="26">
        <v>1</v>
      </c>
      <c r="N2724" s="28">
        <v>0.125</v>
      </c>
      <c r="O2724" s="26">
        <v>0.21</v>
      </c>
      <c r="P2724" s="26">
        <v>0.21</v>
      </c>
      <c r="Q2724" s="26">
        <v>0</v>
      </c>
      <c r="R2724" s="26"/>
      <c r="S2724" s="26">
        <v>0</v>
      </c>
      <c r="T2724" s="26">
        <v>0</v>
      </c>
      <c r="U2724" s="26">
        <v>0</v>
      </c>
      <c r="V2724" s="28">
        <v>0</v>
      </c>
      <c r="W2724" s="26">
        <v>0</v>
      </c>
      <c r="X2724" s="26">
        <v>0</v>
      </c>
      <c r="Y2724" s="26">
        <v>0</v>
      </c>
      <c r="Z2724" s="26">
        <v>0</v>
      </c>
    </row>
    <row r="2725" spans="1:26" x14ac:dyDescent="0.2">
      <c r="A2725">
        <f t="shared" si="86"/>
        <v>6</v>
      </c>
      <c r="B2725">
        <f t="shared" si="87"/>
        <v>23</v>
      </c>
      <c r="C2725" s="27">
        <v>46174</v>
      </c>
      <c r="D2725" s="26" t="s">
        <v>26</v>
      </c>
      <c r="E2725" s="26" t="s">
        <v>27</v>
      </c>
      <c r="F2725" s="26" t="s">
        <v>28</v>
      </c>
      <c r="G2725" s="26" t="s">
        <v>29</v>
      </c>
      <c r="H2725" s="26" t="s">
        <v>30</v>
      </c>
      <c r="I2725" s="26" t="s">
        <v>50</v>
      </c>
      <c r="J2725" s="26" t="s">
        <v>32</v>
      </c>
      <c r="K2725" s="26" t="s">
        <v>765</v>
      </c>
      <c r="L2725" s="26">
        <v>1</v>
      </c>
      <c r="M2725" s="26">
        <v>1</v>
      </c>
      <c r="N2725" s="28">
        <v>1</v>
      </c>
      <c r="O2725" s="26">
        <v>0.08</v>
      </c>
      <c r="P2725" s="26">
        <v>0.08</v>
      </c>
      <c r="Q2725" s="26">
        <v>0</v>
      </c>
      <c r="R2725" s="26"/>
      <c r="S2725" s="26">
        <v>0</v>
      </c>
      <c r="T2725" s="26">
        <v>0</v>
      </c>
      <c r="U2725" s="26">
        <v>0</v>
      </c>
      <c r="V2725" s="28">
        <v>0</v>
      </c>
      <c r="W2725" s="26">
        <v>0</v>
      </c>
      <c r="X2725" s="26">
        <v>0</v>
      </c>
      <c r="Y2725" s="26">
        <v>0</v>
      </c>
      <c r="Z2725" s="26">
        <v>0</v>
      </c>
    </row>
    <row r="2726" spans="1:26" x14ac:dyDescent="0.2">
      <c r="A2726">
        <f t="shared" si="86"/>
        <v>6</v>
      </c>
      <c r="B2726">
        <f t="shared" si="87"/>
        <v>26</v>
      </c>
      <c r="C2726" s="27">
        <v>46194</v>
      </c>
      <c r="D2726" s="26" t="s">
        <v>26</v>
      </c>
      <c r="E2726" s="26" t="s">
        <v>27</v>
      </c>
      <c r="F2726" s="26" t="s">
        <v>28</v>
      </c>
      <c r="G2726" s="26" t="s">
        <v>29</v>
      </c>
      <c r="H2726" s="26" t="s">
        <v>30</v>
      </c>
      <c r="I2726" s="26" t="s">
        <v>50</v>
      </c>
      <c r="J2726" s="26" t="s">
        <v>32</v>
      </c>
      <c r="K2726" s="26" t="s">
        <v>765</v>
      </c>
      <c r="L2726" s="26">
        <v>1</v>
      </c>
      <c r="M2726" s="26">
        <v>1</v>
      </c>
      <c r="N2726" s="28">
        <v>1</v>
      </c>
      <c r="O2726" s="26">
        <v>0.21</v>
      </c>
      <c r="P2726" s="26">
        <v>0.21</v>
      </c>
      <c r="Q2726" s="26">
        <v>0</v>
      </c>
      <c r="R2726" s="26"/>
      <c r="S2726" s="26">
        <v>0</v>
      </c>
      <c r="T2726" s="26">
        <v>0</v>
      </c>
      <c r="U2726" s="26">
        <v>0</v>
      </c>
      <c r="V2726" s="28">
        <v>0</v>
      </c>
      <c r="W2726" s="26">
        <v>0</v>
      </c>
      <c r="X2726" s="26">
        <v>0</v>
      </c>
      <c r="Y2726" s="26">
        <v>0</v>
      </c>
      <c r="Z2726" s="26">
        <v>0</v>
      </c>
    </row>
    <row r="2727" spans="1:26" x14ac:dyDescent="0.2">
      <c r="A2727">
        <f t="shared" si="86"/>
        <v>6</v>
      </c>
      <c r="B2727">
        <f t="shared" si="87"/>
        <v>24</v>
      </c>
      <c r="C2727" s="27">
        <v>46184</v>
      </c>
      <c r="D2727" s="26" t="s">
        <v>26</v>
      </c>
      <c r="E2727" s="26" t="s">
        <v>27</v>
      </c>
      <c r="F2727" s="26" t="s">
        <v>28</v>
      </c>
      <c r="G2727" s="26" t="s">
        <v>29</v>
      </c>
      <c r="H2727" s="26" t="s">
        <v>30</v>
      </c>
      <c r="I2727" s="26" t="s">
        <v>50</v>
      </c>
      <c r="J2727" s="26" t="s">
        <v>32</v>
      </c>
      <c r="K2727" s="26" t="s">
        <v>1712</v>
      </c>
      <c r="L2727" s="26">
        <v>1</v>
      </c>
      <c r="M2727" s="26">
        <v>1</v>
      </c>
      <c r="N2727" s="28">
        <v>1</v>
      </c>
      <c r="O2727" s="26">
        <v>0.21</v>
      </c>
      <c r="P2727" s="26">
        <v>0.21</v>
      </c>
      <c r="Q2727" s="26">
        <v>0</v>
      </c>
      <c r="R2727" s="26"/>
      <c r="S2727" s="26">
        <v>0</v>
      </c>
      <c r="T2727" s="26">
        <v>0</v>
      </c>
      <c r="U2727" s="26">
        <v>0</v>
      </c>
      <c r="V2727" s="28">
        <v>0</v>
      </c>
      <c r="W2727" s="26">
        <v>0</v>
      </c>
      <c r="X2727" s="26">
        <v>0</v>
      </c>
      <c r="Y2727" s="26">
        <v>0</v>
      </c>
      <c r="Z2727" s="26">
        <v>0</v>
      </c>
    </row>
    <row r="2728" spans="1:26" x14ac:dyDescent="0.2">
      <c r="A2728">
        <f t="shared" si="86"/>
        <v>6</v>
      </c>
      <c r="B2728">
        <f t="shared" si="87"/>
        <v>24</v>
      </c>
      <c r="C2728" s="27">
        <v>46183</v>
      </c>
      <c r="D2728" s="26" t="s">
        <v>26</v>
      </c>
      <c r="E2728" s="26" t="s">
        <v>27</v>
      </c>
      <c r="F2728" s="26" t="s">
        <v>28</v>
      </c>
      <c r="G2728" s="26" t="s">
        <v>29</v>
      </c>
      <c r="H2728" s="26" t="s">
        <v>30</v>
      </c>
      <c r="I2728" s="26" t="s">
        <v>50</v>
      </c>
      <c r="J2728" s="26" t="s">
        <v>32</v>
      </c>
      <c r="K2728" s="26" t="s">
        <v>1713</v>
      </c>
      <c r="L2728" s="26">
        <v>3</v>
      </c>
      <c r="M2728" s="26">
        <v>1</v>
      </c>
      <c r="N2728" s="28">
        <v>0.33333299999999999</v>
      </c>
      <c r="O2728" s="26">
        <v>0.21</v>
      </c>
      <c r="P2728" s="26">
        <v>0.21</v>
      </c>
      <c r="Q2728" s="26">
        <v>0</v>
      </c>
      <c r="R2728" s="26"/>
      <c r="S2728" s="26">
        <v>0</v>
      </c>
      <c r="T2728" s="26">
        <v>0</v>
      </c>
      <c r="U2728" s="26">
        <v>0</v>
      </c>
      <c r="V2728" s="28">
        <v>0</v>
      </c>
      <c r="W2728" s="26">
        <v>0</v>
      </c>
      <c r="X2728" s="26">
        <v>0</v>
      </c>
      <c r="Y2728" s="26">
        <v>0</v>
      </c>
      <c r="Z2728" s="26">
        <v>0</v>
      </c>
    </row>
    <row r="2729" spans="1:26" x14ac:dyDescent="0.2">
      <c r="A2729">
        <f t="shared" si="86"/>
        <v>6</v>
      </c>
      <c r="B2729">
        <f t="shared" si="87"/>
        <v>25</v>
      </c>
      <c r="C2729" s="27">
        <v>46190</v>
      </c>
      <c r="D2729" s="26" t="s">
        <v>26</v>
      </c>
      <c r="E2729" s="26" t="s">
        <v>27</v>
      </c>
      <c r="F2729" s="26" t="s">
        <v>28</v>
      </c>
      <c r="G2729" s="26" t="s">
        <v>29</v>
      </c>
      <c r="H2729" s="26" t="s">
        <v>30</v>
      </c>
      <c r="I2729" s="26" t="s">
        <v>31</v>
      </c>
      <c r="J2729" s="26" t="s">
        <v>32</v>
      </c>
      <c r="K2729" s="26" t="s">
        <v>1714</v>
      </c>
      <c r="L2729" s="26">
        <v>1</v>
      </c>
      <c r="M2729" s="26">
        <v>1</v>
      </c>
      <c r="N2729" s="28">
        <v>1</v>
      </c>
      <c r="O2729" s="26">
        <v>0.21</v>
      </c>
      <c r="P2729" s="26">
        <v>0.21</v>
      </c>
      <c r="Q2729" s="26">
        <v>0</v>
      </c>
      <c r="R2729" s="26"/>
      <c r="S2729" s="26">
        <v>0</v>
      </c>
      <c r="T2729" s="26">
        <v>0</v>
      </c>
      <c r="U2729" s="26">
        <v>0</v>
      </c>
      <c r="V2729" s="28">
        <v>0</v>
      </c>
      <c r="W2729" s="26">
        <v>0</v>
      </c>
      <c r="X2729" s="26">
        <v>0</v>
      </c>
      <c r="Y2729" s="26">
        <v>0</v>
      </c>
      <c r="Z2729" s="26">
        <v>0</v>
      </c>
    </row>
    <row r="2730" spans="1:26" x14ac:dyDescent="0.2">
      <c r="A2730">
        <f t="shared" si="86"/>
        <v>6</v>
      </c>
      <c r="B2730">
        <f t="shared" si="87"/>
        <v>25</v>
      </c>
      <c r="C2730" s="27">
        <v>46189</v>
      </c>
      <c r="D2730" s="26" t="s">
        <v>26</v>
      </c>
      <c r="E2730" s="26" t="s">
        <v>27</v>
      </c>
      <c r="F2730" s="26" t="s">
        <v>28</v>
      </c>
      <c r="G2730" s="26" t="s">
        <v>29</v>
      </c>
      <c r="H2730" s="26" t="s">
        <v>30</v>
      </c>
      <c r="I2730" s="26" t="s">
        <v>50</v>
      </c>
      <c r="J2730" s="26" t="s">
        <v>32</v>
      </c>
      <c r="K2730" s="26" t="s">
        <v>1715</v>
      </c>
      <c r="L2730" s="26">
        <v>2</v>
      </c>
      <c r="M2730" s="26">
        <v>1</v>
      </c>
      <c r="N2730" s="28">
        <v>0.5</v>
      </c>
      <c r="O2730" s="26">
        <v>0.21</v>
      </c>
      <c r="P2730" s="26">
        <v>0.21</v>
      </c>
      <c r="Q2730" s="26">
        <v>0</v>
      </c>
      <c r="R2730" s="26"/>
      <c r="S2730" s="26">
        <v>0</v>
      </c>
      <c r="T2730" s="26">
        <v>0</v>
      </c>
      <c r="U2730" s="26">
        <v>0</v>
      </c>
      <c r="V2730" s="28">
        <v>0</v>
      </c>
      <c r="W2730" s="26">
        <v>0</v>
      </c>
      <c r="X2730" s="26">
        <v>0</v>
      </c>
      <c r="Y2730" s="26">
        <v>0</v>
      </c>
      <c r="Z2730" s="26">
        <v>0</v>
      </c>
    </row>
    <row r="2731" spans="1:26" x14ac:dyDescent="0.2">
      <c r="A2731">
        <f t="shared" si="86"/>
        <v>6</v>
      </c>
      <c r="B2731">
        <f t="shared" si="87"/>
        <v>23</v>
      </c>
      <c r="C2731" s="27">
        <v>46179</v>
      </c>
      <c r="D2731" s="26" t="s">
        <v>26</v>
      </c>
      <c r="E2731" s="26" t="s">
        <v>27</v>
      </c>
      <c r="F2731" s="26" t="s">
        <v>28</v>
      </c>
      <c r="G2731" s="26" t="s">
        <v>29</v>
      </c>
      <c r="H2731" s="26" t="s">
        <v>30</v>
      </c>
      <c r="I2731" s="26" t="s">
        <v>50</v>
      </c>
      <c r="J2731" s="26" t="s">
        <v>32</v>
      </c>
      <c r="K2731" s="26" t="s">
        <v>774</v>
      </c>
      <c r="L2731" s="26">
        <v>3</v>
      </c>
      <c r="M2731" s="26">
        <v>1</v>
      </c>
      <c r="N2731" s="28">
        <v>0.33333299999999999</v>
      </c>
      <c r="O2731" s="26">
        <v>0.21</v>
      </c>
      <c r="P2731" s="26">
        <v>0.21</v>
      </c>
      <c r="Q2731" s="26">
        <v>0</v>
      </c>
      <c r="R2731" s="26"/>
      <c r="S2731" s="26">
        <v>0</v>
      </c>
      <c r="T2731" s="26">
        <v>0</v>
      </c>
      <c r="U2731" s="26">
        <v>0</v>
      </c>
      <c r="V2731" s="28">
        <v>0</v>
      </c>
      <c r="W2731" s="26">
        <v>0</v>
      </c>
      <c r="X2731" s="26">
        <v>0</v>
      </c>
      <c r="Y2731" s="26">
        <v>0</v>
      </c>
      <c r="Z2731" s="26">
        <v>0</v>
      </c>
    </row>
    <row r="2732" spans="1:26" x14ac:dyDescent="0.2">
      <c r="A2732">
        <f t="shared" si="86"/>
        <v>6</v>
      </c>
      <c r="B2732">
        <f t="shared" si="87"/>
        <v>25</v>
      </c>
      <c r="C2732" s="27">
        <v>46189</v>
      </c>
      <c r="D2732" s="26" t="s">
        <v>26</v>
      </c>
      <c r="E2732" s="26" t="s">
        <v>27</v>
      </c>
      <c r="F2732" s="26" t="s">
        <v>28</v>
      </c>
      <c r="G2732" s="26" t="s">
        <v>29</v>
      </c>
      <c r="H2732" s="26" t="s">
        <v>30</v>
      </c>
      <c r="I2732" s="26" t="s">
        <v>243</v>
      </c>
      <c r="J2732" s="26" t="s">
        <v>32</v>
      </c>
      <c r="K2732" s="26" t="s">
        <v>1716</v>
      </c>
      <c r="L2732" s="26">
        <v>1</v>
      </c>
      <c r="M2732" s="26">
        <v>1</v>
      </c>
      <c r="N2732" s="28">
        <v>1</v>
      </c>
      <c r="O2732" s="26">
        <v>0.21</v>
      </c>
      <c r="P2732" s="26">
        <v>0.21</v>
      </c>
      <c r="Q2732" s="26">
        <v>0</v>
      </c>
      <c r="R2732" s="26"/>
      <c r="S2732" s="26">
        <v>0</v>
      </c>
      <c r="T2732" s="26">
        <v>0</v>
      </c>
      <c r="U2732" s="26">
        <v>0</v>
      </c>
      <c r="V2732" s="28">
        <v>0</v>
      </c>
      <c r="W2732" s="26">
        <v>0</v>
      </c>
      <c r="X2732" s="26">
        <v>0</v>
      </c>
      <c r="Y2732" s="26">
        <v>0</v>
      </c>
      <c r="Z2732" s="26">
        <v>0</v>
      </c>
    </row>
    <row r="2733" spans="1:26" x14ac:dyDescent="0.2">
      <c r="A2733">
        <f t="shared" si="86"/>
        <v>6</v>
      </c>
      <c r="B2733">
        <f t="shared" si="87"/>
        <v>24</v>
      </c>
      <c r="C2733" s="27">
        <v>46180</v>
      </c>
      <c r="D2733" s="26" t="s">
        <v>26</v>
      </c>
      <c r="E2733" s="26" t="s">
        <v>27</v>
      </c>
      <c r="F2733" s="26" t="s">
        <v>28</v>
      </c>
      <c r="G2733" s="26" t="s">
        <v>29</v>
      </c>
      <c r="H2733" s="26" t="s">
        <v>30</v>
      </c>
      <c r="I2733" s="26" t="s">
        <v>50</v>
      </c>
      <c r="J2733" s="26" t="s">
        <v>32</v>
      </c>
      <c r="K2733" s="26" t="s">
        <v>1717</v>
      </c>
      <c r="L2733" s="26">
        <v>1</v>
      </c>
      <c r="M2733" s="26">
        <v>1</v>
      </c>
      <c r="N2733" s="28">
        <v>1</v>
      </c>
      <c r="O2733" s="26">
        <v>0.21</v>
      </c>
      <c r="P2733" s="26">
        <v>0.21</v>
      </c>
      <c r="Q2733" s="26">
        <v>0</v>
      </c>
      <c r="R2733" s="26"/>
      <c r="S2733" s="26">
        <v>0</v>
      </c>
      <c r="T2733" s="26">
        <v>0</v>
      </c>
      <c r="U2733" s="26">
        <v>0</v>
      </c>
      <c r="V2733" s="28">
        <v>0</v>
      </c>
      <c r="W2733" s="26">
        <v>0</v>
      </c>
      <c r="X2733" s="26">
        <v>0</v>
      </c>
      <c r="Y2733" s="26">
        <v>0</v>
      </c>
      <c r="Z2733" s="26">
        <v>0</v>
      </c>
    </row>
    <row r="2734" spans="1:26" x14ac:dyDescent="0.2">
      <c r="A2734">
        <f t="shared" si="86"/>
        <v>6</v>
      </c>
      <c r="B2734">
        <f t="shared" si="87"/>
        <v>25</v>
      </c>
      <c r="C2734" s="27">
        <v>46187</v>
      </c>
      <c r="D2734" s="26" t="s">
        <v>26</v>
      </c>
      <c r="E2734" s="26" t="s">
        <v>27</v>
      </c>
      <c r="F2734" s="26" t="s">
        <v>124</v>
      </c>
      <c r="G2734" s="26" t="s">
        <v>29</v>
      </c>
      <c r="H2734" s="26" t="s">
        <v>30</v>
      </c>
      <c r="I2734" s="26" t="s">
        <v>31</v>
      </c>
      <c r="J2734" s="26" t="s">
        <v>87</v>
      </c>
      <c r="K2734" s="26" t="s">
        <v>1718</v>
      </c>
      <c r="L2734" s="26">
        <v>4</v>
      </c>
      <c r="M2734" s="26">
        <v>1</v>
      </c>
      <c r="N2734" s="28">
        <v>0.25</v>
      </c>
      <c r="O2734" s="26">
        <v>0.22</v>
      </c>
      <c r="P2734" s="26">
        <v>0.22</v>
      </c>
      <c r="Q2734" s="26">
        <v>18.989999999999998</v>
      </c>
      <c r="R2734" s="28">
        <v>1.1585E-2</v>
      </c>
      <c r="S2734" s="26">
        <v>86.32</v>
      </c>
      <c r="T2734" s="26">
        <v>1</v>
      </c>
      <c r="U2734" s="26">
        <v>1</v>
      </c>
      <c r="V2734" s="28">
        <v>1</v>
      </c>
      <c r="W2734" s="26">
        <v>1</v>
      </c>
      <c r="X2734" s="26">
        <v>0</v>
      </c>
      <c r="Y2734" s="26">
        <v>18.989999999999998</v>
      </c>
      <c r="Z2734" s="26">
        <v>0</v>
      </c>
    </row>
    <row r="2735" spans="1:26" x14ac:dyDescent="0.2">
      <c r="A2735">
        <f t="shared" si="86"/>
        <v>6</v>
      </c>
      <c r="B2735">
        <f t="shared" si="87"/>
        <v>23</v>
      </c>
      <c r="C2735" s="27">
        <v>46179</v>
      </c>
      <c r="D2735" s="26" t="s">
        <v>26</v>
      </c>
      <c r="E2735" s="26" t="s">
        <v>49</v>
      </c>
      <c r="F2735" s="26" t="s">
        <v>50</v>
      </c>
      <c r="G2735" s="26" t="s">
        <v>29</v>
      </c>
      <c r="H2735" s="26" t="s">
        <v>30</v>
      </c>
      <c r="I2735" s="26" t="s">
        <v>95</v>
      </c>
      <c r="J2735" s="26" t="s">
        <v>42</v>
      </c>
      <c r="K2735" s="26" t="s">
        <v>1719</v>
      </c>
      <c r="L2735" s="26">
        <v>2</v>
      </c>
      <c r="M2735" s="26">
        <v>1</v>
      </c>
      <c r="N2735" s="28">
        <v>0.5</v>
      </c>
      <c r="O2735" s="26">
        <v>0.67</v>
      </c>
      <c r="P2735" s="26">
        <v>0.67</v>
      </c>
      <c r="Q2735" s="26">
        <v>0</v>
      </c>
      <c r="R2735" s="26"/>
      <c r="S2735" s="26">
        <v>0</v>
      </c>
      <c r="T2735" s="26">
        <v>0</v>
      </c>
      <c r="U2735" s="26">
        <v>0</v>
      </c>
      <c r="V2735" s="28">
        <v>0</v>
      </c>
      <c r="W2735" s="26">
        <v>0</v>
      </c>
      <c r="X2735" s="26">
        <v>0</v>
      </c>
      <c r="Y2735" s="26">
        <v>0</v>
      </c>
      <c r="Z2735" s="26">
        <v>0</v>
      </c>
    </row>
    <row r="2736" spans="1:26" x14ac:dyDescent="0.2">
      <c r="A2736">
        <f t="shared" si="86"/>
        <v>6</v>
      </c>
      <c r="B2736">
        <f t="shared" si="87"/>
        <v>23</v>
      </c>
      <c r="C2736" s="27">
        <v>46175</v>
      </c>
      <c r="D2736" s="26" t="s">
        <v>26</v>
      </c>
      <c r="E2736" s="26" t="s">
        <v>27</v>
      </c>
      <c r="F2736" s="26" t="s">
        <v>28</v>
      </c>
      <c r="G2736" s="26" t="s">
        <v>29</v>
      </c>
      <c r="H2736" s="26" t="s">
        <v>30</v>
      </c>
      <c r="I2736" s="26" t="s">
        <v>133</v>
      </c>
      <c r="J2736" s="26" t="s">
        <v>32</v>
      </c>
      <c r="K2736" s="26" t="s">
        <v>1720</v>
      </c>
      <c r="L2736" s="26">
        <v>1</v>
      </c>
      <c r="M2736" s="26">
        <v>1</v>
      </c>
      <c r="N2736" s="28">
        <v>1</v>
      </c>
      <c r="O2736" s="26">
        <v>0.21</v>
      </c>
      <c r="P2736" s="26">
        <v>0.21</v>
      </c>
      <c r="Q2736" s="26">
        <v>0</v>
      </c>
      <c r="R2736" s="26"/>
      <c r="S2736" s="26">
        <v>0</v>
      </c>
      <c r="T2736" s="26">
        <v>0</v>
      </c>
      <c r="U2736" s="26">
        <v>0</v>
      </c>
      <c r="V2736" s="28">
        <v>0</v>
      </c>
      <c r="W2736" s="26">
        <v>0</v>
      </c>
      <c r="X2736" s="26">
        <v>0</v>
      </c>
      <c r="Y2736" s="26">
        <v>0</v>
      </c>
      <c r="Z2736" s="26">
        <v>0</v>
      </c>
    </row>
    <row r="2737" spans="1:26" x14ac:dyDescent="0.2">
      <c r="A2737">
        <f t="shared" si="86"/>
        <v>6</v>
      </c>
      <c r="B2737">
        <f t="shared" si="87"/>
        <v>24</v>
      </c>
      <c r="C2737" s="27">
        <v>46181</v>
      </c>
      <c r="D2737" s="26" t="s">
        <v>26</v>
      </c>
      <c r="E2737" s="26" t="s">
        <v>27</v>
      </c>
      <c r="F2737" s="26" t="s">
        <v>28</v>
      </c>
      <c r="G2737" s="26" t="s">
        <v>29</v>
      </c>
      <c r="H2737" s="26" t="s">
        <v>30</v>
      </c>
      <c r="I2737" s="26" t="s">
        <v>119</v>
      </c>
      <c r="J2737" s="26" t="s">
        <v>32</v>
      </c>
      <c r="K2737" s="26" t="s">
        <v>1721</v>
      </c>
      <c r="L2737" s="26">
        <v>1</v>
      </c>
      <c r="M2737" s="26">
        <v>1</v>
      </c>
      <c r="N2737" s="28">
        <v>1</v>
      </c>
      <c r="O2737" s="26">
        <v>0.16</v>
      </c>
      <c r="P2737" s="26">
        <v>0.16</v>
      </c>
      <c r="Q2737" s="26">
        <v>17.47</v>
      </c>
      <c r="R2737" s="28">
        <v>9.1590000000000005E-3</v>
      </c>
      <c r="S2737" s="26">
        <v>109.19</v>
      </c>
      <c r="T2737" s="26">
        <v>1</v>
      </c>
      <c r="U2737" s="26">
        <v>1</v>
      </c>
      <c r="V2737" s="28">
        <v>1</v>
      </c>
      <c r="W2737" s="26">
        <v>1</v>
      </c>
      <c r="X2737" s="26">
        <v>0</v>
      </c>
      <c r="Y2737" s="26">
        <v>17.47</v>
      </c>
      <c r="Z2737" s="26">
        <v>0</v>
      </c>
    </row>
    <row r="2738" spans="1:26" x14ac:dyDescent="0.2">
      <c r="A2738">
        <f t="shared" si="86"/>
        <v>6</v>
      </c>
      <c r="B2738">
        <f t="shared" si="87"/>
        <v>25</v>
      </c>
      <c r="C2738" s="27">
        <v>46188</v>
      </c>
      <c r="D2738" s="26" t="s">
        <v>26</v>
      </c>
      <c r="E2738" s="26" t="s">
        <v>27</v>
      </c>
      <c r="F2738" s="26" t="s">
        <v>28</v>
      </c>
      <c r="G2738" s="26" t="s">
        <v>29</v>
      </c>
      <c r="H2738" s="26" t="s">
        <v>30</v>
      </c>
      <c r="I2738" s="26" t="s">
        <v>50</v>
      </c>
      <c r="J2738" s="26" t="s">
        <v>32</v>
      </c>
      <c r="K2738" s="26" t="s">
        <v>1722</v>
      </c>
      <c r="L2738" s="26">
        <v>1</v>
      </c>
      <c r="M2738" s="26">
        <v>1</v>
      </c>
      <c r="N2738" s="28">
        <v>1</v>
      </c>
      <c r="O2738" s="26">
        <v>0.21</v>
      </c>
      <c r="P2738" s="26">
        <v>0.21</v>
      </c>
      <c r="Q2738" s="26">
        <v>0</v>
      </c>
      <c r="R2738" s="26"/>
      <c r="S2738" s="26">
        <v>0</v>
      </c>
      <c r="T2738" s="26">
        <v>0</v>
      </c>
      <c r="U2738" s="26">
        <v>0</v>
      </c>
      <c r="V2738" s="28">
        <v>0</v>
      </c>
      <c r="W2738" s="26">
        <v>0</v>
      </c>
      <c r="X2738" s="26">
        <v>0</v>
      </c>
      <c r="Y2738" s="26">
        <v>0</v>
      </c>
      <c r="Z2738" s="26">
        <v>0</v>
      </c>
    </row>
    <row r="2739" spans="1:26" x14ac:dyDescent="0.2">
      <c r="A2739">
        <f t="shared" si="86"/>
        <v>6</v>
      </c>
      <c r="B2739">
        <f t="shared" si="87"/>
        <v>24</v>
      </c>
      <c r="C2739" s="27">
        <v>46180</v>
      </c>
      <c r="D2739" s="26" t="s">
        <v>26</v>
      </c>
      <c r="E2739" s="26" t="s">
        <v>27</v>
      </c>
      <c r="F2739" s="26" t="s">
        <v>28</v>
      </c>
      <c r="G2739" s="26" t="s">
        <v>29</v>
      </c>
      <c r="H2739" s="26" t="s">
        <v>30</v>
      </c>
      <c r="I2739" s="26" t="s">
        <v>243</v>
      </c>
      <c r="J2739" s="26" t="s">
        <v>32</v>
      </c>
      <c r="K2739" s="26" t="s">
        <v>1723</v>
      </c>
      <c r="L2739" s="26">
        <v>5</v>
      </c>
      <c r="M2739" s="26">
        <v>1</v>
      </c>
      <c r="N2739" s="28">
        <v>0.2</v>
      </c>
      <c r="O2739" s="26">
        <v>0.08</v>
      </c>
      <c r="P2739" s="26">
        <v>0.08</v>
      </c>
      <c r="Q2739" s="26">
        <v>0</v>
      </c>
      <c r="R2739" s="26"/>
      <c r="S2739" s="26">
        <v>0</v>
      </c>
      <c r="T2739" s="26">
        <v>0</v>
      </c>
      <c r="U2739" s="26">
        <v>0</v>
      </c>
      <c r="V2739" s="28">
        <v>0</v>
      </c>
      <c r="W2739" s="26">
        <v>0</v>
      </c>
      <c r="X2739" s="26">
        <v>0</v>
      </c>
      <c r="Y2739" s="26">
        <v>0</v>
      </c>
      <c r="Z2739" s="26">
        <v>0</v>
      </c>
    </row>
    <row r="2740" spans="1:26" x14ac:dyDescent="0.2">
      <c r="A2740">
        <f t="shared" si="86"/>
        <v>6</v>
      </c>
      <c r="B2740">
        <f t="shared" si="87"/>
        <v>25</v>
      </c>
      <c r="C2740" s="27">
        <v>46193</v>
      </c>
      <c r="D2740" s="26" t="s">
        <v>26</v>
      </c>
      <c r="E2740" s="26" t="s">
        <v>27</v>
      </c>
      <c r="F2740" s="26" t="s">
        <v>28</v>
      </c>
      <c r="G2740" s="26" t="s">
        <v>29</v>
      </c>
      <c r="H2740" s="26" t="s">
        <v>30</v>
      </c>
      <c r="I2740" s="26" t="s">
        <v>243</v>
      </c>
      <c r="J2740" s="26" t="s">
        <v>32</v>
      </c>
      <c r="K2740" s="26" t="s">
        <v>1724</v>
      </c>
      <c r="L2740" s="26">
        <v>1</v>
      </c>
      <c r="M2740" s="26">
        <v>1</v>
      </c>
      <c r="N2740" s="28">
        <v>1</v>
      </c>
      <c r="O2740" s="26">
        <v>0.21</v>
      </c>
      <c r="P2740" s="26">
        <v>0.21</v>
      </c>
      <c r="Q2740" s="26">
        <v>0</v>
      </c>
      <c r="R2740" s="26"/>
      <c r="S2740" s="26">
        <v>0</v>
      </c>
      <c r="T2740" s="26">
        <v>0</v>
      </c>
      <c r="U2740" s="26">
        <v>0</v>
      </c>
      <c r="V2740" s="28">
        <v>0</v>
      </c>
      <c r="W2740" s="26">
        <v>0</v>
      </c>
      <c r="X2740" s="26">
        <v>0</v>
      </c>
      <c r="Y2740" s="26">
        <v>0</v>
      </c>
      <c r="Z2740" s="26">
        <v>0</v>
      </c>
    </row>
    <row r="2741" spans="1:26" x14ac:dyDescent="0.2">
      <c r="A2741">
        <f t="shared" si="86"/>
        <v>6</v>
      </c>
      <c r="B2741">
        <f t="shared" si="87"/>
        <v>23</v>
      </c>
      <c r="C2741" s="27">
        <v>46176</v>
      </c>
      <c r="D2741" s="26" t="s">
        <v>26</v>
      </c>
      <c r="E2741" s="26" t="s">
        <v>1578</v>
      </c>
      <c r="F2741" s="26" t="s">
        <v>62</v>
      </c>
      <c r="G2741" s="26" t="s">
        <v>29</v>
      </c>
      <c r="H2741" s="26" t="s">
        <v>30</v>
      </c>
      <c r="I2741" s="26" t="s">
        <v>47</v>
      </c>
      <c r="J2741" s="26" t="s">
        <v>42</v>
      </c>
      <c r="K2741" s="26" t="s">
        <v>1267</v>
      </c>
      <c r="L2741" s="26">
        <v>1</v>
      </c>
      <c r="M2741" s="26">
        <v>1</v>
      </c>
      <c r="N2741" s="28">
        <v>1</v>
      </c>
      <c r="O2741" s="26">
        <v>2.12</v>
      </c>
      <c r="P2741" s="26">
        <v>2.12</v>
      </c>
      <c r="Q2741" s="26">
        <v>0</v>
      </c>
      <c r="R2741" s="26"/>
      <c r="S2741" s="26">
        <v>0</v>
      </c>
      <c r="T2741" s="26">
        <v>0</v>
      </c>
      <c r="U2741" s="26">
        <v>0</v>
      </c>
      <c r="V2741" s="28">
        <v>0</v>
      </c>
      <c r="W2741" s="26">
        <v>0</v>
      </c>
      <c r="X2741" s="26">
        <v>0</v>
      </c>
      <c r="Y2741" s="26">
        <v>0</v>
      </c>
      <c r="Z2741" s="26">
        <v>0</v>
      </c>
    </row>
    <row r="2742" spans="1:26" x14ac:dyDescent="0.2">
      <c r="A2742">
        <f t="shared" si="86"/>
        <v>6</v>
      </c>
      <c r="B2742">
        <f t="shared" si="87"/>
        <v>23</v>
      </c>
      <c r="C2742" s="27">
        <v>46179</v>
      </c>
      <c r="D2742" s="26" t="s">
        <v>26</v>
      </c>
      <c r="E2742" s="26" t="s">
        <v>1578</v>
      </c>
      <c r="F2742" s="26" t="s">
        <v>62</v>
      </c>
      <c r="G2742" s="26" t="s">
        <v>29</v>
      </c>
      <c r="H2742" s="26" t="s">
        <v>30</v>
      </c>
      <c r="I2742" s="26" t="s">
        <v>47</v>
      </c>
      <c r="J2742" s="26" t="s">
        <v>42</v>
      </c>
      <c r="K2742" s="26" t="s">
        <v>1267</v>
      </c>
      <c r="L2742" s="26">
        <v>1</v>
      </c>
      <c r="M2742" s="26">
        <v>1</v>
      </c>
      <c r="N2742" s="28">
        <v>1</v>
      </c>
      <c r="O2742" s="26">
        <v>0.45</v>
      </c>
      <c r="P2742" s="26">
        <v>0.45</v>
      </c>
      <c r="Q2742" s="26">
        <v>0</v>
      </c>
      <c r="R2742" s="26"/>
      <c r="S2742" s="26">
        <v>0</v>
      </c>
      <c r="T2742" s="26">
        <v>0</v>
      </c>
      <c r="U2742" s="26">
        <v>0</v>
      </c>
      <c r="V2742" s="28">
        <v>0</v>
      </c>
      <c r="W2742" s="26">
        <v>0</v>
      </c>
      <c r="X2742" s="26">
        <v>0</v>
      </c>
      <c r="Y2742" s="26">
        <v>0</v>
      </c>
      <c r="Z2742" s="26">
        <v>0</v>
      </c>
    </row>
    <row r="2743" spans="1:26" x14ac:dyDescent="0.2">
      <c r="A2743">
        <f t="shared" si="86"/>
        <v>6</v>
      </c>
      <c r="B2743">
        <f t="shared" si="87"/>
        <v>24</v>
      </c>
      <c r="C2743" s="27">
        <v>46180</v>
      </c>
      <c r="D2743" s="26" t="s">
        <v>26</v>
      </c>
      <c r="E2743" s="26" t="s">
        <v>1578</v>
      </c>
      <c r="F2743" s="26" t="s">
        <v>62</v>
      </c>
      <c r="G2743" s="26" t="s">
        <v>29</v>
      </c>
      <c r="H2743" s="26" t="s">
        <v>30</v>
      </c>
      <c r="I2743" s="26" t="s">
        <v>47</v>
      </c>
      <c r="J2743" s="26" t="s">
        <v>42</v>
      </c>
      <c r="K2743" s="26" t="s">
        <v>1725</v>
      </c>
      <c r="L2743" s="26">
        <v>1</v>
      </c>
      <c r="M2743" s="26">
        <v>1</v>
      </c>
      <c r="N2743" s="28">
        <v>1</v>
      </c>
      <c r="O2743" s="26">
        <v>2.08</v>
      </c>
      <c r="P2743" s="26">
        <v>2.08</v>
      </c>
      <c r="Q2743" s="26">
        <v>0</v>
      </c>
      <c r="R2743" s="26"/>
      <c r="S2743" s="26">
        <v>0</v>
      </c>
      <c r="T2743" s="26">
        <v>0</v>
      </c>
      <c r="U2743" s="26">
        <v>0</v>
      </c>
      <c r="V2743" s="28">
        <v>0</v>
      </c>
      <c r="W2743" s="26">
        <v>0</v>
      </c>
      <c r="X2743" s="26">
        <v>0</v>
      </c>
      <c r="Y2743" s="26">
        <v>0</v>
      </c>
      <c r="Z2743" s="26">
        <v>0</v>
      </c>
    </row>
    <row r="2744" spans="1:26" x14ac:dyDescent="0.2">
      <c r="A2744">
        <f t="shared" si="86"/>
        <v>6</v>
      </c>
      <c r="B2744">
        <f t="shared" si="87"/>
        <v>25</v>
      </c>
      <c r="C2744" s="27">
        <v>46190</v>
      </c>
      <c r="D2744" s="26" t="s">
        <v>26</v>
      </c>
      <c r="E2744" s="26" t="s">
        <v>27</v>
      </c>
      <c r="F2744" s="26" t="s">
        <v>28</v>
      </c>
      <c r="G2744" s="26" t="s">
        <v>29</v>
      </c>
      <c r="H2744" s="26" t="s">
        <v>30</v>
      </c>
      <c r="I2744" s="26" t="s">
        <v>50</v>
      </c>
      <c r="J2744" s="26" t="s">
        <v>32</v>
      </c>
      <c r="K2744" s="26" t="s">
        <v>784</v>
      </c>
      <c r="L2744" s="26">
        <v>4</v>
      </c>
      <c r="M2744" s="26">
        <v>1</v>
      </c>
      <c r="N2744" s="28">
        <v>0.25</v>
      </c>
      <c r="O2744" s="26">
        <v>0.21</v>
      </c>
      <c r="P2744" s="26">
        <v>0.21</v>
      </c>
      <c r="Q2744" s="26">
        <v>0</v>
      </c>
      <c r="R2744" s="26"/>
      <c r="S2744" s="26">
        <v>0</v>
      </c>
      <c r="T2744" s="26">
        <v>0</v>
      </c>
      <c r="U2744" s="26">
        <v>0</v>
      </c>
      <c r="V2744" s="28">
        <v>0</v>
      </c>
      <c r="W2744" s="26">
        <v>0</v>
      </c>
      <c r="X2744" s="26">
        <v>0</v>
      </c>
      <c r="Y2744" s="26">
        <v>0</v>
      </c>
      <c r="Z2744" s="26">
        <v>0</v>
      </c>
    </row>
    <row r="2745" spans="1:26" x14ac:dyDescent="0.2">
      <c r="A2745">
        <f t="shared" ref="A2745:A2808" si="88">MONTH(C2745)</f>
        <v>6</v>
      </c>
      <c r="B2745">
        <f t="shared" ref="B2745:B2808" si="89">WEEKNUM(C2745,1)</f>
        <v>26</v>
      </c>
      <c r="C2745" s="27">
        <v>46194</v>
      </c>
      <c r="D2745" s="26" t="s">
        <v>26</v>
      </c>
      <c r="E2745" s="26" t="s">
        <v>27</v>
      </c>
      <c r="F2745" s="26" t="s">
        <v>28</v>
      </c>
      <c r="G2745" s="26" t="s">
        <v>29</v>
      </c>
      <c r="H2745" s="26" t="s">
        <v>30</v>
      </c>
      <c r="I2745" s="26" t="s">
        <v>31</v>
      </c>
      <c r="J2745" s="26" t="s">
        <v>32</v>
      </c>
      <c r="K2745" s="26" t="s">
        <v>1726</v>
      </c>
      <c r="L2745" s="26">
        <v>1</v>
      </c>
      <c r="M2745" s="26">
        <v>1</v>
      </c>
      <c r="N2745" s="28">
        <v>1</v>
      </c>
      <c r="O2745" s="26">
        <v>0.21</v>
      </c>
      <c r="P2745" s="26">
        <v>0.21</v>
      </c>
      <c r="Q2745" s="26">
        <v>18.989999999999998</v>
      </c>
      <c r="R2745" s="28">
        <v>1.1058E-2</v>
      </c>
      <c r="S2745" s="26">
        <v>90.43</v>
      </c>
      <c r="T2745" s="26">
        <v>1</v>
      </c>
      <c r="U2745" s="26">
        <v>1</v>
      </c>
      <c r="V2745" s="28">
        <v>1</v>
      </c>
      <c r="W2745" s="26">
        <v>1</v>
      </c>
      <c r="X2745" s="26">
        <v>0</v>
      </c>
      <c r="Y2745" s="26">
        <v>18.989999999999998</v>
      </c>
      <c r="Z2745" s="26">
        <v>0</v>
      </c>
    </row>
    <row r="2746" spans="1:26" x14ac:dyDescent="0.2">
      <c r="A2746">
        <f t="shared" si="88"/>
        <v>6</v>
      </c>
      <c r="B2746">
        <f t="shared" si="89"/>
        <v>25</v>
      </c>
      <c r="C2746" s="27">
        <v>46187</v>
      </c>
      <c r="D2746" s="26" t="s">
        <v>26</v>
      </c>
      <c r="E2746" s="26" t="s">
        <v>27</v>
      </c>
      <c r="F2746" s="26" t="s">
        <v>28</v>
      </c>
      <c r="G2746" s="26" t="s">
        <v>29</v>
      </c>
      <c r="H2746" s="26" t="s">
        <v>30</v>
      </c>
      <c r="I2746" s="26" t="s">
        <v>243</v>
      </c>
      <c r="J2746" s="26" t="s">
        <v>32</v>
      </c>
      <c r="K2746" s="26" t="s">
        <v>1271</v>
      </c>
      <c r="L2746" s="26">
        <v>4</v>
      </c>
      <c r="M2746" s="26">
        <v>1</v>
      </c>
      <c r="N2746" s="28">
        <v>0.25</v>
      </c>
      <c r="O2746" s="26">
        <v>0.21</v>
      </c>
      <c r="P2746" s="26">
        <v>0.21</v>
      </c>
      <c r="Q2746" s="26">
        <v>0</v>
      </c>
      <c r="R2746" s="26"/>
      <c r="S2746" s="26">
        <v>0</v>
      </c>
      <c r="T2746" s="26">
        <v>0</v>
      </c>
      <c r="U2746" s="26">
        <v>0</v>
      </c>
      <c r="V2746" s="28">
        <v>0</v>
      </c>
      <c r="W2746" s="26">
        <v>0</v>
      </c>
      <c r="X2746" s="26">
        <v>0</v>
      </c>
      <c r="Y2746" s="26">
        <v>0</v>
      </c>
      <c r="Z2746" s="26">
        <v>0</v>
      </c>
    </row>
    <row r="2747" spans="1:26" x14ac:dyDescent="0.2">
      <c r="A2747">
        <f t="shared" si="88"/>
        <v>6</v>
      </c>
      <c r="B2747">
        <f t="shared" si="89"/>
        <v>25</v>
      </c>
      <c r="C2747" s="27">
        <v>46192</v>
      </c>
      <c r="D2747" s="26" t="s">
        <v>26</v>
      </c>
      <c r="E2747" s="26" t="s">
        <v>27</v>
      </c>
      <c r="F2747" s="26" t="s">
        <v>28</v>
      </c>
      <c r="G2747" s="26" t="s">
        <v>29</v>
      </c>
      <c r="H2747" s="26" t="s">
        <v>30</v>
      </c>
      <c r="I2747" s="26" t="s">
        <v>50</v>
      </c>
      <c r="J2747" s="26" t="s">
        <v>32</v>
      </c>
      <c r="K2747" s="26" t="s">
        <v>1727</v>
      </c>
      <c r="L2747" s="26">
        <v>3</v>
      </c>
      <c r="M2747" s="26">
        <v>1</v>
      </c>
      <c r="N2747" s="28">
        <v>0.33333299999999999</v>
      </c>
      <c r="O2747" s="26">
        <v>0.21</v>
      </c>
      <c r="P2747" s="26">
        <v>0.21</v>
      </c>
      <c r="Q2747" s="26">
        <v>0</v>
      </c>
      <c r="R2747" s="26"/>
      <c r="S2747" s="26">
        <v>0</v>
      </c>
      <c r="T2747" s="26">
        <v>0</v>
      </c>
      <c r="U2747" s="26">
        <v>0</v>
      </c>
      <c r="V2747" s="28">
        <v>0</v>
      </c>
      <c r="W2747" s="26">
        <v>0</v>
      </c>
      <c r="X2747" s="26">
        <v>0</v>
      </c>
      <c r="Y2747" s="26">
        <v>0</v>
      </c>
      <c r="Z2747" s="26">
        <v>0</v>
      </c>
    </row>
    <row r="2748" spans="1:26" x14ac:dyDescent="0.2">
      <c r="A2748">
        <f t="shared" si="88"/>
        <v>6</v>
      </c>
      <c r="B2748">
        <f t="shared" si="89"/>
        <v>25</v>
      </c>
      <c r="C2748" s="27">
        <v>46187</v>
      </c>
      <c r="D2748" s="26" t="s">
        <v>26</v>
      </c>
      <c r="E2748" s="26" t="s">
        <v>1578</v>
      </c>
      <c r="F2748" s="26" t="s">
        <v>62</v>
      </c>
      <c r="G2748" s="26" t="s">
        <v>29</v>
      </c>
      <c r="H2748" s="26" t="s">
        <v>30</v>
      </c>
      <c r="I2748" s="26" t="s">
        <v>47</v>
      </c>
      <c r="J2748" s="26" t="s">
        <v>42</v>
      </c>
      <c r="K2748" s="26" t="s">
        <v>354</v>
      </c>
      <c r="L2748" s="26">
        <v>6</v>
      </c>
      <c r="M2748" s="26">
        <v>1</v>
      </c>
      <c r="N2748" s="28">
        <v>0.16666700000000001</v>
      </c>
      <c r="O2748" s="26">
        <v>2.2400000000000002</v>
      </c>
      <c r="P2748" s="26">
        <v>2.2400000000000002</v>
      </c>
      <c r="Q2748" s="26">
        <v>0</v>
      </c>
      <c r="R2748" s="26"/>
      <c r="S2748" s="26">
        <v>0</v>
      </c>
      <c r="T2748" s="26">
        <v>0</v>
      </c>
      <c r="U2748" s="26">
        <v>0</v>
      </c>
      <c r="V2748" s="28">
        <v>0</v>
      </c>
      <c r="W2748" s="26">
        <v>0</v>
      </c>
      <c r="X2748" s="26">
        <v>0</v>
      </c>
      <c r="Y2748" s="26">
        <v>0</v>
      </c>
      <c r="Z2748" s="26">
        <v>0</v>
      </c>
    </row>
    <row r="2749" spans="1:26" x14ac:dyDescent="0.2">
      <c r="A2749">
        <f t="shared" si="88"/>
        <v>6</v>
      </c>
      <c r="B2749">
        <f t="shared" si="89"/>
        <v>24</v>
      </c>
      <c r="C2749" s="27">
        <v>46183</v>
      </c>
      <c r="D2749" s="26" t="s">
        <v>26</v>
      </c>
      <c r="E2749" s="26" t="s">
        <v>1578</v>
      </c>
      <c r="F2749" s="26" t="s">
        <v>62</v>
      </c>
      <c r="G2749" s="26" t="s">
        <v>29</v>
      </c>
      <c r="H2749" s="26" t="s">
        <v>30</v>
      </c>
      <c r="I2749" s="26" t="s">
        <v>47</v>
      </c>
      <c r="J2749" s="26" t="s">
        <v>42</v>
      </c>
      <c r="K2749" s="26" t="s">
        <v>232</v>
      </c>
      <c r="L2749" s="26">
        <v>35</v>
      </c>
      <c r="M2749" s="26">
        <v>1</v>
      </c>
      <c r="N2749" s="28">
        <v>2.8570999999999999E-2</v>
      </c>
      <c r="O2749" s="26">
        <v>2.14</v>
      </c>
      <c r="P2749" s="26">
        <v>2.14</v>
      </c>
      <c r="Q2749" s="26">
        <v>0</v>
      </c>
      <c r="R2749" s="26"/>
      <c r="S2749" s="26">
        <v>0</v>
      </c>
      <c r="T2749" s="26">
        <v>0</v>
      </c>
      <c r="U2749" s="26">
        <v>0</v>
      </c>
      <c r="V2749" s="28">
        <v>0</v>
      </c>
      <c r="W2749" s="26">
        <v>0</v>
      </c>
      <c r="X2749" s="26">
        <v>0</v>
      </c>
      <c r="Y2749" s="26">
        <v>0</v>
      </c>
      <c r="Z2749" s="26">
        <v>0</v>
      </c>
    </row>
    <row r="2750" spans="1:26" x14ac:dyDescent="0.2">
      <c r="A2750">
        <f t="shared" si="88"/>
        <v>6</v>
      </c>
      <c r="B2750">
        <f t="shared" si="89"/>
        <v>24</v>
      </c>
      <c r="C2750" s="27">
        <v>46185</v>
      </c>
      <c r="D2750" s="26" t="s">
        <v>26</v>
      </c>
      <c r="E2750" s="26" t="s">
        <v>1578</v>
      </c>
      <c r="F2750" s="26" t="s">
        <v>62</v>
      </c>
      <c r="G2750" s="26" t="s">
        <v>29</v>
      </c>
      <c r="H2750" s="26" t="s">
        <v>30</v>
      </c>
      <c r="I2750" s="26" t="s">
        <v>47</v>
      </c>
      <c r="J2750" s="26" t="s">
        <v>42</v>
      </c>
      <c r="K2750" s="26" t="s">
        <v>232</v>
      </c>
      <c r="L2750" s="26">
        <v>9</v>
      </c>
      <c r="M2750" s="26">
        <v>1</v>
      </c>
      <c r="N2750" s="28">
        <v>0.111111</v>
      </c>
      <c r="O2750" s="26">
        <v>1.99</v>
      </c>
      <c r="P2750" s="26">
        <v>1.99</v>
      </c>
      <c r="Q2750" s="26">
        <v>0</v>
      </c>
      <c r="R2750" s="26"/>
      <c r="S2750" s="26">
        <v>0</v>
      </c>
      <c r="T2750" s="26">
        <v>0</v>
      </c>
      <c r="U2750" s="26">
        <v>0</v>
      </c>
      <c r="V2750" s="28">
        <v>0</v>
      </c>
      <c r="W2750" s="26">
        <v>0</v>
      </c>
      <c r="X2750" s="26">
        <v>0</v>
      </c>
      <c r="Y2750" s="26">
        <v>0</v>
      </c>
      <c r="Z2750" s="26">
        <v>0</v>
      </c>
    </row>
    <row r="2751" spans="1:26" x14ac:dyDescent="0.2">
      <c r="A2751">
        <f t="shared" si="88"/>
        <v>6</v>
      </c>
      <c r="B2751">
        <f t="shared" si="89"/>
        <v>23</v>
      </c>
      <c r="C2751" s="27">
        <v>46175</v>
      </c>
      <c r="D2751" s="26" t="s">
        <v>26</v>
      </c>
      <c r="E2751" s="26" t="s">
        <v>1578</v>
      </c>
      <c r="F2751" s="26" t="s">
        <v>62</v>
      </c>
      <c r="G2751" s="26" t="s">
        <v>29</v>
      </c>
      <c r="H2751" s="26" t="s">
        <v>30</v>
      </c>
      <c r="I2751" s="26" t="s">
        <v>47</v>
      </c>
      <c r="J2751" s="26" t="s">
        <v>42</v>
      </c>
      <c r="K2751" s="26" t="s">
        <v>1617</v>
      </c>
      <c r="L2751" s="26">
        <v>10</v>
      </c>
      <c r="M2751" s="26">
        <v>1</v>
      </c>
      <c r="N2751" s="28">
        <v>0.1</v>
      </c>
      <c r="O2751" s="26">
        <v>1.25</v>
      </c>
      <c r="P2751" s="26">
        <v>1.25</v>
      </c>
      <c r="Q2751" s="26">
        <v>0</v>
      </c>
      <c r="R2751" s="26"/>
      <c r="S2751" s="26">
        <v>0</v>
      </c>
      <c r="T2751" s="26">
        <v>0</v>
      </c>
      <c r="U2751" s="26">
        <v>0</v>
      </c>
      <c r="V2751" s="28">
        <v>0</v>
      </c>
      <c r="W2751" s="26">
        <v>0</v>
      </c>
      <c r="X2751" s="26">
        <v>0</v>
      </c>
      <c r="Y2751" s="26">
        <v>0</v>
      </c>
      <c r="Z2751" s="26">
        <v>0</v>
      </c>
    </row>
    <row r="2752" spans="1:26" x14ac:dyDescent="0.2">
      <c r="A2752">
        <f t="shared" si="88"/>
        <v>6</v>
      </c>
      <c r="B2752">
        <f t="shared" si="89"/>
        <v>23</v>
      </c>
      <c r="C2752" s="27">
        <v>46179</v>
      </c>
      <c r="D2752" s="26" t="s">
        <v>26</v>
      </c>
      <c r="E2752" s="26" t="s">
        <v>1578</v>
      </c>
      <c r="F2752" s="26" t="s">
        <v>62</v>
      </c>
      <c r="G2752" s="26" t="s">
        <v>29</v>
      </c>
      <c r="H2752" s="26" t="s">
        <v>30</v>
      </c>
      <c r="I2752" s="26" t="s">
        <v>47</v>
      </c>
      <c r="J2752" s="26" t="s">
        <v>42</v>
      </c>
      <c r="K2752" s="26" t="s">
        <v>1617</v>
      </c>
      <c r="L2752" s="26">
        <v>11</v>
      </c>
      <c r="M2752" s="26">
        <v>1</v>
      </c>
      <c r="N2752" s="28">
        <v>9.0909000000000004E-2</v>
      </c>
      <c r="O2752" s="26">
        <v>1.3</v>
      </c>
      <c r="P2752" s="26">
        <v>1.3</v>
      </c>
      <c r="Q2752" s="26">
        <v>0</v>
      </c>
      <c r="R2752" s="26"/>
      <c r="S2752" s="26">
        <v>0</v>
      </c>
      <c r="T2752" s="26">
        <v>0</v>
      </c>
      <c r="U2752" s="26">
        <v>0</v>
      </c>
      <c r="V2752" s="28">
        <v>0</v>
      </c>
      <c r="W2752" s="26">
        <v>0</v>
      </c>
      <c r="X2752" s="26">
        <v>0</v>
      </c>
      <c r="Y2752" s="26">
        <v>0</v>
      </c>
      <c r="Z2752" s="26">
        <v>0</v>
      </c>
    </row>
    <row r="2753" spans="1:26" x14ac:dyDescent="0.2">
      <c r="A2753">
        <f t="shared" si="88"/>
        <v>6</v>
      </c>
      <c r="B2753">
        <f t="shared" si="89"/>
        <v>25</v>
      </c>
      <c r="C2753" s="27">
        <v>46191</v>
      </c>
      <c r="D2753" s="26" t="s">
        <v>26</v>
      </c>
      <c r="E2753" s="26" t="s">
        <v>1414</v>
      </c>
      <c r="F2753" s="26" t="s">
        <v>113</v>
      </c>
      <c r="G2753" s="26" t="s">
        <v>29</v>
      </c>
      <c r="H2753" s="26" t="s">
        <v>30</v>
      </c>
      <c r="I2753" s="26" t="s">
        <v>95</v>
      </c>
      <c r="J2753" s="26" t="s">
        <v>42</v>
      </c>
      <c r="K2753" s="26" t="s">
        <v>1728</v>
      </c>
      <c r="L2753" s="26">
        <v>1</v>
      </c>
      <c r="M2753" s="26">
        <v>1</v>
      </c>
      <c r="N2753" s="28">
        <v>1</v>
      </c>
      <c r="O2753" s="26">
        <v>0.68</v>
      </c>
      <c r="P2753" s="26">
        <v>0.68</v>
      </c>
      <c r="Q2753" s="26">
        <v>0</v>
      </c>
      <c r="R2753" s="26"/>
      <c r="S2753" s="26">
        <v>0</v>
      </c>
      <c r="T2753" s="26">
        <v>0</v>
      </c>
      <c r="U2753" s="26">
        <v>0</v>
      </c>
      <c r="V2753" s="28">
        <v>0</v>
      </c>
      <c r="W2753" s="26">
        <v>0</v>
      </c>
      <c r="X2753" s="26">
        <v>0</v>
      </c>
      <c r="Y2753" s="26">
        <v>0</v>
      </c>
      <c r="Z2753" s="26">
        <v>0</v>
      </c>
    </row>
    <row r="2754" spans="1:26" x14ac:dyDescent="0.2">
      <c r="A2754">
        <f t="shared" si="88"/>
        <v>6</v>
      </c>
      <c r="B2754">
        <f t="shared" si="89"/>
        <v>25</v>
      </c>
      <c r="C2754" s="27">
        <v>46188</v>
      </c>
      <c r="D2754" s="26" t="s">
        <v>26</v>
      </c>
      <c r="E2754" s="26" t="s">
        <v>27</v>
      </c>
      <c r="F2754" s="26" t="s">
        <v>28</v>
      </c>
      <c r="G2754" s="26" t="s">
        <v>29</v>
      </c>
      <c r="H2754" s="26" t="s">
        <v>30</v>
      </c>
      <c r="I2754" s="26" t="s">
        <v>50</v>
      </c>
      <c r="J2754" s="26" t="s">
        <v>32</v>
      </c>
      <c r="K2754" s="26" t="s">
        <v>1729</v>
      </c>
      <c r="L2754" s="26">
        <v>1</v>
      </c>
      <c r="M2754" s="26">
        <v>1</v>
      </c>
      <c r="N2754" s="28">
        <v>1</v>
      </c>
      <c r="O2754" s="26">
        <v>0.21</v>
      </c>
      <c r="P2754" s="26">
        <v>0.21</v>
      </c>
      <c r="Q2754" s="26">
        <v>0</v>
      </c>
      <c r="R2754" s="26"/>
      <c r="S2754" s="26">
        <v>0</v>
      </c>
      <c r="T2754" s="26">
        <v>0</v>
      </c>
      <c r="U2754" s="26">
        <v>0</v>
      </c>
      <c r="V2754" s="28">
        <v>0</v>
      </c>
      <c r="W2754" s="26">
        <v>0</v>
      </c>
      <c r="X2754" s="26">
        <v>0</v>
      </c>
      <c r="Y2754" s="26">
        <v>0</v>
      </c>
      <c r="Z2754" s="26">
        <v>0</v>
      </c>
    </row>
    <row r="2755" spans="1:26" x14ac:dyDescent="0.2">
      <c r="A2755">
        <f t="shared" si="88"/>
        <v>6</v>
      </c>
      <c r="B2755">
        <f t="shared" si="89"/>
        <v>26</v>
      </c>
      <c r="C2755" s="27">
        <v>46194</v>
      </c>
      <c r="D2755" s="26" t="s">
        <v>26</v>
      </c>
      <c r="E2755" s="26" t="s">
        <v>27</v>
      </c>
      <c r="F2755" s="26" t="s">
        <v>28</v>
      </c>
      <c r="G2755" s="26" t="s">
        <v>29</v>
      </c>
      <c r="H2755" s="26" t="s">
        <v>30</v>
      </c>
      <c r="I2755" s="26" t="s">
        <v>31</v>
      </c>
      <c r="J2755" s="26" t="s">
        <v>32</v>
      </c>
      <c r="K2755" s="26" t="s">
        <v>1730</v>
      </c>
      <c r="L2755" s="26">
        <v>2</v>
      </c>
      <c r="M2755" s="26">
        <v>1</v>
      </c>
      <c r="N2755" s="28">
        <v>0.5</v>
      </c>
      <c r="O2755" s="26">
        <v>0.2</v>
      </c>
      <c r="P2755" s="26">
        <v>0.2</v>
      </c>
      <c r="Q2755" s="26">
        <v>0</v>
      </c>
      <c r="R2755" s="26"/>
      <c r="S2755" s="26">
        <v>0</v>
      </c>
      <c r="T2755" s="26">
        <v>0</v>
      </c>
      <c r="U2755" s="26">
        <v>0</v>
      </c>
      <c r="V2755" s="28">
        <v>0</v>
      </c>
      <c r="W2755" s="26">
        <v>0</v>
      </c>
      <c r="X2755" s="26">
        <v>0</v>
      </c>
      <c r="Y2755" s="26">
        <v>0</v>
      </c>
      <c r="Z2755" s="26">
        <v>0</v>
      </c>
    </row>
    <row r="2756" spans="1:26" x14ac:dyDescent="0.2">
      <c r="A2756">
        <f t="shared" si="88"/>
        <v>6</v>
      </c>
      <c r="B2756">
        <f t="shared" si="89"/>
        <v>23</v>
      </c>
      <c r="C2756" s="27">
        <v>46174</v>
      </c>
      <c r="D2756" s="26" t="s">
        <v>26</v>
      </c>
      <c r="E2756" s="26" t="s">
        <v>27</v>
      </c>
      <c r="F2756" s="26" t="s">
        <v>28</v>
      </c>
      <c r="G2756" s="26" t="s">
        <v>29</v>
      </c>
      <c r="H2756" s="26" t="s">
        <v>30</v>
      </c>
      <c r="I2756" s="26" t="s">
        <v>133</v>
      </c>
      <c r="J2756" s="26" t="s">
        <v>32</v>
      </c>
      <c r="K2756" s="26" t="s">
        <v>1731</v>
      </c>
      <c r="L2756" s="26">
        <v>6</v>
      </c>
      <c r="M2756" s="26">
        <v>1</v>
      </c>
      <c r="N2756" s="28">
        <v>0.16666700000000001</v>
      </c>
      <c r="O2756" s="26">
        <v>0.21</v>
      </c>
      <c r="P2756" s="26">
        <v>0.21</v>
      </c>
      <c r="Q2756" s="26">
        <v>0</v>
      </c>
      <c r="R2756" s="26"/>
      <c r="S2756" s="26">
        <v>0</v>
      </c>
      <c r="T2756" s="26">
        <v>0</v>
      </c>
      <c r="U2756" s="26">
        <v>0</v>
      </c>
      <c r="V2756" s="28">
        <v>0</v>
      </c>
      <c r="W2756" s="26">
        <v>0</v>
      </c>
      <c r="X2756" s="26">
        <v>0</v>
      </c>
      <c r="Y2756" s="26">
        <v>0</v>
      </c>
      <c r="Z2756" s="26">
        <v>0</v>
      </c>
    </row>
    <row r="2757" spans="1:26" x14ac:dyDescent="0.2">
      <c r="A2757">
        <f t="shared" si="88"/>
        <v>6</v>
      </c>
      <c r="B2757">
        <f t="shared" si="89"/>
        <v>26</v>
      </c>
      <c r="C2757" s="27">
        <v>46194</v>
      </c>
      <c r="D2757" s="26" t="s">
        <v>26</v>
      </c>
      <c r="E2757" s="26" t="s">
        <v>49</v>
      </c>
      <c r="F2757" s="26" t="s">
        <v>50</v>
      </c>
      <c r="G2757" s="26" t="s">
        <v>29</v>
      </c>
      <c r="H2757" s="26" t="s">
        <v>30</v>
      </c>
      <c r="I2757" s="26" t="s">
        <v>95</v>
      </c>
      <c r="J2757" s="26" t="s">
        <v>42</v>
      </c>
      <c r="K2757" s="26" t="s">
        <v>1732</v>
      </c>
      <c r="L2757" s="26">
        <v>1</v>
      </c>
      <c r="M2757" s="26">
        <v>1</v>
      </c>
      <c r="N2757" s="28">
        <v>1</v>
      </c>
      <c r="O2757" s="26">
        <v>0.6</v>
      </c>
      <c r="P2757" s="26">
        <v>0.6</v>
      </c>
      <c r="Q2757" s="26">
        <v>0</v>
      </c>
      <c r="R2757" s="26"/>
      <c r="S2757" s="26">
        <v>0</v>
      </c>
      <c r="T2757" s="26">
        <v>0</v>
      </c>
      <c r="U2757" s="26">
        <v>0</v>
      </c>
      <c r="V2757" s="28">
        <v>0</v>
      </c>
      <c r="W2757" s="26">
        <v>0</v>
      </c>
      <c r="X2757" s="26">
        <v>0</v>
      </c>
      <c r="Y2757" s="26">
        <v>0</v>
      </c>
      <c r="Z2757" s="26">
        <v>0</v>
      </c>
    </row>
    <row r="2758" spans="1:26" x14ac:dyDescent="0.2">
      <c r="A2758">
        <f t="shared" si="88"/>
        <v>6</v>
      </c>
      <c r="B2758">
        <f t="shared" si="89"/>
        <v>24</v>
      </c>
      <c r="C2758" s="27">
        <v>46181</v>
      </c>
      <c r="D2758" s="26" t="s">
        <v>26</v>
      </c>
      <c r="E2758" s="26" t="s">
        <v>27</v>
      </c>
      <c r="F2758" s="26" t="s">
        <v>28</v>
      </c>
      <c r="G2758" s="26" t="s">
        <v>29</v>
      </c>
      <c r="H2758" s="26" t="s">
        <v>30</v>
      </c>
      <c r="I2758" s="26" t="s">
        <v>243</v>
      </c>
      <c r="J2758" s="26" t="s">
        <v>32</v>
      </c>
      <c r="K2758" s="26" t="s">
        <v>1733</v>
      </c>
      <c r="L2758" s="26">
        <v>1</v>
      </c>
      <c r="M2758" s="26">
        <v>1</v>
      </c>
      <c r="N2758" s="28">
        <v>1</v>
      </c>
      <c r="O2758" s="26">
        <v>0.21</v>
      </c>
      <c r="P2758" s="26">
        <v>0.21</v>
      </c>
      <c r="Q2758" s="26">
        <v>0</v>
      </c>
      <c r="R2758" s="26"/>
      <c r="S2758" s="26">
        <v>0</v>
      </c>
      <c r="T2758" s="26">
        <v>0</v>
      </c>
      <c r="U2758" s="26">
        <v>0</v>
      </c>
      <c r="V2758" s="28">
        <v>0</v>
      </c>
      <c r="W2758" s="26">
        <v>0</v>
      </c>
      <c r="X2758" s="26">
        <v>0</v>
      </c>
      <c r="Y2758" s="26">
        <v>0</v>
      </c>
      <c r="Z2758" s="26">
        <v>0</v>
      </c>
    </row>
    <row r="2759" spans="1:26" x14ac:dyDescent="0.2">
      <c r="A2759">
        <f t="shared" si="88"/>
        <v>6</v>
      </c>
      <c r="B2759">
        <f t="shared" si="89"/>
        <v>25</v>
      </c>
      <c r="C2759" s="27">
        <v>46191</v>
      </c>
      <c r="D2759" s="26" t="s">
        <v>26</v>
      </c>
      <c r="E2759" s="26" t="s">
        <v>27</v>
      </c>
      <c r="F2759" s="26" t="s">
        <v>28</v>
      </c>
      <c r="G2759" s="26" t="s">
        <v>29</v>
      </c>
      <c r="H2759" s="26" t="s">
        <v>30</v>
      </c>
      <c r="I2759" s="26" t="s">
        <v>243</v>
      </c>
      <c r="J2759" s="26" t="s">
        <v>32</v>
      </c>
      <c r="K2759" s="26" t="s">
        <v>1734</v>
      </c>
      <c r="L2759" s="26">
        <v>2</v>
      </c>
      <c r="M2759" s="26">
        <v>1</v>
      </c>
      <c r="N2759" s="28">
        <v>0.5</v>
      </c>
      <c r="O2759" s="26">
        <v>0.2</v>
      </c>
      <c r="P2759" s="26">
        <v>0.2</v>
      </c>
      <c r="Q2759" s="26">
        <v>17.989999999999998</v>
      </c>
      <c r="R2759" s="28">
        <v>1.1117E-2</v>
      </c>
      <c r="S2759" s="26">
        <v>89.95</v>
      </c>
      <c r="T2759" s="26">
        <v>1</v>
      </c>
      <c r="U2759" s="26">
        <v>1</v>
      </c>
      <c r="V2759" s="28">
        <v>1</v>
      </c>
      <c r="W2759" s="26">
        <v>1</v>
      </c>
      <c r="X2759" s="26">
        <v>0</v>
      </c>
      <c r="Y2759" s="26">
        <v>17.989999999999998</v>
      </c>
      <c r="Z2759" s="26">
        <v>0</v>
      </c>
    </row>
    <row r="2760" spans="1:26" x14ac:dyDescent="0.2">
      <c r="A2760">
        <f t="shared" si="88"/>
        <v>6</v>
      </c>
      <c r="B2760">
        <f t="shared" si="89"/>
        <v>23</v>
      </c>
      <c r="C2760" s="27">
        <v>46179</v>
      </c>
      <c r="D2760" s="26" t="s">
        <v>26</v>
      </c>
      <c r="E2760" s="26" t="s">
        <v>27</v>
      </c>
      <c r="F2760" s="26" t="s">
        <v>28</v>
      </c>
      <c r="G2760" s="26" t="s">
        <v>29</v>
      </c>
      <c r="H2760" s="26" t="s">
        <v>30</v>
      </c>
      <c r="I2760" s="26" t="s">
        <v>44</v>
      </c>
      <c r="J2760" s="26" t="s">
        <v>32</v>
      </c>
      <c r="K2760" s="26" t="s">
        <v>1735</v>
      </c>
      <c r="L2760" s="26">
        <v>1</v>
      </c>
      <c r="M2760" s="26">
        <v>1</v>
      </c>
      <c r="N2760" s="28">
        <v>1</v>
      </c>
      <c r="O2760" s="26">
        <v>0.09</v>
      </c>
      <c r="P2760" s="26">
        <v>0.09</v>
      </c>
      <c r="Q2760" s="26">
        <v>0</v>
      </c>
      <c r="R2760" s="26"/>
      <c r="S2760" s="26">
        <v>0</v>
      </c>
      <c r="T2760" s="26">
        <v>0</v>
      </c>
      <c r="U2760" s="26">
        <v>0</v>
      </c>
      <c r="V2760" s="28">
        <v>0</v>
      </c>
      <c r="W2760" s="26">
        <v>0</v>
      </c>
      <c r="X2760" s="26">
        <v>0</v>
      </c>
      <c r="Y2760" s="26">
        <v>0</v>
      </c>
      <c r="Z2760" s="26">
        <v>0</v>
      </c>
    </row>
    <row r="2761" spans="1:26" x14ac:dyDescent="0.2">
      <c r="A2761">
        <f t="shared" si="88"/>
        <v>6</v>
      </c>
      <c r="B2761">
        <f t="shared" si="89"/>
        <v>25</v>
      </c>
      <c r="C2761" s="27">
        <v>46190</v>
      </c>
      <c r="D2761" s="26" t="s">
        <v>26</v>
      </c>
      <c r="E2761" s="26" t="s">
        <v>49</v>
      </c>
      <c r="F2761" s="26" t="s">
        <v>50</v>
      </c>
      <c r="G2761" s="26" t="s">
        <v>29</v>
      </c>
      <c r="H2761" s="26" t="s">
        <v>30</v>
      </c>
      <c r="I2761" s="26" t="s">
        <v>47</v>
      </c>
      <c r="J2761" s="26" t="s">
        <v>42</v>
      </c>
      <c r="K2761" s="26" t="s">
        <v>1736</v>
      </c>
      <c r="L2761" s="26">
        <v>2</v>
      </c>
      <c r="M2761" s="26">
        <v>1</v>
      </c>
      <c r="N2761" s="28">
        <v>0.5</v>
      </c>
      <c r="O2761" s="26">
        <v>0.8</v>
      </c>
      <c r="P2761" s="26">
        <v>0.8</v>
      </c>
      <c r="Q2761" s="26">
        <v>0</v>
      </c>
      <c r="R2761" s="26"/>
      <c r="S2761" s="26">
        <v>0</v>
      </c>
      <c r="T2761" s="26">
        <v>0</v>
      </c>
      <c r="U2761" s="26">
        <v>0</v>
      </c>
      <c r="V2761" s="28">
        <v>0</v>
      </c>
      <c r="W2761" s="26">
        <v>0</v>
      </c>
      <c r="X2761" s="26">
        <v>0</v>
      </c>
      <c r="Y2761" s="26">
        <v>0</v>
      </c>
      <c r="Z2761" s="26">
        <v>0</v>
      </c>
    </row>
    <row r="2762" spans="1:26" x14ac:dyDescent="0.2">
      <c r="A2762">
        <f t="shared" si="88"/>
        <v>6</v>
      </c>
      <c r="B2762">
        <f t="shared" si="89"/>
        <v>23</v>
      </c>
      <c r="C2762" s="27">
        <v>46177</v>
      </c>
      <c r="D2762" s="26" t="s">
        <v>26</v>
      </c>
      <c r="E2762" s="26" t="s">
        <v>27</v>
      </c>
      <c r="F2762" s="26" t="s">
        <v>28</v>
      </c>
      <c r="G2762" s="26" t="s">
        <v>29</v>
      </c>
      <c r="H2762" s="26" t="s">
        <v>30</v>
      </c>
      <c r="I2762" s="26" t="s">
        <v>542</v>
      </c>
      <c r="J2762" s="26" t="s">
        <v>32</v>
      </c>
      <c r="K2762" s="26" t="s">
        <v>1737</v>
      </c>
      <c r="L2762" s="26">
        <v>2</v>
      </c>
      <c r="M2762" s="26">
        <v>1</v>
      </c>
      <c r="N2762" s="28">
        <v>0.5</v>
      </c>
      <c r="O2762" s="26">
        <v>0.21</v>
      </c>
      <c r="P2762" s="26">
        <v>0.21</v>
      </c>
      <c r="Q2762" s="26">
        <v>0</v>
      </c>
      <c r="R2762" s="26"/>
      <c r="S2762" s="26">
        <v>0</v>
      </c>
      <c r="T2762" s="26">
        <v>0</v>
      </c>
      <c r="U2762" s="26">
        <v>0</v>
      </c>
      <c r="V2762" s="28">
        <v>0</v>
      </c>
      <c r="W2762" s="26">
        <v>0</v>
      </c>
      <c r="X2762" s="26">
        <v>0</v>
      </c>
      <c r="Y2762" s="26">
        <v>0</v>
      </c>
      <c r="Z2762" s="26">
        <v>0</v>
      </c>
    </row>
    <row r="2763" spans="1:26" x14ac:dyDescent="0.2">
      <c r="A2763">
        <f t="shared" si="88"/>
        <v>6</v>
      </c>
      <c r="B2763">
        <f t="shared" si="89"/>
        <v>24</v>
      </c>
      <c r="C2763" s="27">
        <v>46181</v>
      </c>
      <c r="D2763" s="26" t="s">
        <v>26</v>
      </c>
      <c r="E2763" s="26" t="s">
        <v>27</v>
      </c>
      <c r="F2763" s="26" t="s">
        <v>28</v>
      </c>
      <c r="G2763" s="26" t="s">
        <v>29</v>
      </c>
      <c r="H2763" s="26" t="s">
        <v>30</v>
      </c>
      <c r="I2763" s="26" t="s">
        <v>257</v>
      </c>
      <c r="J2763" s="26" t="s">
        <v>32</v>
      </c>
      <c r="K2763" s="26" t="s">
        <v>1738</v>
      </c>
      <c r="L2763" s="26">
        <v>4</v>
      </c>
      <c r="M2763" s="26">
        <v>2</v>
      </c>
      <c r="N2763" s="28">
        <v>0.5</v>
      </c>
      <c r="O2763" s="26">
        <v>0.21</v>
      </c>
      <c r="P2763" s="26">
        <v>0.42</v>
      </c>
      <c r="Q2763" s="26">
        <v>0</v>
      </c>
      <c r="R2763" s="26"/>
      <c r="S2763" s="26">
        <v>0</v>
      </c>
      <c r="T2763" s="26">
        <v>0</v>
      </c>
      <c r="U2763" s="26">
        <v>0</v>
      </c>
      <c r="V2763" s="28">
        <v>0</v>
      </c>
      <c r="W2763" s="26">
        <v>0</v>
      </c>
      <c r="X2763" s="26">
        <v>0</v>
      </c>
      <c r="Y2763" s="26">
        <v>0</v>
      </c>
      <c r="Z2763" s="26">
        <v>0</v>
      </c>
    </row>
    <row r="2764" spans="1:26" x14ac:dyDescent="0.2">
      <c r="A2764">
        <f t="shared" si="88"/>
        <v>6</v>
      </c>
      <c r="B2764">
        <f t="shared" si="89"/>
        <v>23</v>
      </c>
      <c r="C2764" s="27">
        <v>46179</v>
      </c>
      <c r="D2764" s="26" t="s">
        <v>26</v>
      </c>
      <c r="E2764" s="26" t="s">
        <v>27</v>
      </c>
      <c r="F2764" s="26" t="s">
        <v>28</v>
      </c>
      <c r="G2764" s="26" t="s">
        <v>29</v>
      </c>
      <c r="H2764" s="26" t="s">
        <v>30</v>
      </c>
      <c r="I2764" s="26" t="s">
        <v>37</v>
      </c>
      <c r="J2764" s="26" t="s">
        <v>32</v>
      </c>
      <c r="K2764" s="26" t="s">
        <v>1739</v>
      </c>
      <c r="L2764" s="26">
        <v>2</v>
      </c>
      <c r="M2764" s="26">
        <v>1</v>
      </c>
      <c r="N2764" s="28">
        <v>0.5</v>
      </c>
      <c r="O2764" s="26">
        <v>0.21</v>
      </c>
      <c r="P2764" s="26">
        <v>0.21</v>
      </c>
      <c r="Q2764" s="26">
        <v>0</v>
      </c>
      <c r="R2764" s="26"/>
      <c r="S2764" s="26">
        <v>0</v>
      </c>
      <c r="T2764" s="26">
        <v>0</v>
      </c>
      <c r="U2764" s="26">
        <v>0</v>
      </c>
      <c r="V2764" s="28">
        <v>0</v>
      </c>
      <c r="W2764" s="26">
        <v>0</v>
      </c>
      <c r="X2764" s="26">
        <v>0</v>
      </c>
      <c r="Y2764" s="26">
        <v>0</v>
      </c>
      <c r="Z2764" s="26">
        <v>0</v>
      </c>
    </row>
    <row r="2765" spans="1:26" x14ac:dyDescent="0.2">
      <c r="A2765">
        <f t="shared" si="88"/>
        <v>6</v>
      </c>
      <c r="B2765">
        <f t="shared" si="89"/>
        <v>25</v>
      </c>
      <c r="C2765" s="27">
        <v>46188</v>
      </c>
      <c r="D2765" s="26" t="s">
        <v>26</v>
      </c>
      <c r="E2765" s="26" t="s">
        <v>27</v>
      </c>
      <c r="F2765" s="26" t="s">
        <v>28</v>
      </c>
      <c r="G2765" s="26" t="s">
        <v>29</v>
      </c>
      <c r="H2765" s="26" t="s">
        <v>30</v>
      </c>
      <c r="I2765" s="26" t="s">
        <v>50</v>
      </c>
      <c r="J2765" s="26" t="s">
        <v>32</v>
      </c>
      <c r="K2765" s="26" t="s">
        <v>1740</v>
      </c>
      <c r="L2765" s="26">
        <v>4</v>
      </c>
      <c r="M2765" s="26">
        <v>1</v>
      </c>
      <c r="N2765" s="28">
        <v>0.25</v>
      </c>
      <c r="O2765" s="26">
        <v>0.21</v>
      </c>
      <c r="P2765" s="26">
        <v>0.21</v>
      </c>
      <c r="Q2765" s="26">
        <v>0</v>
      </c>
      <c r="R2765" s="26"/>
      <c r="S2765" s="26">
        <v>0</v>
      </c>
      <c r="T2765" s="26">
        <v>0</v>
      </c>
      <c r="U2765" s="26">
        <v>0</v>
      </c>
      <c r="V2765" s="28">
        <v>0</v>
      </c>
      <c r="W2765" s="26">
        <v>0</v>
      </c>
      <c r="X2765" s="26">
        <v>0</v>
      </c>
      <c r="Y2765" s="26">
        <v>0</v>
      </c>
      <c r="Z2765" s="26">
        <v>0</v>
      </c>
    </row>
    <row r="2766" spans="1:26" x14ac:dyDescent="0.2">
      <c r="A2766">
        <f t="shared" si="88"/>
        <v>6</v>
      </c>
      <c r="B2766">
        <f t="shared" si="89"/>
        <v>24</v>
      </c>
      <c r="C2766" s="27">
        <v>46182</v>
      </c>
      <c r="D2766" s="26" t="s">
        <v>26</v>
      </c>
      <c r="E2766" s="26" t="s">
        <v>27</v>
      </c>
      <c r="F2766" s="26" t="s">
        <v>28</v>
      </c>
      <c r="G2766" s="26" t="s">
        <v>29</v>
      </c>
      <c r="H2766" s="26" t="s">
        <v>30</v>
      </c>
      <c r="I2766" s="26" t="s">
        <v>50</v>
      </c>
      <c r="J2766" s="26" t="s">
        <v>32</v>
      </c>
      <c r="K2766" s="26" t="s">
        <v>1741</v>
      </c>
      <c r="L2766" s="26">
        <v>1</v>
      </c>
      <c r="M2766" s="26">
        <v>1</v>
      </c>
      <c r="N2766" s="28">
        <v>1</v>
      </c>
      <c r="O2766" s="26">
        <v>0.21</v>
      </c>
      <c r="P2766" s="26">
        <v>0.21</v>
      </c>
      <c r="Q2766" s="26">
        <v>0</v>
      </c>
      <c r="R2766" s="26"/>
      <c r="S2766" s="26">
        <v>0</v>
      </c>
      <c r="T2766" s="26">
        <v>0</v>
      </c>
      <c r="U2766" s="26">
        <v>0</v>
      </c>
      <c r="V2766" s="28">
        <v>0</v>
      </c>
      <c r="W2766" s="26">
        <v>0</v>
      </c>
      <c r="X2766" s="26">
        <v>0</v>
      </c>
      <c r="Y2766" s="26">
        <v>0</v>
      </c>
      <c r="Z2766" s="26">
        <v>0</v>
      </c>
    </row>
    <row r="2767" spans="1:26" x14ac:dyDescent="0.2">
      <c r="A2767">
        <f t="shared" si="88"/>
        <v>6</v>
      </c>
      <c r="B2767">
        <f t="shared" si="89"/>
        <v>24</v>
      </c>
      <c r="C2767" s="27">
        <v>46180</v>
      </c>
      <c r="D2767" s="26" t="s">
        <v>26</v>
      </c>
      <c r="E2767" s="26" t="s">
        <v>27</v>
      </c>
      <c r="F2767" s="26" t="s">
        <v>28</v>
      </c>
      <c r="G2767" s="26" t="s">
        <v>29</v>
      </c>
      <c r="H2767" s="26" t="s">
        <v>30</v>
      </c>
      <c r="I2767" s="26" t="s">
        <v>50</v>
      </c>
      <c r="J2767" s="26" t="s">
        <v>32</v>
      </c>
      <c r="K2767" s="26" t="s">
        <v>1742</v>
      </c>
      <c r="L2767" s="26">
        <v>1</v>
      </c>
      <c r="M2767" s="26">
        <v>1</v>
      </c>
      <c r="N2767" s="28">
        <v>1</v>
      </c>
      <c r="O2767" s="26">
        <v>0.21</v>
      </c>
      <c r="P2767" s="26">
        <v>0.21</v>
      </c>
      <c r="Q2767" s="26">
        <v>0</v>
      </c>
      <c r="R2767" s="26"/>
      <c r="S2767" s="26">
        <v>0</v>
      </c>
      <c r="T2767" s="26">
        <v>0</v>
      </c>
      <c r="U2767" s="26">
        <v>0</v>
      </c>
      <c r="V2767" s="28">
        <v>0</v>
      </c>
      <c r="W2767" s="26">
        <v>0</v>
      </c>
      <c r="X2767" s="26">
        <v>0</v>
      </c>
      <c r="Y2767" s="26">
        <v>0</v>
      </c>
      <c r="Z2767" s="26">
        <v>0</v>
      </c>
    </row>
    <row r="2768" spans="1:26" x14ac:dyDescent="0.2">
      <c r="A2768">
        <f t="shared" si="88"/>
        <v>6</v>
      </c>
      <c r="B2768">
        <f t="shared" si="89"/>
        <v>24</v>
      </c>
      <c r="C2768" s="27">
        <v>46182</v>
      </c>
      <c r="D2768" s="26" t="s">
        <v>26</v>
      </c>
      <c r="E2768" s="26" t="s">
        <v>39</v>
      </c>
      <c r="F2768" s="26" t="s">
        <v>40</v>
      </c>
      <c r="G2768" s="26" t="s">
        <v>29</v>
      </c>
      <c r="H2768" s="26" t="s">
        <v>30</v>
      </c>
      <c r="I2768" s="26" t="s">
        <v>1134</v>
      </c>
      <c r="J2768" s="26" t="s">
        <v>42</v>
      </c>
      <c r="K2768" s="26" t="s">
        <v>44</v>
      </c>
      <c r="L2768" s="26">
        <v>7</v>
      </c>
      <c r="M2768" s="26">
        <v>1</v>
      </c>
      <c r="N2768" s="28">
        <v>0.14285700000000001</v>
      </c>
      <c r="O2768" s="26">
        <v>0.67</v>
      </c>
      <c r="P2768" s="26">
        <v>0.67</v>
      </c>
      <c r="Q2768" s="26">
        <v>0</v>
      </c>
      <c r="R2768" s="26"/>
      <c r="S2768" s="26">
        <v>0</v>
      </c>
      <c r="T2768" s="26">
        <v>0</v>
      </c>
      <c r="U2768" s="26">
        <v>0</v>
      </c>
      <c r="V2768" s="28">
        <v>0</v>
      </c>
      <c r="W2768" s="26">
        <v>0</v>
      </c>
      <c r="X2768" s="26">
        <v>0</v>
      </c>
      <c r="Y2768" s="26">
        <v>0</v>
      </c>
      <c r="Z2768" s="26">
        <v>0</v>
      </c>
    </row>
    <row r="2769" spans="1:26" x14ac:dyDescent="0.2">
      <c r="A2769">
        <f t="shared" si="88"/>
        <v>6</v>
      </c>
      <c r="B2769">
        <f t="shared" si="89"/>
        <v>24</v>
      </c>
      <c r="C2769" s="27">
        <v>46183</v>
      </c>
      <c r="D2769" s="26" t="s">
        <v>26</v>
      </c>
      <c r="E2769" s="26" t="s">
        <v>39</v>
      </c>
      <c r="F2769" s="26" t="s">
        <v>40</v>
      </c>
      <c r="G2769" s="26" t="s">
        <v>29</v>
      </c>
      <c r="H2769" s="26" t="s">
        <v>30</v>
      </c>
      <c r="I2769" s="26" t="s">
        <v>1134</v>
      </c>
      <c r="J2769" s="26" t="s">
        <v>42</v>
      </c>
      <c r="K2769" s="26" t="s">
        <v>44</v>
      </c>
      <c r="L2769" s="26">
        <v>17</v>
      </c>
      <c r="M2769" s="26">
        <v>1</v>
      </c>
      <c r="N2769" s="28">
        <v>5.8824000000000001E-2</v>
      </c>
      <c r="O2769" s="26">
        <v>0.67</v>
      </c>
      <c r="P2769" s="26">
        <v>0.67</v>
      </c>
      <c r="Q2769" s="26">
        <v>17.47</v>
      </c>
      <c r="R2769" s="28">
        <v>3.8351000000000003E-2</v>
      </c>
      <c r="S2769" s="26">
        <v>26.07</v>
      </c>
      <c r="T2769" s="26">
        <v>1</v>
      </c>
      <c r="U2769" s="26">
        <v>1</v>
      </c>
      <c r="V2769" s="28">
        <v>1</v>
      </c>
      <c r="W2769" s="26">
        <v>1</v>
      </c>
      <c r="X2769" s="26">
        <v>0</v>
      </c>
      <c r="Y2769" s="26">
        <v>17.47</v>
      </c>
      <c r="Z2769" s="26">
        <v>0</v>
      </c>
    </row>
    <row r="2770" spans="1:26" x14ac:dyDescent="0.2">
      <c r="A2770">
        <f t="shared" si="88"/>
        <v>6</v>
      </c>
      <c r="B2770">
        <f t="shared" si="89"/>
        <v>23</v>
      </c>
      <c r="C2770" s="27">
        <v>46178</v>
      </c>
      <c r="D2770" s="26" t="s">
        <v>26</v>
      </c>
      <c r="E2770" s="26" t="s">
        <v>49</v>
      </c>
      <c r="F2770" s="26" t="s">
        <v>50</v>
      </c>
      <c r="G2770" s="26" t="s">
        <v>29</v>
      </c>
      <c r="H2770" s="26" t="s">
        <v>30</v>
      </c>
      <c r="I2770" s="26" t="s">
        <v>47</v>
      </c>
      <c r="J2770" s="26" t="s">
        <v>42</v>
      </c>
      <c r="K2770" s="26" t="s">
        <v>44</v>
      </c>
      <c r="L2770" s="26">
        <v>11</v>
      </c>
      <c r="M2770" s="26">
        <v>1</v>
      </c>
      <c r="N2770" s="28">
        <v>9.0909000000000004E-2</v>
      </c>
      <c r="O2770" s="26">
        <v>1.1000000000000001</v>
      </c>
      <c r="P2770" s="26">
        <v>1.1000000000000001</v>
      </c>
      <c r="Q2770" s="26">
        <v>0</v>
      </c>
      <c r="R2770" s="26"/>
      <c r="S2770" s="26">
        <v>0</v>
      </c>
      <c r="T2770" s="26">
        <v>0</v>
      </c>
      <c r="U2770" s="26">
        <v>0</v>
      </c>
      <c r="V2770" s="28">
        <v>0</v>
      </c>
      <c r="W2770" s="26">
        <v>0</v>
      </c>
      <c r="X2770" s="26">
        <v>0</v>
      </c>
      <c r="Y2770" s="26">
        <v>0</v>
      </c>
      <c r="Z2770" s="26">
        <v>0</v>
      </c>
    </row>
    <row r="2771" spans="1:26" x14ac:dyDescent="0.2">
      <c r="A2771">
        <f t="shared" si="88"/>
        <v>6</v>
      </c>
      <c r="B2771">
        <f t="shared" si="89"/>
        <v>24</v>
      </c>
      <c r="C2771" s="27">
        <v>46183</v>
      </c>
      <c r="D2771" s="26" t="s">
        <v>26</v>
      </c>
      <c r="E2771" s="26" t="s">
        <v>49</v>
      </c>
      <c r="F2771" s="26" t="s">
        <v>50</v>
      </c>
      <c r="G2771" s="26" t="s">
        <v>29</v>
      </c>
      <c r="H2771" s="26" t="s">
        <v>30</v>
      </c>
      <c r="I2771" s="26" t="s">
        <v>47</v>
      </c>
      <c r="J2771" s="26" t="s">
        <v>42</v>
      </c>
      <c r="K2771" s="26" t="s">
        <v>44</v>
      </c>
      <c r="L2771" s="26">
        <v>24</v>
      </c>
      <c r="M2771" s="26">
        <v>1</v>
      </c>
      <c r="N2771" s="28">
        <v>4.1667000000000003E-2</v>
      </c>
      <c r="O2771" s="26">
        <v>1.1000000000000001</v>
      </c>
      <c r="P2771" s="26">
        <v>1.1000000000000001</v>
      </c>
      <c r="Q2771" s="26">
        <v>0</v>
      </c>
      <c r="R2771" s="26"/>
      <c r="S2771" s="26">
        <v>0</v>
      </c>
      <c r="T2771" s="26">
        <v>0</v>
      </c>
      <c r="U2771" s="26">
        <v>0</v>
      </c>
      <c r="V2771" s="28">
        <v>0</v>
      </c>
      <c r="W2771" s="26">
        <v>0</v>
      </c>
      <c r="X2771" s="26">
        <v>0</v>
      </c>
      <c r="Y2771" s="26">
        <v>0</v>
      </c>
      <c r="Z2771" s="26">
        <v>0</v>
      </c>
    </row>
    <row r="2772" spans="1:26" x14ac:dyDescent="0.2">
      <c r="A2772">
        <f t="shared" si="88"/>
        <v>6</v>
      </c>
      <c r="B2772">
        <f t="shared" si="89"/>
        <v>24</v>
      </c>
      <c r="C2772" s="27">
        <v>46185</v>
      </c>
      <c r="D2772" s="26" t="s">
        <v>26</v>
      </c>
      <c r="E2772" s="26" t="s">
        <v>27</v>
      </c>
      <c r="F2772" s="26" t="s">
        <v>28</v>
      </c>
      <c r="G2772" s="26" t="s">
        <v>29</v>
      </c>
      <c r="H2772" s="26" t="s">
        <v>30</v>
      </c>
      <c r="I2772" s="26" t="s">
        <v>50</v>
      </c>
      <c r="J2772" s="26" t="s">
        <v>32</v>
      </c>
      <c r="K2772" s="26" t="s">
        <v>44</v>
      </c>
      <c r="L2772" s="26">
        <v>9</v>
      </c>
      <c r="M2772" s="26">
        <v>1</v>
      </c>
      <c r="N2772" s="28">
        <v>0.111111</v>
      </c>
      <c r="O2772" s="26">
        <v>0.21</v>
      </c>
      <c r="P2772" s="26">
        <v>0.21</v>
      </c>
      <c r="Q2772" s="26">
        <v>0</v>
      </c>
      <c r="R2772" s="26"/>
      <c r="S2772" s="26">
        <v>0</v>
      </c>
      <c r="T2772" s="26">
        <v>0</v>
      </c>
      <c r="U2772" s="26">
        <v>0</v>
      </c>
      <c r="V2772" s="28">
        <v>0</v>
      </c>
      <c r="W2772" s="26">
        <v>0</v>
      </c>
      <c r="X2772" s="26">
        <v>0</v>
      </c>
      <c r="Y2772" s="26">
        <v>0</v>
      </c>
      <c r="Z2772" s="26">
        <v>0</v>
      </c>
    </row>
    <row r="2773" spans="1:26" x14ac:dyDescent="0.2">
      <c r="A2773">
        <f t="shared" si="88"/>
        <v>6</v>
      </c>
      <c r="B2773">
        <f t="shared" si="89"/>
        <v>25</v>
      </c>
      <c r="C2773" s="27">
        <v>46189</v>
      </c>
      <c r="D2773" s="26" t="s">
        <v>26</v>
      </c>
      <c r="E2773" s="26" t="s">
        <v>27</v>
      </c>
      <c r="F2773" s="26" t="s">
        <v>28</v>
      </c>
      <c r="G2773" s="26" t="s">
        <v>29</v>
      </c>
      <c r="H2773" s="26" t="s">
        <v>30</v>
      </c>
      <c r="I2773" s="26" t="s">
        <v>50</v>
      </c>
      <c r="J2773" s="26" t="s">
        <v>32</v>
      </c>
      <c r="K2773" s="26" t="s">
        <v>44</v>
      </c>
      <c r="L2773" s="26">
        <v>2</v>
      </c>
      <c r="M2773" s="26">
        <v>1</v>
      </c>
      <c r="N2773" s="28">
        <v>0.5</v>
      </c>
      <c r="O2773" s="26">
        <v>0.21</v>
      </c>
      <c r="P2773" s="26">
        <v>0.21</v>
      </c>
      <c r="Q2773" s="26">
        <v>0</v>
      </c>
      <c r="R2773" s="26"/>
      <c r="S2773" s="26">
        <v>0</v>
      </c>
      <c r="T2773" s="26">
        <v>0</v>
      </c>
      <c r="U2773" s="26">
        <v>0</v>
      </c>
      <c r="V2773" s="28">
        <v>0</v>
      </c>
      <c r="W2773" s="26">
        <v>0</v>
      </c>
      <c r="X2773" s="26">
        <v>0</v>
      </c>
      <c r="Y2773" s="26">
        <v>0</v>
      </c>
      <c r="Z2773" s="26">
        <v>0</v>
      </c>
    </row>
    <row r="2774" spans="1:26" x14ac:dyDescent="0.2">
      <c r="A2774">
        <f t="shared" si="88"/>
        <v>6</v>
      </c>
      <c r="B2774">
        <f t="shared" si="89"/>
        <v>23</v>
      </c>
      <c r="C2774" s="27">
        <v>46178</v>
      </c>
      <c r="D2774" s="26" t="s">
        <v>26</v>
      </c>
      <c r="E2774" s="26" t="s">
        <v>27</v>
      </c>
      <c r="F2774" s="26" t="s">
        <v>124</v>
      </c>
      <c r="G2774" s="26" t="s">
        <v>29</v>
      </c>
      <c r="H2774" s="26" t="s">
        <v>30</v>
      </c>
      <c r="I2774" s="26" t="s">
        <v>44</v>
      </c>
      <c r="J2774" s="26" t="s">
        <v>87</v>
      </c>
      <c r="K2774" s="26" t="s">
        <v>44</v>
      </c>
      <c r="L2774" s="26">
        <v>12</v>
      </c>
      <c r="M2774" s="26">
        <v>1</v>
      </c>
      <c r="N2774" s="28">
        <v>8.3333000000000004E-2</v>
      </c>
      <c r="O2774" s="26">
        <v>0.2</v>
      </c>
      <c r="P2774" s="26">
        <v>0.2</v>
      </c>
      <c r="Q2774" s="26">
        <v>0</v>
      </c>
      <c r="R2774" s="26"/>
      <c r="S2774" s="26">
        <v>0</v>
      </c>
      <c r="T2774" s="26">
        <v>0</v>
      </c>
      <c r="U2774" s="26">
        <v>0</v>
      </c>
      <c r="V2774" s="28">
        <v>0</v>
      </c>
      <c r="W2774" s="26">
        <v>0</v>
      </c>
      <c r="X2774" s="26">
        <v>0</v>
      </c>
      <c r="Y2774" s="26">
        <v>0</v>
      </c>
      <c r="Z2774" s="26">
        <v>0</v>
      </c>
    </row>
    <row r="2775" spans="1:26" x14ac:dyDescent="0.2">
      <c r="A2775">
        <f t="shared" si="88"/>
        <v>6</v>
      </c>
      <c r="B2775">
        <f t="shared" si="89"/>
        <v>23</v>
      </c>
      <c r="C2775" s="27">
        <v>46179</v>
      </c>
      <c r="D2775" s="26" t="s">
        <v>26</v>
      </c>
      <c r="E2775" s="26" t="s">
        <v>27</v>
      </c>
      <c r="F2775" s="26" t="s">
        <v>124</v>
      </c>
      <c r="G2775" s="26" t="s">
        <v>29</v>
      </c>
      <c r="H2775" s="26" t="s">
        <v>30</v>
      </c>
      <c r="I2775" s="26" t="s">
        <v>44</v>
      </c>
      <c r="J2775" s="26" t="s">
        <v>87</v>
      </c>
      <c r="K2775" s="26" t="s">
        <v>44</v>
      </c>
      <c r="L2775" s="26">
        <v>1</v>
      </c>
      <c r="M2775" s="26">
        <v>1</v>
      </c>
      <c r="N2775" s="28">
        <v>1</v>
      </c>
      <c r="O2775" s="26">
        <v>0.4</v>
      </c>
      <c r="P2775" s="26">
        <v>0.4</v>
      </c>
      <c r="Q2775" s="26">
        <v>0</v>
      </c>
      <c r="R2775" s="26"/>
      <c r="S2775" s="26">
        <v>0</v>
      </c>
      <c r="T2775" s="26">
        <v>0</v>
      </c>
      <c r="U2775" s="26">
        <v>0</v>
      </c>
      <c r="V2775" s="28">
        <v>0</v>
      </c>
      <c r="W2775" s="26">
        <v>0</v>
      </c>
      <c r="X2775" s="26">
        <v>0</v>
      </c>
      <c r="Y2775" s="26">
        <v>0</v>
      </c>
      <c r="Z2775" s="26">
        <v>0</v>
      </c>
    </row>
    <row r="2776" spans="1:26" x14ac:dyDescent="0.2">
      <c r="A2776">
        <f t="shared" si="88"/>
        <v>6</v>
      </c>
      <c r="B2776">
        <f t="shared" si="89"/>
        <v>23</v>
      </c>
      <c r="C2776" s="27">
        <v>46179</v>
      </c>
      <c r="D2776" s="26" t="s">
        <v>26</v>
      </c>
      <c r="E2776" s="26" t="s">
        <v>27</v>
      </c>
      <c r="F2776" s="26" t="s">
        <v>124</v>
      </c>
      <c r="G2776" s="26" t="s">
        <v>29</v>
      </c>
      <c r="H2776" s="26" t="s">
        <v>30</v>
      </c>
      <c r="I2776" s="26" t="s">
        <v>44</v>
      </c>
      <c r="J2776" s="26" t="s">
        <v>267</v>
      </c>
      <c r="K2776" s="26" t="s">
        <v>44</v>
      </c>
      <c r="L2776" s="26">
        <v>125</v>
      </c>
      <c r="M2776" s="26">
        <v>1</v>
      </c>
      <c r="N2776" s="28">
        <v>8.0000000000000002E-3</v>
      </c>
      <c r="O2776" s="26">
        <v>0.2</v>
      </c>
      <c r="P2776" s="26">
        <v>0.2</v>
      </c>
      <c r="Q2776" s="26">
        <v>0</v>
      </c>
      <c r="R2776" s="26"/>
      <c r="S2776" s="26">
        <v>0</v>
      </c>
      <c r="T2776" s="26">
        <v>0</v>
      </c>
      <c r="U2776" s="26">
        <v>0</v>
      </c>
      <c r="V2776" s="28">
        <v>0</v>
      </c>
      <c r="W2776" s="26">
        <v>0</v>
      </c>
      <c r="X2776" s="26">
        <v>0</v>
      </c>
      <c r="Y2776" s="26">
        <v>0</v>
      </c>
      <c r="Z2776" s="26">
        <v>0</v>
      </c>
    </row>
    <row r="2777" spans="1:26" x14ac:dyDescent="0.2">
      <c r="A2777">
        <f t="shared" si="88"/>
        <v>6</v>
      </c>
      <c r="B2777">
        <f t="shared" si="89"/>
        <v>24</v>
      </c>
      <c r="C2777" s="27">
        <v>46180</v>
      </c>
      <c r="D2777" s="26" t="s">
        <v>26</v>
      </c>
      <c r="E2777" s="26" t="s">
        <v>27</v>
      </c>
      <c r="F2777" s="26" t="s">
        <v>124</v>
      </c>
      <c r="G2777" s="26" t="s">
        <v>29</v>
      </c>
      <c r="H2777" s="26" t="s">
        <v>30</v>
      </c>
      <c r="I2777" s="26" t="s">
        <v>44</v>
      </c>
      <c r="J2777" s="26" t="s">
        <v>267</v>
      </c>
      <c r="K2777" s="26" t="s">
        <v>44</v>
      </c>
      <c r="L2777" s="26">
        <v>4</v>
      </c>
      <c r="M2777" s="26">
        <v>1</v>
      </c>
      <c r="N2777" s="28">
        <v>0.25</v>
      </c>
      <c r="O2777" s="26">
        <v>0.2</v>
      </c>
      <c r="P2777" s="26">
        <v>0.2</v>
      </c>
      <c r="Q2777" s="26">
        <v>0</v>
      </c>
      <c r="R2777" s="26"/>
      <c r="S2777" s="26">
        <v>0</v>
      </c>
      <c r="T2777" s="26">
        <v>0</v>
      </c>
      <c r="U2777" s="26">
        <v>0</v>
      </c>
      <c r="V2777" s="28">
        <v>0</v>
      </c>
      <c r="W2777" s="26">
        <v>0</v>
      </c>
      <c r="X2777" s="26">
        <v>0</v>
      </c>
      <c r="Y2777" s="26">
        <v>0</v>
      </c>
      <c r="Z2777" s="26">
        <v>0</v>
      </c>
    </row>
    <row r="2778" spans="1:26" x14ac:dyDescent="0.2">
      <c r="A2778">
        <f t="shared" si="88"/>
        <v>6</v>
      </c>
      <c r="B2778">
        <f t="shared" si="89"/>
        <v>24</v>
      </c>
      <c r="C2778" s="27">
        <v>46186</v>
      </c>
      <c r="D2778" s="26" t="s">
        <v>26</v>
      </c>
      <c r="E2778" s="26" t="s">
        <v>27</v>
      </c>
      <c r="F2778" s="26" t="s">
        <v>124</v>
      </c>
      <c r="G2778" s="26" t="s">
        <v>29</v>
      </c>
      <c r="H2778" s="26" t="s">
        <v>30</v>
      </c>
      <c r="I2778" s="26" t="s">
        <v>44</v>
      </c>
      <c r="J2778" s="26" t="s">
        <v>267</v>
      </c>
      <c r="K2778" s="26" t="s">
        <v>44</v>
      </c>
      <c r="L2778" s="26">
        <v>321</v>
      </c>
      <c r="M2778" s="26">
        <v>4</v>
      </c>
      <c r="N2778" s="28">
        <v>1.2461E-2</v>
      </c>
      <c r="O2778" s="26">
        <v>0.2</v>
      </c>
      <c r="P2778" s="26">
        <v>0.8</v>
      </c>
      <c r="Q2778" s="26">
        <v>0</v>
      </c>
      <c r="R2778" s="26"/>
      <c r="S2778" s="26">
        <v>0</v>
      </c>
      <c r="T2778" s="26">
        <v>0</v>
      </c>
      <c r="U2778" s="26">
        <v>0</v>
      </c>
      <c r="V2778" s="28">
        <v>0</v>
      </c>
      <c r="W2778" s="26">
        <v>0</v>
      </c>
      <c r="X2778" s="26">
        <v>0</v>
      </c>
      <c r="Y2778" s="26">
        <v>0</v>
      </c>
      <c r="Z2778" s="26">
        <v>0</v>
      </c>
    </row>
    <row r="2779" spans="1:26" x14ac:dyDescent="0.2">
      <c r="A2779">
        <f t="shared" si="88"/>
        <v>6</v>
      </c>
      <c r="B2779">
        <f t="shared" si="89"/>
        <v>25</v>
      </c>
      <c r="C2779" s="27">
        <v>46188</v>
      </c>
      <c r="D2779" s="26" t="s">
        <v>26</v>
      </c>
      <c r="E2779" s="26" t="s">
        <v>27</v>
      </c>
      <c r="F2779" s="26" t="s">
        <v>124</v>
      </c>
      <c r="G2779" s="26" t="s">
        <v>29</v>
      </c>
      <c r="H2779" s="26" t="s">
        <v>30</v>
      </c>
      <c r="I2779" s="26" t="s">
        <v>44</v>
      </c>
      <c r="J2779" s="26" t="s">
        <v>267</v>
      </c>
      <c r="K2779" s="26" t="s">
        <v>44</v>
      </c>
      <c r="L2779" s="26">
        <v>156</v>
      </c>
      <c r="M2779" s="26">
        <v>1</v>
      </c>
      <c r="N2779" s="28">
        <v>6.4099999999999999E-3</v>
      </c>
      <c r="O2779" s="26">
        <v>0.2</v>
      </c>
      <c r="P2779" s="26">
        <v>0.2</v>
      </c>
      <c r="Q2779" s="26">
        <v>0</v>
      </c>
      <c r="R2779" s="26"/>
      <c r="S2779" s="26">
        <v>0</v>
      </c>
      <c r="T2779" s="26">
        <v>0</v>
      </c>
      <c r="U2779" s="26">
        <v>0</v>
      </c>
      <c r="V2779" s="28">
        <v>0</v>
      </c>
      <c r="W2779" s="26">
        <v>0</v>
      </c>
      <c r="X2779" s="26">
        <v>0</v>
      </c>
      <c r="Y2779" s="26">
        <v>0</v>
      </c>
      <c r="Z2779" s="26">
        <v>0</v>
      </c>
    </row>
    <row r="2780" spans="1:26" x14ac:dyDescent="0.2">
      <c r="A2780">
        <f t="shared" si="88"/>
        <v>6</v>
      </c>
      <c r="B2780">
        <f t="shared" si="89"/>
        <v>24</v>
      </c>
      <c r="C2780" s="27">
        <v>46185</v>
      </c>
      <c r="D2780" s="26" t="s">
        <v>26</v>
      </c>
      <c r="E2780" s="26" t="s">
        <v>27</v>
      </c>
      <c r="F2780" s="26" t="s">
        <v>28</v>
      </c>
      <c r="G2780" s="26" t="s">
        <v>29</v>
      </c>
      <c r="H2780" s="26" t="s">
        <v>30</v>
      </c>
      <c r="I2780" s="26" t="s">
        <v>44</v>
      </c>
      <c r="J2780" s="26" t="s">
        <v>32</v>
      </c>
      <c r="K2780" s="26" t="s">
        <v>44</v>
      </c>
      <c r="L2780" s="26">
        <v>3</v>
      </c>
      <c r="M2780" s="26">
        <v>1</v>
      </c>
      <c r="N2780" s="28">
        <v>0.33333299999999999</v>
      </c>
      <c r="O2780" s="26">
        <v>0.21</v>
      </c>
      <c r="P2780" s="26">
        <v>0.21</v>
      </c>
      <c r="Q2780" s="26">
        <v>0</v>
      </c>
      <c r="R2780" s="26"/>
      <c r="S2780" s="26">
        <v>0</v>
      </c>
      <c r="T2780" s="26">
        <v>0</v>
      </c>
      <c r="U2780" s="26">
        <v>0</v>
      </c>
      <c r="V2780" s="28">
        <v>0</v>
      </c>
      <c r="W2780" s="26">
        <v>0</v>
      </c>
      <c r="X2780" s="26">
        <v>0</v>
      </c>
      <c r="Y2780" s="26">
        <v>0</v>
      </c>
      <c r="Z2780" s="26">
        <v>0</v>
      </c>
    </row>
    <row r="2781" spans="1:26" x14ac:dyDescent="0.2">
      <c r="A2781">
        <f t="shared" si="88"/>
        <v>6</v>
      </c>
      <c r="B2781">
        <f t="shared" si="89"/>
        <v>24</v>
      </c>
      <c r="C2781" s="27">
        <v>46184</v>
      </c>
      <c r="D2781" s="26" t="s">
        <v>26</v>
      </c>
      <c r="E2781" s="26" t="s">
        <v>27</v>
      </c>
      <c r="F2781" s="26" t="s">
        <v>28</v>
      </c>
      <c r="G2781" s="26" t="s">
        <v>29</v>
      </c>
      <c r="H2781" s="26" t="s">
        <v>30</v>
      </c>
      <c r="I2781" s="26" t="s">
        <v>542</v>
      </c>
      <c r="J2781" s="26" t="s">
        <v>32</v>
      </c>
      <c r="K2781" s="26" t="s">
        <v>1743</v>
      </c>
      <c r="L2781" s="26">
        <v>2</v>
      </c>
      <c r="M2781" s="26">
        <v>1</v>
      </c>
      <c r="N2781" s="28">
        <v>0.5</v>
      </c>
      <c r="O2781" s="26">
        <v>0.21</v>
      </c>
      <c r="P2781" s="26">
        <v>0.21</v>
      </c>
      <c r="Q2781" s="26">
        <v>0</v>
      </c>
      <c r="R2781" s="26"/>
      <c r="S2781" s="26">
        <v>0</v>
      </c>
      <c r="T2781" s="26">
        <v>0</v>
      </c>
      <c r="U2781" s="26">
        <v>0</v>
      </c>
      <c r="V2781" s="28">
        <v>0</v>
      </c>
      <c r="W2781" s="26">
        <v>0</v>
      </c>
      <c r="X2781" s="26">
        <v>0</v>
      </c>
      <c r="Y2781" s="26">
        <v>0</v>
      </c>
      <c r="Z2781" s="26">
        <v>0</v>
      </c>
    </row>
    <row r="2782" spans="1:26" x14ac:dyDescent="0.2">
      <c r="A2782">
        <f t="shared" si="88"/>
        <v>6</v>
      </c>
      <c r="B2782">
        <f t="shared" si="89"/>
        <v>25</v>
      </c>
      <c r="C2782" s="27">
        <v>46187</v>
      </c>
      <c r="D2782" s="26" t="s">
        <v>26</v>
      </c>
      <c r="E2782" s="26" t="s">
        <v>49</v>
      </c>
      <c r="F2782" s="26" t="s">
        <v>50</v>
      </c>
      <c r="G2782" s="26" t="s">
        <v>29</v>
      </c>
      <c r="H2782" s="26" t="s">
        <v>30</v>
      </c>
      <c r="I2782" s="26" t="s">
        <v>95</v>
      </c>
      <c r="J2782" s="26" t="s">
        <v>42</v>
      </c>
      <c r="K2782" s="26" t="s">
        <v>1744</v>
      </c>
      <c r="L2782" s="26">
        <v>5</v>
      </c>
      <c r="M2782" s="26">
        <v>1</v>
      </c>
      <c r="N2782" s="28">
        <v>0.2</v>
      </c>
      <c r="O2782" s="26">
        <v>0.77</v>
      </c>
      <c r="P2782" s="26">
        <v>0.77</v>
      </c>
      <c r="Q2782" s="26">
        <v>0</v>
      </c>
      <c r="R2782" s="26"/>
      <c r="S2782" s="26">
        <v>0</v>
      </c>
      <c r="T2782" s="26">
        <v>0</v>
      </c>
      <c r="U2782" s="26">
        <v>0</v>
      </c>
      <c r="V2782" s="28">
        <v>0</v>
      </c>
      <c r="W2782" s="26">
        <v>0</v>
      </c>
      <c r="X2782" s="26">
        <v>0</v>
      </c>
      <c r="Y2782" s="26">
        <v>0</v>
      </c>
      <c r="Z2782" s="26">
        <v>0</v>
      </c>
    </row>
    <row r="2783" spans="1:26" x14ac:dyDescent="0.2">
      <c r="A2783">
        <f t="shared" si="88"/>
        <v>6</v>
      </c>
      <c r="B2783">
        <f t="shared" si="89"/>
        <v>23</v>
      </c>
      <c r="C2783" s="27">
        <v>46175</v>
      </c>
      <c r="D2783" s="26" t="s">
        <v>26</v>
      </c>
      <c r="E2783" s="26" t="s">
        <v>39</v>
      </c>
      <c r="F2783" s="26" t="s">
        <v>40</v>
      </c>
      <c r="G2783" s="26" t="s">
        <v>29</v>
      </c>
      <c r="H2783" s="26" t="s">
        <v>30</v>
      </c>
      <c r="I2783" s="26" t="s">
        <v>1134</v>
      </c>
      <c r="J2783" s="26" t="s">
        <v>42</v>
      </c>
      <c r="K2783" s="26" t="s">
        <v>813</v>
      </c>
      <c r="L2783" s="26">
        <v>2</v>
      </c>
      <c r="M2783" s="26">
        <v>1</v>
      </c>
      <c r="N2783" s="28">
        <v>0.5</v>
      </c>
      <c r="O2783" s="26">
        <v>0.65</v>
      </c>
      <c r="P2783" s="26">
        <v>0.65</v>
      </c>
      <c r="Q2783" s="26">
        <v>0</v>
      </c>
      <c r="R2783" s="26"/>
      <c r="S2783" s="26">
        <v>0</v>
      </c>
      <c r="T2783" s="26">
        <v>0</v>
      </c>
      <c r="U2783" s="26">
        <v>0</v>
      </c>
      <c r="V2783" s="28">
        <v>0</v>
      </c>
      <c r="W2783" s="26">
        <v>0</v>
      </c>
      <c r="X2783" s="26">
        <v>0</v>
      </c>
      <c r="Y2783" s="26">
        <v>0</v>
      </c>
      <c r="Z2783" s="26">
        <v>0</v>
      </c>
    </row>
    <row r="2784" spans="1:26" x14ac:dyDescent="0.2">
      <c r="A2784">
        <f t="shared" si="88"/>
        <v>6</v>
      </c>
      <c r="B2784">
        <f t="shared" si="89"/>
        <v>25</v>
      </c>
      <c r="C2784" s="27">
        <v>46192</v>
      </c>
      <c r="D2784" s="26" t="s">
        <v>26</v>
      </c>
      <c r="E2784" s="26" t="s">
        <v>27</v>
      </c>
      <c r="F2784" s="26" t="s">
        <v>124</v>
      </c>
      <c r="G2784" s="26" t="s">
        <v>29</v>
      </c>
      <c r="H2784" s="26" t="s">
        <v>30</v>
      </c>
      <c r="I2784" s="26" t="s">
        <v>44</v>
      </c>
      <c r="J2784" s="26" t="s">
        <v>87</v>
      </c>
      <c r="K2784" s="26" t="s">
        <v>813</v>
      </c>
      <c r="L2784" s="26">
        <v>1</v>
      </c>
      <c r="M2784" s="26">
        <v>1</v>
      </c>
      <c r="N2784" s="28">
        <v>1</v>
      </c>
      <c r="O2784" s="26">
        <v>0.4</v>
      </c>
      <c r="P2784" s="26">
        <v>0.4</v>
      </c>
      <c r="Q2784" s="26">
        <v>18.989999999999998</v>
      </c>
      <c r="R2784" s="28">
        <v>2.1063999999999999E-2</v>
      </c>
      <c r="S2784" s="26">
        <v>47.48</v>
      </c>
      <c r="T2784" s="26">
        <v>1</v>
      </c>
      <c r="U2784" s="26">
        <v>1</v>
      </c>
      <c r="V2784" s="28">
        <v>1</v>
      </c>
      <c r="W2784" s="26">
        <v>1</v>
      </c>
      <c r="X2784" s="26">
        <v>0</v>
      </c>
      <c r="Y2784" s="26">
        <v>18.989999999999998</v>
      </c>
      <c r="Z2784" s="26">
        <v>0</v>
      </c>
    </row>
    <row r="2785" spans="1:26" x14ac:dyDescent="0.2">
      <c r="A2785">
        <f t="shared" si="88"/>
        <v>6</v>
      </c>
      <c r="B2785">
        <f t="shared" si="89"/>
        <v>23</v>
      </c>
      <c r="C2785" s="27">
        <v>46175</v>
      </c>
      <c r="D2785" s="26" t="s">
        <v>26</v>
      </c>
      <c r="E2785" s="26" t="s">
        <v>27</v>
      </c>
      <c r="F2785" s="26" t="s">
        <v>28</v>
      </c>
      <c r="G2785" s="26" t="s">
        <v>29</v>
      </c>
      <c r="H2785" s="26" t="s">
        <v>30</v>
      </c>
      <c r="I2785" s="26" t="s">
        <v>50</v>
      </c>
      <c r="J2785" s="26" t="s">
        <v>32</v>
      </c>
      <c r="K2785" s="26" t="s">
        <v>263</v>
      </c>
      <c r="L2785" s="26">
        <v>1</v>
      </c>
      <c r="M2785" s="26">
        <v>1</v>
      </c>
      <c r="N2785" s="28">
        <v>1</v>
      </c>
      <c r="O2785" s="26">
        <v>0.4</v>
      </c>
      <c r="P2785" s="26">
        <v>0.4</v>
      </c>
      <c r="Q2785" s="26">
        <v>34.94</v>
      </c>
      <c r="R2785" s="28">
        <v>1.1448E-2</v>
      </c>
      <c r="S2785" s="26">
        <v>87.35</v>
      </c>
      <c r="T2785" s="26">
        <v>1</v>
      </c>
      <c r="U2785" s="26">
        <v>2</v>
      </c>
      <c r="V2785" s="28">
        <v>1</v>
      </c>
      <c r="W2785" s="26">
        <v>2</v>
      </c>
      <c r="X2785" s="26">
        <v>0</v>
      </c>
      <c r="Y2785" s="26">
        <v>34.94</v>
      </c>
      <c r="Z2785" s="26">
        <v>0</v>
      </c>
    </row>
    <row r="2786" spans="1:26" x14ac:dyDescent="0.2">
      <c r="A2786">
        <f t="shared" si="88"/>
        <v>6</v>
      </c>
      <c r="B2786">
        <f t="shared" si="89"/>
        <v>23</v>
      </c>
      <c r="C2786" s="27">
        <v>46175</v>
      </c>
      <c r="D2786" s="26" t="s">
        <v>26</v>
      </c>
      <c r="E2786" s="26" t="s">
        <v>49</v>
      </c>
      <c r="F2786" s="26" t="s">
        <v>50</v>
      </c>
      <c r="G2786" s="26" t="s">
        <v>29</v>
      </c>
      <c r="H2786" s="26" t="s">
        <v>30</v>
      </c>
      <c r="I2786" s="26" t="s">
        <v>47</v>
      </c>
      <c r="J2786" s="26" t="s">
        <v>42</v>
      </c>
      <c r="K2786" s="26" t="s">
        <v>1745</v>
      </c>
      <c r="L2786" s="26">
        <v>4</v>
      </c>
      <c r="M2786" s="26">
        <v>2</v>
      </c>
      <c r="N2786" s="28">
        <v>0.5</v>
      </c>
      <c r="O2786" s="26">
        <v>1.1000000000000001</v>
      </c>
      <c r="P2786" s="26">
        <v>2.2000000000000002</v>
      </c>
      <c r="Q2786" s="26">
        <v>0</v>
      </c>
      <c r="R2786" s="26"/>
      <c r="S2786" s="26">
        <v>0</v>
      </c>
      <c r="T2786" s="26">
        <v>0</v>
      </c>
      <c r="U2786" s="26">
        <v>0</v>
      </c>
      <c r="V2786" s="28">
        <v>0</v>
      </c>
      <c r="W2786" s="26">
        <v>0</v>
      </c>
      <c r="X2786" s="26">
        <v>0</v>
      </c>
      <c r="Y2786" s="26">
        <v>0</v>
      </c>
      <c r="Z2786" s="26">
        <v>0</v>
      </c>
    </row>
    <row r="2787" spans="1:26" x14ac:dyDescent="0.2">
      <c r="A2787">
        <f t="shared" si="88"/>
        <v>6</v>
      </c>
      <c r="B2787">
        <f t="shared" si="89"/>
        <v>23</v>
      </c>
      <c r="C2787" s="27">
        <v>46176</v>
      </c>
      <c r="D2787" s="26" t="s">
        <v>26</v>
      </c>
      <c r="E2787" s="26" t="s">
        <v>27</v>
      </c>
      <c r="F2787" s="26" t="s">
        <v>28</v>
      </c>
      <c r="G2787" s="26" t="s">
        <v>29</v>
      </c>
      <c r="H2787" s="26" t="s">
        <v>30</v>
      </c>
      <c r="I2787" s="26" t="s">
        <v>101</v>
      </c>
      <c r="J2787" s="26" t="s">
        <v>32</v>
      </c>
      <c r="K2787" s="26" t="s">
        <v>1746</v>
      </c>
      <c r="L2787" s="26">
        <v>4</v>
      </c>
      <c r="M2787" s="26">
        <v>1</v>
      </c>
      <c r="N2787" s="28">
        <v>0.25</v>
      </c>
      <c r="O2787" s="26">
        <v>0.21</v>
      </c>
      <c r="P2787" s="26">
        <v>0.21</v>
      </c>
      <c r="Q2787" s="26">
        <v>0</v>
      </c>
      <c r="R2787" s="26"/>
      <c r="S2787" s="26">
        <v>0</v>
      </c>
      <c r="T2787" s="26">
        <v>0</v>
      </c>
      <c r="U2787" s="26">
        <v>0</v>
      </c>
      <c r="V2787" s="28">
        <v>0</v>
      </c>
      <c r="W2787" s="26">
        <v>0</v>
      </c>
      <c r="X2787" s="26">
        <v>0</v>
      </c>
      <c r="Y2787" s="26">
        <v>0</v>
      </c>
      <c r="Z2787" s="26">
        <v>0</v>
      </c>
    </row>
    <row r="2788" spans="1:26" x14ac:dyDescent="0.2">
      <c r="A2788">
        <f t="shared" si="88"/>
        <v>6</v>
      </c>
      <c r="B2788">
        <f t="shared" si="89"/>
        <v>24</v>
      </c>
      <c r="C2788" s="27">
        <v>46185</v>
      </c>
      <c r="D2788" s="26" t="s">
        <v>26</v>
      </c>
      <c r="E2788" s="26" t="s">
        <v>49</v>
      </c>
      <c r="F2788" s="26" t="s">
        <v>50</v>
      </c>
      <c r="G2788" s="26" t="s">
        <v>29</v>
      </c>
      <c r="H2788" s="26" t="s">
        <v>30</v>
      </c>
      <c r="I2788" s="26" t="s">
        <v>47</v>
      </c>
      <c r="J2788" s="26" t="s">
        <v>42</v>
      </c>
      <c r="K2788" s="26" t="s">
        <v>1747</v>
      </c>
      <c r="L2788" s="26">
        <v>2</v>
      </c>
      <c r="M2788" s="26">
        <v>1</v>
      </c>
      <c r="N2788" s="28">
        <v>0.5</v>
      </c>
      <c r="O2788" s="26">
        <v>1.1000000000000001</v>
      </c>
      <c r="P2788" s="26">
        <v>1.1000000000000001</v>
      </c>
      <c r="Q2788" s="26">
        <v>0</v>
      </c>
      <c r="R2788" s="26"/>
      <c r="S2788" s="26">
        <v>0</v>
      </c>
      <c r="T2788" s="26">
        <v>0</v>
      </c>
      <c r="U2788" s="26">
        <v>0</v>
      </c>
      <c r="V2788" s="28">
        <v>0</v>
      </c>
      <c r="W2788" s="26">
        <v>0</v>
      </c>
      <c r="X2788" s="26">
        <v>0</v>
      </c>
      <c r="Y2788" s="26">
        <v>0</v>
      </c>
      <c r="Z2788" s="26">
        <v>0</v>
      </c>
    </row>
    <row r="2789" spans="1:26" x14ac:dyDescent="0.2">
      <c r="A2789">
        <f t="shared" si="88"/>
        <v>6</v>
      </c>
      <c r="B2789">
        <f t="shared" si="89"/>
        <v>25</v>
      </c>
      <c r="C2789" s="27">
        <v>46193</v>
      </c>
      <c r="D2789" s="26" t="s">
        <v>26</v>
      </c>
      <c r="E2789" s="26" t="s">
        <v>49</v>
      </c>
      <c r="F2789" s="26" t="s">
        <v>50</v>
      </c>
      <c r="G2789" s="26" t="s">
        <v>29</v>
      </c>
      <c r="H2789" s="26" t="s">
        <v>30</v>
      </c>
      <c r="I2789" s="26" t="s">
        <v>95</v>
      </c>
      <c r="J2789" s="26" t="s">
        <v>42</v>
      </c>
      <c r="K2789" s="26" t="s">
        <v>1748</v>
      </c>
      <c r="L2789" s="26">
        <v>1</v>
      </c>
      <c r="M2789" s="26">
        <v>1</v>
      </c>
      <c r="N2789" s="28">
        <v>1</v>
      </c>
      <c r="O2789" s="26">
        <v>0.56999999999999995</v>
      </c>
      <c r="P2789" s="26">
        <v>0.56999999999999995</v>
      </c>
      <c r="Q2789" s="26">
        <v>0</v>
      </c>
      <c r="R2789" s="26"/>
      <c r="S2789" s="26">
        <v>0</v>
      </c>
      <c r="T2789" s="26">
        <v>0</v>
      </c>
      <c r="U2789" s="26">
        <v>0</v>
      </c>
      <c r="V2789" s="28">
        <v>0</v>
      </c>
      <c r="W2789" s="26">
        <v>0</v>
      </c>
      <c r="X2789" s="26">
        <v>0</v>
      </c>
      <c r="Y2789" s="26">
        <v>0</v>
      </c>
      <c r="Z2789" s="26">
        <v>0</v>
      </c>
    </row>
    <row r="2790" spans="1:26" x14ac:dyDescent="0.2">
      <c r="A2790">
        <f t="shared" si="88"/>
        <v>6</v>
      </c>
      <c r="B2790">
        <f t="shared" si="89"/>
        <v>25</v>
      </c>
      <c r="C2790" s="27">
        <v>46193</v>
      </c>
      <c r="D2790" s="26" t="s">
        <v>26</v>
      </c>
      <c r="E2790" s="26" t="s">
        <v>27</v>
      </c>
      <c r="F2790" s="26" t="s">
        <v>28</v>
      </c>
      <c r="G2790" s="26" t="s">
        <v>29</v>
      </c>
      <c r="H2790" s="26" t="s">
        <v>30</v>
      </c>
      <c r="I2790" s="26" t="s">
        <v>31</v>
      </c>
      <c r="J2790" s="26" t="s">
        <v>32</v>
      </c>
      <c r="K2790" s="26" t="s">
        <v>1748</v>
      </c>
      <c r="L2790" s="26">
        <v>3</v>
      </c>
      <c r="M2790" s="26">
        <v>1</v>
      </c>
      <c r="N2790" s="28">
        <v>0.33333299999999999</v>
      </c>
      <c r="O2790" s="26">
        <v>0.21</v>
      </c>
      <c r="P2790" s="26">
        <v>0.21</v>
      </c>
      <c r="Q2790" s="26">
        <v>0</v>
      </c>
      <c r="R2790" s="26"/>
      <c r="S2790" s="26">
        <v>0</v>
      </c>
      <c r="T2790" s="26">
        <v>0</v>
      </c>
      <c r="U2790" s="26">
        <v>0</v>
      </c>
      <c r="V2790" s="28">
        <v>0</v>
      </c>
      <c r="W2790" s="26">
        <v>0</v>
      </c>
      <c r="X2790" s="26">
        <v>0</v>
      </c>
      <c r="Y2790" s="26">
        <v>0</v>
      </c>
      <c r="Z2790" s="26">
        <v>0</v>
      </c>
    </row>
    <row r="2791" spans="1:26" x14ac:dyDescent="0.2">
      <c r="A2791">
        <f t="shared" si="88"/>
        <v>6</v>
      </c>
      <c r="B2791">
        <f t="shared" si="89"/>
        <v>23</v>
      </c>
      <c r="C2791" s="27">
        <v>46178</v>
      </c>
      <c r="D2791" s="26" t="s">
        <v>26</v>
      </c>
      <c r="E2791" s="26" t="s">
        <v>27</v>
      </c>
      <c r="F2791" s="26" t="s">
        <v>28</v>
      </c>
      <c r="G2791" s="26" t="s">
        <v>29</v>
      </c>
      <c r="H2791" s="26" t="s">
        <v>30</v>
      </c>
      <c r="I2791" s="26" t="s">
        <v>50</v>
      </c>
      <c r="J2791" s="26" t="s">
        <v>32</v>
      </c>
      <c r="K2791" s="26" t="s">
        <v>1749</v>
      </c>
      <c r="L2791" s="26">
        <v>2</v>
      </c>
      <c r="M2791" s="26">
        <v>1</v>
      </c>
      <c r="N2791" s="28">
        <v>0.5</v>
      </c>
      <c r="O2791" s="26">
        <v>0.21</v>
      </c>
      <c r="P2791" s="26">
        <v>0.21</v>
      </c>
      <c r="Q2791" s="26">
        <v>0</v>
      </c>
      <c r="R2791" s="26"/>
      <c r="S2791" s="26">
        <v>0</v>
      </c>
      <c r="T2791" s="26">
        <v>0</v>
      </c>
      <c r="U2791" s="26">
        <v>0</v>
      </c>
      <c r="V2791" s="28">
        <v>0</v>
      </c>
      <c r="W2791" s="26">
        <v>0</v>
      </c>
      <c r="X2791" s="26">
        <v>0</v>
      </c>
      <c r="Y2791" s="26">
        <v>0</v>
      </c>
      <c r="Z2791" s="26">
        <v>0</v>
      </c>
    </row>
    <row r="2792" spans="1:26" x14ac:dyDescent="0.2">
      <c r="A2792">
        <f t="shared" si="88"/>
        <v>6</v>
      </c>
      <c r="B2792">
        <f t="shared" si="89"/>
        <v>23</v>
      </c>
      <c r="C2792" s="27">
        <v>46175</v>
      </c>
      <c r="D2792" s="26" t="s">
        <v>26</v>
      </c>
      <c r="E2792" s="26" t="s">
        <v>27</v>
      </c>
      <c r="F2792" s="26" t="s">
        <v>28</v>
      </c>
      <c r="G2792" s="26" t="s">
        <v>29</v>
      </c>
      <c r="H2792" s="26" t="s">
        <v>30</v>
      </c>
      <c r="I2792" s="26" t="s">
        <v>50</v>
      </c>
      <c r="J2792" s="26" t="s">
        <v>32</v>
      </c>
      <c r="K2792" s="26" t="s">
        <v>1750</v>
      </c>
      <c r="L2792" s="26">
        <v>3</v>
      </c>
      <c r="M2792" s="26">
        <v>1</v>
      </c>
      <c r="N2792" s="28">
        <v>0.33333299999999999</v>
      </c>
      <c r="O2792" s="26">
        <v>0.21</v>
      </c>
      <c r="P2792" s="26">
        <v>0.21</v>
      </c>
      <c r="Q2792" s="26">
        <v>0</v>
      </c>
      <c r="R2792" s="26"/>
      <c r="S2792" s="26">
        <v>0</v>
      </c>
      <c r="T2792" s="26">
        <v>0</v>
      </c>
      <c r="U2792" s="26">
        <v>0</v>
      </c>
      <c r="V2792" s="28">
        <v>0</v>
      </c>
      <c r="W2792" s="26">
        <v>0</v>
      </c>
      <c r="X2792" s="26">
        <v>0</v>
      </c>
      <c r="Y2792" s="26">
        <v>0</v>
      </c>
      <c r="Z2792" s="26">
        <v>0</v>
      </c>
    </row>
    <row r="2793" spans="1:26" x14ac:dyDescent="0.2">
      <c r="A2793">
        <f t="shared" si="88"/>
        <v>6</v>
      </c>
      <c r="B2793">
        <f t="shared" si="89"/>
        <v>23</v>
      </c>
      <c r="C2793" s="27">
        <v>46174</v>
      </c>
      <c r="D2793" s="26" t="s">
        <v>26</v>
      </c>
      <c r="E2793" s="26" t="s">
        <v>27</v>
      </c>
      <c r="F2793" s="26" t="s">
        <v>28</v>
      </c>
      <c r="G2793" s="26" t="s">
        <v>29</v>
      </c>
      <c r="H2793" s="26" t="s">
        <v>30</v>
      </c>
      <c r="I2793" s="26" t="s">
        <v>243</v>
      </c>
      <c r="J2793" s="26" t="s">
        <v>32</v>
      </c>
      <c r="K2793" s="26" t="s">
        <v>1751</v>
      </c>
      <c r="L2793" s="26">
        <v>1</v>
      </c>
      <c r="M2793" s="26">
        <v>1</v>
      </c>
      <c r="N2793" s="28">
        <v>1</v>
      </c>
      <c r="O2793" s="26">
        <v>0.21</v>
      </c>
      <c r="P2793" s="26">
        <v>0.21</v>
      </c>
      <c r="Q2793" s="26">
        <v>0</v>
      </c>
      <c r="R2793" s="26"/>
      <c r="S2793" s="26">
        <v>0</v>
      </c>
      <c r="T2793" s="26">
        <v>0</v>
      </c>
      <c r="U2793" s="26">
        <v>0</v>
      </c>
      <c r="V2793" s="28">
        <v>0</v>
      </c>
      <c r="W2793" s="26">
        <v>0</v>
      </c>
      <c r="X2793" s="26">
        <v>0</v>
      </c>
      <c r="Y2793" s="26">
        <v>0</v>
      </c>
      <c r="Z2793" s="26">
        <v>0</v>
      </c>
    </row>
    <row r="2794" spans="1:26" x14ac:dyDescent="0.2">
      <c r="A2794">
        <f t="shared" si="88"/>
        <v>6</v>
      </c>
      <c r="B2794">
        <f t="shared" si="89"/>
        <v>23</v>
      </c>
      <c r="C2794" s="27">
        <v>46175</v>
      </c>
      <c r="D2794" s="26" t="s">
        <v>26</v>
      </c>
      <c r="E2794" s="26" t="s">
        <v>27</v>
      </c>
      <c r="F2794" s="26" t="s">
        <v>124</v>
      </c>
      <c r="G2794" s="26" t="s">
        <v>29</v>
      </c>
      <c r="H2794" s="26" t="s">
        <v>30</v>
      </c>
      <c r="I2794" s="26" t="s">
        <v>119</v>
      </c>
      <c r="J2794" s="26" t="s">
        <v>267</v>
      </c>
      <c r="K2794" s="26" t="s">
        <v>119</v>
      </c>
      <c r="L2794" s="26">
        <v>12</v>
      </c>
      <c r="M2794" s="26">
        <v>1</v>
      </c>
      <c r="N2794" s="28">
        <v>8.3333000000000004E-2</v>
      </c>
      <c r="O2794" s="26">
        <v>0.21</v>
      </c>
      <c r="P2794" s="26">
        <v>0.21</v>
      </c>
      <c r="Q2794" s="26">
        <v>17.47</v>
      </c>
      <c r="R2794" s="28">
        <v>1.2021E-2</v>
      </c>
      <c r="S2794" s="26">
        <v>83.19</v>
      </c>
      <c r="T2794" s="26">
        <v>1</v>
      </c>
      <c r="U2794" s="26">
        <v>1</v>
      </c>
      <c r="V2794" s="28">
        <v>1</v>
      </c>
      <c r="W2794" s="26">
        <v>1</v>
      </c>
      <c r="X2794" s="26">
        <v>0</v>
      </c>
      <c r="Y2794" s="26">
        <v>17.47</v>
      </c>
      <c r="Z2794" s="26">
        <v>0</v>
      </c>
    </row>
    <row r="2795" spans="1:26" x14ac:dyDescent="0.2">
      <c r="A2795">
        <f t="shared" si="88"/>
        <v>6</v>
      </c>
      <c r="B2795">
        <f t="shared" si="89"/>
        <v>23</v>
      </c>
      <c r="C2795" s="27">
        <v>46176</v>
      </c>
      <c r="D2795" s="26" t="s">
        <v>26</v>
      </c>
      <c r="E2795" s="26" t="s">
        <v>27</v>
      </c>
      <c r="F2795" s="26" t="s">
        <v>124</v>
      </c>
      <c r="G2795" s="26" t="s">
        <v>29</v>
      </c>
      <c r="H2795" s="26" t="s">
        <v>30</v>
      </c>
      <c r="I2795" s="26" t="s">
        <v>119</v>
      </c>
      <c r="J2795" s="26" t="s">
        <v>267</v>
      </c>
      <c r="K2795" s="26" t="s">
        <v>119</v>
      </c>
      <c r="L2795" s="26">
        <v>19</v>
      </c>
      <c r="M2795" s="26">
        <v>1</v>
      </c>
      <c r="N2795" s="28">
        <v>5.2631999999999998E-2</v>
      </c>
      <c r="O2795" s="26">
        <v>0.21</v>
      </c>
      <c r="P2795" s="26">
        <v>0.21</v>
      </c>
      <c r="Q2795" s="26">
        <v>0</v>
      </c>
      <c r="R2795" s="26"/>
      <c r="S2795" s="26">
        <v>0</v>
      </c>
      <c r="T2795" s="26">
        <v>0</v>
      </c>
      <c r="U2795" s="26">
        <v>0</v>
      </c>
      <c r="V2795" s="28">
        <v>0</v>
      </c>
      <c r="W2795" s="26">
        <v>0</v>
      </c>
      <c r="X2795" s="26">
        <v>0</v>
      </c>
      <c r="Y2795" s="26">
        <v>0</v>
      </c>
      <c r="Z2795" s="26">
        <v>0</v>
      </c>
    </row>
    <row r="2796" spans="1:26" x14ac:dyDescent="0.2">
      <c r="A2796">
        <f t="shared" si="88"/>
        <v>6</v>
      </c>
      <c r="B2796">
        <f t="shared" si="89"/>
        <v>24</v>
      </c>
      <c r="C2796" s="27">
        <v>46183</v>
      </c>
      <c r="D2796" s="26" t="s">
        <v>26</v>
      </c>
      <c r="E2796" s="26" t="s">
        <v>27</v>
      </c>
      <c r="F2796" s="26" t="s">
        <v>124</v>
      </c>
      <c r="G2796" s="26" t="s">
        <v>29</v>
      </c>
      <c r="H2796" s="26" t="s">
        <v>30</v>
      </c>
      <c r="I2796" s="26" t="s">
        <v>119</v>
      </c>
      <c r="J2796" s="26" t="s">
        <v>267</v>
      </c>
      <c r="K2796" s="26" t="s">
        <v>119</v>
      </c>
      <c r="L2796" s="26">
        <v>13</v>
      </c>
      <c r="M2796" s="26">
        <v>1</v>
      </c>
      <c r="N2796" s="28">
        <v>7.6923000000000005E-2</v>
      </c>
      <c r="O2796" s="26">
        <v>0.21</v>
      </c>
      <c r="P2796" s="26">
        <v>0.21</v>
      </c>
      <c r="Q2796" s="26">
        <v>0</v>
      </c>
      <c r="R2796" s="26"/>
      <c r="S2796" s="26">
        <v>0</v>
      </c>
      <c r="T2796" s="26">
        <v>0</v>
      </c>
      <c r="U2796" s="26">
        <v>0</v>
      </c>
      <c r="V2796" s="28">
        <v>0</v>
      </c>
      <c r="W2796" s="26">
        <v>0</v>
      </c>
      <c r="X2796" s="26">
        <v>0</v>
      </c>
      <c r="Y2796" s="26">
        <v>0</v>
      </c>
      <c r="Z2796" s="26">
        <v>0</v>
      </c>
    </row>
    <row r="2797" spans="1:26" x14ac:dyDescent="0.2">
      <c r="A2797">
        <f t="shared" si="88"/>
        <v>6</v>
      </c>
      <c r="B2797">
        <f t="shared" si="89"/>
        <v>24</v>
      </c>
      <c r="C2797" s="27">
        <v>46186</v>
      </c>
      <c r="D2797" s="26" t="s">
        <v>26</v>
      </c>
      <c r="E2797" s="26" t="s">
        <v>27</v>
      </c>
      <c r="F2797" s="26" t="s">
        <v>124</v>
      </c>
      <c r="G2797" s="26" t="s">
        <v>29</v>
      </c>
      <c r="H2797" s="26" t="s">
        <v>30</v>
      </c>
      <c r="I2797" s="26" t="s">
        <v>119</v>
      </c>
      <c r="J2797" s="26" t="s">
        <v>267</v>
      </c>
      <c r="K2797" s="26" t="s">
        <v>119</v>
      </c>
      <c r="L2797" s="26">
        <v>39</v>
      </c>
      <c r="M2797" s="26">
        <v>1</v>
      </c>
      <c r="N2797" s="28">
        <v>2.5641000000000001E-2</v>
      </c>
      <c r="O2797" s="26">
        <v>0.21</v>
      </c>
      <c r="P2797" s="26">
        <v>0.21</v>
      </c>
      <c r="Q2797" s="26">
        <v>0</v>
      </c>
      <c r="R2797" s="26"/>
      <c r="S2797" s="26">
        <v>0</v>
      </c>
      <c r="T2797" s="26">
        <v>0</v>
      </c>
      <c r="U2797" s="26">
        <v>0</v>
      </c>
      <c r="V2797" s="28">
        <v>0</v>
      </c>
      <c r="W2797" s="26">
        <v>0</v>
      </c>
      <c r="X2797" s="26">
        <v>0</v>
      </c>
      <c r="Y2797" s="26">
        <v>0</v>
      </c>
      <c r="Z2797" s="26">
        <v>0</v>
      </c>
    </row>
    <row r="2798" spans="1:26" x14ac:dyDescent="0.2">
      <c r="A2798">
        <f t="shared" si="88"/>
        <v>6</v>
      </c>
      <c r="B2798">
        <f t="shared" si="89"/>
        <v>25</v>
      </c>
      <c r="C2798" s="27">
        <v>46193</v>
      </c>
      <c r="D2798" s="26" t="s">
        <v>26</v>
      </c>
      <c r="E2798" s="26" t="s">
        <v>27</v>
      </c>
      <c r="F2798" s="26" t="s">
        <v>124</v>
      </c>
      <c r="G2798" s="26" t="s">
        <v>29</v>
      </c>
      <c r="H2798" s="26" t="s">
        <v>30</v>
      </c>
      <c r="I2798" s="26" t="s">
        <v>119</v>
      </c>
      <c r="J2798" s="26" t="s">
        <v>267</v>
      </c>
      <c r="K2798" s="26" t="s">
        <v>119</v>
      </c>
      <c r="L2798" s="26">
        <v>16</v>
      </c>
      <c r="M2798" s="26">
        <v>1</v>
      </c>
      <c r="N2798" s="28">
        <v>6.25E-2</v>
      </c>
      <c r="O2798" s="26">
        <v>0.21</v>
      </c>
      <c r="P2798" s="26">
        <v>0.21</v>
      </c>
      <c r="Q2798" s="26">
        <v>0</v>
      </c>
      <c r="R2798" s="26"/>
      <c r="S2798" s="26">
        <v>0</v>
      </c>
      <c r="T2798" s="26">
        <v>0</v>
      </c>
      <c r="U2798" s="26">
        <v>0</v>
      </c>
      <c r="V2798" s="28">
        <v>0</v>
      </c>
      <c r="W2798" s="26">
        <v>0</v>
      </c>
      <c r="X2798" s="26">
        <v>0</v>
      </c>
      <c r="Y2798" s="26">
        <v>0</v>
      </c>
      <c r="Z2798" s="26">
        <v>0</v>
      </c>
    </row>
    <row r="2799" spans="1:26" x14ac:dyDescent="0.2">
      <c r="A2799">
        <f t="shared" si="88"/>
        <v>6</v>
      </c>
      <c r="B2799">
        <f t="shared" si="89"/>
        <v>25</v>
      </c>
      <c r="C2799" s="27">
        <v>46192</v>
      </c>
      <c r="D2799" s="26" t="s">
        <v>26</v>
      </c>
      <c r="E2799" s="26" t="s">
        <v>27</v>
      </c>
      <c r="F2799" s="26" t="s">
        <v>28</v>
      </c>
      <c r="G2799" s="26" t="s">
        <v>29</v>
      </c>
      <c r="H2799" s="26" t="s">
        <v>30</v>
      </c>
      <c r="I2799" s="26" t="s">
        <v>119</v>
      </c>
      <c r="J2799" s="26" t="s">
        <v>32</v>
      </c>
      <c r="K2799" s="26" t="s">
        <v>538</v>
      </c>
      <c r="L2799" s="26">
        <v>0</v>
      </c>
      <c r="M2799" s="26">
        <v>1</v>
      </c>
      <c r="N2799" s="26"/>
      <c r="O2799" s="26">
        <v>0.16</v>
      </c>
      <c r="P2799" s="26">
        <v>0.16</v>
      </c>
      <c r="Q2799" s="26">
        <v>0</v>
      </c>
      <c r="R2799" s="26"/>
      <c r="S2799" s="26">
        <v>0</v>
      </c>
      <c r="T2799" s="26">
        <v>0</v>
      </c>
      <c r="U2799" s="26">
        <v>0</v>
      </c>
      <c r="V2799" s="28">
        <v>0</v>
      </c>
      <c r="W2799" s="26">
        <v>0</v>
      </c>
      <c r="X2799" s="26">
        <v>0</v>
      </c>
      <c r="Y2799" s="26">
        <v>0</v>
      </c>
      <c r="Z2799" s="26">
        <v>0</v>
      </c>
    </row>
    <row r="2800" spans="1:26" x14ac:dyDescent="0.2">
      <c r="A2800">
        <f t="shared" si="88"/>
        <v>6</v>
      </c>
      <c r="B2800">
        <f t="shared" si="89"/>
        <v>24</v>
      </c>
      <c r="C2800" s="27">
        <v>46181</v>
      </c>
      <c r="D2800" s="26" t="s">
        <v>26</v>
      </c>
      <c r="E2800" s="26" t="s">
        <v>27</v>
      </c>
      <c r="F2800" s="26" t="s">
        <v>28</v>
      </c>
      <c r="G2800" s="26" t="s">
        <v>29</v>
      </c>
      <c r="H2800" s="26" t="s">
        <v>30</v>
      </c>
      <c r="I2800" s="26" t="s">
        <v>119</v>
      </c>
      <c r="J2800" s="26" t="s">
        <v>32</v>
      </c>
      <c r="K2800" s="26" t="s">
        <v>1752</v>
      </c>
      <c r="L2800" s="26">
        <v>4</v>
      </c>
      <c r="M2800" s="26">
        <v>1</v>
      </c>
      <c r="N2800" s="28">
        <v>0.25</v>
      </c>
      <c r="O2800" s="26">
        <v>0.16</v>
      </c>
      <c r="P2800" s="26">
        <v>0.16</v>
      </c>
      <c r="Q2800" s="26">
        <v>0</v>
      </c>
      <c r="R2800" s="26"/>
      <c r="S2800" s="26">
        <v>0</v>
      </c>
      <c r="T2800" s="26">
        <v>0</v>
      </c>
      <c r="U2800" s="26">
        <v>0</v>
      </c>
      <c r="V2800" s="28">
        <v>0</v>
      </c>
      <c r="W2800" s="26">
        <v>0</v>
      </c>
      <c r="X2800" s="26">
        <v>0</v>
      </c>
      <c r="Y2800" s="26">
        <v>0</v>
      </c>
      <c r="Z2800" s="26">
        <v>0</v>
      </c>
    </row>
    <row r="2801" spans="1:26" x14ac:dyDescent="0.2">
      <c r="A2801">
        <f t="shared" si="88"/>
        <v>6</v>
      </c>
      <c r="B2801">
        <f t="shared" si="89"/>
        <v>25</v>
      </c>
      <c r="C2801" s="27">
        <v>46191</v>
      </c>
      <c r="D2801" s="26" t="s">
        <v>26</v>
      </c>
      <c r="E2801" s="26" t="s">
        <v>27</v>
      </c>
      <c r="F2801" s="26" t="s">
        <v>28</v>
      </c>
      <c r="G2801" s="26" t="s">
        <v>29</v>
      </c>
      <c r="H2801" s="26" t="s">
        <v>30</v>
      </c>
      <c r="I2801" s="26" t="s">
        <v>243</v>
      </c>
      <c r="J2801" s="26" t="s">
        <v>32</v>
      </c>
      <c r="K2801" s="26" t="s">
        <v>1753</v>
      </c>
      <c r="L2801" s="26">
        <v>5</v>
      </c>
      <c r="M2801" s="26">
        <v>1</v>
      </c>
      <c r="N2801" s="28">
        <v>0.2</v>
      </c>
      <c r="O2801" s="26">
        <v>0.21</v>
      </c>
      <c r="P2801" s="26">
        <v>0.21</v>
      </c>
      <c r="Q2801" s="26">
        <v>0</v>
      </c>
      <c r="R2801" s="26"/>
      <c r="S2801" s="26">
        <v>0</v>
      </c>
      <c r="T2801" s="26">
        <v>0</v>
      </c>
      <c r="U2801" s="26">
        <v>0</v>
      </c>
      <c r="V2801" s="28">
        <v>0</v>
      </c>
      <c r="W2801" s="26">
        <v>0</v>
      </c>
      <c r="X2801" s="26">
        <v>0</v>
      </c>
      <c r="Y2801" s="26">
        <v>0</v>
      </c>
      <c r="Z2801" s="26">
        <v>0</v>
      </c>
    </row>
    <row r="2802" spans="1:26" x14ac:dyDescent="0.2">
      <c r="A2802">
        <f t="shared" si="88"/>
        <v>6</v>
      </c>
      <c r="B2802">
        <f t="shared" si="89"/>
        <v>25</v>
      </c>
      <c r="C2802" s="27">
        <v>46187</v>
      </c>
      <c r="D2802" s="26" t="s">
        <v>26</v>
      </c>
      <c r="E2802" s="26" t="s">
        <v>27</v>
      </c>
      <c r="F2802" s="26" t="s">
        <v>28</v>
      </c>
      <c r="G2802" s="26" t="s">
        <v>29</v>
      </c>
      <c r="H2802" s="26" t="s">
        <v>30</v>
      </c>
      <c r="I2802" s="26" t="s">
        <v>243</v>
      </c>
      <c r="J2802" s="26" t="s">
        <v>32</v>
      </c>
      <c r="K2802" s="26" t="s">
        <v>1754</v>
      </c>
      <c r="L2802" s="26">
        <v>1</v>
      </c>
      <c r="M2802" s="26">
        <v>1</v>
      </c>
      <c r="N2802" s="28">
        <v>1</v>
      </c>
      <c r="O2802" s="26">
        <v>0.21</v>
      </c>
      <c r="P2802" s="26">
        <v>0.21</v>
      </c>
      <c r="Q2802" s="26">
        <v>0</v>
      </c>
      <c r="R2802" s="26"/>
      <c r="S2802" s="26">
        <v>0</v>
      </c>
      <c r="T2802" s="26">
        <v>0</v>
      </c>
      <c r="U2802" s="26">
        <v>0</v>
      </c>
      <c r="V2802" s="28">
        <v>0</v>
      </c>
      <c r="W2802" s="26">
        <v>0</v>
      </c>
      <c r="X2802" s="26">
        <v>0</v>
      </c>
      <c r="Y2802" s="26">
        <v>0</v>
      </c>
      <c r="Z2802" s="26">
        <v>0</v>
      </c>
    </row>
    <row r="2803" spans="1:26" x14ac:dyDescent="0.2">
      <c r="A2803">
        <f t="shared" si="88"/>
        <v>6</v>
      </c>
      <c r="B2803">
        <f t="shared" si="89"/>
        <v>24</v>
      </c>
      <c r="C2803" s="27">
        <v>46185</v>
      </c>
      <c r="D2803" s="26" t="s">
        <v>26</v>
      </c>
      <c r="E2803" s="26" t="s">
        <v>49</v>
      </c>
      <c r="F2803" s="26" t="s">
        <v>50</v>
      </c>
      <c r="G2803" s="26" t="s">
        <v>29</v>
      </c>
      <c r="H2803" s="26" t="s">
        <v>30</v>
      </c>
      <c r="I2803" s="26" t="s">
        <v>95</v>
      </c>
      <c r="J2803" s="26" t="s">
        <v>42</v>
      </c>
      <c r="K2803" s="26" t="s">
        <v>1755</v>
      </c>
      <c r="L2803" s="26">
        <v>6</v>
      </c>
      <c r="M2803" s="26">
        <v>1</v>
      </c>
      <c r="N2803" s="28">
        <v>0.16666700000000001</v>
      </c>
      <c r="O2803" s="26">
        <v>0.77</v>
      </c>
      <c r="P2803" s="26">
        <v>0.77</v>
      </c>
      <c r="Q2803" s="26">
        <v>0</v>
      </c>
      <c r="R2803" s="26"/>
      <c r="S2803" s="26">
        <v>0</v>
      </c>
      <c r="T2803" s="26">
        <v>0</v>
      </c>
      <c r="U2803" s="26">
        <v>0</v>
      </c>
      <c r="V2803" s="28">
        <v>0</v>
      </c>
      <c r="W2803" s="26">
        <v>0</v>
      </c>
      <c r="X2803" s="26">
        <v>0</v>
      </c>
      <c r="Y2803" s="26">
        <v>0</v>
      </c>
      <c r="Z2803" s="26">
        <v>0</v>
      </c>
    </row>
    <row r="2804" spans="1:26" x14ac:dyDescent="0.2">
      <c r="A2804">
        <f t="shared" si="88"/>
        <v>6</v>
      </c>
      <c r="B2804">
        <f t="shared" si="89"/>
        <v>23</v>
      </c>
      <c r="C2804" s="27">
        <v>46175</v>
      </c>
      <c r="D2804" s="26" t="s">
        <v>26</v>
      </c>
      <c r="E2804" s="26" t="s">
        <v>27</v>
      </c>
      <c r="F2804" s="26" t="s">
        <v>28</v>
      </c>
      <c r="G2804" s="26" t="s">
        <v>29</v>
      </c>
      <c r="H2804" s="26" t="s">
        <v>30</v>
      </c>
      <c r="I2804" s="26" t="s">
        <v>280</v>
      </c>
      <c r="J2804" s="26" t="s">
        <v>32</v>
      </c>
      <c r="K2804" s="26" t="s">
        <v>1320</v>
      </c>
      <c r="L2804" s="26">
        <v>26</v>
      </c>
      <c r="M2804" s="26">
        <v>1</v>
      </c>
      <c r="N2804" s="28">
        <v>3.8462000000000003E-2</v>
      </c>
      <c r="O2804" s="26">
        <v>0.2</v>
      </c>
      <c r="P2804" s="26">
        <v>0.2</v>
      </c>
      <c r="Q2804" s="26">
        <v>0</v>
      </c>
      <c r="R2804" s="26"/>
      <c r="S2804" s="26">
        <v>0</v>
      </c>
      <c r="T2804" s="26">
        <v>0</v>
      </c>
      <c r="U2804" s="26">
        <v>0</v>
      </c>
      <c r="V2804" s="28">
        <v>0</v>
      </c>
      <c r="W2804" s="26">
        <v>0</v>
      </c>
      <c r="X2804" s="26">
        <v>0</v>
      </c>
      <c r="Y2804" s="26">
        <v>0</v>
      </c>
      <c r="Z2804" s="26">
        <v>0</v>
      </c>
    </row>
    <row r="2805" spans="1:26" x14ac:dyDescent="0.2">
      <c r="A2805">
        <f t="shared" si="88"/>
        <v>6</v>
      </c>
      <c r="B2805">
        <f t="shared" si="89"/>
        <v>24</v>
      </c>
      <c r="C2805" s="27">
        <v>46182</v>
      </c>
      <c r="D2805" s="26" t="s">
        <v>26</v>
      </c>
      <c r="E2805" s="26" t="s">
        <v>27</v>
      </c>
      <c r="F2805" s="26" t="s">
        <v>28</v>
      </c>
      <c r="G2805" s="26" t="s">
        <v>29</v>
      </c>
      <c r="H2805" s="26" t="s">
        <v>30</v>
      </c>
      <c r="I2805" s="26" t="s">
        <v>119</v>
      </c>
      <c r="J2805" s="26" t="s">
        <v>32</v>
      </c>
      <c r="K2805" s="26" t="s">
        <v>1756</v>
      </c>
      <c r="L2805" s="26">
        <v>1</v>
      </c>
      <c r="M2805" s="26">
        <v>1</v>
      </c>
      <c r="N2805" s="28">
        <v>1</v>
      </c>
      <c r="O2805" s="26">
        <v>0.16</v>
      </c>
      <c r="P2805" s="26">
        <v>0.16</v>
      </c>
      <c r="Q2805" s="26">
        <v>0</v>
      </c>
      <c r="R2805" s="26"/>
      <c r="S2805" s="26">
        <v>0</v>
      </c>
      <c r="T2805" s="26">
        <v>0</v>
      </c>
      <c r="U2805" s="26">
        <v>0</v>
      </c>
      <c r="V2805" s="28">
        <v>0</v>
      </c>
      <c r="W2805" s="26">
        <v>0</v>
      </c>
      <c r="X2805" s="26">
        <v>0</v>
      </c>
      <c r="Y2805" s="26">
        <v>0</v>
      </c>
      <c r="Z2805" s="26">
        <v>0</v>
      </c>
    </row>
    <row r="2806" spans="1:26" x14ac:dyDescent="0.2">
      <c r="A2806">
        <f t="shared" si="88"/>
        <v>6</v>
      </c>
      <c r="B2806">
        <f t="shared" si="89"/>
        <v>26</v>
      </c>
      <c r="C2806" s="27">
        <v>46194</v>
      </c>
      <c r="D2806" s="26" t="s">
        <v>26</v>
      </c>
      <c r="E2806" s="26" t="s">
        <v>49</v>
      </c>
      <c r="F2806" s="26" t="s">
        <v>50</v>
      </c>
      <c r="G2806" s="26" t="s">
        <v>29</v>
      </c>
      <c r="H2806" s="26" t="s">
        <v>30</v>
      </c>
      <c r="I2806" s="26" t="s">
        <v>47</v>
      </c>
      <c r="J2806" s="26" t="s">
        <v>42</v>
      </c>
      <c r="K2806" s="26" t="s">
        <v>374</v>
      </c>
      <c r="L2806" s="26">
        <v>3</v>
      </c>
      <c r="M2806" s="26">
        <v>1</v>
      </c>
      <c r="N2806" s="28">
        <v>0.33333299999999999</v>
      </c>
      <c r="O2806" s="26">
        <v>1.1000000000000001</v>
      </c>
      <c r="P2806" s="26">
        <v>1.1000000000000001</v>
      </c>
      <c r="Q2806" s="26">
        <v>0</v>
      </c>
      <c r="R2806" s="26"/>
      <c r="S2806" s="26">
        <v>0</v>
      </c>
      <c r="T2806" s="26">
        <v>0</v>
      </c>
      <c r="U2806" s="26">
        <v>0</v>
      </c>
      <c r="V2806" s="28">
        <v>0</v>
      </c>
      <c r="W2806" s="26">
        <v>0</v>
      </c>
      <c r="X2806" s="26">
        <v>0</v>
      </c>
      <c r="Y2806" s="26">
        <v>0</v>
      </c>
      <c r="Z2806" s="26">
        <v>0</v>
      </c>
    </row>
    <row r="2807" spans="1:26" x14ac:dyDescent="0.2">
      <c r="A2807">
        <f t="shared" si="88"/>
        <v>6</v>
      </c>
      <c r="B2807">
        <f t="shared" si="89"/>
        <v>25</v>
      </c>
      <c r="C2807" s="27">
        <v>46192</v>
      </c>
      <c r="D2807" s="26" t="s">
        <v>26</v>
      </c>
      <c r="E2807" s="26" t="s">
        <v>27</v>
      </c>
      <c r="F2807" s="26" t="s">
        <v>28</v>
      </c>
      <c r="G2807" s="26" t="s">
        <v>29</v>
      </c>
      <c r="H2807" s="26" t="s">
        <v>30</v>
      </c>
      <c r="I2807" s="26" t="s">
        <v>31</v>
      </c>
      <c r="J2807" s="26" t="s">
        <v>32</v>
      </c>
      <c r="K2807" s="26" t="s">
        <v>374</v>
      </c>
      <c r="L2807" s="26">
        <v>1</v>
      </c>
      <c r="M2807" s="26">
        <v>1</v>
      </c>
      <c r="N2807" s="28">
        <v>1</v>
      </c>
      <c r="O2807" s="26">
        <v>0.23</v>
      </c>
      <c r="P2807" s="26">
        <v>0.23</v>
      </c>
      <c r="Q2807" s="26">
        <v>0</v>
      </c>
      <c r="R2807" s="26"/>
      <c r="S2807" s="26">
        <v>0</v>
      </c>
      <c r="T2807" s="26">
        <v>0</v>
      </c>
      <c r="U2807" s="26">
        <v>0</v>
      </c>
      <c r="V2807" s="28">
        <v>0</v>
      </c>
      <c r="W2807" s="26">
        <v>0</v>
      </c>
      <c r="X2807" s="26">
        <v>0</v>
      </c>
      <c r="Y2807" s="26">
        <v>0</v>
      </c>
      <c r="Z2807" s="26">
        <v>0</v>
      </c>
    </row>
    <row r="2808" spans="1:26" x14ac:dyDescent="0.2">
      <c r="A2808">
        <f t="shared" si="88"/>
        <v>6</v>
      </c>
      <c r="B2808">
        <f t="shared" si="89"/>
        <v>25</v>
      </c>
      <c r="C2808" s="27">
        <v>46190</v>
      </c>
      <c r="D2808" s="26" t="s">
        <v>26</v>
      </c>
      <c r="E2808" s="26" t="s">
        <v>27</v>
      </c>
      <c r="F2808" s="26" t="s">
        <v>28</v>
      </c>
      <c r="G2808" s="26" t="s">
        <v>29</v>
      </c>
      <c r="H2808" s="26" t="s">
        <v>30</v>
      </c>
      <c r="I2808" s="26" t="s">
        <v>257</v>
      </c>
      <c r="J2808" s="26" t="s">
        <v>32</v>
      </c>
      <c r="K2808" s="26" t="s">
        <v>1757</v>
      </c>
      <c r="L2808" s="26">
        <v>1</v>
      </c>
      <c r="M2808" s="26">
        <v>1</v>
      </c>
      <c r="N2808" s="28">
        <v>1</v>
      </c>
      <c r="O2808" s="26">
        <v>0.4</v>
      </c>
      <c r="P2808" s="26">
        <v>0.4</v>
      </c>
      <c r="Q2808" s="26">
        <v>0</v>
      </c>
      <c r="R2808" s="26"/>
      <c r="S2808" s="26">
        <v>0</v>
      </c>
      <c r="T2808" s="26">
        <v>0</v>
      </c>
      <c r="U2808" s="26">
        <v>0</v>
      </c>
      <c r="V2808" s="28">
        <v>0</v>
      </c>
      <c r="W2808" s="26">
        <v>0</v>
      </c>
      <c r="X2808" s="26">
        <v>0</v>
      </c>
      <c r="Y2808" s="26">
        <v>0</v>
      </c>
      <c r="Z2808" s="26">
        <v>0</v>
      </c>
    </row>
    <row r="2809" spans="1:26" x14ac:dyDescent="0.2">
      <c r="A2809">
        <f t="shared" ref="A2809:A2872" si="90">MONTH(C2809)</f>
        <v>6</v>
      </c>
      <c r="B2809">
        <f t="shared" ref="B2809:B2872" si="91">WEEKNUM(C2809,1)</f>
        <v>24</v>
      </c>
      <c r="C2809" s="27">
        <v>46186</v>
      </c>
      <c r="D2809" s="26" t="s">
        <v>26</v>
      </c>
      <c r="E2809" s="26" t="s">
        <v>49</v>
      </c>
      <c r="F2809" s="26" t="s">
        <v>50</v>
      </c>
      <c r="G2809" s="26" t="s">
        <v>29</v>
      </c>
      <c r="H2809" s="26" t="s">
        <v>30</v>
      </c>
      <c r="I2809" s="26" t="s">
        <v>47</v>
      </c>
      <c r="J2809" s="26" t="s">
        <v>42</v>
      </c>
      <c r="K2809" s="26" t="s">
        <v>31</v>
      </c>
      <c r="L2809" s="26">
        <v>8</v>
      </c>
      <c r="M2809" s="26">
        <v>1</v>
      </c>
      <c r="N2809" s="28">
        <v>0.125</v>
      </c>
      <c r="O2809" s="26">
        <v>1.21</v>
      </c>
      <c r="P2809" s="26">
        <v>1.21</v>
      </c>
      <c r="Q2809" s="26">
        <v>0</v>
      </c>
      <c r="R2809" s="26"/>
      <c r="S2809" s="26">
        <v>0</v>
      </c>
      <c r="T2809" s="26">
        <v>0</v>
      </c>
      <c r="U2809" s="26">
        <v>0</v>
      </c>
      <c r="V2809" s="28">
        <v>0</v>
      </c>
      <c r="W2809" s="26">
        <v>0</v>
      </c>
      <c r="X2809" s="26">
        <v>0</v>
      </c>
      <c r="Y2809" s="26">
        <v>0</v>
      </c>
      <c r="Z2809" s="26">
        <v>0</v>
      </c>
    </row>
    <row r="2810" spans="1:26" x14ac:dyDescent="0.2">
      <c r="A2810">
        <f t="shared" si="90"/>
        <v>6</v>
      </c>
      <c r="B2810">
        <f t="shared" si="91"/>
        <v>25</v>
      </c>
      <c r="C2810" s="27">
        <v>46188</v>
      </c>
      <c r="D2810" s="26" t="s">
        <v>26</v>
      </c>
      <c r="E2810" s="26" t="s">
        <v>49</v>
      </c>
      <c r="F2810" s="26" t="s">
        <v>50</v>
      </c>
      <c r="G2810" s="26" t="s">
        <v>29</v>
      </c>
      <c r="H2810" s="26" t="s">
        <v>30</v>
      </c>
      <c r="I2810" s="26" t="s">
        <v>47</v>
      </c>
      <c r="J2810" s="26" t="s">
        <v>42</v>
      </c>
      <c r="K2810" s="26" t="s">
        <v>31</v>
      </c>
      <c r="L2810" s="26">
        <v>51</v>
      </c>
      <c r="M2810" s="26">
        <v>1</v>
      </c>
      <c r="N2810" s="28">
        <v>1.9608E-2</v>
      </c>
      <c r="O2810" s="26">
        <v>0.8</v>
      </c>
      <c r="P2810" s="26">
        <v>0.8</v>
      </c>
      <c r="Q2810" s="26">
        <v>0</v>
      </c>
      <c r="R2810" s="26"/>
      <c r="S2810" s="26">
        <v>0</v>
      </c>
      <c r="T2810" s="26">
        <v>0</v>
      </c>
      <c r="U2810" s="26">
        <v>0</v>
      </c>
      <c r="V2810" s="28">
        <v>0</v>
      </c>
      <c r="W2810" s="26">
        <v>0</v>
      </c>
      <c r="X2810" s="26">
        <v>0</v>
      </c>
      <c r="Y2810" s="26">
        <v>0</v>
      </c>
      <c r="Z2810" s="26">
        <v>0</v>
      </c>
    </row>
    <row r="2811" spans="1:26" x14ac:dyDescent="0.2">
      <c r="A2811">
        <f t="shared" si="90"/>
        <v>6</v>
      </c>
      <c r="B2811">
        <f t="shared" si="91"/>
        <v>25</v>
      </c>
      <c r="C2811" s="27">
        <v>46193</v>
      </c>
      <c r="D2811" s="26" t="s">
        <v>26</v>
      </c>
      <c r="E2811" s="26" t="s">
        <v>49</v>
      </c>
      <c r="F2811" s="26" t="s">
        <v>50</v>
      </c>
      <c r="G2811" s="26" t="s">
        <v>29</v>
      </c>
      <c r="H2811" s="26" t="s">
        <v>30</v>
      </c>
      <c r="I2811" s="26" t="s">
        <v>47</v>
      </c>
      <c r="J2811" s="26" t="s">
        <v>42</v>
      </c>
      <c r="K2811" s="26" t="s">
        <v>31</v>
      </c>
      <c r="L2811" s="26">
        <v>16</v>
      </c>
      <c r="M2811" s="26">
        <v>1</v>
      </c>
      <c r="N2811" s="28">
        <v>6.25E-2</v>
      </c>
      <c r="O2811" s="26">
        <v>0.93</v>
      </c>
      <c r="P2811" s="26">
        <v>0.93</v>
      </c>
      <c r="Q2811" s="26">
        <v>0</v>
      </c>
      <c r="R2811" s="26"/>
      <c r="S2811" s="26">
        <v>0</v>
      </c>
      <c r="T2811" s="26">
        <v>0</v>
      </c>
      <c r="U2811" s="26">
        <v>0</v>
      </c>
      <c r="V2811" s="28">
        <v>0</v>
      </c>
      <c r="W2811" s="26">
        <v>0</v>
      </c>
      <c r="X2811" s="26">
        <v>0</v>
      </c>
      <c r="Y2811" s="26">
        <v>0</v>
      </c>
      <c r="Z2811" s="26">
        <v>0</v>
      </c>
    </row>
    <row r="2812" spans="1:26" x14ac:dyDescent="0.2">
      <c r="A2812">
        <f t="shared" si="90"/>
        <v>6</v>
      </c>
      <c r="B2812">
        <f t="shared" si="91"/>
        <v>24</v>
      </c>
      <c r="C2812" s="27">
        <v>46185</v>
      </c>
      <c r="D2812" s="26" t="s">
        <v>26</v>
      </c>
      <c r="E2812" s="26" t="s">
        <v>49</v>
      </c>
      <c r="F2812" s="26" t="s">
        <v>50</v>
      </c>
      <c r="G2812" s="26" t="s">
        <v>29</v>
      </c>
      <c r="H2812" s="26" t="s">
        <v>30</v>
      </c>
      <c r="I2812" s="26" t="s">
        <v>95</v>
      </c>
      <c r="J2812" s="26" t="s">
        <v>42</v>
      </c>
      <c r="K2812" s="26" t="s">
        <v>31</v>
      </c>
      <c r="L2812" s="26">
        <v>6</v>
      </c>
      <c r="M2812" s="26">
        <v>1</v>
      </c>
      <c r="N2812" s="28">
        <v>0.16666700000000001</v>
      </c>
      <c r="O2812" s="26">
        <v>0.77</v>
      </c>
      <c r="P2812" s="26">
        <v>0.77</v>
      </c>
      <c r="Q2812" s="26">
        <v>0</v>
      </c>
      <c r="R2812" s="26"/>
      <c r="S2812" s="26">
        <v>0</v>
      </c>
      <c r="T2812" s="26">
        <v>0</v>
      </c>
      <c r="U2812" s="26">
        <v>0</v>
      </c>
      <c r="V2812" s="28">
        <v>0</v>
      </c>
      <c r="W2812" s="26">
        <v>0</v>
      </c>
      <c r="X2812" s="26">
        <v>0</v>
      </c>
      <c r="Y2812" s="26">
        <v>0</v>
      </c>
      <c r="Z2812" s="26">
        <v>0</v>
      </c>
    </row>
    <row r="2813" spans="1:26" x14ac:dyDescent="0.2">
      <c r="A2813">
        <f t="shared" si="90"/>
        <v>6</v>
      </c>
      <c r="B2813">
        <f t="shared" si="91"/>
        <v>24</v>
      </c>
      <c r="C2813" s="27">
        <v>46181</v>
      </c>
      <c r="D2813" s="26" t="s">
        <v>26</v>
      </c>
      <c r="E2813" s="26" t="s">
        <v>27</v>
      </c>
      <c r="F2813" s="26" t="s">
        <v>28</v>
      </c>
      <c r="G2813" s="26" t="s">
        <v>29</v>
      </c>
      <c r="H2813" s="26" t="s">
        <v>30</v>
      </c>
      <c r="I2813" s="26" t="s">
        <v>31</v>
      </c>
      <c r="J2813" s="26" t="s">
        <v>32</v>
      </c>
      <c r="K2813" s="26" t="s">
        <v>31</v>
      </c>
      <c r="L2813" s="26">
        <v>151</v>
      </c>
      <c r="M2813" s="26">
        <v>1</v>
      </c>
      <c r="N2813" s="28">
        <v>6.6230000000000004E-3</v>
      </c>
      <c r="O2813" s="26">
        <v>0.2</v>
      </c>
      <c r="P2813" s="26">
        <v>0.2</v>
      </c>
      <c r="Q2813" s="26">
        <v>0</v>
      </c>
      <c r="R2813" s="26"/>
      <c r="S2813" s="26">
        <v>0</v>
      </c>
      <c r="T2813" s="26">
        <v>0</v>
      </c>
      <c r="U2813" s="26">
        <v>0</v>
      </c>
      <c r="V2813" s="28">
        <v>0</v>
      </c>
      <c r="W2813" s="26">
        <v>0</v>
      </c>
      <c r="X2813" s="26">
        <v>0</v>
      </c>
      <c r="Y2813" s="26">
        <v>0</v>
      </c>
      <c r="Z2813" s="26">
        <v>0</v>
      </c>
    </row>
    <row r="2814" spans="1:26" x14ac:dyDescent="0.2">
      <c r="A2814">
        <f t="shared" si="90"/>
        <v>6</v>
      </c>
      <c r="B2814">
        <f t="shared" si="91"/>
        <v>24</v>
      </c>
      <c r="C2814" s="27">
        <v>46183</v>
      </c>
      <c r="D2814" s="26" t="s">
        <v>26</v>
      </c>
      <c r="E2814" s="26" t="s">
        <v>27</v>
      </c>
      <c r="F2814" s="26" t="s">
        <v>28</v>
      </c>
      <c r="G2814" s="26" t="s">
        <v>29</v>
      </c>
      <c r="H2814" s="26" t="s">
        <v>30</v>
      </c>
      <c r="I2814" s="26" t="s">
        <v>31</v>
      </c>
      <c r="J2814" s="26" t="s">
        <v>32</v>
      </c>
      <c r="K2814" s="26" t="s">
        <v>31</v>
      </c>
      <c r="L2814" s="26">
        <v>9</v>
      </c>
      <c r="M2814" s="26">
        <v>1</v>
      </c>
      <c r="N2814" s="28">
        <v>0.111111</v>
      </c>
      <c r="O2814" s="26">
        <v>0.2</v>
      </c>
      <c r="P2814" s="26">
        <v>0.2</v>
      </c>
      <c r="Q2814" s="26">
        <v>0</v>
      </c>
      <c r="R2814" s="26"/>
      <c r="S2814" s="26">
        <v>0</v>
      </c>
      <c r="T2814" s="26">
        <v>0</v>
      </c>
      <c r="U2814" s="26">
        <v>0</v>
      </c>
      <c r="V2814" s="28">
        <v>0</v>
      </c>
      <c r="W2814" s="26">
        <v>0</v>
      </c>
      <c r="X2814" s="26">
        <v>0</v>
      </c>
      <c r="Y2814" s="26">
        <v>0</v>
      </c>
      <c r="Z2814" s="26">
        <v>0</v>
      </c>
    </row>
    <row r="2815" spans="1:26" x14ac:dyDescent="0.2">
      <c r="A2815">
        <f t="shared" si="90"/>
        <v>6</v>
      </c>
      <c r="B2815">
        <f t="shared" si="91"/>
        <v>24</v>
      </c>
      <c r="C2815" s="27">
        <v>46186</v>
      </c>
      <c r="D2815" s="26" t="s">
        <v>26</v>
      </c>
      <c r="E2815" s="26" t="s">
        <v>27</v>
      </c>
      <c r="F2815" s="26" t="s">
        <v>28</v>
      </c>
      <c r="G2815" s="26" t="s">
        <v>29</v>
      </c>
      <c r="H2815" s="26" t="s">
        <v>30</v>
      </c>
      <c r="I2815" s="26" t="s">
        <v>31</v>
      </c>
      <c r="J2815" s="26" t="s">
        <v>32</v>
      </c>
      <c r="K2815" s="26" t="s">
        <v>31</v>
      </c>
      <c r="L2815" s="26">
        <v>26</v>
      </c>
      <c r="M2815" s="26">
        <v>1</v>
      </c>
      <c r="N2815" s="28">
        <v>3.8462000000000003E-2</v>
      </c>
      <c r="O2815" s="26">
        <v>0.2</v>
      </c>
      <c r="P2815" s="26">
        <v>0.2</v>
      </c>
      <c r="Q2815" s="26">
        <v>37.979999999999997</v>
      </c>
      <c r="R2815" s="28">
        <v>5.2659999999999998E-3</v>
      </c>
      <c r="S2815" s="26">
        <v>189.9</v>
      </c>
      <c r="T2815" s="26">
        <v>1</v>
      </c>
      <c r="U2815" s="26">
        <v>2</v>
      </c>
      <c r="V2815" s="28">
        <v>1</v>
      </c>
      <c r="W2815" s="26">
        <v>2</v>
      </c>
      <c r="X2815" s="26">
        <v>0</v>
      </c>
      <c r="Y2815" s="26">
        <v>37.979999999999997</v>
      </c>
      <c r="Z2815" s="26">
        <v>0</v>
      </c>
    </row>
    <row r="2816" spans="1:26" x14ac:dyDescent="0.2">
      <c r="A2816">
        <f t="shared" si="90"/>
        <v>6</v>
      </c>
      <c r="B2816">
        <f t="shared" si="91"/>
        <v>25</v>
      </c>
      <c r="C2816" s="27">
        <v>46193</v>
      </c>
      <c r="D2816" s="26" t="s">
        <v>26</v>
      </c>
      <c r="E2816" s="26" t="s">
        <v>27</v>
      </c>
      <c r="F2816" s="26" t="s">
        <v>28</v>
      </c>
      <c r="G2816" s="26" t="s">
        <v>29</v>
      </c>
      <c r="H2816" s="26" t="s">
        <v>30</v>
      </c>
      <c r="I2816" s="26" t="s">
        <v>31</v>
      </c>
      <c r="J2816" s="26" t="s">
        <v>32</v>
      </c>
      <c r="K2816" s="26" t="s">
        <v>31</v>
      </c>
      <c r="L2816" s="26">
        <v>22</v>
      </c>
      <c r="M2816" s="26">
        <v>2</v>
      </c>
      <c r="N2816" s="28">
        <v>9.0909000000000004E-2</v>
      </c>
      <c r="O2816" s="26">
        <v>0.2</v>
      </c>
      <c r="P2816" s="26">
        <v>0.4</v>
      </c>
      <c r="Q2816" s="26">
        <v>0</v>
      </c>
      <c r="R2816" s="26"/>
      <c r="S2816" s="26">
        <v>0</v>
      </c>
      <c r="T2816" s="26">
        <v>0</v>
      </c>
      <c r="U2816" s="26">
        <v>0</v>
      </c>
      <c r="V2816" s="28">
        <v>0</v>
      </c>
      <c r="W2816" s="26">
        <v>0</v>
      </c>
      <c r="X2816" s="26">
        <v>0</v>
      </c>
      <c r="Y2816" s="26">
        <v>0</v>
      </c>
      <c r="Z2816" s="26">
        <v>0</v>
      </c>
    </row>
    <row r="2817" spans="1:26" x14ac:dyDescent="0.2">
      <c r="A2817">
        <f t="shared" si="90"/>
        <v>6</v>
      </c>
      <c r="B2817">
        <f t="shared" si="91"/>
        <v>26</v>
      </c>
      <c r="C2817" s="27">
        <v>46194</v>
      </c>
      <c r="D2817" s="26" t="s">
        <v>26</v>
      </c>
      <c r="E2817" s="26" t="s">
        <v>27</v>
      </c>
      <c r="F2817" s="26" t="s">
        <v>28</v>
      </c>
      <c r="G2817" s="26" t="s">
        <v>29</v>
      </c>
      <c r="H2817" s="26" t="s">
        <v>30</v>
      </c>
      <c r="I2817" s="26" t="s">
        <v>31</v>
      </c>
      <c r="J2817" s="26" t="s">
        <v>32</v>
      </c>
      <c r="K2817" s="26" t="s">
        <v>31</v>
      </c>
      <c r="L2817" s="26">
        <v>25</v>
      </c>
      <c r="M2817" s="26">
        <v>1</v>
      </c>
      <c r="N2817" s="28">
        <v>0.04</v>
      </c>
      <c r="O2817" s="26">
        <v>0.22</v>
      </c>
      <c r="P2817" s="26">
        <v>0.22</v>
      </c>
      <c r="Q2817" s="26">
        <v>0</v>
      </c>
      <c r="R2817" s="26"/>
      <c r="S2817" s="26">
        <v>0</v>
      </c>
      <c r="T2817" s="26">
        <v>0</v>
      </c>
      <c r="U2817" s="26">
        <v>0</v>
      </c>
      <c r="V2817" s="28">
        <v>0</v>
      </c>
      <c r="W2817" s="26">
        <v>0</v>
      </c>
      <c r="X2817" s="26">
        <v>0</v>
      </c>
      <c r="Y2817" s="26">
        <v>0</v>
      </c>
      <c r="Z2817" s="26">
        <v>0</v>
      </c>
    </row>
    <row r="2818" spans="1:26" x14ac:dyDescent="0.2">
      <c r="A2818">
        <f t="shared" si="90"/>
        <v>6</v>
      </c>
      <c r="B2818">
        <f t="shared" si="91"/>
        <v>23</v>
      </c>
      <c r="C2818" s="27">
        <v>46175</v>
      </c>
      <c r="D2818" s="26" t="s">
        <v>26</v>
      </c>
      <c r="E2818" s="26" t="s">
        <v>27</v>
      </c>
      <c r="F2818" s="26" t="s">
        <v>124</v>
      </c>
      <c r="G2818" s="26" t="s">
        <v>29</v>
      </c>
      <c r="H2818" s="26" t="s">
        <v>30</v>
      </c>
      <c r="I2818" s="26" t="s">
        <v>31</v>
      </c>
      <c r="J2818" s="26" t="s">
        <v>87</v>
      </c>
      <c r="K2818" s="26" t="s">
        <v>31</v>
      </c>
      <c r="L2818" s="26">
        <v>101</v>
      </c>
      <c r="M2818" s="26">
        <v>1</v>
      </c>
      <c r="N2818" s="28">
        <v>9.9010000000000001E-3</v>
      </c>
      <c r="O2818" s="26">
        <v>0.2</v>
      </c>
      <c r="P2818" s="26">
        <v>0.2</v>
      </c>
      <c r="Q2818" s="26">
        <v>0</v>
      </c>
      <c r="R2818" s="26"/>
      <c r="S2818" s="26">
        <v>0</v>
      </c>
      <c r="T2818" s="26">
        <v>0</v>
      </c>
      <c r="U2818" s="26">
        <v>0</v>
      </c>
      <c r="V2818" s="28">
        <v>0</v>
      </c>
      <c r="W2818" s="26">
        <v>0</v>
      </c>
      <c r="X2818" s="26">
        <v>0</v>
      </c>
      <c r="Y2818" s="26">
        <v>0</v>
      </c>
      <c r="Z2818" s="26">
        <v>0</v>
      </c>
    </row>
    <row r="2819" spans="1:26" x14ac:dyDescent="0.2">
      <c r="A2819">
        <f t="shared" si="90"/>
        <v>6</v>
      </c>
      <c r="B2819">
        <f t="shared" si="91"/>
        <v>24</v>
      </c>
      <c r="C2819" s="27">
        <v>46186</v>
      </c>
      <c r="D2819" s="26" t="s">
        <v>26</v>
      </c>
      <c r="E2819" s="26" t="s">
        <v>27</v>
      </c>
      <c r="F2819" s="26" t="s">
        <v>124</v>
      </c>
      <c r="G2819" s="26" t="s">
        <v>29</v>
      </c>
      <c r="H2819" s="26" t="s">
        <v>30</v>
      </c>
      <c r="I2819" s="26" t="s">
        <v>31</v>
      </c>
      <c r="J2819" s="26" t="s">
        <v>267</v>
      </c>
      <c r="K2819" s="26" t="s">
        <v>31</v>
      </c>
      <c r="L2819" s="26">
        <v>3</v>
      </c>
      <c r="M2819" s="26">
        <v>1</v>
      </c>
      <c r="N2819" s="28">
        <v>0.33333299999999999</v>
      </c>
      <c r="O2819" s="26">
        <v>0.2</v>
      </c>
      <c r="P2819" s="26">
        <v>0.2</v>
      </c>
      <c r="Q2819" s="26">
        <v>0</v>
      </c>
      <c r="R2819" s="26"/>
      <c r="S2819" s="26">
        <v>0</v>
      </c>
      <c r="T2819" s="26">
        <v>0</v>
      </c>
      <c r="U2819" s="26">
        <v>0</v>
      </c>
      <c r="V2819" s="28">
        <v>0</v>
      </c>
      <c r="W2819" s="26">
        <v>0</v>
      </c>
      <c r="X2819" s="26">
        <v>0</v>
      </c>
      <c r="Y2819" s="26">
        <v>0</v>
      </c>
      <c r="Z2819" s="26">
        <v>0</v>
      </c>
    </row>
    <row r="2820" spans="1:26" x14ac:dyDescent="0.2">
      <c r="A2820">
        <f t="shared" si="90"/>
        <v>6</v>
      </c>
      <c r="B2820">
        <f t="shared" si="91"/>
        <v>23</v>
      </c>
      <c r="C2820" s="27">
        <v>46178</v>
      </c>
      <c r="D2820" s="26" t="s">
        <v>26</v>
      </c>
      <c r="E2820" s="26" t="s">
        <v>27</v>
      </c>
      <c r="F2820" s="26" t="s">
        <v>28</v>
      </c>
      <c r="G2820" s="26" t="s">
        <v>29</v>
      </c>
      <c r="H2820" s="26" t="s">
        <v>30</v>
      </c>
      <c r="I2820" s="26" t="s">
        <v>156</v>
      </c>
      <c r="J2820" s="26" t="s">
        <v>32</v>
      </c>
      <c r="K2820" s="26" t="s">
        <v>31</v>
      </c>
      <c r="L2820" s="26">
        <v>4</v>
      </c>
      <c r="M2820" s="26">
        <v>1</v>
      </c>
      <c r="N2820" s="28">
        <v>0.25</v>
      </c>
      <c r="O2820" s="26">
        <v>0.21</v>
      </c>
      <c r="P2820" s="26">
        <v>0.21</v>
      </c>
      <c r="Q2820" s="26">
        <v>0</v>
      </c>
      <c r="R2820" s="26"/>
      <c r="S2820" s="26">
        <v>0</v>
      </c>
      <c r="T2820" s="26">
        <v>0</v>
      </c>
      <c r="U2820" s="26">
        <v>0</v>
      </c>
      <c r="V2820" s="28">
        <v>0</v>
      </c>
      <c r="W2820" s="26">
        <v>0</v>
      </c>
      <c r="X2820" s="26">
        <v>0</v>
      </c>
      <c r="Y2820" s="26">
        <v>0</v>
      </c>
      <c r="Z2820" s="26">
        <v>0</v>
      </c>
    </row>
    <row r="2821" spans="1:26" x14ac:dyDescent="0.2">
      <c r="A2821">
        <f t="shared" si="90"/>
        <v>6</v>
      </c>
      <c r="B2821">
        <f t="shared" si="91"/>
        <v>24</v>
      </c>
      <c r="C2821" s="27">
        <v>46182</v>
      </c>
      <c r="D2821" s="26" t="s">
        <v>26</v>
      </c>
      <c r="E2821" s="26" t="s">
        <v>27</v>
      </c>
      <c r="F2821" s="26" t="s">
        <v>28</v>
      </c>
      <c r="G2821" s="26" t="s">
        <v>29</v>
      </c>
      <c r="H2821" s="26" t="s">
        <v>30</v>
      </c>
      <c r="I2821" s="26" t="s">
        <v>156</v>
      </c>
      <c r="J2821" s="26" t="s">
        <v>32</v>
      </c>
      <c r="K2821" s="26" t="s">
        <v>31</v>
      </c>
      <c r="L2821" s="26">
        <v>2</v>
      </c>
      <c r="M2821" s="26">
        <v>1</v>
      </c>
      <c r="N2821" s="28">
        <v>0.5</v>
      </c>
      <c r="O2821" s="26">
        <v>0.21</v>
      </c>
      <c r="P2821" s="26">
        <v>0.21</v>
      </c>
      <c r="Q2821" s="26">
        <v>0</v>
      </c>
      <c r="R2821" s="26"/>
      <c r="S2821" s="26">
        <v>0</v>
      </c>
      <c r="T2821" s="26">
        <v>0</v>
      </c>
      <c r="U2821" s="26">
        <v>0</v>
      </c>
      <c r="V2821" s="28">
        <v>0</v>
      </c>
      <c r="W2821" s="26">
        <v>0</v>
      </c>
      <c r="X2821" s="26">
        <v>0</v>
      </c>
      <c r="Y2821" s="26">
        <v>0</v>
      </c>
      <c r="Z2821" s="26">
        <v>0</v>
      </c>
    </row>
    <row r="2822" spans="1:26" x14ac:dyDescent="0.2">
      <c r="A2822">
        <f t="shared" si="90"/>
        <v>6</v>
      </c>
      <c r="B2822">
        <f t="shared" si="91"/>
        <v>24</v>
      </c>
      <c r="C2822" s="27">
        <v>46184</v>
      </c>
      <c r="D2822" s="26" t="s">
        <v>26</v>
      </c>
      <c r="E2822" s="26" t="s">
        <v>27</v>
      </c>
      <c r="F2822" s="26" t="s">
        <v>28</v>
      </c>
      <c r="G2822" s="26" t="s">
        <v>29</v>
      </c>
      <c r="H2822" s="26" t="s">
        <v>30</v>
      </c>
      <c r="I2822" s="26" t="s">
        <v>272</v>
      </c>
      <c r="J2822" s="26" t="s">
        <v>32</v>
      </c>
      <c r="K2822" s="26" t="s">
        <v>31</v>
      </c>
      <c r="L2822" s="26">
        <v>17</v>
      </c>
      <c r="M2822" s="26">
        <v>1</v>
      </c>
      <c r="N2822" s="28">
        <v>5.8824000000000001E-2</v>
      </c>
      <c r="O2822" s="26">
        <v>0.2</v>
      </c>
      <c r="P2822" s="26">
        <v>0.2</v>
      </c>
      <c r="Q2822" s="26">
        <v>0</v>
      </c>
      <c r="R2822" s="26"/>
      <c r="S2822" s="26">
        <v>0</v>
      </c>
      <c r="T2822" s="26">
        <v>0</v>
      </c>
      <c r="U2822" s="26">
        <v>0</v>
      </c>
      <c r="V2822" s="28">
        <v>0</v>
      </c>
      <c r="W2822" s="26">
        <v>0</v>
      </c>
      <c r="X2822" s="26">
        <v>0</v>
      </c>
      <c r="Y2822" s="26">
        <v>0</v>
      </c>
      <c r="Z2822" s="26">
        <v>0</v>
      </c>
    </row>
    <row r="2823" spans="1:26" x14ac:dyDescent="0.2">
      <c r="A2823">
        <f t="shared" si="90"/>
        <v>6</v>
      </c>
      <c r="B2823">
        <f t="shared" si="91"/>
        <v>25</v>
      </c>
      <c r="C2823" s="27">
        <v>46189</v>
      </c>
      <c r="D2823" s="26" t="s">
        <v>26</v>
      </c>
      <c r="E2823" s="26" t="s">
        <v>49</v>
      </c>
      <c r="F2823" s="26" t="s">
        <v>50</v>
      </c>
      <c r="G2823" s="26" t="s">
        <v>29</v>
      </c>
      <c r="H2823" s="26" t="s">
        <v>30</v>
      </c>
      <c r="I2823" s="26" t="s">
        <v>47</v>
      </c>
      <c r="J2823" s="26" t="s">
        <v>42</v>
      </c>
      <c r="K2823" s="26" t="s">
        <v>272</v>
      </c>
      <c r="L2823" s="26">
        <v>17</v>
      </c>
      <c r="M2823" s="26">
        <v>1</v>
      </c>
      <c r="N2823" s="28">
        <v>5.8824000000000001E-2</v>
      </c>
      <c r="O2823" s="26">
        <v>0.67</v>
      </c>
      <c r="P2823" s="26">
        <v>0.67</v>
      </c>
      <c r="Q2823" s="26">
        <v>0</v>
      </c>
      <c r="R2823" s="26"/>
      <c r="S2823" s="26">
        <v>0</v>
      </c>
      <c r="T2823" s="26">
        <v>0</v>
      </c>
      <c r="U2823" s="26">
        <v>0</v>
      </c>
      <c r="V2823" s="28">
        <v>0</v>
      </c>
      <c r="W2823" s="26">
        <v>0</v>
      </c>
      <c r="X2823" s="26">
        <v>0</v>
      </c>
      <c r="Y2823" s="26">
        <v>0</v>
      </c>
      <c r="Z2823" s="26">
        <v>0</v>
      </c>
    </row>
    <row r="2824" spans="1:26" x14ac:dyDescent="0.2">
      <c r="A2824">
        <f t="shared" si="90"/>
        <v>6</v>
      </c>
      <c r="B2824">
        <f t="shared" si="91"/>
        <v>23</v>
      </c>
      <c r="C2824" s="27">
        <v>46176</v>
      </c>
      <c r="D2824" s="26" t="s">
        <v>26</v>
      </c>
      <c r="E2824" s="26" t="s">
        <v>27</v>
      </c>
      <c r="F2824" s="26" t="s">
        <v>28</v>
      </c>
      <c r="G2824" s="26" t="s">
        <v>29</v>
      </c>
      <c r="H2824" s="26" t="s">
        <v>30</v>
      </c>
      <c r="I2824" s="26" t="s">
        <v>243</v>
      </c>
      <c r="J2824" s="26" t="s">
        <v>32</v>
      </c>
      <c r="K2824" s="26" t="s">
        <v>272</v>
      </c>
      <c r="L2824" s="26">
        <v>3</v>
      </c>
      <c r="M2824" s="26">
        <v>1</v>
      </c>
      <c r="N2824" s="28">
        <v>0.33333299999999999</v>
      </c>
      <c r="O2824" s="26">
        <v>0.22</v>
      </c>
      <c r="P2824" s="26">
        <v>0.22</v>
      </c>
      <c r="Q2824" s="26">
        <v>17.47</v>
      </c>
      <c r="R2824" s="28">
        <v>1.2593E-2</v>
      </c>
      <c r="S2824" s="26">
        <v>79.41</v>
      </c>
      <c r="T2824" s="26">
        <v>1</v>
      </c>
      <c r="U2824" s="26">
        <v>1</v>
      </c>
      <c r="V2824" s="28">
        <v>1</v>
      </c>
      <c r="W2824" s="26">
        <v>1</v>
      </c>
      <c r="X2824" s="26">
        <v>0</v>
      </c>
      <c r="Y2824" s="26">
        <v>17.47</v>
      </c>
      <c r="Z2824" s="26">
        <v>0</v>
      </c>
    </row>
    <row r="2825" spans="1:26" x14ac:dyDescent="0.2">
      <c r="A2825">
        <f t="shared" si="90"/>
        <v>6</v>
      </c>
      <c r="B2825">
        <f t="shared" si="91"/>
        <v>25</v>
      </c>
      <c r="C2825" s="27">
        <v>46187</v>
      </c>
      <c r="D2825" s="26" t="s">
        <v>26</v>
      </c>
      <c r="E2825" s="26" t="s">
        <v>27</v>
      </c>
      <c r="F2825" s="26" t="s">
        <v>28</v>
      </c>
      <c r="G2825" s="26" t="s">
        <v>29</v>
      </c>
      <c r="H2825" s="26" t="s">
        <v>30</v>
      </c>
      <c r="I2825" s="26" t="s">
        <v>243</v>
      </c>
      <c r="J2825" s="26" t="s">
        <v>32</v>
      </c>
      <c r="K2825" s="26" t="s">
        <v>272</v>
      </c>
      <c r="L2825" s="26">
        <v>1</v>
      </c>
      <c r="M2825" s="26">
        <v>1</v>
      </c>
      <c r="N2825" s="28">
        <v>1</v>
      </c>
      <c r="O2825" s="26">
        <v>0.21</v>
      </c>
      <c r="P2825" s="26">
        <v>0.21</v>
      </c>
      <c r="Q2825" s="26">
        <v>0</v>
      </c>
      <c r="R2825" s="26"/>
      <c r="S2825" s="26">
        <v>0</v>
      </c>
      <c r="T2825" s="26">
        <v>0</v>
      </c>
      <c r="U2825" s="26">
        <v>0</v>
      </c>
      <c r="V2825" s="28">
        <v>0</v>
      </c>
      <c r="W2825" s="26">
        <v>0</v>
      </c>
      <c r="X2825" s="26">
        <v>0</v>
      </c>
      <c r="Y2825" s="26">
        <v>0</v>
      </c>
      <c r="Z2825" s="26">
        <v>0</v>
      </c>
    </row>
    <row r="2826" spans="1:26" x14ac:dyDescent="0.2">
      <c r="A2826">
        <f t="shared" si="90"/>
        <v>6</v>
      </c>
      <c r="B2826">
        <f t="shared" si="91"/>
        <v>24</v>
      </c>
      <c r="C2826" s="27">
        <v>46181</v>
      </c>
      <c r="D2826" s="26" t="s">
        <v>26</v>
      </c>
      <c r="E2826" s="26" t="s">
        <v>27</v>
      </c>
      <c r="F2826" s="26" t="s">
        <v>28</v>
      </c>
      <c r="G2826" s="26" t="s">
        <v>29</v>
      </c>
      <c r="H2826" s="26" t="s">
        <v>30</v>
      </c>
      <c r="I2826" s="26" t="s">
        <v>156</v>
      </c>
      <c r="J2826" s="26" t="s">
        <v>32</v>
      </c>
      <c r="K2826" s="26" t="s">
        <v>272</v>
      </c>
      <c r="L2826" s="26">
        <v>2</v>
      </c>
      <c r="M2826" s="26">
        <v>1</v>
      </c>
      <c r="N2826" s="28">
        <v>0.5</v>
      </c>
      <c r="O2826" s="26">
        <v>0.21</v>
      </c>
      <c r="P2826" s="26">
        <v>0.21</v>
      </c>
      <c r="Q2826" s="26">
        <v>0</v>
      </c>
      <c r="R2826" s="26"/>
      <c r="S2826" s="26">
        <v>0</v>
      </c>
      <c r="T2826" s="26">
        <v>0</v>
      </c>
      <c r="U2826" s="26">
        <v>0</v>
      </c>
      <c r="V2826" s="28">
        <v>0</v>
      </c>
      <c r="W2826" s="26">
        <v>0</v>
      </c>
      <c r="X2826" s="26">
        <v>0</v>
      </c>
      <c r="Y2826" s="26">
        <v>0</v>
      </c>
      <c r="Z2826" s="26">
        <v>0</v>
      </c>
    </row>
    <row r="2827" spans="1:26" x14ac:dyDescent="0.2">
      <c r="A2827">
        <f t="shared" si="90"/>
        <v>6</v>
      </c>
      <c r="B2827">
        <f t="shared" si="91"/>
        <v>24</v>
      </c>
      <c r="C2827" s="27">
        <v>46183</v>
      </c>
      <c r="D2827" s="26" t="s">
        <v>26</v>
      </c>
      <c r="E2827" s="26" t="s">
        <v>27</v>
      </c>
      <c r="F2827" s="26" t="s">
        <v>28</v>
      </c>
      <c r="G2827" s="26" t="s">
        <v>29</v>
      </c>
      <c r="H2827" s="26" t="s">
        <v>30</v>
      </c>
      <c r="I2827" s="26" t="s">
        <v>156</v>
      </c>
      <c r="J2827" s="26" t="s">
        <v>32</v>
      </c>
      <c r="K2827" s="26" t="s">
        <v>272</v>
      </c>
      <c r="L2827" s="26">
        <v>1</v>
      </c>
      <c r="M2827" s="26">
        <v>1</v>
      </c>
      <c r="N2827" s="28">
        <v>1</v>
      </c>
      <c r="O2827" s="26">
        <v>0.2</v>
      </c>
      <c r="P2827" s="26">
        <v>0.2</v>
      </c>
      <c r="Q2827" s="26">
        <v>0</v>
      </c>
      <c r="R2827" s="26"/>
      <c r="S2827" s="26">
        <v>0</v>
      </c>
      <c r="T2827" s="26">
        <v>0</v>
      </c>
      <c r="U2827" s="26">
        <v>0</v>
      </c>
      <c r="V2827" s="28">
        <v>0</v>
      </c>
      <c r="W2827" s="26">
        <v>0</v>
      </c>
      <c r="X2827" s="26">
        <v>0</v>
      </c>
      <c r="Y2827" s="26">
        <v>0</v>
      </c>
      <c r="Z2827" s="26">
        <v>0</v>
      </c>
    </row>
    <row r="2828" spans="1:26" x14ac:dyDescent="0.2">
      <c r="A2828">
        <f t="shared" si="90"/>
        <v>6</v>
      </c>
      <c r="B2828">
        <f t="shared" si="91"/>
        <v>24</v>
      </c>
      <c r="C2828" s="27">
        <v>46180</v>
      </c>
      <c r="D2828" s="26" t="s">
        <v>26</v>
      </c>
      <c r="E2828" s="26" t="s">
        <v>27</v>
      </c>
      <c r="F2828" s="26" t="s">
        <v>28</v>
      </c>
      <c r="G2828" s="26" t="s">
        <v>29</v>
      </c>
      <c r="H2828" s="26" t="s">
        <v>30</v>
      </c>
      <c r="I2828" s="26" t="s">
        <v>272</v>
      </c>
      <c r="J2828" s="26" t="s">
        <v>32</v>
      </c>
      <c r="K2828" s="26" t="s">
        <v>272</v>
      </c>
      <c r="L2828" s="26">
        <v>30</v>
      </c>
      <c r="M2828" s="26">
        <v>1</v>
      </c>
      <c r="N2828" s="28">
        <v>3.3333000000000002E-2</v>
      </c>
      <c r="O2828" s="26">
        <v>0.2</v>
      </c>
      <c r="P2828" s="26">
        <v>0.2</v>
      </c>
      <c r="Q2828" s="26">
        <v>0</v>
      </c>
      <c r="R2828" s="26"/>
      <c r="S2828" s="26">
        <v>0</v>
      </c>
      <c r="T2828" s="26">
        <v>0</v>
      </c>
      <c r="U2828" s="26">
        <v>0</v>
      </c>
      <c r="V2828" s="28">
        <v>0</v>
      </c>
      <c r="W2828" s="26">
        <v>0</v>
      </c>
      <c r="X2828" s="26">
        <v>0</v>
      </c>
      <c r="Y2828" s="26">
        <v>0</v>
      </c>
      <c r="Z2828" s="26">
        <v>0</v>
      </c>
    </row>
    <row r="2829" spans="1:26" x14ac:dyDescent="0.2">
      <c r="A2829">
        <f t="shared" si="90"/>
        <v>6</v>
      </c>
      <c r="B2829">
        <f t="shared" si="91"/>
        <v>23</v>
      </c>
      <c r="C2829" s="27">
        <v>46176</v>
      </c>
      <c r="D2829" s="26" t="s">
        <v>26</v>
      </c>
      <c r="E2829" s="26" t="s">
        <v>27</v>
      </c>
      <c r="F2829" s="26" t="s">
        <v>124</v>
      </c>
      <c r="G2829" s="26" t="s">
        <v>29</v>
      </c>
      <c r="H2829" s="26" t="s">
        <v>30</v>
      </c>
      <c r="I2829" s="26" t="s">
        <v>272</v>
      </c>
      <c r="J2829" s="26" t="s">
        <v>87</v>
      </c>
      <c r="K2829" s="26" t="s">
        <v>272</v>
      </c>
      <c r="L2829" s="26">
        <v>6</v>
      </c>
      <c r="M2829" s="26">
        <v>1</v>
      </c>
      <c r="N2829" s="28">
        <v>0.16666700000000001</v>
      </c>
      <c r="O2829" s="26">
        <v>0.21</v>
      </c>
      <c r="P2829" s="26">
        <v>0.21</v>
      </c>
      <c r="Q2829" s="26">
        <v>0</v>
      </c>
      <c r="R2829" s="26"/>
      <c r="S2829" s="26">
        <v>0</v>
      </c>
      <c r="T2829" s="26">
        <v>0</v>
      </c>
      <c r="U2829" s="26">
        <v>0</v>
      </c>
      <c r="V2829" s="28">
        <v>0</v>
      </c>
      <c r="W2829" s="26">
        <v>0</v>
      </c>
      <c r="X2829" s="26">
        <v>0</v>
      </c>
      <c r="Y2829" s="26">
        <v>0</v>
      </c>
      <c r="Z2829" s="26">
        <v>0</v>
      </c>
    </row>
    <row r="2830" spans="1:26" x14ac:dyDescent="0.2">
      <c r="A2830">
        <f t="shared" si="90"/>
        <v>6</v>
      </c>
      <c r="B2830">
        <f t="shared" si="91"/>
        <v>25</v>
      </c>
      <c r="C2830" s="27">
        <v>46188</v>
      </c>
      <c r="D2830" s="26" t="s">
        <v>26</v>
      </c>
      <c r="E2830" s="26" t="s">
        <v>27</v>
      </c>
      <c r="F2830" s="26" t="s">
        <v>124</v>
      </c>
      <c r="G2830" s="26" t="s">
        <v>29</v>
      </c>
      <c r="H2830" s="26" t="s">
        <v>30</v>
      </c>
      <c r="I2830" s="26" t="s">
        <v>31</v>
      </c>
      <c r="J2830" s="26" t="s">
        <v>87</v>
      </c>
      <c r="K2830" s="26" t="s">
        <v>1758</v>
      </c>
      <c r="L2830" s="26">
        <v>1</v>
      </c>
      <c r="M2830" s="26">
        <v>1</v>
      </c>
      <c r="N2830" s="28">
        <v>1</v>
      </c>
      <c r="O2830" s="26">
        <v>0.4</v>
      </c>
      <c r="P2830" s="26">
        <v>0.4</v>
      </c>
      <c r="Q2830" s="26">
        <v>0</v>
      </c>
      <c r="R2830" s="26"/>
      <c r="S2830" s="26">
        <v>0</v>
      </c>
      <c r="T2830" s="26">
        <v>0</v>
      </c>
      <c r="U2830" s="26">
        <v>0</v>
      </c>
      <c r="V2830" s="28">
        <v>0</v>
      </c>
      <c r="W2830" s="26">
        <v>0</v>
      </c>
      <c r="X2830" s="26">
        <v>0</v>
      </c>
      <c r="Y2830" s="26">
        <v>0</v>
      </c>
      <c r="Z2830" s="26">
        <v>0</v>
      </c>
    </row>
    <row r="2831" spans="1:26" x14ac:dyDescent="0.2">
      <c r="A2831">
        <f t="shared" si="90"/>
        <v>6</v>
      </c>
      <c r="B2831">
        <f t="shared" si="91"/>
        <v>26</v>
      </c>
      <c r="C2831" s="27">
        <v>46194</v>
      </c>
      <c r="D2831" s="26" t="s">
        <v>26</v>
      </c>
      <c r="E2831" s="26" t="s">
        <v>27</v>
      </c>
      <c r="F2831" s="26" t="s">
        <v>124</v>
      </c>
      <c r="G2831" s="26" t="s">
        <v>29</v>
      </c>
      <c r="H2831" s="26" t="s">
        <v>30</v>
      </c>
      <c r="I2831" s="26" t="s">
        <v>31</v>
      </c>
      <c r="J2831" s="26" t="s">
        <v>87</v>
      </c>
      <c r="K2831" s="26" t="s">
        <v>1759</v>
      </c>
      <c r="L2831" s="26">
        <v>3</v>
      </c>
      <c r="M2831" s="26">
        <v>1</v>
      </c>
      <c r="N2831" s="28">
        <v>0.33333299999999999</v>
      </c>
      <c r="O2831" s="26">
        <v>0.4</v>
      </c>
      <c r="P2831" s="26">
        <v>0.4</v>
      </c>
      <c r="Q2831" s="26">
        <v>18.989999999999998</v>
      </c>
      <c r="R2831" s="28">
        <v>2.1063999999999999E-2</v>
      </c>
      <c r="S2831" s="26">
        <v>47.48</v>
      </c>
      <c r="T2831" s="26">
        <v>1</v>
      </c>
      <c r="U2831" s="26">
        <v>1</v>
      </c>
      <c r="V2831" s="28">
        <v>1</v>
      </c>
      <c r="W2831" s="26">
        <v>1</v>
      </c>
      <c r="X2831" s="26">
        <v>0</v>
      </c>
      <c r="Y2831" s="26">
        <v>18.989999999999998</v>
      </c>
      <c r="Z2831" s="26">
        <v>0</v>
      </c>
    </row>
    <row r="2832" spans="1:26" x14ac:dyDescent="0.2">
      <c r="A2832">
        <f t="shared" si="90"/>
        <v>6</v>
      </c>
      <c r="B2832">
        <f t="shared" si="91"/>
        <v>25</v>
      </c>
      <c r="C2832" s="27">
        <v>46192</v>
      </c>
      <c r="D2832" s="26" t="s">
        <v>26</v>
      </c>
      <c r="E2832" s="26" t="s">
        <v>27</v>
      </c>
      <c r="F2832" s="26" t="s">
        <v>28</v>
      </c>
      <c r="G2832" s="26" t="s">
        <v>29</v>
      </c>
      <c r="H2832" s="26" t="s">
        <v>30</v>
      </c>
      <c r="I2832" s="26" t="s">
        <v>44</v>
      </c>
      <c r="J2832" s="26" t="s">
        <v>32</v>
      </c>
      <c r="K2832" s="26" t="s">
        <v>1760</v>
      </c>
      <c r="L2832" s="26">
        <v>1</v>
      </c>
      <c r="M2832" s="26">
        <v>1</v>
      </c>
      <c r="N2832" s="28">
        <v>1</v>
      </c>
      <c r="O2832" s="26">
        <v>0.23</v>
      </c>
      <c r="P2832" s="26">
        <v>0.23</v>
      </c>
      <c r="Q2832" s="26">
        <v>0</v>
      </c>
      <c r="R2832" s="26"/>
      <c r="S2832" s="26">
        <v>0</v>
      </c>
      <c r="T2832" s="26">
        <v>0</v>
      </c>
      <c r="U2832" s="26">
        <v>0</v>
      </c>
      <c r="V2832" s="28">
        <v>0</v>
      </c>
      <c r="W2832" s="26">
        <v>0</v>
      </c>
      <c r="X2832" s="26">
        <v>0</v>
      </c>
      <c r="Y2832" s="26">
        <v>0</v>
      </c>
      <c r="Z2832" s="26">
        <v>0</v>
      </c>
    </row>
    <row r="2833" spans="1:26" x14ac:dyDescent="0.2">
      <c r="A2833">
        <f t="shared" si="90"/>
        <v>6</v>
      </c>
      <c r="B2833">
        <f t="shared" si="91"/>
        <v>24</v>
      </c>
      <c r="C2833" s="27">
        <v>46181</v>
      </c>
      <c r="D2833" s="26" t="s">
        <v>26</v>
      </c>
      <c r="E2833" s="26" t="s">
        <v>27</v>
      </c>
      <c r="F2833" s="26" t="s">
        <v>28</v>
      </c>
      <c r="G2833" s="26" t="s">
        <v>29</v>
      </c>
      <c r="H2833" s="26" t="s">
        <v>30</v>
      </c>
      <c r="I2833" s="26" t="s">
        <v>31</v>
      </c>
      <c r="J2833" s="26" t="s">
        <v>32</v>
      </c>
      <c r="K2833" s="26" t="s">
        <v>1761</v>
      </c>
      <c r="L2833" s="26">
        <v>1</v>
      </c>
      <c r="M2833" s="26">
        <v>1</v>
      </c>
      <c r="N2833" s="28">
        <v>1</v>
      </c>
      <c r="O2833" s="26">
        <v>0.4</v>
      </c>
      <c r="P2833" s="26">
        <v>0.4</v>
      </c>
      <c r="Q2833" s="26">
        <v>0</v>
      </c>
      <c r="R2833" s="26"/>
      <c r="S2833" s="26">
        <v>0</v>
      </c>
      <c r="T2833" s="26">
        <v>0</v>
      </c>
      <c r="U2833" s="26">
        <v>0</v>
      </c>
      <c r="V2833" s="28">
        <v>0</v>
      </c>
      <c r="W2833" s="26">
        <v>0</v>
      </c>
      <c r="X2833" s="26">
        <v>0</v>
      </c>
      <c r="Y2833" s="26">
        <v>0</v>
      </c>
      <c r="Z2833" s="26">
        <v>0</v>
      </c>
    </row>
    <row r="2834" spans="1:26" x14ac:dyDescent="0.2">
      <c r="A2834">
        <f t="shared" si="90"/>
        <v>6</v>
      </c>
      <c r="B2834">
        <f t="shared" si="91"/>
        <v>26</v>
      </c>
      <c r="C2834" s="27">
        <v>46194</v>
      </c>
      <c r="D2834" s="26" t="s">
        <v>26</v>
      </c>
      <c r="E2834" s="26" t="s">
        <v>39</v>
      </c>
      <c r="F2834" s="26" t="s">
        <v>40</v>
      </c>
      <c r="G2834" s="26" t="s">
        <v>29</v>
      </c>
      <c r="H2834" s="26" t="s">
        <v>30</v>
      </c>
      <c r="I2834" s="26" t="s">
        <v>1134</v>
      </c>
      <c r="J2834" s="26" t="s">
        <v>42</v>
      </c>
      <c r="K2834" s="26" t="s">
        <v>546</v>
      </c>
      <c r="L2834" s="26">
        <v>3</v>
      </c>
      <c r="M2834" s="26">
        <v>1</v>
      </c>
      <c r="N2834" s="28">
        <v>0.33333299999999999</v>
      </c>
      <c r="O2834" s="26">
        <v>0.6</v>
      </c>
      <c r="P2834" s="26">
        <v>0.6</v>
      </c>
      <c r="Q2834" s="26">
        <v>0</v>
      </c>
      <c r="R2834" s="26"/>
      <c r="S2834" s="26">
        <v>0</v>
      </c>
      <c r="T2834" s="26">
        <v>0</v>
      </c>
      <c r="U2834" s="26">
        <v>0</v>
      </c>
      <c r="V2834" s="28">
        <v>0</v>
      </c>
      <c r="W2834" s="26">
        <v>0</v>
      </c>
      <c r="X2834" s="26">
        <v>0</v>
      </c>
      <c r="Y2834" s="26">
        <v>0</v>
      </c>
      <c r="Z2834" s="26">
        <v>0</v>
      </c>
    </row>
    <row r="2835" spans="1:26" x14ac:dyDescent="0.2">
      <c r="A2835">
        <f t="shared" si="90"/>
        <v>6</v>
      </c>
      <c r="B2835">
        <f t="shared" si="91"/>
        <v>25</v>
      </c>
      <c r="C2835" s="27">
        <v>46192</v>
      </c>
      <c r="D2835" s="26" t="s">
        <v>26</v>
      </c>
      <c r="E2835" s="26" t="s">
        <v>49</v>
      </c>
      <c r="F2835" s="26" t="s">
        <v>50</v>
      </c>
      <c r="G2835" s="26" t="s">
        <v>29</v>
      </c>
      <c r="H2835" s="26" t="s">
        <v>30</v>
      </c>
      <c r="I2835" s="26" t="s">
        <v>95</v>
      </c>
      <c r="J2835" s="26" t="s">
        <v>42</v>
      </c>
      <c r="K2835" s="26" t="s">
        <v>546</v>
      </c>
      <c r="L2835" s="26">
        <v>4</v>
      </c>
      <c r="M2835" s="26">
        <v>1</v>
      </c>
      <c r="N2835" s="28">
        <v>0.25</v>
      </c>
      <c r="O2835" s="26">
        <v>0.56999999999999995</v>
      </c>
      <c r="P2835" s="26">
        <v>0.56999999999999995</v>
      </c>
      <c r="Q2835" s="26">
        <v>0</v>
      </c>
      <c r="R2835" s="26"/>
      <c r="S2835" s="26">
        <v>0</v>
      </c>
      <c r="T2835" s="26">
        <v>0</v>
      </c>
      <c r="U2835" s="26">
        <v>0</v>
      </c>
      <c r="V2835" s="28">
        <v>0</v>
      </c>
      <c r="W2835" s="26">
        <v>0</v>
      </c>
      <c r="X2835" s="26">
        <v>0</v>
      </c>
      <c r="Y2835" s="26">
        <v>0</v>
      </c>
      <c r="Z2835" s="26">
        <v>0</v>
      </c>
    </row>
    <row r="2836" spans="1:26" x14ac:dyDescent="0.2">
      <c r="A2836">
        <f t="shared" si="90"/>
        <v>6</v>
      </c>
      <c r="B2836">
        <f t="shared" si="91"/>
        <v>25</v>
      </c>
      <c r="C2836" s="27">
        <v>46193</v>
      </c>
      <c r="D2836" s="26" t="s">
        <v>26</v>
      </c>
      <c r="E2836" s="26" t="s">
        <v>27</v>
      </c>
      <c r="F2836" s="26" t="s">
        <v>28</v>
      </c>
      <c r="G2836" s="26" t="s">
        <v>29</v>
      </c>
      <c r="H2836" s="26" t="s">
        <v>30</v>
      </c>
      <c r="I2836" s="26" t="s">
        <v>243</v>
      </c>
      <c r="J2836" s="26" t="s">
        <v>32</v>
      </c>
      <c r="K2836" s="26" t="s">
        <v>1762</v>
      </c>
      <c r="L2836" s="26">
        <v>3</v>
      </c>
      <c r="M2836" s="26">
        <v>1</v>
      </c>
      <c r="N2836" s="28">
        <v>0.33333299999999999</v>
      </c>
      <c r="O2836" s="26">
        <v>0.21</v>
      </c>
      <c r="P2836" s="26">
        <v>0.21</v>
      </c>
      <c r="Q2836" s="26">
        <v>0</v>
      </c>
      <c r="R2836" s="26"/>
      <c r="S2836" s="26">
        <v>0</v>
      </c>
      <c r="T2836" s="26">
        <v>0</v>
      </c>
      <c r="U2836" s="26">
        <v>0</v>
      </c>
      <c r="V2836" s="28">
        <v>0</v>
      </c>
      <c r="W2836" s="26">
        <v>0</v>
      </c>
      <c r="X2836" s="26">
        <v>0</v>
      </c>
      <c r="Y2836" s="26">
        <v>0</v>
      </c>
      <c r="Z2836" s="26">
        <v>0</v>
      </c>
    </row>
    <row r="2837" spans="1:26" x14ac:dyDescent="0.2">
      <c r="A2837">
        <f t="shared" si="90"/>
        <v>6</v>
      </c>
      <c r="B2837">
        <f t="shared" si="91"/>
        <v>25</v>
      </c>
      <c r="C2837" s="27">
        <v>46190</v>
      </c>
      <c r="D2837" s="26" t="s">
        <v>26</v>
      </c>
      <c r="E2837" s="26" t="s">
        <v>49</v>
      </c>
      <c r="F2837" s="26" t="s">
        <v>50</v>
      </c>
      <c r="G2837" s="26" t="s">
        <v>29</v>
      </c>
      <c r="H2837" s="26" t="s">
        <v>30</v>
      </c>
      <c r="I2837" s="26" t="s">
        <v>95</v>
      </c>
      <c r="J2837" s="26" t="s">
        <v>42</v>
      </c>
      <c r="K2837" s="26" t="s">
        <v>1763</v>
      </c>
      <c r="L2837" s="26">
        <v>1</v>
      </c>
      <c r="M2837" s="26">
        <v>1</v>
      </c>
      <c r="N2837" s="28">
        <v>1</v>
      </c>
      <c r="O2837" s="26">
        <v>0.55000000000000004</v>
      </c>
      <c r="P2837" s="26">
        <v>0.55000000000000004</v>
      </c>
      <c r="Q2837" s="26">
        <v>0</v>
      </c>
      <c r="R2837" s="26"/>
      <c r="S2837" s="26">
        <v>0</v>
      </c>
      <c r="T2837" s="26">
        <v>0</v>
      </c>
      <c r="U2837" s="26">
        <v>0</v>
      </c>
      <c r="V2837" s="28">
        <v>0</v>
      </c>
      <c r="W2837" s="26">
        <v>0</v>
      </c>
      <c r="X2837" s="26">
        <v>0</v>
      </c>
      <c r="Y2837" s="26">
        <v>0</v>
      </c>
      <c r="Z2837" s="26">
        <v>0</v>
      </c>
    </row>
    <row r="2838" spans="1:26" x14ac:dyDescent="0.2">
      <c r="A2838">
        <f t="shared" si="90"/>
        <v>6</v>
      </c>
      <c r="B2838">
        <f t="shared" si="91"/>
        <v>24</v>
      </c>
      <c r="C2838" s="27">
        <v>46184</v>
      </c>
      <c r="D2838" s="26" t="s">
        <v>26</v>
      </c>
      <c r="E2838" s="26" t="s">
        <v>49</v>
      </c>
      <c r="F2838" s="26" t="s">
        <v>50</v>
      </c>
      <c r="G2838" s="26" t="s">
        <v>29</v>
      </c>
      <c r="H2838" s="26" t="s">
        <v>30</v>
      </c>
      <c r="I2838" s="26" t="s">
        <v>95</v>
      </c>
      <c r="J2838" s="26" t="s">
        <v>42</v>
      </c>
      <c r="K2838" s="26" t="s">
        <v>1764</v>
      </c>
      <c r="L2838" s="26">
        <v>1</v>
      </c>
      <c r="M2838" s="26">
        <v>1</v>
      </c>
      <c r="N2838" s="28">
        <v>1</v>
      </c>
      <c r="O2838" s="26">
        <v>0.77</v>
      </c>
      <c r="P2838" s="26">
        <v>0.77</v>
      </c>
      <c r="Q2838" s="26">
        <v>0</v>
      </c>
      <c r="R2838" s="26"/>
      <c r="S2838" s="26">
        <v>0</v>
      </c>
      <c r="T2838" s="26">
        <v>0</v>
      </c>
      <c r="U2838" s="26">
        <v>0</v>
      </c>
      <c r="V2838" s="28">
        <v>0</v>
      </c>
      <c r="W2838" s="26">
        <v>0</v>
      </c>
      <c r="X2838" s="26">
        <v>0</v>
      </c>
      <c r="Y2838" s="26">
        <v>0</v>
      </c>
      <c r="Z2838" s="26">
        <v>0</v>
      </c>
    </row>
    <row r="2839" spans="1:26" x14ac:dyDescent="0.2">
      <c r="A2839">
        <f t="shared" si="90"/>
        <v>6</v>
      </c>
      <c r="B2839">
        <f t="shared" si="91"/>
        <v>25</v>
      </c>
      <c r="C2839" s="27">
        <v>46193</v>
      </c>
      <c r="D2839" s="26" t="s">
        <v>26</v>
      </c>
      <c r="E2839" s="26" t="s">
        <v>49</v>
      </c>
      <c r="F2839" s="26" t="s">
        <v>50</v>
      </c>
      <c r="G2839" s="26" t="s">
        <v>29</v>
      </c>
      <c r="H2839" s="26" t="s">
        <v>30</v>
      </c>
      <c r="I2839" s="26" t="s">
        <v>47</v>
      </c>
      <c r="J2839" s="26" t="s">
        <v>42</v>
      </c>
      <c r="K2839" s="26" t="s">
        <v>1765</v>
      </c>
      <c r="L2839" s="26">
        <v>2</v>
      </c>
      <c r="M2839" s="26">
        <v>1</v>
      </c>
      <c r="N2839" s="28">
        <v>0.5</v>
      </c>
      <c r="O2839" s="26">
        <v>0.93</v>
      </c>
      <c r="P2839" s="26">
        <v>0.93</v>
      </c>
      <c r="Q2839" s="26">
        <v>18.989999999999998</v>
      </c>
      <c r="R2839" s="28">
        <v>4.8973000000000003E-2</v>
      </c>
      <c r="S2839" s="26">
        <v>20.420000000000002</v>
      </c>
      <c r="T2839" s="26">
        <v>1</v>
      </c>
      <c r="U2839" s="26">
        <v>1</v>
      </c>
      <c r="V2839" s="28">
        <v>1</v>
      </c>
      <c r="W2839" s="26">
        <v>1</v>
      </c>
      <c r="X2839" s="26">
        <v>0</v>
      </c>
      <c r="Y2839" s="26">
        <v>18.989999999999998</v>
      </c>
      <c r="Z2839" s="26">
        <v>0</v>
      </c>
    </row>
    <row r="2840" spans="1:26" x14ac:dyDescent="0.2">
      <c r="A2840">
        <f t="shared" si="90"/>
        <v>6</v>
      </c>
      <c r="B2840">
        <f t="shared" si="91"/>
        <v>23</v>
      </c>
      <c r="C2840" s="27">
        <v>46177</v>
      </c>
      <c r="D2840" s="26" t="s">
        <v>26</v>
      </c>
      <c r="E2840" s="26" t="s">
        <v>27</v>
      </c>
      <c r="F2840" s="26" t="s">
        <v>28</v>
      </c>
      <c r="G2840" s="26" t="s">
        <v>29</v>
      </c>
      <c r="H2840" s="26" t="s">
        <v>30</v>
      </c>
      <c r="I2840" s="26" t="s">
        <v>31</v>
      </c>
      <c r="J2840" s="26" t="s">
        <v>32</v>
      </c>
      <c r="K2840" s="26" t="s">
        <v>1766</v>
      </c>
      <c r="L2840" s="26">
        <v>4</v>
      </c>
      <c r="M2840" s="26">
        <v>1</v>
      </c>
      <c r="N2840" s="28">
        <v>0.25</v>
      </c>
      <c r="O2840" s="26">
        <v>0.4</v>
      </c>
      <c r="P2840" s="26">
        <v>0.4</v>
      </c>
      <c r="Q2840" s="26">
        <v>0</v>
      </c>
      <c r="R2840" s="26"/>
      <c r="S2840" s="26">
        <v>0</v>
      </c>
      <c r="T2840" s="26">
        <v>0</v>
      </c>
      <c r="U2840" s="26">
        <v>0</v>
      </c>
      <c r="V2840" s="28">
        <v>0</v>
      </c>
      <c r="W2840" s="26">
        <v>0</v>
      </c>
      <c r="X2840" s="26">
        <v>0</v>
      </c>
      <c r="Y2840" s="26">
        <v>0</v>
      </c>
      <c r="Z2840" s="26">
        <v>0</v>
      </c>
    </row>
    <row r="2841" spans="1:26" x14ac:dyDescent="0.2">
      <c r="A2841">
        <f t="shared" si="90"/>
        <v>6</v>
      </c>
      <c r="B2841">
        <f t="shared" si="91"/>
        <v>24</v>
      </c>
      <c r="C2841" s="27">
        <v>46180</v>
      </c>
      <c r="D2841" s="26" t="s">
        <v>26</v>
      </c>
      <c r="E2841" s="26" t="s">
        <v>27</v>
      </c>
      <c r="F2841" s="26" t="s">
        <v>28</v>
      </c>
      <c r="G2841" s="26" t="s">
        <v>29</v>
      </c>
      <c r="H2841" s="26" t="s">
        <v>30</v>
      </c>
      <c r="I2841" s="26" t="s">
        <v>31</v>
      </c>
      <c r="J2841" s="26" t="s">
        <v>32</v>
      </c>
      <c r="K2841" s="26" t="s">
        <v>1767</v>
      </c>
      <c r="L2841" s="26">
        <v>3</v>
      </c>
      <c r="M2841" s="26">
        <v>1</v>
      </c>
      <c r="N2841" s="28">
        <v>0.33333299999999999</v>
      </c>
      <c r="O2841" s="26">
        <v>0.21</v>
      </c>
      <c r="P2841" s="26">
        <v>0.21</v>
      </c>
      <c r="Q2841" s="26">
        <v>0</v>
      </c>
      <c r="R2841" s="26"/>
      <c r="S2841" s="26">
        <v>0</v>
      </c>
      <c r="T2841" s="26">
        <v>0</v>
      </c>
      <c r="U2841" s="26">
        <v>0</v>
      </c>
      <c r="V2841" s="28">
        <v>0</v>
      </c>
      <c r="W2841" s="26">
        <v>0</v>
      </c>
      <c r="X2841" s="26">
        <v>0</v>
      </c>
      <c r="Y2841" s="26">
        <v>0</v>
      </c>
      <c r="Z2841" s="26">
        <v>0</v>
      </c>
    </row>
    <row r="2842" spans="1:26" x14ac:dyDescent="0.2">
      <c r="A2842">
        <f t="shared" si="90"/>
        <v>6</v>
      </c>
      <c r="B2842">
        <f t="shared" si="91"/>
        <v>24</v>
      </c>
      <c r="C2842" s="27">
        <v>46185</v>
      </c>
      <c r="D2842" s="26" t="s">
        <v>26</v>
      </c>
      <c r="E2842" s="26" t="s">
        <v>27</v>
      </c>
      <c r="F2842" s="26" t="s">
        <v>28</v>
      </c>
      <c r="G2842" s="26" t="s">
        <v>29</v>
      </c>
      <c r="H2842" s="26" t="s">
        <v>30</v>
      </c>
      <c r="I2842" s="26" t="s">
        <v>44</v>
      </c>
      <c r="J2842" s="26" t="s">
        <v>32</v>
      </c>
      <c r="K2842" s="26" t="s">
        <v>1768</v>
      </c>
      <c r="L2842" s="26">
        <v>2</v>
      </c>
      <c r="M2842" s="26">
        <v>1</v>
      </c>
      <c r="N2842" s="28">
        <v>0.5</v>
      </c>
      <c r="O2842" s="26">
        <v>0.21</v>
      </c>
      <c r="P2842" s="26">
        <v>0.21</v>
      </c>
      <c r="Q2842" s="26">
        <v>0</v>
      </c>
      <c r="R2842" s="26"/>
      <c r="S2842" s="26">
        <v>0</v>
      </c>
      <c r="T2842" s="26">
        <v>0</v>
      </c>
      <c r="U2842" s="26">
        <v>0</v>
      </c>
      <c r="V2842" s="28">
        <v>0</v>
      </c>
      <c r="W2842" s="26">
        <v>0</v>
      </c>
      <c r="X2842" s="26">
        <v>0</v>
      </c>
      <c r="Y2842" s="26">
        <v>0</v>
      </c>
      <c r="Z2842" s="26">
        <v>0</v>
      </c>
    </row>
    <row r="2843" spans="1:26" x14ac:dyDescent="0.2">
      <c r="A2843">
        <f t="shared" si="90"/>
        <v>6</v>
      </c>
      <c r="B2843">
        <f t="shared" si="91"/>
        <v>25</v>
      </c>
      <c r="C2843" s="27">
        <v>46188</v>
      </c>
      <c r="D2843" s="26" t="s">
        <v>26</v>
      </c>
      <c r="E2843" s="26" t="s">
        <v>27</v>
      </c>
      <c r="F2843" s="26" t="s">
        <v>28</v>
      </c>
      <c r="G2843" s="26" t="s">
        <v>29</v>
      </c>
      <c r="H2843" s="26" t="s">
        <v>30</v>
      </c>
      <c r="I2843" s="26" t="s">
        <v>44</v>
      </c>
      <c r="J2843" s="26" t="s">
        <v>32</v>
      </c>
      <c r="K2843" s="26" t="s">
        <v>1768</v>
      </c>
      <c r="L2843" s="26">
        <v>2</v>
      </c>
      <c r="M2843" s="26">
        <v>1</v>
      </c>
      <c r="N2843" s="28">
        <v>0.5</v>
      </c>
      <c r="O2843" s="26">
        <v>0.21</v>
      </c>
      <c r="P2843" s="26">
        <v>0.21</v>
      </c>
      <c r="Q2843" s="26">
        <v>0</v>
      </c>
      <c r="R2843" s="26"/>
      <c r="S2843" s="26">
        <v>0</v>
      </c>
      <c r="T2843" s="26">
        <v>0</v>
      </c>
      <c r="U2843" s="26">
        <v>0</v>
      </c>
      <c r="V2843" s="28">
        <v>0</v>
      </c>
      <c r="W2843" s="26">
        <v>0</v>
      </c>
      <c r="X2843" s="26">
        <v>0</v>
      </c>
      <c r="Y2843" s="26">
        <v>0</v>
      </c>
      <c r="Z2843" s="26">
        <v>0</v>
      </c>
    </row>
    <row r="2844" spans="1:26" x14ac:dyDescent="0.2">
      <c r="A2844">
        <f t="shared" si="90"/>
        <v>6</v>
      </c>
      <c r="B2844">
        <f t="shared" si="91"/>
        <v>24</v>
      </c>
      <c r="C2844" s="27">
        <v>46183</v>
      </c>
      <c r="D2844" s="26" t="s">
        <v>26</v>
      </c>
      <c r="E2844" s="26" t="s">
        <v>27</v>
      </c>
      <c r="F2844" s="26" t="s">
        <v>28</v>
      </c>
      <c r="G2844" s="26" t="s">
        <v>29</v>
      </c>
      <c r="H2844" s="26" t="s">
        <v>30</v>
      </c>
      <c r="I2844" s="26" t="s">
        <v>257</v>
      </c>
      <c r="J2844" s="26" t="s">
        <v>32</v>
      </c>
      <c r="K2844" s="26" t="s">
        <v>1769</v>
      </c>
      <c r="L2844" s="26">
        <v>5</v>
      </c>
      <c r="M2844" s="26">
        <v>1</v>
      </c>
      <c r="N2844" s="28">
        <v>0.2</v>
      </c>
      <c r="O2844" s="26">
        <v>0.21</v>
      </c>
      <c r="P2844" s="26">
        <v>0.21</v>
      </c>
      <c r="Q2844" s="26">
        <v>17.47</v>
      </c>
      <c r="R2844" s="28">
        <v>1.2021E-2</v>
      </c>
      <c r="S2844" s="26">
        <v>83.19</v>
      </c>
      <c r="T2844" s="26">
        <v>1</v>
      </c>
      <c r="U2844" s="26">
        <v>1</v>
      </c>
      <c r="V2844" s="28">
        <v>1</v>
      </c>
      <c r="W2844" s="26">
        <v>1</v>
      </c>
      <c r="X2844" s="26">
        <v>0</v>
      </c>
      <c r="Y2844" s="26">
        <v>17.47</v>
      </c>
      <c r="Z2844" s="26">
        <v>0</v>
      </c>
    </row>
    <row r="2845" spans="1:26" x14ac:dyDescent="0.2">
      <c r="A2845">
        <f t="shared" si="90"/>
        <v>6</v>
      </c>
      <c r="B2845">
        <f t="shared" si="91"/>
        <v>23</v>
      </c>
      <c r="C2845" s="27">
        <v>46176</v>
      </c>
      <c r="D2845" s="26" t="s">
        <v>26</v>
      </c>
      <c r="E2845" s="26" t="s">
        <v>49</v>
      </c>
      <c r="F2845" s="26" t="s">
        <v>50</v>
      </c>
      <c r="G2845" s="26" t="s">
        <v>29</v>
      </c>
      <c r="H2845" s="26" t="s">
        <v>30</v>
      </c>
      <c r="I2845" s="26" t="s">
        <v>47</v>
      </c>
      <c r="J2845" s="26" t="s">
        <v>42</v>
      </c>
      <c r="K2845" s="26" t="s">
        <v>101</v>
      </c>
      <c r="L2845" s="26">
        <v>12</v>
      </c>
      <c r="M2845" s="26">
        <v>2</v>
      </c>
      <c r="N2845" s="28">
        <v>0.16666700000000001</v>
      </c>
      <c r="O2845" s="26">
        <v>1.1200000000000001</v>
      </c>
      <c r="P2845" s="26">
        <v>2.2400000000000002</v>
      </c>
      <c r="Q2845" s="26">
        <v>0</v>
      </c>
      <c r="R2845" s="26"/>
      <c r="S2845" s="26">
        <v>0</v>
      </c>
      <c r="T2845" s="26">
        <v>0</v>
      </c>
      <c r="U2845" s="26">
        <v>0</v>
      </c>
      <c r="V2845" s="28">
        <v>0</v>
      </c>
      <c r="W2845" s="26">
        <v>0</v>
      </c>
      <c r="X2845" s="26">
        <v>0</v>
      </c>
      <c r="Y2845" s="26">
        <v>0</v>
      </c>
      <c r="Z2845" s="26">
        <v>0</v>
      </c>
    </row>
    <row r="2846" spans="1:26" x14ac:dyDescent="0.2">
      <c r="A2846">
        <f t="shared" si="90"/>
        <v>6</v>
      </c>
      <c r="B2846">
        <f t="shared" si="91"/>
        <v>24</v>
      </c>
      <c r="C2846" s="27">
        <v>46181</v>
      </c>
      <c r="D2846" s="26" t="s">
        <v>26</v>
      </c>
      <c r="E2846" s="26" t="s">
        <v>49</v>
      </c>
      <c r="F2846" s="26" t="s">
        <v>50</v>
      </c>
      <c r="G2846" s="26" t="s">
        <v>29</v>
      </c>
      <c r="H2846" s="26" t="s">
        <v>30</v>
      </c>
      <c r="I2846" s="26" t="s">
        <v>47</v>
      </c>
      <c r="J2846" s="26" t="s">
        <v>42</v>
      </c>
      <c r="K2846" s="26" t="s">
        <v>101</v>
      </c>
      <c r="L2846" s="26">
        <v>16</v>
      </c>
      <c r="M2846" s="26">
        <v>2</v>
      </c>
      <c r="N2846" s="28">
        <v>0.125</v>
      </c>
      <c r="O2846" s="26">
        <v>0.9</v>
      </c>
      <c r="P2846" s="26">
        <v>1.8</v>
      </c>
      <c r="Q2846" s="26">
        <v>0</v>
      </c>
      <c r="R2846" s="26"/>
      <c r="S2846" s="26">
        <v>0</v>
      </c>
      <c r="T2846" s="26">
        <v>0</v>
      </c>
      <c r="U2846" s="26">
        <v>0</v>
      </c>
      <c r="V2846" s="28">
        <v>0</v>
      </c>
      <c r="W2846" s="26">
        <v>0</v>
      </c>
      <c r="X2846" s="26">
        <v>0</v>
      </c>
      <c r="Y2846" s="26">
        <v>0</v>
      </c>
      <c r="Z2846" s="26">
        <v>0</v>
      </c>
    </row>
    <row r="2847" spans="1:26" x14ac:dyDescent="0.2">
      <c r="A2847">
        <f t="shared" si="90"/>
        <v>6</v>
      </c>
      <c r="B2847">
        <f t="shared" si="91"/>
        <v>23</v>
      </c>
      <c r="C2847" s="27">
        <v>46174</v>
      </c>
      <c r="D2847" s="26" t="s">
        <v>26</v>
      </c>
      <c r="E2847" s="26" t="s">
        <v>27</v>
      </c>
      <c r="F2847" s="26" t="s">
        <v>28</v>
      </c>
      <c r="G2847" s="26" t="s">
        <v>29</v>
      </c>
      <c r="H2847" s="26" t="s">
        <v>30</v>
      </c>
      <c r="I2847" s="26" t="s">
        <v>50</v>
      </c>
      <c r="J2847" s="26" t="s">
        <v>32</v>
      </c>
      <c r="K2847" s="26" t="s">
        <v>101</v>
      </c>
      <c r="L2847" s="26">
        <v>53</v>
      </c>
      <c r="M2847" s="26">
        <v>1</v>
      </c>
      <c r="N2847" s="28">
        <v>1.8867999999999999E-2</v>
      </c>
      <c r="O2847" s="26">
        <v>0.21</v>
      </c>
      <c r="P2847" s="26">
        <v>0.21</v>
      </c>
      <c r="Q2847" s="26">
        <v>0</v>
      </c>
      <c r="R2847" s="26"/>
      <c r="S2847" s="26">
        <v>0</v>
      </c>
      <c r="T2847" s="26">
        <v>0</v>
      </c>
      <c r="U2847" s="26">
        <v>0</v>
      </c>
      <c r="V2847" s="28">
        <v>0</v>
      </c>
      <c r="W2847" s="26">
        <v>0</v>
      </c>
      <c r="X2847" s="26">
        <v>0</v>
      </c>
      <c r="Y2847" s="26">
        <v>0</v>
      </c>
      <c r="Z2847" s="26">
        <v>0</v>
      </c>
    </row>
    <row r="2848" spans="1:26" x14ac:dyDescent="0.2">
      <c r="A2848">
        <f t="shared" si="90"/>
        <v>6</v>
      </c>
      <c r="B2848">
        <f t="shared" si="91"/>
        <v>24</v>
      </c>
      <c r="C2848" s="27">
        <v>46180</v>
      </c>
      <c r="D2848" s="26" t="s">
        <v>26</v>
      </c>
      <c r="E2848" s="26" t="s">
        <v>27</v>
      </c>
      <c r="F2848" s="26" t="s">
        <v>124</v>
      </c>
      <c r="G2848" s="26" t="s">
        <v>29</v>
      </c>
      <c r="H2848" s="26" t="s">
        <v>30</v>
      </c>
      <c r="I2848" s="26" t="s">
        <v>101</v>
      </c>
      <c r="J2848" s="26" t="s">
        <v>87</v>
      </c>
      <c r="K2848" s="26" t="s">
        <v>101</v>
      </c>
      <c r="L2848" s="26">
        <v>24</v>
      </c>
      <c r="M2848" s="26">
        <v>1</v>
      </c>
      <c r="N2848" s="28">
        <v>4.1667000000000003E-2</v>
      </c>
      <c r="O2848" s="26">
        <v>0.2</v>
      </c>
      <c r="P2848" s="26">
        <v>0.2</v>
      </c>
      <c r="Q2848" s="26">
        <v>0</v>
      </c>
      <c r="R2848" s="26"/>
      <c r="S2848" s="26">
        <v>0</v>
      </c>
      <c r="T2848" s="26">
        <v>0</v>
      </c>
      <c r="U2848" s="26">
        <v>0</v>
      </c>
      <c r="V2848" s="28">
        <v>0</v>
      </c>
      <c r="W2848" s="26">
        <v>0</v>
      </c>
      <c r="X2848" s="26">
        <v>0</v>
      </c>
      <c r="Y2848" s="26">
        <v>0</v>
      </c>
      <c r="Z2848" s="26">
        <v>0</v>
      </c>
    </row>
    <row r="2849" spans="1:26" x14ac:dyDescent="0.2">
      <c r="A2849">
        <f t="shared" si="90"/>
        <v>6</v>
      </c>
      <c r="B2849">
        <f t="shared" si="91"/>
        <v>24</v>
      </c>
      <c r="C2849" s="27">
        <v>46182</v>
      </c>
      <c r="D2849" s="26" t="s">
        <v>26</v>
      </c>
      <c r="E2849" s="26" t="s">
        <v>27</v>
      </c>
      <c r="F2849" s="26" t="s">
        <v>124</v>
      </c>
      <c r="G2849" s="26" t="s">
        <v>29</v>
      </c>
      <c r="H2849" s="26" t="s">
        <v>30</v>
      </c>
      <c r="I2849" s="26" t="s">
        <v>101</v>
      </c>
      <c r="J2849" s="26" t="s">
        <v>87</v>
      </c>
      <c r="K2849" s="26" t="s">
        <v>101</v>
      </c>
      <c r="L2849" s="26">
        <v>28</v>
      </c>
      <c r="M2849" s="26">
        <v>1</v>
      </c>
      <c r="N2849" s="28">
        <v>3.5714000000000003E-2</v>
      </c>
      <c r="O2849" s="26">
        <v>0.2</v>
      </c>
      <c r="P2849" s="26">
        <v>0.2</v>
      </c>
      <c r="Q2849" s="26">
        <v>0</v>
      </c>
      <c r="R2849" s="26"/>
      <c r="S2849" s="26">
        <v>0</v>
      </c>
      <c r="T2849" s="26">
        <v>0</v>
      </c>
      <c r="U2849" s="26">
        <v>0</v>
      </c>
      <c r="V2849" s="28">
        <v>0</v>
      </c>
      <c r="W2849" s="26">
        <v>0</v>
      </c>
      <c r="X2849" s="26">
        <v>0</v>
      </c>
      <c r="Y2849" s="26">
        <v>0</v>
      </c>
      <c r="Z2849" s="26">
        <v>0</v>
      </c>
    </row>
    <row r="2850" spans="1:26" x14ac:dyDescent="0.2">
      <c r="A2850">
        <f t="shared" si="90"/>
        <v>6</v>
      </c>
      <c r="B2850">
        <f t="shared" si="91"/>
        <v>24</v>
      </c>
      <c r="C2850" s="27">
        <v>46183</v>
      </c>
      <c r="D2850" s="26" t="s">
        <v>26</v>
      </c>
      <c r="E2850" s="26" t="s">
        <v>27</v>
      </c>
      <c r="F2850" s="26" t="s">
        <v>124</v>
      </c>
      <c r="G2850" s="26" t="s">
        <v>29</v>
      </c>
      <c r="H2850" s="26" t="s">
        <v>30</v>
      </c>
      <c r="I2850" s="26" t="s">
        <v>101</v>
      </c>
      <c r="J2850" s="26" t="s">
        <v>87</v>
      </c>
      <c r="K2850" s="26" t="s">
        <v>101</v>
      </c>
      <c r="L2850" s="26">
        <v>48</v>
      </c>
      <c r="M2850" s="26">
        <v>1</v>
      </c>
      <c r="N2850" s="28">
        <v>2.0833000000000001E-2</v>
      </c>
      <c r="O2850" s="26">
        <v>0.2</v>
      </c>
      <c r="P2850" s="26">
        <v>0.2</v>
      </c>
      <c r="Q2850" s="26">
        <v>0</v>
      </c>
      <c r="R2850" s="26"/>
      <c r="S2850" s="26">
        <v>0</v>
      </c>
      <c r="T2850" s="26">
        <v>0</v>
      </c>
      <c r="U2850" s="26">
        <v>0</v>
      </c>
      <c r="V2850" s="28">
        <v>0</v>
      </c>
      <c r="W2850" s="26">
        <v>0</v>
      </c>
      <c r="X2850" s="26">
        <v>0</v>
      </c>
      <c r="Y2850" s="26">
        <v>0</v>
      </c>
      <c r="Z2850" s="26">
        <v>0</v>
      </c>
    </row>
    <row r="2851" spans="1:26" x14ac:dyDescent="0.2">
      <c r="A2851">
        <f t="shared" si="90"/>
        <v>6</v>
      </c>
      <c r="B2851">
        <f t="shared" si="91"/>
        <v>25</v>
      </c>
      <c r="C2851" s="27">
        <v>46187</v>
      </c>
      <c r="D2851" s="26" t="s">
        <v>26</v>
      </c>
      <c r="E2851" s="26" t="s">
        <v>27</v>
      </c>
      <c r="F2851" s="26" t="s">
        <v>124</v>
      </c>
      <c r="G2851" s="26" t="s">
        <v>29</v>
      </c>
      <c r="H2851" s="26" t="s">
        <v>30</v>
      </c>
      <c r="I2851" s="26" t="s">
        <v>101</v>
      </c>
      <c r="J2851" s="26" t="s">
        <v>87</v>
      </c>
      <c r="K2851" s="26" t="s">
        <v>101</v>
      </c>
      <c r="L2851" s="26">
        <v>227</v>
      </c>
      <c r="M2851" s="26">
        <v>3</v>
      </c>
      <c r="N2851" s="28">
        <v>1.3216E-2</v>
      </c>
      <c r="O2851" s="26">
        <v>0.2</v>
      </c>
      <c r="P2851" s="26">
        <v>0.6</v>
      </c>
      <c r="Q2851" s="26">
        <v>0</v>
      </c>
      <c r="R2851" s="26"/>
      <c r="S2851" s="26">
        <v>0</v>
      </c>
      <c r="T2851" s="26">
        <v>0</v>
      </c>
      <c r="U2851" s="26">
        <v>0</v>
      </c>
      <c r="V2851" s="28">
        <v>0</v>
      </c>
      <c r="W2851" s="26">
        <v>0</v>
      </c>
      <c r="X2851" s="26">
        <v>0</v>
      </c>
      <c r="Y2851" s="26">
        <v>0</v>
      </c>
      <c r="Z2851" s="26">
        <v>0</v>
      </c>
    </row>
    <row r="2852" spans="1:26" x14ac:dyDescent="0.2">
      <c r="A2852">
        <f t="shared" si="90"/>
        <v>6</v>
      </c>
      <c r="B2852">
        <f t="shared" si="91"/>
        <v>25</v>
      </c>
      <c r="C2852" s="27">
        <v>46190</v>
      </c>
      <c r="D2852" s="26" t="s">
        <v>26</v>
      </c>
      <c r="E2852" s="26" t="s">
        <v>27</v>
      </c>
      <c r="F2852" s="26" t="s">
        <v>124</v>
      </c>
      <c r="G2852" s="26" t="s">
        <v>29</v>
      </c>
      <c r="H2852" s="26" t="s">
        <v>30</v>
      </c>
      <c r="I2852" s="26" t="s">
        <v>101</v>
      </c>
      <c r="J2852" s="26" t="s">
        <v>87</v>
      </c>
      <c r="K2852" s="26" t="s">
        <v>101</v>
      </c>
      <c r="L2852" s="26">
        <v>3</v>
      </c>
      <c r="M2852" s="26">
        <v>1</v>
      </c>
      <c r="N2852" s="28">
        <v>0.33333299999999999</v>
      </c>
      <c r="O2852" s="26">
        <v>0.21</v>
      </c>
      <c r="P2852" s="26">
        <v>0.21</v>
      </c>
      <c r="Q2852" s="26">
        <v>0</v>
      </c>
      <c r="R2852" s="26"/>
      <c r="S2852" s="26">
        <v>0</v>
      </c>
      <c r="T2852" s="26">
        <v>0</v>
      </c>
      <c r="U2852" s="26">
        <v>0</v>
      </c>
      <c r="V2852" s="28">
        <v>0</v>
      </c>
      <c r="W2852" s="26">
        <v>0</v>
      </c>
      <c r="X2852" s="26">
        <v>0</v>
      </c>
      <c r="Y2852" s="26">
        <v>0</v>
      </c>
      <c r="Z2852" s="26">
        <v>0</v>
      </c>
    </row>
    <row r="2853" spans="1:26" x14ac:dyDescent="0.2">
      <c r="A2853">
        <f t="shared" si="90"/>
        <v>6</v>
      </c>
      <c r="B2853">
        <f t="shared" si="91"/>
        <v>25</v>
      </c>
      <c r="C2853" s="27">
        <v>46192</v>
      </c>
      <c r="D2853" s="26" t="s">
        <v>26</v>
      </c>
      <c r="E2853" s="26" t="s">
        <v>27</v>
      </c>
      <c r="F2853" s="26" t="s">
        <v>124</v>
      </c>
      <c r="G2853" s="26" t="s">
        <v>29</v>
      </c>
      <c r="H2853" s="26" t="s">
        <v>30</v>
      </c>
      <c r="I2853" s="26" t="s">
        <v>101</v>
      </c>
      <c r="J2853" s="26" t="s">
        <v>87</v>
      </c>
      <c r="K2853" s="26" t="s">
        <v>101</v>
      </c>
      <c r="L2853" s="26">
        <v>7</v>
      </c>
      <c r="M2853" s="26">
        <v>1</v>
      </c>
      <c r="N2853" s="28">
        <v>0.14285700000000001</v>
      </c>
      <c r="O2853" s="26">
        <v>0.21</v>
      </c>
      <c r="P2853" s="26">
        <v>0.21</v>
      </c>
      <c r="Q2853" s="26">
        <v>18.989999999999998</v>
      </c>
      <c r="R2853" s="28">
        <v>1.1058E-2</v>
      </c>
      <c r="S2853" s="26">
        <v>90.43</v>
      </c>
      <c r="T2853" s="26">
        <v>1</v>
      </c>
      <c r="U2853" s="26">
        <v>1</v>
      </c>
      <c r="V2853" s="28">
        <v>1</v>
      </c>
      <c r="W2853" s="26">
        <v>1</v>
      </c>
      <c r="X2853" s="26">
        <v>0</v>
      </c>
      <c r="Y2853" s="26">
        <v>18.989999999999998</v>
      </c>
      <c r="Z2853" s="26">
        <v>0</v>
      </c>
    </row>
    <row r="2854" spans="1:26" x14ac:dyDescent="0.2">
      <c r="A2854">
        <f t="shared" si="90"/>
        <v>6</v>
      </c>
      <c r="B2854">
        <f t="shared" si="91"/>
        <v>23</v>
      </c>
      <c r="C2854" s="27">
        <v>46175</v>
      </c>
      <c r="D2854" s="26" t="s">
        <v>26</v>
      </c>
      <c r="E2854" s="26" t="s">
        <v>27</v>
      </c>
      <c r="F2854" s="26" t="s">
        <v>124</v>
      </c>
      <c r="G2854" s="26" t="s">
        <v>29</v>
      </c>
      <c r="H2854" s="26" t="s">
        <v>30</v>
      </c>
      <c r="I2854" s="26" t="s">
        <v>101</v>
      </c>
      <c r="J2854" s="26" t="s">
        <v>267</v>
      </c>
      <c r="K2854" s="26" t="s">
        <v>101</v>
      </c>
      <c r="L2854" s="26">
        <v>135</v>
      </c>
      <c r="M2854" s="26">
        <v>1</v>
      </c>
      <c r="N2854" s="28">
        <v>7.4070000000000004E-3</v>
      </c>
      <c r="O2854" s="26">
        <v>0.2</v>
      </c>
      <c r="P2854" s="26">
        <v>0.2</v>
      </c>
      <c r="Q2854" s="26">
        <v>0</v>
      </c>
      <c r="R2854" s="26"/>
      <c r="S2854" s="26">
        <v>0</v>
      </c>
      <c r="T2854" s="26">
        <v>0</v>
      </c>
      <c r="U2854" s="26">
        <v>0</v>
      </c>
      <c r="V2854" s="28">
        <v>0</v>
      </c>
      <c r="W2854" s="26">
        <v>0</v>
      </c>
      <c r="X2854" s="26">
        <v>0</v>
      </c>
      <c r="Y2854" s="26">
        <v>0</v>
      </c>
      <c r="Z2854" s="26">
        <v>0</v>
      </c>
    </row>
    <row r="2855" spans="1:26" x14ac:dyDescent="0.2">
      <c r="A2855">
        <f t="shared" si="90"/>
        <v>6</v>
      </c>
      <c r="B2855">
        <f t="shared" si="91"/>
        <v>25</v>
      </c>
      <c r="C2855" s="27">
        <v>46193</v>
      </c>
      <c r="D2855" s="26" t="s">
        <v>26</v>
      </c>
      <c r="E2855" s="26" t="s">
        <v>27</v>
      </c>
      <c r="F2855" s="26" t="s">
        <v>28</v>
      </c>
      <c r="G2855" s="26" t="s">
        <v>29</v>
      </c>
      <c r="H2855" s="26" t="s">
        <v>30</v>
      </c>
      <c r="I2855" s="26" t="s">
        <v>44</v>
      </c>
      <c r="J2855" s="26" t="s">
        <v>32</v>
      </c>
      <c r="K2855" s="26" t="s">
        <v>101</v>
      </c>
      <c r="L2855" s="26">
        <v>1</v>
      </c>
      <c r="M2855" s="26">
        <v>1</v>
      </c>
      <c r="N2855" s="28">
        <v>1</v>
      </c>
      <c r="O2855" s="26">
        <v>0.02</v>
      </c>
      <c r="P2855" s="26">
        <v>0.02</v>
      </c>
      <c r="Q2855" s="26">
        <v>0</v>
      </c>
      <c r="R2855" s="26"/>
      <c r="S2855" s="26">
        <v>0</v>
      </c>
      <c r="T2855" s="26">
        <v>0</v>
      </c>
      <c r="U2855" s="26">
        <v>0</v>
      </c>
      <c r="V2855" s="28">
        <v>0</v>
      </c>
      <c r="W2855" s="26">
        <v>0</v>
      </c>
      <c r="X2855" s="26">
        <v>0</v>
      </c>
      <c r="Y2855" s="26">
        <v>0</v>
      </c>
      <c r="Z2855" s="26">
        <v>0</v>
      </c>
    </row>
    <row r="2856" spans="1:26" x14ac:dyDescent="0.2">
      <c r="A2856">
        <f t="shared" si="90"/>
        <v>6</v>
      </c>
      <c r="B2856">
        <f t="shared" si="91"/>
        <v>24</v>
      </c>
      <c r="C2856" s="27">
        <v>46181</v>
      </c>
      <c r="D2856" s="26" t="s">
        <v>26</v>
      </c>
      <c r="E2856" s="26" t="s">
        <v>49</v>
      </c>
      <c r="F2856" s="26" t="s">
        <v>50</v>
      </c>
      <c r="G2856" s="26" t="s">
        <v>29</v>
      </c>
      <c r="H2856" s="26" t="s">
        <v>30</v>
      </c>
      <c r="I2856" s="26" t="s">
        <v>47</v>
      </c>
      <c r="J2856" s="26" t="s">
        <v>42</v>
      </c>
      <c r="K2856" s="26" t="s">
        <v>99</v>
      </c>
      <c r="L2856" s="26">
        <v>9</v>
      </c>
      <c r="M2856" s="26">
        <v>1</v>
      </c>
      <c r="N2856" s="28">
        <v>0.111111</v>
      </c>
      <c r="O2856" s="26">
        <v>0.9</v>
      </c>
      <c r="P2856" s="26">
        <v>0.9</v>
      </c>
      <c r="Q2856" s="26">
        <v>0</v>
      </c>
      <c r="R2856" s="26"/>
      <c r="S2856" s="26">
        <v>0</v>
      </c>
      <c r="T2856" s="26">
        <v>0</v>
      </c>
      <c r="U2856" s="26">
        <v>0</v>
      </c>
      <c r="V2856" s="28">
        <v>0</v>
      </c>
      <c r="W2856" s="26">
        <v>0</v>
      </c>
      <c r="X2856" s="26">
        <v>0</v>
      </c>
      <c r="Y2856" s="26">
        <v>0</v>
      </c>
      <c r="Z2856" s="26">
        <v>0</v>
      </c>
    </row>
    <row r="2857" spans="1:26" x14ac:dyDescent="0.2">
      <c r="A2857">
        <f t="shared" si="90"/>
        <v>6</v>
      </c>
      <c r="B2857">
        <f t="shared" si="91"/>
        <v>23</v>
      </c>
      <c r="C2857" s="27">
        <v>46174</v>
      </c>
      <c r="D2857" s="26" t="s">
        <v>26</v>
      </c>
      <c r="E2857" s="26" t="s">
        <v>27</v>
      </c>
      <c r="F2857" s="26" t="s">
        <v>124</v>
      </c>
      <c r="G2857" s="26" t="s">
        <v>29</v>
      </c>
      <c r="H2857" s="26" t="s">
        <v>30</v>
      </c>
      <c r="I2857" s="26" t="s">
        <v>101</v>
      </c>
      <c r="J2857" s="26" t="s">
        <v>87</v>
      </c>
      <c r="K2857" s="26" t="s">
        <v>99</v>
      </c>
      <c r="L2857" s="26">
        <v>1</v>
      </c>
      <c r="M2857" s="26">
        <v>1</v>
      </c>
      <c r="N2857" s="28">
        <v>1</v>
      </c>
      <c r="O2857" s="26">
        <v>0.21</v>
      </c>
      <c r="P2857" s="26">
        <v>0.21</v>
      </c>
      <c r="Q2857" s="26">
        <v>0</v>
      </c>
      <c r="R2857" s="26"/>
      <c r="S2857" s="26">
        <v>0</v>
      </c>
      <c r="T2857" s="26">
        <v>0</v>
      </c>
      <c r="U2857" s="26">
        <v>0</v>
      </c>
      <c r="V2857" s="28">
        <v>0</v>
      </c>
      <c r="W2857" s="26">
        <v>0</v>
      </c>
      <c r="X2857" s="26">
        <v>0</v>
      </c>
      <c r="Y2857" s="26">
        <v>0</v>
      </c>
      <c r="Z2857" s="26">
        <v>0</v>
      </c>
    </row>
    <row r="2858" spans="1:26" x14ac:dyDescent="0.2">
      <c r="A2858">
        <f t="shared" si="90"/>
        <v>6</v>
      </c>
      <c r="B2858">
        <f t="shared" si="91"/>
        <v>25</v>
      </c>
      <c r="C2858" s="27">
        <v>46193</v>
      </c>
      <c r="D2858" s="26" t="s">
        <v>26</v>
      </c>
      <c r="E2858" s="26" t="s">
        <v>27</v>
      </c>
      <c r="F2858" s="26" t="s">
        <v>28</v>
      </c>
      <c r="G2858" s="26" t="s">
        <v>29</v>
      </c>
      <c r="H2858" s="26" t="s">
        <v>30</v>
      </c>
      <c r="I2858" s="26" t="s">
        <v>50</v>
      </c>
      <c r="J2858" s="26" t="s">
        <v>32</v>
      </c>
      <c r="K2858" s="26" t="s">
        <v>1770</v>
      </c>
      <c r="L2858" s="26">
        <v>6</v>
      </c>
      <c r="M2858" s="26">
        <v>1</v>
      </c>
      <c r="N2858" s="28">
        <v>0.16666700000000001</v>
      </c>
      <c r="O2858" s="26">
        <v>0.21</v>
      </c>
      <c r="P2858" s="26">
        <v>0.21</v>
      </c>
      <c r="Q2858" s="26">
        <v>0</v>
      </c>
      <c r="R2858" s="26"/>
      <c r="S2858" s="26">
        <v>0</v>
      </c>
      <c r="T2858" s="26">
        <v>0</v>
      </c>
      <c r="U2858" s="26">
        <v>0</v>
      </c>
      <c r="V2858" s="28">
        <v>0</v>
      </c>
      <c r="W2858" s="26">
        <v>0</v>
      </c>
      <c r="X2858" s="26">
        <v>0</v>
      </c>
      <c r="Y2858" s="26">
        <v>0</v>
      </c>
      <c r="Z2858" s="26">
        <v>0</v>
      </c>
    </row>
    <row r="2859" spans="1:26" x14ac:dyDescent="0.2">
      <c r="A2859">
        <f t="shared" si="90"/>
        <v>6</v>
      </c>
      <c r="B2859">
        <f t="shared" si="91"/>
        <v>25</v>
      </c>
      <c r="C2859" s="27">
        <v>46191</v>
      </c>
      <c r="D2859" s="26" t="s">
        <v>26</v>
      </c>
      <c r="E2859" s="26" t="s">
        <v>27</v>
      </c>
      <c r="F2859" s="26" t="s">
        <v>28</v>
      </c>
      <c r="G2859" s="26" t="s">
        <v>29</v>
      </c>
      <c r="H2859" s="26" t="s">
        <v>30</v>
      </c>
      <c r="I2859" s="26" t="s">
        <v>50</v>
      </c>
      <c r="J2859" s="26" t="s">
        <v>32</v>
      </c>
      <c r="K2859" s="26" t="s">
        <v>1771</v>
      </c>
      <c r="L2859" s="26">
        <v>1</v>
      </c>
      <c r="M2859" s="26">
        <v>1</v>
      </c>
      <c r="N2859" s="28">
        <v>1</v>
      </c>
      <c r="O2859" s="26">
        <v>0.21</v>
      </c>
      <c r="P2859" s="26">
        <v>0.21</v>
      </c>
      <c r="Q2859" s="26">
        <v>0</v>
      </c>
      <c r="R2859" s="26"/>
      <c r="S2859" s="26">
        <v>0</v>
      </c>
      <c r="T2859" s="26">
        <v>0</v>
      </c>
      <c r="U2859" s="26">
        <v>0</v>
      </c>
      <c r="V2859" s="28">
        <v>0</v>
      </c>
      <c r="W2859" s="26">
        <v>0</v>
      </c>
      <c r="X2859" s="26">
        <v>0</v>
      </c>
      <c r="Y2859" s="26">
        <v>0</v>
      </c>
      <c r="Z2859" s="26">
        <v>0</v>
      </c>
    </row>
    <row r="2860" spans="1:26" x14ac:dyDescent="0.2">
      <c r="A2860">
        <f t="shared" si="90"/>
        <v>6</v>
      </c>
      <c r="B2860">
        <f t="shared" si="91"/>
        <v>25</v>
      </c>
      <c r="C2860" s="27">
        <v>46188</v>
      </c>
      <c r="D2860" s="26" t="s">
        <v>26</v>
      </c>
      <c r="E2860" s="26" t="s">
        <v>27</v>
      </c>
      <c r="F2860" s="26" t="s">
        <v>28</v>
      </c>
      <c r="G2860" s="26" t="s">
        <v>29</v>
      </c>
      <c r="H2860" s="26" t="s">
        <v>30</v>
      </c>
      <c r="I2860" s="26" t="s">
        <v>119</v>
      </c>
      <c r="J2860" s="26" t="s">
        <v>32</v>
      </c>
      <c r="K2860" s="26" t="s">
        <v>1772</v>
      </c>
      <c r="L2860" s="26">
        <v>3</v>
      </c>
      <c r="M2860" s="26">
        <v>1</v>
      </c>
      <c r="N2860" s="28">
        <v>0.33333299999999999</v>
      </c>
      <c r="O2860" s="26">
        <v>0.16</v>
      </c>
      <c r="P2860" s="26">
        <v>0.16</v>
      </c>
      <c r="Q2860" s="26">
        <v>0</v>
      </c>
      <c r="R2860" s="26"/>
      <c r="S2860" s="26">
        <v>0</v>
      </c>
      <c r="T2860" s="26">
        <v>0</v>
      </c>
      <c r="U2860" s="26">
        <v>0</v>
      </c>
      <c r="V2860" s="28">
        <v>0</v>
      </c>
      <c r="W2860" s="26">
        <v>0</v>
      </c>
      <c r="X2860" s="26">
        <v>0</v>
      </c>
      <c r="Y2860" s="26">
        <v>0</v>
      </c>
      <c r="Z2860" s="26">
        <v>0</v>
      </c>
    </row>
    <row r="2861" spans="1:26" x14ac:dyDescent="0.2">
      <c r="A2861">
        <f t="shared" si="90"/>
        <v>6</v>
      </c>
      <c r="B2861">
        <f t="shared" si="91"/>
        <v>23</v>
      </c>
      <c r="C2861" s="27">
        <v>46179</v>
      </c>
      <c r="D2861" s="26" t="s">
        <v>26</v>
      </c>
      <c r="E2861" s="26" t="s">
        <v>39</v>
      </c>
      <c r="F2861" s="26" t="s">
        <v>40</v>
      </c>
      <c r="G2861" s="26" t="s">
        <v>29</v>
      </c>
      <c r="H2861" s="26" t="s">
        <v>30</v>
      </c>
      <c r="I2861" s="26" t="s">
        <v>1134</v>
      </c>
      <c r="J2861" s="26" t="s">
        <v>42</v>
      </c>
      <c r="K2861" s="26" t="s">
        <v>50</v>
      </c>
      <c r="L2861" s="26">
        <v>21</v>
      </c>
      <c r="M2861" s="26">
        <v>2</v>
      </c>
      <c r="N2861" s="28">
        <v>9.5238000000000003E-2</v>
      </c>
      <c r="O2861" s="26">
        <v>0.67</v>
      </c>
      <c r="P2861" s="26">
        <v>1.34</v>
      </c>
      <c r="Q2861" s="26">
        <v>17.47</v>
      </c>
      <c r="R2861" s="28">
        <v>7.6702999999999993E-2</v>
      </c>
      <c r="S2861" s="26">
        <v>13.04</v>
      </c>
      <c r="T2861" s="26">
        <v>1</v>
      </c>
      <c r="U2861" s="26">
        <v>1</v>
      </c>
      <c r="V2861" s="28">
        <v>0.5</v>
      </c>
      <c r="W2861" s="26">
        <v>1</v>
      </c>
      <c r="X2861" s="26">
        <v>0</v>
      </c>
      <c r="Y2861" s="26">
        <v>17.47</v>
      </c>
      <c r="Z2861" s="26">
        <v>0</v>
      </c>
    </row>
    <row r="2862" spans="1:26" x14ac:dyDescent="0.2">
      <c r="A2862">
        <f t="shared" si="90"/>
        <v>6</v>
      </c>
      <c r="B2862">
        <f t="shared" si="91"/>
        <v>23</v>
      </c>
      <c r="C2862" s="27">
        <v>46174</v>
      </c>
      <c r="D2862" s="26" t="s">
        <v>26</v>
      </c>
      <c r="E2862" s="26" t="s">
        <v>49</v>
      </c>
      <c r="F2862" s="26" t="s">
        <v>50</v>
      </c>
      <c r="G2862" s="26" t="s">
        <v>29</v>
      </c>
      <c r="H2862" s="26" t="s">
        <v>30</v>
      </c>
      <c r="I2862" s="26" t="s">
        <v>47</v>
      </c>
      <c r="J2862" s="26" t="s">
        <v>42</v>
      </c>
      <c r="K2862" s="26" t="s">
        <v>50</v>
      </c>
      <c r="L2862" s="26">
        <v>23</v>
      </c>
      <c r="M2862" s="26">
        <v>1</v>
      </c>
      <c r="N2862" s="28">
        <v>4.3478000000000003E-2</v>
      </c>
      <c r="O2862" s="26">
        <v>0.94</v>
      </c>
      <c r="P2862" s="26">
        <v>0.94</v>
      </c>
      <c r="Q2862" s="26">
        <v>0</v>
      </c>
      <c r="R2862" s="26"/>
      <c r="S2862" s="26">
        <v>0</v>
      </c>
      <c r="T2862" s="26">
        <v>0</v>
      </c>
      <c r="U2862" s="26">
        <v>0</v>
      </c>
      <c r="V2862" s="28">
        <v>0</v>
      </c>
      <c r="W2862" s="26">
        <v>0</v>
      </c>
      <c r="X2862" s="26">
        <v>0</v>
      </c>
      <c r="Y2862" s="26">
        <v>0</v>
      </c>
      <c r="Z2862" s="26">
        <v>0</v>
      </c>
    </row>
    <row r="2863" spans="1:26" x14ac:dyDescent="0.2">
      <c r="A2863">
        <f t="shared" si="90"/>
        <v>6</v>
      </c>
      <c r="B2863">
        <f t="shared" si="91"/>
        <v>24</v>
      </c>
      <c r="C2863" s="27">
        <v>46182</v>
      </c>
      <c r="D2863" s="26" t="s">
        <v>26</v>
      </c>
      <c r="E2863" s="26" t="s">
        <v>49</v>
      </c>
      <c r="F2863" s="26" t="s">
        <v>50</v>
      </c>
      <c r="G2863" s="26" t="s">
        <v>29</v>
      </c>
      <c r="H2863" s="26" t="s">
        <v>30</v>
      </c>
      <c r="I2863" s="26" t="s">
        <v>47</v>
      </c>
      <c r="J2863" s="26" t="s">
        <v>42</v>
      </c>
      <c r="K2863" s="26" t="s">
        <v>50</v>
      </c>
      <c r="L2863" s="26">
        <v>12</v>
      </c>
      <c r="M2863" s="26">
        <v>1</v>
      </c>
      <c r="N2863" s="28">
        <v>8.3333000000000004E-2</v>
      </c>
      <c r="O2863" s="26">
        <v>0.9</v>
      </c>
      <c r="P2863" s="26">
        <v>0.9</v>
      </c>
      <c r="Q2863" s="26">
        <v>0</v>
      </c>
      <c r="R2863" s="26"/>
      <c r="S2863" s="26">
        <v>0</v>
      </c>
      <c r="T2863" s="26">
        <v>0</v>
      </c>
      <c r="U2863" s="26">
        <v>0</v>
      </c>
      <c r="V2863" s="28">
        <v>0</v>
      </c>
      <c r="W2863" s="26">
        <v>0</v>
      </c>
      <c r="X2863" s="26">
        <v>0</v>
      </c>
      <c r="Y2863" s="26">
        <v>0</v>
      </c>
      <c r="Z2863" s="26">
        <v>0</v>
      </c>
    </row>
    <row r="2864" spans="1:26" x14ac:dyDescent="0.2">
      <c r="A2864">
        <f t="shared" si="90"/>
        <v>6</v>
      </c>
      <c r="B2864">
        <f t="shared" si="91"/>
        <v>23</v>
      </c>
      <c r="C2864" s="27">
        <v>46175</v>
      </c>
      <c r="D2864" s="26" t="s">
        <v>26</v>
      </c>
      <c r="E2864" s="26" t="s">
        <v>27</v>
      </c>
      <c r="F2864" s="26" t="s">
        <v>28</v>
      </c>
      <c r="G2864" s="26" t="s">
        <v>29</v>
      </c>
      <c r="H2864" s="26" t="s">
        <v>30</v>
      </c>
      <c r="I2864" s="26" t="s">
        <v>50</v>
      </c>
      <c r="J2864" s="26" t="s">
        <v>32</v>
      </c>
      <c r="K2864" s="26" t="s">
        <v>50</v>
      </c>
      <c r="L2864" s="26">
        <v>26</v>
      </c>
      <c r="M2864" s="26">
        <v>1</v>
      </c>
      <c r="N2864" s="28">
        <v>3.8462000000000003E-2</v>
      </c>
      <c r="O2864" s="26">
        <v>0.23</v>
      </c>
      <c r="P2864" s="26">
        <v>0.23</v>
      </c>
      <c r="Q2864" s="26">
        <v>0</v>
      </c>
      <c r="R2864" s="26"/>
      <c r="S2864" s="26">
        <v>0</v>
      </c>
      <c r="T2864" s="26">
        <v>0</v>
      </c>
      <c r="U2864" s="26">
        <v>0</v>
      </c>
      <c r="V2864" s="28">
        <v>0</v>
      </c>
      <c r="W2864" s="26">
        <v>0</v>
      </c>
      <c r="X2864" s="26">
        <v>0</v>
      </c>
      <c r="Y2864" s="26">
        <v>0</v>
      </c>
      <c r="Z2864" s="26">
        <v>0</v>
      </c>
    </row>
    <row r="2865" spans="1:26" x14ac:dyDescent="0.2">
      <c r="A2865">
        <f t="shared" si="90"/>
        <v>6</v>
      </c>
      <c r="B2865">
        <f t="shared" si="91"/>
        <v>23</v>
      </c>
      <c r="C2865" s="27">
        <v>46176</v>
      </c>
      <c r="D2865" s="26" t="s">
        <v>26</v>
      </c>
      <c r="E2865" s="26" t="s">
        <v>27</v>
      </c>
      <c r="F2865" s="26" t="s">
        <v>28</v>
      </c>
      <c r="G2865" s="26" t="s">
        <v>29</v>
      </c>
      <c r="H2865" s="26" t="s">
        <v>30</v>
      </c>
      <c r="I2865" s="26" t="s">
        <v>50</v>
      </c>
      <c r="J2865" s="26" t="s">
        <v>32</v>
      </c>
      <c r="K2865" s="26" t="s">
        <v>50</v>
      </c>
      <c r="L2865" s="26">
        <v>28</v>
      </c>
      <c r="M2865" s="26">
        <v>2</v>
      </c>
      <c r="N2865" s="28">
        <v>7.1429000000000006E-2</v>
      </c>
      <c r="O2865" s="26">
        <v>0.2</v>
      </c>
      <c r="P2865" s="26">
        <v>0.4</v>
      </c>
      <c r="Q2865" s="26">
        <v>0</v>
      </c>
      <c r="R2865" s="26"/>
      <c r="S2865" s="26">
        <v>0</v>
      </c>
      <c r="T2865" s="26">
        <v>0</v>
      </c>
      <c r="U2865" s="26">
        <v>0</v>
      </c>
      <c r="V2865" s="28">
        <v>0</v>
      </c>
      <c r="W2865" s="26">
        <v>0</v>
      </c>
      <c r="X2865" s="26">
        <v>0</v>
      </c>
      <c r="Y2865" s="26">
        <v>0</v>
      </c>
      <c r="Z2865" s="26">
        <v>0</v>
      </c>
    </row>
    <row r="2866" spans="1:26" x14ac:dyDescent="0.2">
      <c r="A2866">
        <f t="shared" si="90"/>
        <v>6</v>
      </c>
      <c r="B2866">
        <f t="shared" si="91"/>
        <v>24</v>
      </c>
      <c r="C2866" s="27">
        <v>46185</v>
      </c>
      <c r="D2866" s="26" t="s">
        <v>26</v>
      </c>
      <c r="E2866" s="26" t="s">
        <v>27</v>
      </c>
      <c r="F2866" s="26" t="s">
        <v>28</v>
      </c>
      <c r="G2866" s="26" t="s">
        <v>29</v>
      </c>
      <c r="H2866" s="26" t="s">
        <v>30</v>
      </c>
      <c r="I2866" s="26" t="s">
        <v>50</v>
      </c>
      <c r="J2866" s="26" t="s">
        <v>32</v>
      </c>
      <c r="K2866" s="26" t="s">
        <v>50</v>
      </c>
      <c r="L2866" s="26">
        <v>15</v>
      </c>
      <c r="M2866" s="26">
        <v>1</v>
      </c>
      <c r="N2866" s="28">
        <v>6.6667000000000004E-2</v>
      </c>
      <c r="O2866" s="26">
        <v>0.21</v>
      </c>
      <c r="P2866" s="26">
        <v>0.21</v>
      </c>
      <c r="Q2866" s="26">
        <v>0</v>
      </c>
      <c r="R2866" s="26"/>
      <c r="S2866" s="26">
        <v>0</v>
      </c>
      <c r="T2866" s="26">
        <v>0</v>
      </c>
      <c r="U2866" s="26">
        <v>0</v>
      </c>
      <c r="V2866" s="28">
        <v>0</v>
      </c>
      <c r="W2866" s="26">
        <v>0</v>
      </c>
      <c r="X2866" s="26">
        <v>0</v>
      </c>
      <c r="Y2866" s="26">
        <v>0</v>
      </c>
      <c r="Z2866" s="26">
        <v>0</v>
      </c>
    </row>
    <row r="2867" spans="1:26" x14ac:dyDescent="0.2">
      <c r="A2867">
        <f t="shared" si="90"/>
        <v>6</v>
      </c>
      <c r="B2867">
        <f t="shared" si="91"/>
        <v>25</v>
      </c>
      <c r="C2867" s="27">
        <v>46190</v>
      </c>
      <c r="D2867" s="26" t="s">
        <v>26</v>
      </c>
      <c r="E2867" s="26" t="s">
        <v>27</v>
      </c>
      <c r="F2867" s="26" t="s">
        <v>28</v>
      </c>
      <c r="G2867" s="26" t="s">
        <v>29</v>
      </c>
      <c r="H2867" s="26" t="s">
        <v>30</v>
      </c>
      <c r="I2867" s="26" t="s">
        <v>50</v>
      </c>
      <c r="J2867" s="26" t="s">
        <v>32</v>
      </c>
      <c r="K2867" s="26" t="s">
        <v>50</v>
      </c>
      <c r="L2867" s="26">
        <v>11</v>
      </c>
      <c r="M2867" s="26">
        <v>1</v>
      </c>
      <c r="N2867" s="28">
        <v>9.0909000000000004E-2</v>
      </c>
      <c r="O2867" s="26">
        <v>0.2</v>
      </c>
      <c r="P2867" s="26">
        <v>0.2</v>
      </c>
      <c r="Q2867" s="26">
        <v>0</v>
      </c>
      <c r="R2867" s="26"/>
      <c r="S2867" s="26">
        <v>0</v>
      </c>
      <c r="T2867" s="26">
        <v>0</v>
      </c>
      <c r="U2867" s="26">
        <v>0</v>
      </c>
      <c r="V2867" s="28">
        <v>0</v>
      </c>
      <c r="W2867" s="26">
        <v>0</v>
      </c>
      <c r="X2867" s="26">
        <v>0</v>
      </c>
      <c r="Y2867" s="26">
        <v>0</v>
      </c>
      <c r="Z2867" s="26">
        <v>0</v>
      </c>
    </row>
    <row r="2868" spans="1:26" x14ac:dyDescent="0.2">
      <c r="A2868">
        <f t="shared" si="90"/>
        <v>6</v>
      </c>
      <c r="B2868">
        <f t="shared" si="91"/>
        <v>24</v>
      </c>
      <c r="C2868" s="27">
        <v>46182</v>
      </c>
      <c r="D2868" s="26" t="s">
        <v>26</v>
      </c>
      <c r="E2868" s="26" t="s">
        <v>27</v>
      </c>
      <c r="F2868" s="26" t="s">
        <v>28</v>
      </c>
      <c r="G2868" s="26" t="s">
        <v>29</v>
      </c>
      <c r="H2868" s="26" t="s">
        <v>30</v>
      </c>
      <c r="I2868" s="26" t="s">
        <v>311</v>
      </c>
      <c r="J2868" s="26" t="s">
        <v>32</v>
      </c>
      <c r="K2868" s="26" t="s">
        <v>50</v>
      </c>
      <c r="L2868" s="26">
        <v>1</v>
      </c>
      <c r="M2868" s="26">
        <v>1</v>
      </c>
      <c r="N2868" s="28">
        <v>1</v>
      </c>
      <c r="O2868" s="26">
        <v>0.21</v>
      </c>
      <c r="P2868" s="26">
        <v>0.21</v>
      </c>
      <c r="Q2868" s="26">
        <v>0</v>
      </c>
      <c r="R2868" s="26"/>
      <c r="S2868" s="26">
        <v>0</v>
      </c>
      <c r="T2868" s="26">
        <v>0</v>
      </c>
      <c r="U2868" s="26">
        <v>0</v>
      </c>
      <c r="V2868" s="28">
        <v>0</v>
      </c>
      <c r="W2868" s="26">
        <v>0</v>
      </c>
      <c r="X2868" s="26">
        <v>0</v>
      </c>
      <c r="Y2868" s="26">
        <v>0</v>
      </c>
      <c r="Z2868" s="26">
        <v>0</v>
      </c>
    </row>
    <row r="2869" spans="1:26" x14ac:dyDescent="0.2">
      <c r="A2869">
        <f t="shared" si="90"/>
        <v>6</v>
      </c>
      <c r="B2869">
        <f t="shared" si="91"/>
        <v>24</v>
      </c>
      <c r="C2869" s="27">
        <v>46185</v>
      </c>
      <c r="D2869" s="26" t="s">
        <v>26</v>
      </c>
      <c r="E2869" s="26" t="s">
        <v>39</v>
      </c>
      <c r="F2869" s="26" t="s">
        <v>40</v>
      </c>
      <c r="G2869" s="26" t="s">
        <v>29</v>
      </c>
      <c r="H2869" s="26" t="s">
        <v>30</v>
      </c>
      <c r="I2869" s="26" t="s">
        <v>1134</v>
      </c>
      <c r="J2869" s="26" t="s">
        <v>42</v>
      </c>
      <c r="K2869" s="26" t="s">
        <v>280</v>
      </c>
      <c r="L2869" s="26">
        <v>2</v>
      </c>
      <c r="M2869" s="26">
        <v>1</v>
      </c>
      <c r="N2869" s="28">
        <v>0.5</v>
      </c>
      <c r="O2869" s="26">
        <v>0.68</v>
      </c>
      <c r="P2869" s="26">
        <v>0.68</v>
      </c>
      <c r="Q2869" s="26">
        <v>0</v>
      </c>
      <c r="R2869" s="26"/>
      <c r="S2869" s="26">
        <v>0</v>
      </c>
      <c r="T2869" s="26">
        <v>0</v>
      </c>
      <c r="U2869" s="26">
        <v>0</v>
      </c>
      <c r="V2869" s="28">
        <v>0</v>
      </c>
      <c r="W2869" s="26">
        <v>0</v>
      </c>
      <c r="X2869" s="26">
        <v>0</v>
      </c>
      <c r="Y2869" s="26">
        <v>0</v>
      </c>
      <c r="Z2869" s="26">
        <v>0</v>
      </c>
    </row>
    <row r="2870" spans="1:26" x14ac:dyDescent="0.2">
      <c r="A2870">
        <f t="shared" si="90"/>
        <v>6</v>
      </c>
      <c r="B2870">
        <f t="shared" si="91"/>
        <v>24</v>
      </c>
      <c r="C2870" s="27">
        <v>46184</v>
      </c>
      <c r="D2870" s="26" t="s">
        <v>26</v>
      </c>
      <c r="E2870" s="26" t="s">
        <v>27</v>
      </c>
      <c r="F2870" s="26" t="s">
        <v>28</v>
      </c>
      <c r="G2870" s="26" t="s">
        <v>29</v>
      </c>
      <c r="H2870" s="26" t="s">
        <v>30</v>
      </c>
      <c r="I2870" s="26" t="s">
        <v>542</v>
      </c>
      <c r="J2870" s="26" t="s">
        <v>32</v>
      </c>
      <c r="K2870" s="26" t="s">
        <v>1773</v>
      </c>
      <c r="L2870" s="26">
        <v>1</v>
      </c>
      <c r="M2870" s="26">
        <v>1</v>
      </c>
      <c r="N2870" s="28">
        <v>1</v>
      </c>
      <c r="O2870" s="26">
        <v>0.21</v>
      </c>
      <c r="P2870" s="26">
        <v>0.21</v>
      </c>
      <c r="Q2870" s="26">
        <v>0</v>
      </c>
      <c r="R2870" s="26"/>
      <c r="S2870" s="26">
        <v>0</v>
      </c>
      <c r="T2870" s="26">
        <v>0</v>
      </c>
      <c r="U2870" s="26">
        <v>0</v>
      </c>
      <c r="V2870" s="28">
        <v>0</v>
      </c>
      <c r="W2870" s="26">
        <v>0</v>
      </c>
      <c r="X2870" s="26">
        <v>0</v>
      </c>
      <c r="Y2870" s="26">
        <v>0</v>
      </c>
      <c r="Z2870" s="26">
        <v>0</v>
      </c>
    </row>
    <row r="2871" spans="1:26" x14ac:dyDescent="0.2">
      <c r="A2871">
        <f t="shared" si="90"/>
        <v>6</v>
      </c>
      <c r="B2871">
        <f t="shared" si="91"/>
        <v>23</v>
      </c>
      <c r="C2871" s="27">
        <v>46178</v>
      </c>
      <c r="D2871" s="26" t="s">
        <v>26</v>
      </c>
      <c r="E2871" s="26" t="s">
        <v>39</v>
      </c>
      <c r="F2871" s="26" t="s">
        <v>40</v>
      </c>
      <c r="G2871" s="26" t="s">
        <v>29</v>
      </c>
      <c r="H2871" s="26" t="s">
        <v>30</v>
      </c>
      <c r="I2871" s="26" t="s">
        <v>1134</v>
      </c>
      <c r="J2871" s="26" t="s">
        <v>42</v>
      </c>
      <c r="K2871" s="26" t="s">
        <v>281</v>
      </c>
      <c r="L2871" s="26">
        <v>6</v>
      </c>
      <c r="M2871" s="26">
        <v>1</v>
      </c>
      <c r="N2871" s="28">
        <v>0.16666700000000001</v>
      </c>
      <c r="O2871" s="26">
        <v>0.57999999999999996</v>
      </c>
      <c r="P2871" s="26">
        <v>0.57999999999999996</v>
      </c>
      <c r="Q2871" s="26">
        <v>0</v>
      </c>
      <c r="R2871" s="26"/>
      <c r="S2871" s="26">
        <v>0</v>
      </c>
      <c r="T2871" s="26">
        <v>0</v>
      </c>
      <c r="U2871" s="26">
        <v>0</v>
      </c>
      <c r="V2871" s="28">
        <v>0</v>
      </c>
      <c r="W2871" s="26">
        <v>0</v>
      </c>
      <c r="X2871" s="26">
        <v>0</v>
      </c>
      <c r="Y2871" s="26">
        <v>0</v>
      </c>
      <c r="Z2871" s="26">
        <v>0</v>
      </c>
    </row>
    <row r="2872" spans="1:26" x14ac:dyDescent="0.2">
      <c r="A2872">
        <f t="shared" si="90"/>
        <v>6</v>
      </c>
      <c r="B2872">
        <f t="shared" si="91"/>
        <v>24</v>
      </c>
      <c r="C2872" s="27">
        <v>46182</v>
      </c>
      <c r="D2872" s="26" t="s">
        <v>26</v>
      </c>
      <c r="E2872" s="26" t="s">
        <v>49</v>
      </c>
      <c r="F2872" s="26" t="s">
        <v>50</v>
      </c>
      <c r="G2872" s="26" t="s">
        <v>29</v>
      </c>
      <c r="H2872" s="26" t="s">
        <v>30</v>
      </c>
      <c r="I2872" s="26" t="s">
        <v>47</v>
      </c>
      <c r="J2872" s="26" t="s">
        <v>42</v>
      </c>
      <c r="K2872" s="26" t="s">
        <v>281</v>
      </c>
      <c r="L2872" s="26">
        <v>4</v>
      </c>
      <c r="M2872" s="26">
        <v>1</v>
      </c>
      <c r="N2872" s="28">
        <v>0.25</v>
      </c>
      <c r="O2872" s="26">
        <v>1.1000000000000001</v>
      </c>
      <c r="P2872" s="26">
        <v>1.1000000000000001</v>
      </c>
      <c r="Q2872" s="26">
        <v>0</v>
      </c>
      <c r="R2872" s="26"/>
      <c r="S2872" s="26">
        <v>0</v>
      </c>
      <c r="T2872" s="26">
        <v>0</v>
      </c>
      <c r="U2872" s="26">
        <v>0</v>
      </c>
      <c r="V2872" s="28">
        <v>0</v>
      </c>
      <c r="W2872" s="26">
        <v>0</v>
      </c>
      <c r="X2872" s="26">
        <v>0</v>
      </c>
      <c r="Y2872" s="26">
        <v>0</v>
      </c>
      <c r="Z2872" s="26">
        <v>0</v>
      </c>
    </row>
    <row r="2873" spans="1:26" x14ac:dyDescent="0.2">
      <c r="A2873">
        <f t="shared" ref="A2873:A2936" si="92">MONTH(C2873)</f>
        <v>6</v>
      </c>
      <c r="B2873">
        <f t="shared" ref="B2873:B2936" si="93">WEEKNUM(C2873,1)</f>
        <v>25</v>
      </c>
      <c r="C2873" s="27">
        <v>46191</v>
      </c>
      <c r="D2873" s="26" t="s">
        <v>26</v>
      </c>
      <c r="E2873" s="26" t="s">
        <v>49</v>
      </c>
      <c r="F2873" s="26" t="s">
        <v>50</v>
      </c>
      <c r="G2873" s="26" t="s">
        <v>29</v>
      </c>
      <c r="H2873" s="26" t="s">
        <v>30</v>
      </c>
      <c r="I2873" s="26" t="s">
        <v>47</v>
      </c>
      <c r="J2873" s="26" t="s">
        <v>42</v>
      </c>
      <c r="K2873" s="26" t="s">
        <v>281</v>
      </c>
      <c r="L2873" s="26">
        <v>3</v>
      </c>
      <c r="M2873" s="26">
        <v>1</v>
      </c>
      <c r="N2873" s="28">
        <v>0.33333299999999999</v>
      </c>
      <c r="O2873" s="26">
        <v>1.1000000000000001</v>
      </c>
      <c r="P2873" s="26">
        <v>1.1000000000000001</v>
      </c>
      <c r="Q2873" s="26">
        <v>37.979999999999997</v>
      </c>
      <c r="R2873" s="28">
        <v>2.8962999999999999E-2</v>
      </c>
      <c r="S2873" s="26">
        <v>34.53</v>
      </c>
      <c r="T2873" s="26">
        <v>1</v>
      </c>
      <c r="U2873" s="26">
        <v>2</v>
      </c>
      <c r="V2873" s="28">
        <v>1</v>
      </c>
      <c r="W2873" s="26">
        <v>2</v>
      </c>
      <c r="X2873" s="26">
        <v>0</v>
      </c>
      <c r="Y2873" s="26">
        <v>37.979999999999997</v>
      </c>
      <c r="Z2873" s="26">
        <v>0</v>
      </c>
    </row>
    <row r="2874" spans="1:26" x14ac:dyDescent="0.2">
      <c r="A2874">
        <f t="shared" si="92"/>
        <v>6</v>
      </c>
      <c r="B2874">
        <f t="shared" si="93"/>
        <v>25</v>
      </c>
      <c r="C2874" s="27">
        <v>46190</v>
      </c>
      <c r="D2874" s="26" t="s">
        <v>26</v>
      </c>
      <c r="E2874" s="26" t="s">
        <v>27</v>
      </c>
      <c r="F2874" s="26" t="s">
        <v>124</v>
      </c>
      <c r="G2874" s="26" t="s">
        <v>29</v>
      </c>
      <c r="H2874" s="26" t="s">
        <v>30</v>
      </c>
      <c r="I2874" s="26" t="s">
        <v>280</v>
      </c>
      <c r="J2874" s="26" t="s">
        <v>87</v>
      </c>
      <c r="K2874" s="26" t="s">
        <v>281</v>
      </c>
      <c r="L2874" s="26">
        <v>5</v>
      </c>
      <c r="M2874" s="26">
        <v>1</v>
      </c>
      <c r="N2874" s="28">
        <v>0.2</v>
      </c>
      <c r="O2874" s="26">
        <v>0.2</v>
      </c>
      <c r="P2874" s="26">
        <v>0.2</v>
      </c>
      <c r="Q2874" s="26">
        <v>0</v>
      </c>
      <c r="R2874" s="26"/>
      <c r="S2874" s="26">
        <v>0</v>
      </c>
      <c r="T2874" s="26">
        <v>0</v>
      </c>
      <c r="U2874" s="26">
        <v>0</v>
      </c>
      <c r="V2874" s="28">
        <v>0</v>
      </c>
      <c r="W2874" s="26">
        <v>0</v>
      </c>
      <c r="X2874" s="26">
        <v>0</v>
      </c>
      <c r="Y2874" s="26">
        <v>0</v>
      </c>
      <c r="Z2874" s="26">
        <v>0</v>
      </c>
    </row>
    <row r="2875" spans="1:26" x14ac:dyDescent="0.2">
      <c r="A2875">
        <f t="shared" si="92"/>
        <v>6</v>
      </c>
      <c r="B2875">
        <f t="shared" si="93"/>
        <v>23</v>
      </c>
      <c r="C2875" s="27">
        <v>46175</v>
      </c>
      <c r="D2875" s="26" t="s">
        <v>26</v>
      </c>
      <c r="E2875" s="26" t="s">
        <v>49</v>
      </c>
      <c r="F2875" s="26" t="s">
        <v>50</v>
      </c>
      <c r="G2875" s="26" t="s">
        <v>29</v>
      </c>
      <c r="H2875" s="26" t="s">
        <v>30</v>
      </c>
      <c r="I2875" s="26" t="s">
        <v>47</v>
      </c>
      <c r="J2875" s="26" t="s">
        <v>42</v>
      </c>
      <c r="K2875" s="26" t="s">
        <v>1774</v>
      </c>
      <c r="L2875" s="26">
        <v>4</v>
      </c>
      <c r="M2875" s="26">
        <v>1</v>
      </c>
      <c r="N2875" s="28">
        <v>0.25</v>
      </c>
      <c r="O2875" s="26">
        <v>1.23</v>
      </c>
      <c r="P2875" s="26">
        <v>1.23</v>
      </c>
      <c r="Q2875" s="26">
        <v>0</v>
      </c>
      <c r="R2875" s="26"/>
      <c r="S2875" s="26">
        <v>0</v>
      </c>
      <c r="T2875" s="26">
        <v>0</v>
      </c>
      <c r="U2875" s="26">
        <v>0</v>
      </c>
      <c r="V2875" s="28">
        <v>0</v>
      </c>
      <c r="W2875" s="26">
        <v>0</v>
      </c>
      <c r="X2875" s="26">
        <v>0</v>
      </c>
      <c r="Y2875" s="26">
        <v>0</v>
      </c>
      <c r="Z2875" s="26">
        <v>0</v>
      </c>
    </row>
    <row r="2876" spans="1:26" x14ac:dyDescent="0.2">
      <c r="A2876">
        <f t="shared" si="92"/>
        <v>6</v>
      </c>
      <c r="B2876">
        <f t="shared" si="93"/>
        <v>23</v>
      </c>
      <c r="C2876" s="27">
        <v>46176</v>
      </c>
      <c r="D2876" s="26" t="s">
        <v>26</v>
      </c>
      <c r="E2876" s="26" t="s">
        <v>27</v>
      </c>
      <c r="F2876" s="26" t="s">
        <v>28</v>
      </c>
      <c r="G2876" s="26" t="s">
        <v>29</v>
      </c>
      <c r="H2876" s="26" t="s">
        <v>30</v>
      </c>
      <c r="I2876" s="26" t="s">
        <v>243</v>
      </c>
      <c r="J2876" s="26" t="s">
        <v>32</v>
      </c>
      <c r="K2876" s="26" t="s">
        <v>1775</v>
      </c>
      <c r="L2876" s="26">
        <v>2</v>
      </c>
      <c r="M2876" s="26">
        <v>1</v>
      </c>
      <c r="N2876" s="28">
        <v>0.5</v>
      </c>
      <c r="O2876" s="26">
        <v>0.21</v>
      </c>
      <c r="P2876" s="26">
        <v>0.21</v>
      </c>
      <c r="Q2876" s="26">
        <v>0</v>
      </c>
      <c r="R2876" s="26"/>
      <c r="S2876" s="26">
        <v>0</v>
      </c>
      <c r="T2876" s="26">
        <v>0</v>
      </c>
      <c r="U2876" s="26">
        <v>0</v>
      </c>
      <c r="V2876" s="28">
        <v>0</v>
      </c>
      <c r="W2876" s="26">
        <v>0</v>
      </c>
      <c r="X2876" s="26">
        <v>0</v>
      </c>
      <c r="Y2876" s="26">
        <v>0</v>
      </c>
      <c r="Z2876" s="26">
        <v>0</v>
      </c>
    </row>
    <row r="2877" spans="1:26" x14ac:dyDescent="0.2">
      <c r="A2877">
        <f t="shared" si="92"/>
        <v>6</v>
      </c>
      <c r="B2877">
        <f t="shared" si="93"/>
        <v>25</v>
      </c>
      <c r="C2877" s="27">
        <v>46190</v>
      </c>
      <c r="D2877" s="26" t="s">
        <v>26</v>
      </c>
      <c r="E2877" s="26" t="s">
        <v>27</v>
      </c>
      <c r="F2877" s="26" t="s">
        <v>28</v>
      </c>
      <c r="G2877" s="26" t="s">
        <v>29</v>
      </c>
      <c r="H2877" s="26" t="s">
        <v>30</v>
      </c>
      <c r="I2877" s="26" t="s">
        <v>119</v>
      </c>
      <c r="J2877" s="26" t="s">
        <v>32</v>
      </c>
      <c r="K2877" s="26" t="s">
        <v>559</v>
      </c>
      <c r="L2877" s="26">
        <v>1</v>
      </c>
      <c r="M2877" s="26">
        <v>1</v>
      </c>
      <c r="N2877" s="28">
        <v>1</v>
      </c>
      <c r="O2877" s="26">
        <v>0.16</v>
      </c>
      <c r="P2877" s="26">
        <v>0.16</v>
      </c>
      <c r="Q2877" s="26">
        <v>0</v>
      </c>
      <c r="R2877" s="26"/>
      <c r="S2877" s="26">
        <v>0</v>
      </c>
      <c r="T2877" s="26">
        <v>0</v>
      </c>
      <c r="U2877" s="26">
        <v>0</v>
      </c>
      <c r="V2877" s="28">
        <v>0</v>
      </c>
      <c r="W2877" s="26">
        <v>0</v>
      </c>
      <c r="X2877" s="26">
        <v>0</v>
      </c>
      <c r="Y2877" s="26">
        <v>0</v>
      </c>
      <c r="Z2877" s="26">
        <v>0</v>
      </c>
    </row>
    <row r="2878" spans="1:26" x14ac:dyDescent="0.2">
      <c r="A2878">
        <f t="shared" si="92"/>
        <v>6</v>
      </c>
      <c r="B2878">
        <f t="shared" si="93"/>
        <v>23</v>
      </c>
      <c r="C2878" s="27">
        <v>46178</v>
      </c>
      <c r="D2878" s="26" t="s">
        <v>26</v>
      </c>
      <c r="E2878" s="26" t="s">
        <v>27</v>
      </c>
      <c r="F2878" s="26" t="s">
        <v>28</v>
      </c>
      <c r="G2878" s="26" t="s">
        <v>29</v>
      </c>
      <c r="H2878" s="26" t="s">
        <v>30</v>
      </c>
      <c r="I2878" s="26" t="s">
        <v>44</v>
      </c>
      <c r="J2878" s="26" t="s">
        <v>32</v>
      </c>
      <c r="K2878" s="26" t="s">
        <v>285</v>
      </c>
      <c r="L2878" s="26">
        <v>1</v>
      </c>
      <c r="M2878" s="26">
        <v>1</v>
      </c>
      <c r="N2878" s="28">
        <v>1</v>
      </c>
      <c r="O2878" s="26">
        <v>0.2</v>
      </c>
      <c r="P2878" s="26">
        <v>0.2</v>
      </c>
      <c r="Q2878" s="26">
        <v>0</v>
      </c>
      <c r="R2878" s="26"/>
      <c r="S2878" s="26">
        <v>0</v>
      </c>
      <c r="T2878" s="26">
        <v>0</v>
      </c>
      <c r="U2878" s="26">
        <v>0</v>
      </c>
      <c r="V2878" s="28">
        <v>0</v>
      </c>
      <c r="W2878" s="26">
        <v>0</v>
      </c>
      <c r="X2878" s="26">
        <v>0</v>
      </c>
      <c r="Y2878" s="26">
        <v>0</v>
      </c>
      <c r="Z2878" s="26">
        <v>0</v>
      </c>
    </row>
    <row r="2879" spans="1:26" x14ac:dyDescent="0.2">
      <c r="A2879">
        <f t="shared" si="92"/>
        <v>6</v>
      </c>
      <c r="B2879">
        <f t="shared" si="93"/>
        <v>24</v>
      </c>
      <c r="C2879" s="27">
        <v>46181</v>
      </c>
      <c r="D2879" s="26" t="s">
        <v>26</v>
      </c>
      <c r="E2879" s="26" t="s">
        <v>49</v>
      </c>
      <c r="F2879" s="26" t="s">
        <v>50</v>
      </c>
      <c r="G2879" s="26" t="s">
        <v>29</v>
      </c>
      <c r="H2879" s="26" t="s">
        <v>30</v>
      </c>
      <c r="I2879" s="26" t="s">
        <v>95</v>
      </c>
      <c r="J2879" s="26" t="s">
        <v>42</v>
      </c>
      <c r="K2879" s="26" t="s">
        <v>1641</v>
      </c>
      <c r="L2879" s="26">
        <v>2</v>
      </c>
      <c r="M2879" s="26">
        <v>1</v>
      </c>
      <c r="N2879" s="28">
        <v>0.5</v>
      </c>
      <c r="O2879" s="26">
        <v>0.57999999999999996</v>
      </c>
      <c r="P2879" s="26">
        <v>0.57999999999999996</v>
      </c>
      <c r="Q2879" s="26">
        <v>0</v>
      </c>
      <c r="R2879" s="26"/>
      <c r="S2879" s="26">
        <v>0</v>
      </c>
      <c r="T2879" s="26">
        <v>0</v>
      </c>
      <c r="U2879" s="26">
        <v>0</v>
      </c>
      <c r="V2879" s="28">
        <v>0</v>
      </c>
      <c r="W2879" s="26">
        <v>0</v>
      </c>
      <c r="X2879" s="26">
        <v>0</v>
      </c>
      <c r="Y2879" s="26">
        <v>0</v>
      </c>
      <c r="Z2879" s="26">
        <v>0</v>
      </c>
    </row>
    <row r="2880" spans="1:26" x14ac:dyDescent="0.2">
      <c r="A2880">
        <f t="shared" si="92"/>
        <v>6</v>
      </c>
      <c r="B2880">
        <f t="shared" si="93"/>
        <v>24</v>
      </c>
      <c r="C2880" s="27">
        <v>46180</v>
      </c>
      <c r="D2880" s="26" t="s">
        <v>26</v>
      </c>
      <c r="E2880" s="26" t="s">
        <v>27</v>
      </c>
      <c r="F2880" s="26" t="s">
        <v>28</v>
      </c>
      <c r="G2880" s="26" t="s">
        <v>29</v>
      </c>
      <c r="H2880" s="26" t="s">
        <v>30</v>
      </c>
      <c r="I2880" s="26" t="s">
        <v>50</v>
      </c>
      <c r="J2880" s="26" t="s">
        <v>32</v>
      </c>
      <c r="K2880" s="26" t="s">
        <v>1534</v>
      </c>
      <c r="L2880" s="26">
        <v>5</v>
      </c>
      <c r="M2880" s="26">
        <v>1</v>
      </c>
      <c r="N2880" s="28">
        <v>0.2</v>
      </c>
      <c r="O2880" s="26">
        <v>0.21</v>
      </c>
      <c r="P2880" s="26">
        <v>0.21</v>
      </c>
      <c r="Q2880" s="26">
        <v>0</v>
      </c>
      <c r="R2880" s="26"/>
      <c r="S2880" s="26">
        <v>0</v>
      </c>
      <c r="T2880" s="26">
        <v>0</v>
      </c>
      <c r="U2880" s="26">
        <v>0</v>
      </c>
      <c r="V2880" s="28">
        <v>0</v>
      </c>
      <c r="W2880" s="26">
        <v>0</v>
      </c>
      <c r="X2880" s="26">
        <v>0</v>
      </c>
      <c r="Y2880" s="26">
        <v>0</v>
      </c>
      <c r="Z2880" s="26">
        <v>0</v>
      </c>
    </row>
    <row r="2881" spans="1:26" x14ac:dyDescent="0.2">
      <c r="A2881">
        <f t="shared" si="92"/>
        <v>6</v>
      </c>
      <c r="B2881">
        <f t="shared" si="93"/>
        <v>25</v>
      </c>
      <c r="C2881" s="27">
        <v>46187</v>
      </c>
      <c r="D2881" s="26" t="s">
        <v>26</v>
      </c>
      <c r="E2881" s="26" t="s">
        <v>27</v>
      </c>
      <c r="F2881" s="26" t="s">
        <v>28</v>
      </c>
      <c r="G2881" s="26" t="s">
        <v>29</v>
      </c>
      <c r="H2881" s="26" t="s">
        <v>30</v>
      </c>
      <c r="I2881" s="26" t="s">
        <v>50</v>
      </c>
      <c r="J2881" s="26" t="s">
        <v>32</v>
      </c>
      <c r="K2881" s="26" t="s">
        <v>1645</v>
      </c>
      <c r="L2881" s="26">
        <v>3</v>
      </c>
      <c r="M2881" s="26">
        <v>1</v>
      </c>
      <c r="N2881" s="28">
        <v>0.33333299999999999</v>
      </c>
      <c r="O2881" s="26">
        <v>0.08</v>
      </c>
      <c r="P2881" s="26">
        <v>0.08</v>
      </c>
      <c r="Q2881" s="26">
        <v>0</v>
      </c>
      <c r="R2881" s="26"/>
      <c r="S2881" s="26">
        <v>0</v>
      </c>
      <c r="T2881" s="26">
        <v>0</v>
      </c>
      <c r="U2881" s="26">
        <v>0</v>
      </c>
      <c r="V2881" s="28">
        <v>0</v>
      </c>
      <c r="W2881" s="26">
        <v>0</v>
      </c>
      <c r="X2881" s="26">
        <v>0</v>
      </c>
      <c r="Y2881" s="26">
        <v>0</v>
      </c>
      <c r="Z2881" s="26">
        <v>0</v>
      </c>
    </row>
    <row r="2882" spans="1:26" x14ac:dyDescent="0.2">
      <c r="A2882">
        <f t="shared" si="92"/>
        <v>6</v>
      </c>
      <c r="B2882">
        <f t="shared" si="93"/>
        <v>25</v>
      </c>
      <c r="C2882" s="27">
        <v>46187</v>
      </c>
      <c r="D2882" s="26" t="s">
        <v>26</v>
      </c>
      <c r="E2882" s="26" t="s">
        <v>49</v>
      </c>
      <c r="F2882" s="26" t="s">
        <v>50</v>
      </c>
      <c r="G2882" s="26" t="s">
        <v>29</v>
      </c>
      <c r="H2882" s="26" t="s">
        <v>30</v>
      </c>
      <c r="I2882" s="26" t="s">
        <v>95</v>
      </c>
      <c r="J2882" s="26" t="s">
        <v>42</v>
      </c>
      <c r="K2882" s="26" t="s">
        <v>1776</v>
      </c>
      <c r="L2882" s="26">
        <v>1</v>
      </c>
      <c r="M2882" s="26">
        <v>1</v>
      </c>
      <c r="N2882" s="28">
        <v>1</v>
      </c>
      <c r="O2882" s="26">
        <v>0.77</v>
      </c>
      <c r="P2882" s="26">
        <v>0.77</v>
      </c>
      <c r="Q2882" s="26">
        <v>0</v>
      </c>
      <c r="R2882" s="26"/>
      <c r="S2882" s="26">
        <v>0</v>
      </c>
      <c r="T2882" s="26">
        <v>0</v>
      </c>
      <c r="U2882" s="26">
        <v>0</v>
      </c>
      <c r="V2882" s="28">
        <v>0</v>
      </c>
      <c r="W2882" s="26">
        <v>0</v>
      </c>
      <c r="X2882" s="26">
        <v>0</v>
      </c>
      <c r="Y2882" s="26">
        <v>0</v>
      </c>
      <c r="Z2882" s="26">
        <v>0</v>
      </c>
    </row>
    <row r="2883" spans="1:26" x14ac:dyDescent="0.2">
      <c r="A2883">
        <f t="shared" si="92"/>
        <v>6</v>
      </c>
      <c r="B2883">
        <f t="shared" si="93"/>
        <v>25</v>
      </c>
      <c r="C2883" s="27">
        <v>46192</v>
      </c>
      <c r="D2883" s="26" t="s">
        <v>26</v>
      </c>
      <c r="E2883" s="26" t="s">
        <v>49</v>
      </c>
      <c r="F2883" s="26" t="s">
        <v>50</v>
      </c>
      <c r="G2883" s="26" t="s">
        <v>29</v>
      </c>
      <c r="H2883" s="26" t="s">
        <v>30</v>
      </c>
      <c r="I2883" s="26" t="s">
        <v>95</v>
      </c>
      <c r="J2883" s="26" t="s">
        <v>42</v>
      </c>
      <c r="K2883" s="26" t="s">
        <v>1777</v>
      </c>
      <c r="L2883" s="26">
        <v>1</v>
      </c>
      <c r="M2883" s="26">
        <v>1</v>
      </c>
      <c r="N2883" s="28">
        <v>1</v>
      </c>
      <c r="O2883" s="26">
        <v>0.56999999999999995</v>
      </c>
      <c r="P2883" s="26">
        <v>0.56999999999999995</v>
      </c>
      <c r="Q2883" s="26">
        <v>0</v>
      </c>
      <c r="R2883" s="26"/>
      <c r="S2883" s="26">
        <v>0</v>
      </c>
      <c r="T2883" s="26">
        <v>0</v>
      </c>
      <c r="U2883" s="26">
        <v>0</v>
      </c>
      <c r="V2883" s="28">
        <v>0</v>
      </c>
      <c r="W2883" s="26">
        <v>0</v>
      </c>
      <c r="X2883" s="26">
        <v>0</v>
      </c>
      <c r="Y2883" s="26">
        <v>0</v>
      </c>
      <c r="Z2883" s="26">
        <v>0</v>
      </c>
    </row>
    <row r="2884" spans="1:26" x14ac:dyDescent="0.2">
      <c r="A2884">
        <f t="shared" si="92"/>
        <v>6</v>
      </c>
      <c r="B2884">
        <f t="shared" si="93"/>
        <v>25</v>
      </c>
      <c r="C2884" s="27">
        <v>46188</v>
      </c>
      <c r="D2884" s="26" t="s">
        <v>26</v>
      </c>
      <c r="E2884" s="26" t="s">
        <v>27</v>
      </c>
      <c r="F2884" s="26" t="s">
        <v>28</v>
      </c>
      <c r="G2884" s="26" t="s">
        <v>29</v>
      </c>
      <c r="H2884" s="26" t="s">
        <v>30</v>
      </c>
      <c r="I2884" s="26" t="s">
        <v>50</v>
      </c>
      <c r="J2884" s="26" t="s">
        <v>32</v>
      </c>
      <c r="K2884" s="26" t="s">
        <v>1778</v>
      </c>
      <c r="L2884" s="26">
        <v>2</v>
      </c>
      <c r="M2884" s="26">
        <v>1</v>
      </c>
      <c r="N2884" s="28">
        <v>0.5</v>
      </c>
      <c r="O2884" s="26">
        <v>0.21</v>
      </c>
      <c r="P2884" s="26">
        <v>0.21</v>
      </c>
      <c r="Q2884" s="26">
        <v>0</v>
      </c>
      <c r="R2884" s="26"/>
      <c r="S2884" s="26">
        <v>0</v>
      </c>
      <c r="T2884" s="26">
        <v>0</v>
      </c>
      <c r="U2884" s="26">
        <v>0</v>
      </c>
      <c r="V2884" s="28">
        <v>0</v>
      </c>
      <c r="W2884" s="26">
        <v>0</v>
      </c>
      <c r="X2884" s="26">
        <v>0</v>
      </c>
      <c r="Y2884" s="26">
        <v>0</v>
      </c>
      <c r="Z2884" s="26">
        <v>0</v>
      </c>
    </row>
    <row r="2885" spans="1:26" x14ac:dyDescent="0.2">
      <c r="A2885">
        <f t="shared" si="92"/>
        <v>6</v>
      </c>
      <c r="B2885">
        <f t="shared" si="93"/>
        <v>26</v>
      </c>
      <c r="C2885" s="27">
        <v>46194</v>
      </c>
      <c r="D2885" s="26" t="s">
        <v>26</v>
      </c>
      <c r="E2885" s="26" t="s">
        <v>27</v>
      </c>
      <c r="F2885" s="26" t="s">
        <v>28</v>
      </c>
      <c r="G2885" s="26" t="s">
        <v>29</v>
      </c>
      <c r="H2885" s="26" t="s">
        <v>30</v>
      </c>
      <c r="I2885" s="26" t="s">
        <v>50</v>
      </c>
      <c r="J2885" s="26" t="s">
        <v>32</v>
      </c>
      <c r="K2885" s="26" t="s">
        <v>1779</v>
      </c>
      <c r="L2885" s="26">
        <v>1</v>
      </c>
      <c r="M2885" s="26">
        <v>1</v>
      </c>
      <c r="N2885" s="28">
        <v>1</v>
      </c>
      <c r="O2885" s="26">
        <v>0.21</v>
      </c>
      <c r="P2885" s="26">
        <v>0.21</v>
      </c>
      <c r="Q2885" s="26">
        <v>18.989999999999998</v>
      </c>
      <c r="R2885" s="28">
        <v>1.1058E-2</v>
      </c>
      <c r="S2885" s="26">
        <v>90.43</v>
      </c>
      <c r="T2885" s="26">
        <v>1</v>
      </c>
      <c r="U2885" s="26">
        <v>1</v>
      </c>
      <c r="V2885" s="28">
        <v>1</v>
      </c>
      <c r="W2885" s="26">
        <v>1</v>
      </c>
      <c r="X2885" s="26">
        <v>0</v>
      </c>
      <c r="Y2885" s="26">
        <v>18.989999999999998</v>
      </c>
      <c r="Z2885" s="26">
        <v>0</v>
      </c>
    </row>
    <row r="2886" spans="1:26" x14ac:dyDescent="0.2">
      <c r="A2886">
        <f t="shared" si="92"/>
        <v>6</v>
      </c>
      <c r="B2886">
        <f t="shared" si="93"/>
        <v>26</v>
      </c>
      <c r="C2886" s="27">
        <v>46194</v>
      </c>
      <c r="D2886" s="26" t="s">
        <v>26</v>
      </c>
      <c r="E2886" s="26" t="s">
        <v>27</v>
      </c>
      <c r="F2886" s="26" t="s">
        <v>28</v>
      </c>
      <c r="G2886" s="26" t="s">
        <v>29</v>
      </c>
      <c r="H2886" s="26" t="s">
        <v>30</v>
      </c>
      <c r="I2886" s="26" t="s">
        <v>243</v>
      </c>
      <c r="J2886" s="26" t="s">
        <v>32</v>
      </c>
      <c r="K2886" s="26" t="s">
        <v>1780</v>
      </c>
      <c r="L2886" s="26">
        <v>1</v>
      </c>
      <c r="M2886" s="26">
        <v>1</v>
      </c>
      <c r="N2886" s="28">
        <v>1</v>
      </c>
      <c r="O2886" s="26">
        <v>0.4</v>
      </c>
      <c r="P2886" s="26">
        <v>0.4</v>
      </c>
      <c r="Q2886" s="26">
        <v>0</v>
      </c>
      <c r="R2886" s="26"/>
      <c r="S2886" s="26">
        <v>0</v>
      </c>
      <c r="T2886" s="26">
        <v>0</v>
      </c>
      <c r="U2886" s="26">
        <v>0</v>
      </c>
      <c r="V2886" s="28">
        <v>0</v>
      </c>
      <c r="W2886" s="26">
        <v>0</v>
      </c>
      <c r="X2886" s="26">
        <v>0</v>
      </c>
      <c r="Y2886" s="26">
        <v>0</v>
      </c>
      <c r="Z2886" s="26">
        <v>0</v>
      </c>
    </row>
    <row r="2887" spans="1:26" x14ac:dyDescent="0.2">
      <c r="A2887">
        <f t="shared" si="92"/>
        <v>6</v>
      </c>
      <c r="B2887">
        <f t="shared" si="93"/>
        <v>23</v>
      </c>
      <c r="C2887" s="27">
        <v>46178</v>
      </c>
      <c r="D2887" s="26" t="s">
        <v>26</v>
      </c>
      <c r="E2887" s="26" t="s">
        <v>27</v>
      </c>
      <c r="F2887" s="26" t="s">
        <v>28</v>
      </c>
      <c r="G2887" s="26" t="s">
        <v>29</v>
      </c>
      <c r="H2887" s="26" t="s">
        <v>30</v>
      </c>
      <c r="I2887" s="26" t="s">
        <v>50</v>
      </c>
      <c r="J2887" s="26" t="s">
        <v>32</v>
      </c>
      <c r="K2887" s="26" t="s">
        <v>1781</v>
      </c>
      <c r="L2887" s="26">
        <v>3</v>
      </c>
      <c r="M2887" s="26">
        <v>1</v>
      </c>
      <c r="N2887" s="28">
        <v>0.33333299999999999</v>
      </c>
      <c r="O2887" s="26">
        <v>0.21</v>
      </c>
      <c r="P2887" s="26">
        <v>0.21</v>
      </c>
      <c r="Q2887" s="26">
        <v>0</v>
      </c>
      <c r="R2887" s="26"/>
      <c r="S2887" s="26">
        <v>0</v>
      </c>
      <c r="T2887" s="26">
        <v>0</v>
      </c>
      <c r="U2887" s="26">
        <v>0</v>
      </c>
      <c r="V2887" s="28">
        <v>0</v>
      </c>
      <c r="W2887" s="26">
        <v>0</v>
      </c>
      <c r="X2887" s="26">
        <v>0</v>
      </c>
      <c r="Y2887" s="26">
        <v>0</v>
      </c>
      <c r="Z2887" s="26">
        <v>0</v>
      </c>
    </row>
    <row r="2888" spans="1:26" x14ac:dyDescent="0.2">
      <c r="A2888">
        <f t="shared" si="92"/>
        <v>6</v>
      </c>
      <c r="B2888">
        <f t="shared" si="93"/>
        <v>23</v>
      </c>
      <c r="C2888" s="27">
        <v>46179</v>
      </c>
      <c r="D2888" s="26" t="s">
        <v>26</v>
      </c>
      <c r="E2888" s="26" t="s">
        <v>27</v>
      </c>
      <c r="F2888" s="26" t="s">
        <v>28</v>
      </c>
      <c r="G2888" s="26" t="s">
        <v>29</v>
      </c>
      <c r="H2888" s="26" t="s">
        <v>30</v>
      </c>
      <c r="I2888" s="26" t="s">
        <v>50</v>
      </c>
      <c r="J2888" s="26" t="s">
        <v>32</v>
      </c>
      <c r="K2888" s="26" t="s">
        <v>1782</v>
      </c>
      <c r="L2888" s="26">
        <v>5</v>
      </c>
      <c r="M2888" s="26">
        <v>1</v>
      </c>
      <c r="N2888" s="28">
        <v>0.2</v>
      </c>
      <c r="O2888" s="26">
        <v>0.08</v>
      </c>
      <c r="P2888" s="26">
        <v>0.08</v>
      </c>
      <c r="Q2888" s="26">
        <v>0</v>
      </c>
      <c r="R2888" s="26"/>
      <c r="S2888" s="26">
        <v>0</v>
      </c>
      <c r="T2888" s="26">
        <v>0</v>
      </c>
      <c r="U2888" s="26">
        <v>0</v>
      </c>
      <c r="V2888" s="28">
        <v>0</v>
      </c>
      <c r="W2888" s="26">
        <v>0</v>
      </c>
      <c r="X2888" s="26">
        <v>0</v>
      </c>
      <c r="Y2888" s="26">
        <v>0</v>
      </c>
      <c r="Z2888" s="26">
        <v>0</v>
      </c>
    </row>
    <row r="2889" spans="1:26" x14ac:dyDescent="0.2">
      <c r="A2889">
        <f t="shared" si="92"/>
        <v>6</v>
      </c>
      <c r="B2889">
        <f t="shared" si="93"/>
        <v>24</v>
      </c>
      <c r="C2889" s="27">
        <v>46185</v>
      </c>
      <c r="D2889" s="26" t="s">
        <v>26</v>
      </c>
      <c r="E2889" s="26" t="s">
        <v>27</v>
      </c>
      <c r="F2889" s="26" t="s">
        <v>28</v>
      </c>
      <c r="G2889" s="26" t="s">
        <v>29</v>
      </c>
      <c r="H2889" s="26" t="s">
        <v>30</v>
      </c>
      <c r="I2889" s="26" t="s">
        <v>542</v>
      </c>
      <c r="J2889" s="26" t="s">
        <v>32</v>
      </c>
      <c r="K2889" s="26" t="s">
        <v>1783</v>
      </c>
      <c r="L2889" s="26">
        <v>1</v>
      </c>
      <c r="M2889" s="26">
        <v>1</v>
      </c>
      <c r="N2889" s="28">
        <v>1</v>
      </c>
      <c r="O2889" s="26">
        <v>0.21</v>
      </c>
      <c r="P2889" s="26">
        <v>0.21</v>
      </c>
      <c r="Q2889" s="26">
        <v>0</v>
      </c>
      <c r="R2889" s="26"/>
      <c r="S2889" s="26">
        <v>0</v>
      </c>
      <c r="T2889" s="26">
        <v>0</v>
      </c>
      <c r="U2889" s="26">
        <v>0</v>
      </c>
      <c r="V2889" s="28">
        <v>0</v>
      </c>
      <c r="W2889" s="26">
        <v>0</v>
      </c>
      <c r="X2889" s="26">
        <v>0</v>
      </c>
      <c r="Y2889" s="26">
        <v>0</v>
      </c>
      <c r="Z2889" s="26">
        <v>0</v>
      </c>
    </row>
    <row r="2890" spans="1:26" x14ac:dyDescent="0.2">
      <c r="A2890">
        <f t="shared" si="92"/>
        <v>6</v>
      </c>
      <c r="B2890">
        <f t="shared" si="93"/>
        <v>26</v>
      </c>
      <c r="C2890" s="27">
        <v>46194</v>
      </c>
      <c r="D2890" s="26" t="s">
        <v>26</v>
      </c>
      <c r="E2890" s="26" t="s">
        <v>49</v>
      </c>
      <c r="F2890" s="26" t="s">
        <v>50</v>
      </c>
      <c r="G2890" s="26" t="s">
        <v>29</v>
      </c>
      <c r="H2890" s="26" t="s">
        <v>30</v>
      </c>
      <c r="I2890" s="26" t="s">
        <v>47</v>
      </c>
      <c r="J2890" s="26" t="s">
        <v>42</v>
      </c>
      <c r="K2890" s="26" t="s">
        <v>293</v>
      </c>
      <c r="L2890" s="26">
        <v>15</v>
      </c>
      <c r="M2890" s="26">
        <v>1</v>
      </c>
      <c r="N2890" s="28">
        <v>6.6667000000000004E-2</v>
      </c>
      <c r="O2890" s="26">
        <v>1</v>
      </c>
      <c r="P2890" s="26">
        <v>1</v>
      </c>
      <c r="Q2890" s="26">
        <v>0</v>
      </c>
      <c r="R2890" s="26"/>
      <c r="S2890" s="26">
        <v>0</v>
      </c>
      <c r="T2890" s="26">
        <v>0</v>
      </c>
      <c r="U2890" s="26">
        <v>0</v>
      </c>
      <c r="V2890" s="28">
        <v>0</v>
      </c>
      <c r="W2890" s="26">
        <v>0</v>
      </c>
      <c r="X2890" s="26">
        <v>0</v>
      </c>
      <c r="Y2890" s="26">
        <v>0</v>
      </c>
      <c r="Z2890" s="26">
        <v>0</v>
      </c>
    </row>
    <row r="2891" spans="1:26" x14ac:dyDescent="0.2">
      <c r="A2891">
        <f t="shared" si="92"/>
        <v>6</v>
      </c>
      <c r="B2891">
        <f t="shared" si="93"/>
        <v>23</v>
      </c>
      <c r="C2891" s="27">
        <v>46178</v>
      </c>
      <c r="D2891" s="26" t="s">
        <v>26</v>
      </c>
      <c r="E2891" s="26" t="s">
        <v>27</v>
      </c>
      <c r="F2891" s="26" t="s">
        <v>28</v>
      </c>
      <c r="G2891" s="26" t="s">
        <v>29</v>
      </c>
      <c r="H2891" s="26" t="s">
        <v>30</v>
      </c>
      <c r="I2891" s="26" t="s">
        <v>50</v>
      </c>
      <c r="J2891" s="26" t="s">
        <v>32</v>
      </c>
      <c r="K2891" s="26" t="s">
        <v>1647</v>
      </c>
      <c r="L2891" s="26">
        <v>4</v>
      </c>
      <c r="M2891" s="26">
        <v>1</v>
      </c>
      <c r="N2891" s="28">
        <v>0.25</v>
      </c>
      <c r="O2891" s="26">
        <v>0.44</v>
      </c>
      <c r="P2891" s="26">
        <v>0.44</v>
      </c>
      <c r="Q2891" s="26">
        <v>0</v>
      </c>
      <c r="R2891" s="26"/>
      <c r="S2891" s="26">
        <v>0</v>
      </c>
      <c r="T2891" s="26">
        <v>0</v>
      </c>
      <c r="U2891" s="26">
        <v>0</v>
      </c>
      <c r="V2891" s="28">
        <v>0</v>
      </c>
      <c r="W2891" s="26">
        <v>0</v>
      </c>
      <c r="X2891" s="26">
        <v>0</v>
      </c>
      <c r="Y2891" s="26">
        <v>0</v>
      </c>
      <c r="Z2891" s="26">
        <v>0</v>
      </c>
    </row>
    <row r="2892" spans="1:26" x14ac:dyDescent="0.2">
      <c r="A2892">
        <f t="shared" si="92"/>
        <v>6</v>
      </c>
      <c r="B2892">
        <f t="shared" si="93"/>
        <v>23</v>
      </c>
      <c r="C2892" s="27">
        <v>46174</v>
      </c>
      <c r="D2892" s="26" t="s">
        <v>26</v>
      </c>
      <c r="E2892" s="26" t="s">
        <v>27</v>
      </c>
      <c r="F2892" s="26" t="s">
        <v>28</v>
      </c>
      <c r="G2892" s="26" t="s">
        <v>29</v>
      </c>
      <c r="H2892" s="26" t="s">
        <v>30</v>
      </c>
      <c r="I2892" s="26" t="s">
        <v>119</v>
      </c>
      <c r="J2892" s="26" t="s">
        <v>32</v>
      </c>
      <c r="K2892" s="26" t="s">
        <v>577</v>
      </c>
      <c r="L2892" s="26">
        <v>7</v>
      </c>
      <c r="M2892" s="26">
        <v>1</v>
      </c>
      <c r="N2892" s="28">
        <v>0.14285700000000001</v>
      </c>
      <c r="O2892" s="26">
        <v>0.16</v>
      </c>
      <c r="P2892" s="26">
        <v>0.16</v>
      </c>
      <c r="Q2892" s="26">
        <v>0</v>
      </c>
      <c r="R2892" s="26"/>
      <c r="S2892" s="26">
        <v>0</v>
      </c>
      <c r="T2892" s="26">
        <v>0</v>
      </c>
      <c r="U2892" s="26">
        <v>0</v>
      </c>
      <c r="V2892" s="28">
        <v>0</v>
      </c>
      <c r="W2892" s="26">
        <v>0</v>
      </c>
      <c r="X2892" s="26">
        <v>0</v>
      </c>
      <c r="Y2892" s="26">
        <v>0</v>
      </c>
      <c r="Z2892" s="26">
        <v>0</v>
      </c>
    </row>
    <row r="2893" spans="1:26" x14ac:dyDescent="0.2">
      <c r="A2893">
        <f t="shared" si="92"/>
        <v>6</v>
      </c>
      <c r="B2893">
        <f t="shared" si="93"/>
        <v>25</v>
      </c>
      <c r="C2893" s="27">
        <v>46188</v>
      </c>
      <c r="D2893" s="26" t="s">
        <v>26</v>
      </c>
      <c r="E2893" s="26" t="s">
        <v>27</v>
      </c>
      <c r="F2893" s="26" t="s">
        <v>28</v>
      </c>
      <c r="G2893" s="26" t="s">
        <v>29</v>
      </c>
      <c r="H2893" s="26" t="s">
        <v>30</v>
      </c>
      <c r="I2893" s="26" t="s">
        <v>50</v>
      </c>
      <c r="J2893" s="26" t="s">
        <v>32</v>
      </c>
      <c r="K2893" s="26" t="s">
        <v>1784</v>
      </c>
      <c r="L2893" s="26">
        <v>2</v>
      </c>
      <c r="M2893" s="26">
        <v>1</v>
      </c>
      <c r="N2893" s="28">
        <v>0.5</v>
      </c>
      <c r="O2893" s="26">
        <v>0.4</v>
      </c>
      <c r="P2893" s="26">
        <v>0.4</v>
      </c>
      <c r="Q2893" s="26">
        <v>0</v>
      </c>
      <c r="R2893" s="26"/>
      <c r="S2893" s="26">
        <v>0</v>
      </c>
      <c r="T2893" s="26">
        <v>0</v>
      </c>
      <c r="U2893" s="26">
        <v>0</v>
      </c>
      <c r="V2893" s="28">
        <v>0</v>
      </c>
      <c r="W2893" s="26">
        <v>0</v>
      </c>
      <c r="X2893" s="26">
        <v>0</v>
      </c>
      <c r="Y2893" s="26">
        <v>0</v>
      </c>
      <c r="Z2893" s="26">
        <v>0</v>
      </c>
    </row>
    <row r="2894" spans="1:26" x14ac:dyDescent="0.2">
      <c r="A2894">
        <f t="shared" si="92"/>
        <v>6</v>
      </c>
      <c r="B2894">
        <f t="shared" si="93"/>
        <v>26</v>
      </c>
      <c r="C2894" s="27">
        <v>46194</v>
      </c>
      <c r="D2894" s="26" t="s">
        <v>26</v>
      </c>
      <c r="E2894" s="26" t="s">
        <v>27</v>
      </c>
      <c r="F2894" s="26" t="s">
        <v>124</v>
      </c>
      <c r="G2894" s="26" t="s">
        <v>29</v>
      </c>
      <c r="H2894" s="26" t="s">
        <v>30</v>
      </c>
      <c r="I2894" s="26" t="s">
        <v>101</v>
      </c>
      <c r="J2894" s="26" t="s">
        <v>87</v>
      </c>
      <c r="K2894" s="26" t="s">
        <v>300</v>
      </c>
      <c r="L2894" s="26">
        <v>2</v>
      </c>
      <c r="M2894" s="26">
        <v>1</v>
      </c>
      <c r="N2894" s="28">
        <v>0.5</v>
      </c>
      <c r="O2894" s="26">
        <v>0.4</v>
      </c>
      <c r="P2894" s="26">
        <v>0.4</v>
      </c>
      <c r="Q2894" s="26">
        <v>0</v>
      </c>
      <c r="R2894" s="26"/>
      <c r="S2894" s="26">
        <v>0</v>
      </c>
      <c r="T2894" s="26">
        <v>0</v>
      </c>
      <c r="U2894" s="26">
        <v>0</v>
      </c>
      <c r="V2894" s="28">
        <v>0</v>
      </c>
      <c r="W2894" s="26">
        <v>0</v>
      </c>
      <c r="X2894" s="26">
        <v>0</v>
      </c>
      <c r="Y2894" s="26">
        <v>0</v>
      </c>
      <c r="Z2894" s="26">
        <v>0</v>
      </c>
    </row>
    <row r="2895" spans="1:26" x14ac:dyDescent="0.2">
      <c r="A2895">
        <f t="shared" si="92"/>
        <v>6</v>
      </c>
      <c r="B2895">
        <f t="shared" si="93"/>
        <v>23</v>
      </c>
      <c r="C2895" s="27">
        <v>46174</v>
      </c>
      <c r="D2895" s="26" t="s">
        <v>26</v>
      </c>
      <c r="E2895" s="26" t="s">
        <v>49</v>
      </c>
      <c r="F2895" s="26" t="s">
        <v>50</v>
      </c>
      <c r="G2895" s="26" t="s">
        <v>29</v>
      </c>
      <c r="H2895" s="26" t="s">
        <v>30</v>
      </c>
      <c r="I2895" s="26" t="s">
        <v>95</v>
      </c>
      <c r="J2895" s="26" t="s">
        <v>42</v>
      </c>
      <c r="K2895" s="26" t="s">
        <v>301</v>
      </c>
      <c r="L2895" s="26">
        <v>3</v>
      </c>
      <c r="M2895" s="26">
        <v>1</v>
      </c>
      <c r="N2895" s="28">
        <v>0.33333299999999999</v>
      </c>
      <c r="O2895" s="26">
        <v>0.77</v>
      </c>
      <c r="P2895" s="26">
        <v>0.77</v>
      </c>
      <c r="Q2895" s="26">
        <v>0</v>
      </c>
      <c r="R2895" s="26"/>
      <c r="S2895" s="26">
        <v>0</v>
      </c>
      <c r="T2895" s="26">
        <v>0</v>
      </c>
      <c r="U2895" s="26">
        <v>0</v>
      </c>
      <c r="V2895" s="28">
        <v>0</v>
      </c>
      <c r="W2895" s="26">
        <v>0</v>
      </c>
      <c r="X2895" s="26">
        <v>0</v>
      </c>
      <c r="Y2895" s="26">
        <v>0</v>
      </c>
      <c r="Z2895" s="26">
        <v>0</v>
      </c>
    </row>
    <row r="2896" spans="1:26" x14ac:dyDescent="0.2">
      <c r="A2896">
        <f t="shared" si="92"/>
        <v>6</v>
      </c>
      <c r="B2896">
        <f t="shared" si="93"/>
        <v>24</v>
      </c>
      <c r="C2896" s="27">
        <v>46181</v>
      </c>
      <c r="D2896" s="26" t="s">
        <v>26</v>
      </c>
      <c r="E2896" s="26" t="s">
        <v>27</v>
      </c>
      <c r="F2896" s="26" t="s">
        <v>28</v>
      </c>
      <c r="G2896" s="26" t="s">
        <v>29</v>
      </c>
      <c r="H2896" s="26" t="s">
        <v>30</v>
      </c>
      <c r="I2896" s="26" t="s">
        <v>31</v>
      </c>
      <c r="J2896" s="26" t="s">
        <v>32</v>
      </c>
      <c r="K2896" s="26" t="s">
        <v>1785</v>
      </c>
      <c r="L2896" s="26">
        <v>1</v>
      </c>
      <c r="M2896" s="26">
        <v>1</v>
      </c>
      <c r="N2896" s="28">
        <v>1</v>
      </c>
      <c r="O2896" s="26">
        <v>0.21</v>
      </c>
      <c r="P2896" s="26">
        <v>0.21</v>
      </c>
      <c r="Q2896" s="26">
        <v>0</v>
      </c>
      <c r="R2896" s="26"/>
      <c r="S2896" s="26">
        <v>0</v>
      </c>
      <c r="T2896" s="26">
        <v>0</v>
      </c>
      <c r="U2896" s="26">
        <v>0</v>
      </c>
      <c r="V2896" s="28">
        <v>0</v>
      </c>
      <c r="W2896" s="26">
        <v>0</v>
      </c>
      <c r="X2896" s="26">
        <v>0</v>
      </c>
      <c r="Y2896" s="26">
        <v>0</v>
      </c>
      <c r="Z2896" s="26">
        <v>0</v>
      </c>
    </row>
    <row r="2897" spans="1:26" x14ac:dyDescent="0.2">
      <c r="A2897">
        <f t="shared" si="92"/>
        <v>6</v>
      </c>
      <c r="B2897">
        <f t="shared" si="93"/>
        <v>24</v>
      </c>
      <c r="C2897" s="27">
        <v>46185</v>
      </c>
      <c r="D2897" s="26" t="s">
        <v>26</v>
      </c>
      <c r="E2897" s="26" t="s">
        <v>27</v>
      </c>
      <c r="F2897" s="26" t="s">
        <v>124</v>
      </c>
      <c r="G2897" s="26" t="s">
        <v>29</v>
      </c>
      <c r="H2897" s="26" t="s">
        <v>30</v>
      </c>
      <c r="I2897" s="26" t="s">
        <v>133</v>
      </c>
      <c r="J2897" s="26" t="s">
        <v>87</v>
      </c>
      <c r="K2897" s="26" t="s">
        <v>1786</v>
      </c>
      <c r="L2897" s="26">
        <v>1</v>
      </c>
      <c r="M2897" s="26">
        <v>1</v>
      </c>
      <c r="N2897" s="28">
        <v>1</v>
      </c>
      <c r="O2897" s="26">
        <v>0.4</v>
      </c>
      <c r="P2897" s="26">
        <v>0.4</v>
      </c>
      <c r="Q2897" s="26">
        <v>0</v>
      </c>
      <c r="R2897" s="26"/>
      <c r="S2897" s="26">
        <v>0</v>
      </c>
      <c r="T2897" s="26">
        <v>0</v>
      </c>
      <c r="U2897" s="26">
        <v>0</v>
      </c>
      <c r="V2897" s="28">
        <v>0</v>
      </c>
      <c r="W2897" s="26">
        <v>0</v>
      </c>
      <c r="X2897" s="26">
        <v>0</v>
      </c>
      <c r="Y2897" s="26">
        <v>0</v>
      </c>
      <c r="Z2897" s="26">
        <v>0</v>
      </c>
    </row>
    <row r="2898" spans="1:26" x14ac:dyDescent="0.2">
      <c r="A2898">
        <f t="shared" si="92"/>
        <v>6</v>
      </c>
      <c r="B2898">
        <f t="shared" si="93"/>
        <v>23</v>
      </c>
      <c r="C2898" s="27">
        <v>46179</v>
      </c>
      <c r="D2898" s="26" t="s">
        <v>26</v>
      </c>
      <c r="E2898" s="26" t="s">
        <v>27</v>
      </c>
      <c r="F2898" s="26" t="s">
        <v>28</v>
      </c>
      <c r="G2898" s="26" t="s">
        <v>29</v>
      </c>
      <c r="H2898" s="26" t="s">
        <v>30</v>
      </c>
      <c r="I2898" s="26" t="s">
        <v>31</v>
      </c>
      <c r="J2898" s="26" t="s">
        <v>32</v>
      </c>
      <c r="K2898" s="26" t="s">
        <v>1787</v>
      </c>
      <c r="L2898" s="26">
        <v>2</v>
      </c>
      <c r="M2898" s="26">
        <v>1</v>
      </c>
      <c r="N2898" s="28">
        <v>0.5</v>
      </c>
      <c r="O2898" s="26">
        <v>0.21</v>
      </c>
      <c r="P2898" s="26">
        <v>0.21</v>
      </c>
      <c r="Q2898" s="26">
        <v>34.94</v>
      </c>
      <c r="R2898" s="28">
        <v>6.0099999999999997E-3</v>
      </c>
      <c r="S2898" s="26">
        <v>166.38</v>
      </c>
      <c r="T2898" s="26">
        <v>1</v>
      </c>
      <c r="U2898" s="26">
        <v>2</v>
      </c>
      <c r="V2898" s="28">
        <v>1</v>
      </c>
      <c r="W2898" s="26">
        <v>2</v>
      </c>
      <c r="X2898" s="26">
        <v>0</v>
      </c>
      <c r="Y2898" s="26">
        <v>34.94</v>
      </c>
      <c r="Z2898" s="26">
        <v>0</v>
      </c>
    </row>
    <row r="2899" spans="1:26" x14ac:dyDescent="0.2">
      <c r="A2899">
        <f t="shared" si="92"/>
        <v>6</v>
      </c>
      <c r="B2899">
        <f t="shared" si="93"/>
        <v>25</v>
      </c>
      <c r="C2899" s="27">
        <v>46187</v>
      </c>
      <c r="D2899" s="26" t="s">
        <v>26</v>
      </c>
      <c r="E2899" s="26" t="s">
        <v>27</v>
      </c>
      <c r="F2899" s="26" t="s">
        <v>28</v>
      </c>
      <c r="G2899" s="26" t="s">
        <v>29</v>
      </c>
      <c r="H2899" s="26" t="s">
        <v>30</v>
      </c>
      <c r="I2899" s="26" t="s">
        <v>156</v>
      </c>
      <c r="J2899" s="26" t="s">
        <v>32</v>
      </c>
      <c r="K2899" s="26" t="s">
        <v>1788</v>
      </c>
      <c r="L2899" s="26">
        <v>1</v>
      </c>
      <c r="M2899" s="26">
        <v>1</v>
      </c>
      <c r="N2899" s="28">
        <v>1</v>
      </c>
      <c r="O2899" s="26">
        <v>0.21</v>
      </c>
      <c r="P2899" s="26">
        <v>0.21</v>
      </c>
      <c r="Q2899" s="26">
        <v>0</v>
      </c>
      <c r="R2899" s="26"/>
      <c r="S2899" s="26">
        <v>0</v>
      </c>
      <c r="T2899" s="26">
        <v>0</v>
      </c>
      <c r="U2899" s="26">
        <v>0</v>
      </c>
      <c r="V2899" s="28">
        <v>0</v>
      </c>
      <c r="W2899" s="26">
        <v>0</v>
      </c>
      <c r="X2899" s="26">
        <v>0</v>
      </c>
      <c r="Y2899" s="26">
        <v>0</v>
      </c>
      <c r="Z2899" s="26">
        <v>0</v>
      </c>
    </row>
    <row r="2900" spans="1:26" x14ac:dyDescent="0.2">
      <c r="A2900">
        <f t="shared" si="92"/>
        <v>6</v>
      </c>
      <c r="B2900">
        <f t="shared" si="93"/>
        <v>24</v>
      </c>
      <c r="C2900" s="27">
        <v>46186</v>
      </c>
      <c r="D2900" s="26" t="s">
        <v>26</v>
      </c>
      <c r="E2900" s="26" t="s">
        <v>27</v>
      </c>
      <c r="F2900" s="26" t="s">
        <v>28</v>
      </c>
      <c r="G2900" s="26" t="s">
        <v>29</v>
      </c>
      <c r="H2900" s="26" t="s">
        <v>30</v>
      </c>
      <c r="I2900" s="26" t="s">
        <v>311</v>
      </c>
      <c r="J2900" s="26" t="s">
        <v>32</v>
      </c>
      <c r="K2900" s="26" t="s">
        <v>1789</v>
      </c>
      <c r="L2900" s="26">
        <v>3</v>
      </c>
      <c r="M2900" s="26">
        <v>1</v>
      </c>
      <c r="N2900" s="28">
        <v>0.33333299999999999</v>
      </c>
      <c r="O2900" s="26">
        <v>0.21</v>
      </c>
      <c r="P2900" s="26">
        <v>0.21</v>
      </c>
      <c r="Q2900" s="26">
        <v>0</v>
      </c>
      <c r="R2900" s="26"/>
      <c r="S2900" s="26">
        <v>0</v>
      </c>
      <c r="T2900" s="26">
        <v>0</v>
      </c>
      <c r="U2900" s="26">
        <v>0</v>
      </c>
      <c r="V2900" s="28">
        <v>0</v>
      </c>
      <c r="W2900" s="26">
        <v>0</v>
      </c>
      <c r="X2900" s="26">
        <v>0</v>
      </c>
      <c r="Y2900" s="26">
        <v>0</v>
      </c>
      <c r="Z2900" s="26">
        <v>0</v>
      </c>
    </row>
    <row r="2901" spans="1:26" x14ac:dyDescent="0.2">
      <c r="A2901">
        <f t="shared" si="92"/>
        <v>6</v>
      </c>
      <c r="B2901">
        <f t="shared" si="93"/>
        <v>25</v>
      </c>
      <c r="C2901" s="27">
        <v>46187</v>
      </c>
      <c r="D2901" s="26" t="s">
        <v>26</v>
      </c>
      <c r="E2901" s="26" t="s">
        <v>27</v>
      </c>
      <c r="F2901" s="26" t="s">
        <v>28</v>
      </c>
      <c r="G2901" s="26" t="s">
        <v>29</v>
      </c>
      <c r="H2901" s="26" t="s">
        <v>30</v>
      </c>
      <c r="I2901" s="26" t="s">
        <v>37</v>
      </c>
      <c r="J2901" s="26" t="s">
        <v>32</v>
      </c>
      <c r="K2901" s="26" t="s">
        <v>37</v>
      </c>
      <c r="L2901" s="26">
        <v>4</v>
      </c>
      <c r="M2901" s="26">
        <v>1</v>
      </c>
      <c r="N2901" s="28">
        <v>0.25</v>
      </c>
      <c r="O2901" s="26">
        <v>0.08</v>
      </c>
      <c r="P2901" s="26">
        <v>0.08</v>
      </c>
      <c r="Q2901" s="26">
        <v>0</v>
      </c>
      <c r="R2901" s="26"/>
      <c r="S2901" s="26">
        <v>0</v>
      </c>
      <c r="T2901" s="26">
        <v>0</v>
      </c>
      <c r="U2901" s="26">
        <v>0</v>
      </c>
      <c r="V2901" s="28">
        <v>0</v>
      </c>
      <c r="W2901" s="26">
        <v>0</v>
      </c>
      <c r="X2901" s="26">
        <v>0</v>
      </c>
      <c r="Y2901" s="26">
        <v>0</v>
      </c>
      <c r="Z2901" s="26">
        <v>0</v>
      </c>
    </row>
    <row r="2902" spans="1:26" x14ac:dyDescent="0.2">
      <c r="A2902">
        <f t="shared" si="92"/>
        <v>6</v>
      </c>
      <c r="B2902">
        <f t="shared" si="93"/>
        <v>24</v>
      </c>
      <c r="C2902" s="27">
        <v>46181</v>
      </c>
      <c r="D2902" s="26" t="s">
        <v>26</v>
      </c>
      <c r="E2902" s="26" t="s">
        <v>27</v>
      </c>
      <c r="F2902" s="26" t="s">
        <v>28</v>
      </c>
      <c r="G2902" s="26" t="s">
        <v>29</v>
      </c>
      <c r="H2902" s="26" t="s">
        <v>30</v>
      </c>
      <c r="I2902" s="26" t="s">
        <v>37</v>
      </c>
      <c r="J2902" s="26" t="s">
        <v>32</v>
      </c>
      <c r="K2902" s="26" t="s">
        <v>1790</v>
      </c>
      <c r="L2902" s="26">
        <v>1</v>
      </c>
      <c r="M2902" s="26">
        <v>1</v>
      </c>
      <c r="N2902" s="28">
        <v>1</v>
      </c>
      <c r="O2902" s="26">
        <v>0.21</v>
      </c>
      <c r="P2902" s="26">
        <v>0.21</v>
      </c>
      <c r="Q2902" s="26">
        <v>0</v>
      </c>
      <c r="R2902" s="26"/>
      <c r="S2902" s="26">
        <v>0</v>
      </c>
      <c r="T2902" s="26">
        <v>0</v>
      </c>
      <c r="U2902" s="26">
        <v>0</v>
      </c>
      <c r="V2902" s="28">
        <v>0</v>
      </c>
      <c r="W2902" s="26">
        <v>0</v>
      </c>
      <c r="X2902" s="26">
        <v>0</v>
      </c>
      <c r="Y2902" s="26">
        <v>0</v>
      </c>
      <c r="Z2902" s="26">
        <v>0</v>
      </c>
    </row>
    <row r="2903" spans="1:26" x14ac:dyDescent="0.2">
      <c r="A2903">
        <f t="shared" si="92"/>
        <v>6</v>
      </c>
      <c r="B2903">
        <f t="shared" si="93"/>
        <v>23</v>
      </c>
      <c r="C2903" s="27">
        <v>46179</v>
      </c>
      <c r="D2903" s="26" t="s">
        <v>26</v>
      </c>
      <c r="E2903" s="26" t="s">
        <v>49</v>
      </c>
      <c r="F2903" s="26" t="s">
        <v>50</v>
      </c>
      <c r="G2903" s="26" t="s">
        <v>29</v>
      </c>
      <c r="H2903" s="26" t="s">
        <v>30</v>
      </c>
      <c r="I2903" s="26" t="s">
        <v>47</v>
      </c>
      <c r="J2903" s="26" t="s">
        <v>42</v>
      </c>
      <c r="K2903" s="26" t="s">
        <v>305</v>
      </c>
      <c r="L2903" s="26">
        <v>10</v>
      </c>
      <c r="M2903" s="26">
        <v>2</v>
      </c>
      <c r="N2903" s="28">
        <v>0.2</v>
      </c>
      <c r="O2903" s="26">
        <v>0.9</v>
      </c>
      <c r="P2903" s="26">
        <v>1.8</v>
      </c>
      <c r="Q2903" s="26">
        <v>0</v>
      </c>
      <c r="R2903" s="26"/>
      <c r="S2903" s="26">
        <v>0</v>
      </c>
      <c r="T2903" s="26">
        <v>0</v>
      </c>
      <c r="U2903" s="26">
        <v>0</v>
      </c>
      <c r="V2903" s="28">
        <v>0</v>
      </c>
      <c r="W2903" s="26">
        <v>0</v>
      </c>
      <c r="X2903" s="26">
        <v>0</v>
      </c>
      <c r="Y2903" s="26">
        <v>0</v>
      </c>
      <c r="Z2903" s="26">
        <v>0</v>
      </c>
    </row>
    <row r="2904" spans="1:26" x14ac:dyDescent="0.2">
      <c r="A2904">
        <f t="shared" si="92"/>
        <v>6</v>
      </c>
      <c r="B2904">
        <f t="shared" si="93"/>
        <v>25</v>
      </c>
      <c r="C2904" s="27">
        <v>46188</v>
      </c>
      <c r="D2904" s="26" t="s">
        <v>26</v>
      </c>
      <c r="E2904" s="26" t="s">
        <v>27</v>
      </c>
      <c r="F2904" s="26" t="s">
        <v>28</v>
      </c>
      <c r="G2904" s="26" t="s">
        <v>29</v>
      </c>
      <c r="H2904" s="26" t="s">
        <v>30</v>
      </c>
      <c r="I2904" s="26" t="s">
        <v>50</v>
      </c>
      <c r="J2904" s="26" t="s">
        <v>32</v>
      </c>
      <c r="K2904" s="26" t="s">
        <v>305</v>
      </c>
      <c r="L2904" s="26">
        <v>2</v>
      </c>
      <c r="M2904" s="26">
        <v>1</v>
      </c>
      <c r="N2904" s="28">
        <v>0.5</v>
      </c>
      <c r="O2904" s="26">
        <v>0.21</v>
      </c>
      <c r="P2904" s="26">
        <v>0.21</v>
      </c>
      <c r="Q2904" s="26">
        <v>0</v>
      </c>
      <c r="R2904" s="26"/>
      <c r="S2904" s="26">
        <v>0</v>
      </c>
      <c r="T2904" s="26">
        <v>0</v>
      </c>
      <c r="U2904" s="26">
        <v>0</v>
      </c>
      <c r="V2904" s="28">
        <v>0</v>
      </c>
      <c r="W2904" s="26">
        <v>0</v>
      </c>
      <c r="X2904" s="26">
        <v>0</v>
      </c>
      <c r="Y2904" s="26">
        <v>0</v>
      </c>
      <c r="Z2904" s="26">
        <v>0</v>
      </c>
    </row>
    <row r="2905" spans="1:26" x14ac:dyDescent="0.2">
      <c r="A2905">
        <f t="shared" si="92"/>
        <v>6</v>
      </c>
      <c r="B2905">
        <f t="shared" si="93"/>
        <v>23</v>
      </c>
      <c r="C2905" s="27">
        <v>46177</v>
      </c>
      <c r="D2905" s="26" t="s">
        <v>26</v>
      </c>
      <c r="E2905" s="26" t="s">
        <v>27</v>
      </c>
      <c r="F2905" s="26" t="s">
        <v>124</v>
      </c>
      <c r="G2905" s="26" t="s">
        <v>29</v>
      </c>
      <c r="H2905" s="26" t="s">
        <v>30</v>
      </c>
      <c r="I2905" s="26" t="s">
        <v>44</v>
      </c>
      <c r="J2905" s="26" t="s">
        <v>87</v>
      </c>
      <c r="K2905" s="26" t="s">
        <v>305</v>
      </c>
      <c r="L2905" s="26">
        <v>13</v>
      </c>
      <c r="M2905" s="26">
        <v>1</v>
      </c>
      <c r="N2905" s="28">
        <v>7.6923000000000005E-2</v>
      </c>
      <c r="O2905" s="26">
        <v>0.2</v>
      </c>
      <c r="P2905" s="26">
        <v>0.2</v>
      </c>
      <c r="Q2905" s="26">
        <v>0</v>
      </c>
      <c r="R2905" s="26"/>
      <c r="S2905" s="26">
        <v>0</v>
      </c>
      <c r="T2905" s="26">
        <v>0</v>
      </c>
      <c r="U2905" s="26">
        <v>0</v>
      </c>
      <c r="V2905" s="28">
        <v>0</v>
      </c>
      <c r="W2905" s="26">
        <v>0</v>
      </c>
      <c r="X2905" s="26">
        <v>0</v>
      </c>
      <c r="Y2905" s="26">
        <v>0</v>
      </c>
      <c r="Z2905" s="26">
        <v>0</v>
      </c>
    </row>
    <row r="2906" spans="1:26" x14ac:dyDescent="0.2">
      <c r="A2906">
        <f t="shared" si="92"/>
        <v>6</v>
      </c>
      <c r="B2906">
        <f t="shared" si="93"/>
        <v>23</v>
      </c>
      <c r="C2906" s="27">
        <v>46178</v>
      </c>
      <c r="D2906" s="26" t="s">
        <v>26</v>
      </c>
      <c r="E2906" s="26" t="s">
        <v>27</v>
      </c>
      <c r="F2906" s="26" t="s">
        <v>124</v>
      </c>
      <c r="G2906" s="26" t="s">
        <v>29</v>
      </c>
      <c r="H2906" s="26" t="s">
        <v>30</v>
      </c>
      <c r="I2906" s="26" t="s">
        <v>44</v>
      </c>
      <c r="J2906" s="26" t="s">
        <v>87</v>
      </c>
      <c r="K2906" s="26" t="s">
        <v>305</v>
      </c>
      <c r="L2906" s="26">
        <v>25</v>
      </c>
      <c r="M2906" s="26">
        <v>1</v>
      </c>
      <c r="N2906" s="28">
        <v>0.04</v>
      </c>
      <c r="O2906" s="26">
        <v>0.2</v>
      </c>
      <c r="P2906" s="26">
        <v>0.2</v>
      </c>
      <c r="Q2906" s="26">
        <v>0</v>
      </c>
      <c r="R2906" s="26"/>
      <c r="S2906" s="26">
        <v>0</v>
      </c>
      <c r="T2906" s="26">
        <v>0</v>
      </c>
      <c r="U2906" s="26">
        <v>0</v>
      </c>
      <c r="V2906" s="28">
        <v>0</v>
      </c>
      <c r="W2906" s="26">
        <v>0</v>
      </c>
      <c r="X2906" s="26">
        <v>0</v>
      </c>
      <c r="Y2906" s="26">
        <v>0</v>
      </c>
      <c r="Z2906" s="26">
        <v>0</v>
      </c>
    </row>
    <row r="2907" spans="1:26" x14ac:dyDescent="0.2">
      <c r="A2907">
        <f t="shared" si="92"/>
        <v>6</v>
      </c>
      <c r="B2907">
        <f t="shared" si="93"/>
        <v>24</v>
      </c>
      <c r="C2907" s="27">
        <v>46182</v>
      </c>
      <c r="D2907" s="26" t="s">
        <v>26</v>
      </c>
      <c r="E2907" s="26" t="s">
        <v>27</v>
      </c>
      <c r="F2907" s="26" t="s">
        <v>124</v>
      </c>
      <c r="G2907" s="26" t="s">
        <v>29</v>
      </c>
      <c r="H2907" s="26" t="s">
        <v>30</v>
      </c>
      <c r="I2907" s="26" t="s">
        <v>44</v>
      </c>
      <c r="J2907" s="26" t="s">
        <v>87</v>
      </c>
      <c r="K2907" s="26" t="s">
        <v>305</v>
      </c>
      <c r="L2907" s="26">
        <v>7</v>
      </c>
      <c r="M2907" s="26">
        <v>1</v>
      </c>
      <c r="N2907" s="28">
        <v>0.14285700000000001</v>
      </c>
      <c r="O2907" s="26">
        <v>0.2</v>
      </c>
      <c r="P2907" s="26">
        <v>0.2</v>
      </c>
      <c r="Q2907" s="26">
        <v>0</v>
      </c>
      <c r="R2907" s="26"/>
      <c r="S2907" s="26">
        <v>0</v>
      </c>
      <c r="T2907" s="26">
        <v>0</v>
      </c>
      <c r="U2907" s="26">
        <v>0</v>
      </c>
      <c r="V2907" s="28">
        <v>0</v>
      </c>
      <c r="W2907" s="26">
        <v>0</v>
      </c>
      <c r="X2907" s="26">
        <v>0</v>
      </c>
      <c r="Y2907" s="26">
        <v>0</v>
      </c>
      <c r="Z2907" s="26">
        <v>0</v>
      </c>
    </row>
    <row r="2908" spans="1:26" x14ac:dyDescent="0.2">
      <c r="A2908">
        <f t="shared" si="92"/>
        <v>6</v>
      </c>
      <c r="B2908">
        <f t="shared" si="93"/>
        <v>24</v>
      </c>
      <c r="C2908" s="27">
        <v>46184</v>
      </c>
      <c r="D2908" s="26" t="s">
        <v>26</v>
      </c>
      <c r="E2908" s="26" t="s">
        <v>27</v>
      </c>
      <c r="F2908" s="26" t="s">
        <v>28</v>
      </c>
      <c r="G2908" s="26" t="s">
        <v>29</v>
      </c>
      <c r="H2908" s="26" t="s">
        <v>30</v>
      </c>
      <c r="I2908" s="26" t="s">
        <v>44</v>
      </c>
      <c r="J2908" s="26" t="s">
        <v>32</v>
      </c>
      <c r="K2908" s="26" t="s">
        <v>305</v>
      </c>
      <c r="L2908" s="26">
        <v>14</v>
      </c>
      <c r="M2908" s="26">
        <v>1</v>
      </c>
      <c r="N2908" s="28">
        <v>7.1429000000000006E-2</v>
      </c>
      <c r="O2908" s="26">
        <v>0.2</v>
      </c>
      <c r="P2908" s="26">
        <v>0.2</v>
      </c>
      <c r="Q2908" s="26">
        <v>0</v>
      </c>
      <c r="R2908" s="26"/>
      <c r="S2908" s="26">
        <v>0</v>
      </c>
      <c r="T2908" s="26">
        <v>0</v>
      </c>
      <c r="U2908" s="26">
        <v>0</v>
      </c>
      <c r="V2908" s="28">
        <v>0</v>
      </c>
      <c r="W2908" s="26">
        <v>0</v>
      </c>
      <c r="X2908" s="26">
        <v>0</v>
      </c>
      <c r="Y2908" s="26">
        <v>0</v>
      </c>
      <c r="Z2908" s="26">
        <v>0</v>
      </c>
    </row>
    <row r="2909" spans="1:26" x14ac:dyDescent="0.2">
      <c r="A2909">
        <f t="shared" si="92"/>
        <v>6</v>
      </c>
      <c r="B2909">
        <f t="shared" si="93"/>
        <v>23</v>
      </c>
      <c r="C2909" s="27">
        <v>46174</v>
      </c>
      <c r="D2909" s="26" t="s">
        <v>26</v>
      </c>
      <c r="E2909" s="26" t="s">
        <v>27</v>
      </c>
      <c r="F2909" s="26" t="s">
        <v>28</v>
      </c>
      <c r="G2909" s="26" t="s">
        <v>29</v>
      </c>
      <c r="H2909" s="26" t="s">
        <v>30</v>
      </c>
      <c r="I2909" s="26" t="s">
        <v>306</v>
      </c>
      <c r="J2909" s="26" t="s">
        <v>32</v>
      </c>
      <c r="K2909" s="26" t="s">
        <v>305</v>
      </c>
      <c r="L2909" s="26">
        <v>15</v>
      </c>
      <c r="M2909" s="26">
        <v>1</v>
      </c>
      <c r="N2909" s="28">
        <v>6.6667000000000004E-2</v>
      </c>
      <c r="O2909" s="26">
        <v>0.2</v>
      </c>
      <c r="P2909" s="26">
        <v>0.2</v>
      </c>
      <c r="Q2909" s="26">
        <v>0</v>
      </c>
      <c r="R2909" s="26"/>
      <c r="S2909" s="26">
        <v>0</v>
      </c>
      <c r="T2909" s="26">
        <v>0</v>
      </c>
      <c r="U2909" s="26">
        <v>0</v>
      </c>
      <c r="V2909" s="28">
        <v>0</v>
      </c>
      <c r="W2909" s="26">
        <v>0</v>
      </c>
      <c r="X2909" s="26">
        <v>0</v>
      </c>
      <c r="Y2909" s="26">
        <v>0</v>
      </c>
      <c r="Z2909" s="26">
        <v>0</v>
      </c>
    </row>
    <row r="2910" spans="1:26" x14ac:dyDescent="0.2">
      <c r="A2910">
        <f t="shared" si="92"/>
        <v>6</v>
      </c>
      <c r="B2910">
        <f t="shared" si="93"/>
        <v>25</v>
      </c>
      <c r="C2910" s="27">
        <v>46190</v>
      </c>
      <c r="D2910" s="26" t="s">
        <v>26</v>
      </c>
      <c r="E2910" s="26" t="s">
        <v>27</v>
      </c>
      <c r="F2910" s="26" t="s">
        <v>28</v>
      </c>
      <c r="G2910" s="26" t="s">
        <v>29</v>
      </c>
      <c r="H2910" s="26" t="s">
        <v>30</v>
      </c>
      <c r="I2910" s="26" t="s">
        <v>311</v>
      </c>
      <c r="J2910" s="26" t="s">
        <v>32</v>
      </c>
      <c r="K2910" s="26" t="s">
        <v>305</v>
      </c>
      <c r="L2910" s="26">
        <v>14</v>
      </c>
      <c r="M2910" s="26">
        <v>1</v>
      </c>
      <c r="N2910" s="28">
        <v>7.1429000000000006E-2</v>
      </c>
      <c r="O2910" s="26">
        <v>0.2</v>
      </c>
      <c r="P2910" s="26">
        <v>0.2</v>
      </c>
      <c r="Q2910" s="26">
        <v>0</v>
      </c>
      <c r="R2910" s="26"/>
      <c r="S2910" s="26">
        <v>0</v>
      </c>
      <c r="T2910" s="26">
        <v>0</v>
      </c>
      <c r="U2910" s="26">
        <v>0</v>
      </c>
      <c r="V2910" s="28">
        <v>0</v>
      </c>
      <c r="W2910" s="26">
        <v>0</v>
      </c>
      <c r="X2910" s="26">
        <v>0</v>
      </c>
      <c r="Y2910" s="26">
        <v>0</v>
      </c>
      <c r="Z2910" s="26">
        <v>0</v>
      </c>
    </row>
    <row r="2911" spans="1:26" x14ac:dyDescent="0.2">
      <c r="A2911">
        <f t="shared" si="92"/>
        <v>6</v>
      </c>
      <c r="B2911">
        <f t="shared" si="93"/>
        <v>24</v>
      </c>
      <c r="C2911" s="27">
        <v>46182</v>
      </c>
      <c r="D2911" s="26" t="s">
        <v>26</v>
      </c>
      <c r="E2911" s="26" t="s">
        <v>39</v>
      </c>
      <c r="F2911" s="26" t="s">
        <v>40</v>
      </c>
      <c r="G2911" s="26" t="s">
        <v>29</v>
      </c>
      <c r="H2911" s="26" t="s">
        <v>30</v>
      </c>
      <c r="I2911" s="26" t="s">
        <v>1134</v>
      </c>
      <c r="J2911" s="26" t="s">
        <v>42</v>
      </c>
      <c r="K2911" s="26" t="s">
        <v>307</v>
      </c>
      <c r="L2911" s="26">
        <v>3</v>
      </c>
      <c r="M2911" s="26">
        <v>1</v>
      </c>
      <c r="N2911" s="28">
        <v>0.33333299999999999</v>
      </c>
      <c r="O2911" s="26">
        <v>0.67</v>
      </c>
      <c r="P2911" s="26">
        <v>0.67</v>
      </c>
      <c r="Q2911" s="26">
        <v>0</v>
      </c>
      <c r="R2911" s="26"/>
      <c r="S2911" s="26">
        <v>0</v>
      </c>
      <c r="T2911" s="26">
        <v>0</v>
      </c>
      <c r="U2911" s="26">
        <v>0</v>
      </c>
      <c r="V2911" s="28">
        <v>0</v>
      </c>
      <c r="W2911" s="26">
        <v>0</v>
      </c>
      <c r="X2911" s="26">
        <v>0</v>
      </c>
      <c r="Y2911" s="26">
        <v>0</v>
      </c>
      <c r="Z2911" s="26">
        <v>0</v>
      </c>
    </row>
    <row r="2912" spans="1:26" x14ac:dyDescent="0.2">
      <c r="A2912">
        <f t="shared" si="92"/>
        <v>6</v>
      </c>
      <c r="B2912">
        <f t="shared" si="93"/>
        <v>25</v>
      </c>
      <c r="C2912" s="27">
        <v>46190</v>
      </c>
      <c r="D2912" s="26" t="s">
        <v>26</v>
      </c>
      <c r="E2912" s="26" t="s">
        <v>27</v>
      </c>
      <c r="F2912" s="26" t="s">
        <v>124</v>
      </c>
      <c r="G2912" s="26" t="s">
        <v>29</v>
      </c>
      <c r="H2912" s="26" t="s">
        <v>30</v>
      </c>
      <c r="I2912" s="26" t="s">
        <v>37</v>
      </c>
      <c r="J2912" s="26" t="s">
        <v>87</v>
      </c>
      <c r="K2912" s="26" t="s">
        <v>581</v>
      </c>
      <c r="L2912" s="26">
        <v>2</v>
      </c>
      <c r="M2912" s="26">
        <v>1</v>
      </c>
      <c r="N2912" s="28">
        <v>0.5</v>
      </c>
      <c r="O2912" s="26">
        <v>0.2</v>
      </c>
      <c r="P2912" s="26">
        <v>0.2</v>
      </c>
      <c r="Q2912" s="26">
        <v>0</v>
      </c>
      <c r="R2912" s="26"/>
      <c r="S2912" s="26">
        <v>0</v>
      </c>
      <c r="T2912" s="26">
        <v>0</v>
      </c>
      <c r="U2912" s="26">
        <v>0</v>
      </c>
      <c r="V2912" s="28">
        <v>0</v>
      </c>
      <c r="W2912" s="26">
        <v>0</v>
      </c>
      <c r="X2912" s="26">
        <v>0</v>
      </c>
      <c r="Y2912" s="26">
        <v>0</v>
      </c>
      <c r="Z2912" s="26">
        <v>0</v>
      </c>
    </row>
    <row r="2913" spans="1:26" x14ac:dyDescent="0.2">
      <c r="A2913">
        <f t="shared" si="92"/>
        <v>6</v>
      </c>
      <c r="B2913">
        <f t="shared" si="93"/>
        <v>23</v>
      </c>
      <c r="C2913" s="27">
        <v>46176</v>
      </c>
      <c r="D2913" s="26" t="s">
        <v>26</v>
      </c>
      <c r="E2913" s="26" t="s">
        <v>27</v>
      </c>
      <c r="F2913" s="26" t="s">
        <v>28</v>
      </c>
      <c r="G2913" s="26" t="s">
        <v>29</v>
      </c>
      <c r="H2913" s="26" t="s">
        <v>30</v>
      </c>
      <c r="I2913" s="26" t="s">
        <v>37</v>
      </c>
      <c r="J2913" s="26" t="s">
        <v>32</v>
      </c>
      <c r="K2913" s="26" t="s">
        <v>860</v>
      </c>
      <c r="L2913" s="26">
        <v>2</v>
      </c>
      <c r="M2913" s="26">
        <v>1</v>
      </c>
      <c r="N2913" s="28">
        <v>0.5</v>
      </c>
      <c r="O2913" s="26">
        <v>0.21</v>
      </c>
      <c r="P2913" s="26">
        <v>0.21</v>
      </c>
      <c r="Q2913" s="26">
        <v>0</v>
      </c>
      <c r="R2913" s="26"/>
      <c r="S2913" s="26">
        <v>0</v>
      </c>
      <c r="T2913" s="26">
        <v>0</v>
      </c>
      <c r="U2913" s="26">
        <v>0</v>
      </c>
      <c r="V2913" s="28">
        <v>0</v>
      </c>
      <c r="W2913" s="26">
        <v>0</v>
      </c>
      <c r="X2913" s="26">
        <v>0</v>
      </c>
      <c r="Y2913" s="26">
        <v>0</v>
      </c>
      <c r="Z2913" s="26">
        <v>0</v>
      </c>
    </row>
    <row r="2914" spans="1:26" x14ac:dyDescent="0.2">
      <c r="A2914">
        <f t="shared" si="92"/>
        <v>6</v>
      </c>
      <c r="B2914">
        <f t="shared" si="93"/>
        <v>24</v>
      </c>
      <c r="C2914" s="27">
        <v>46182</v>
      </c>
      <c r="D2914" s="26" t="s">
        <v>26</v>
      </c>
      <c r="E2914" s="26" t="s">
        <v>27</v>
      </c>
      <c r="F2914" s="26" t="s">
        <v>28</v>
      </c>
      <c r="G2914" s="26" t="s">
        <v>29</v>
      </c>
      <c r="H2914" s="26" t="s">
        <v>30</v>
      </c>
      <c r="I2914" s="26" t="s">
        <v>311</v>
      </c>
      <c r="J2914" s="26" t="s">
        <v>32</v>
      </c>
      <c r="K2914" s="26" t="s">
        <v>1791</v>
      </c>
      <c r="L2914" s="26">
        <v>3</v>
      </c>
      <c r="M2914" s="26">
        <v>1</v>
      </c>
      <c r="N2914" s="28">
        <v>0.33333299999999999</v>
      </c>
      <c r="O2914" s="26">
        <v>0.21</v>
      </c>
      <c r="P2914" s="26">
        <v>0.21</v>
      </c>
      <c r="Q2914" s="26">
        <v>0</v>
      </c>
      <c r="R2914" s="26"/>
      <c r="S2914" s="26">
        <v>0</v>
      </c>
      <c r="T2914" s="26">
        <v>0</v>
      </c>
      <c r="U2914" s="26">
        <v>0</v>
      </c>
      <c r="V2914" s="28">
        <v>0</v>
      </c>
      <c r="W2914" s="26">
        <v>0</v>
      </c>
      <c r="X2914" s="26">
        <v>0</v>
      </c>
      <c r="Y2914" s="26">
        <v>0</v>
      </c>
      <c r="Z2914" s="26">
        <v>0</v>
      </c>
    </row>
    <row r="2915" spans="1:26" x14ac:dyDescent="0.2">
      <c r="A2915">
        <f t="shared" si="92"/>
        <v>6</v>
      </c>
      <c r="B2915">
        <f t="shared" si="93"/>
        <v>25</v>
      </c>
      <c r="C2915" s="27">
        <v>46190</v>
      </c>
      <c r="D2915" s="26" t="s">
        <v>26</v>
      </c>
      <c r="E2915" s="26" t="s">
        <v>49</v>
      </c>
      <c r="F2915" s="26" t="s">
        <v>50</v>
      </c>
      <c r="G2915" s="26" t="s">
        <v>29</v>
      </c>
      <c r="H2915" s="26" t="s">
        <v>30</v>
      </c>
      <c r="I2915" s="26" t="s">
        <v>95</v>
      </c>
      <c r="J2915" s="26" t="s">
        <v>42</v>
      </c>
      <c r="K2915" s="26" t="s">
        <v>1792</v>
      </c>
      <c r="L2915" s="26">
        <v>1</v>
      </c>
      <c r="M2915" s="26">
        <v>1</v>
      </c>
      <c r="N2915" s="28">
        <v>1</v>
      </c>
      <c r="O2915" s="26">
        <v>0.5</v>
      </c>
      <c r="P2915" s="26">
        <v>0.5</v>
      </c>
      <c r="Q2915" s="26">
        <v>0</v>
      </c>
      <c r="R2915" s="26"/>
      <c r="S2915" s="26">
        <v>0</v>
      </c>
      <c r="T2915" s="26">
        <v>0</v>
      </c>
      <c r="U2915" s="26">
        <v>0</v>
      </c>
      <c r="V2915" s="28">
        <v>0</v>
      </c>
      <c r="W2915" s="26">
        <v>0</v>
      </c>
      <c r="X2915" s="26">
        <v>0</v>
      </c>
      <c r="Y2915" s="26">
        <v>0</v>
      </c>
      <c r="Z2915" s="26">
        <v>0</v>
      </c>
    </row>
    <row r="2916" spans="1:26" x14ac:dyDescent="0.2">
      <c r="A2916">
        <f t="shared" si="92"/>
        <v>6</v>
      </c>
      <c r="B2916">
        <f t="shared" si="93"/>
        <v>23</v>
      </c>
      <c r="C2916" s="27">
        <v>46177</v>
      </c>
      <c r="D2916" s="26" t="s">
        <v>26</v>
      </c>
      <c r="E2916" s="26" t="s">
        <v>27</v>
      </c>
      <c r="F2916" s="26" t="s">
        <v>28</v>
      </c>
      <c r="G2916" s="26" t="s">
        <v>29</v>
      </c>
      <c r="H2916" s="26" t="s">
        <v>30</v>
      </c>
      <c r="I2916" s="26" t="s">
        <v>31</v>
      </c>
      <c r="J2916" s="26" t="s">
        <v>32</v>
      </c>
      <c r="K2916" s="26" t="s">
        <v>308</v>
      </c>
      <c r="L2916" s="26">
        <v>13</v>
      </c>
      <c r="M2916" s="26">
        <v>1</v>
      </c>
      <c r="N2916" s="28">
        <v>7.6923000000000005E-2</v>
      </c>
      <c r="O2916" s="26">
        <v>0.2</v>
      </c>
      <c r="P2916" s="26">
        <v>0.2</v>
      </c>
      <c r="Q2916" s="26">
        <v>0</v>
      </c>
      <c r="R2916" s="26"/>
      <c r="S2916" s="26">
        <v>0</v>
      </c>
      <c r="T2916" s="26">
        <v>0</v>
      </c>
      <c r="U2916" s="26">
        <v>0</v>
      </c>
      <c r="V2916" s="28">
        <v>0</v>
      </c>
      <c r="W2916" s="26">
        <v>0</v>
      </c>
      <c r="X2916" s="26">
        <v>0</v>
      </c>
      <c r="Y2916" s="26">
        <v>0</v>
      </c>
      <c r="Z2916" s="26">
        <v>0</v>
      </c>
    </row>
    <row r="2917" spans="1:26" x14ac:dyDescent="0.2">
      <c r="A2917">
        <f t="shared" si="92"/>
        <v>6</v>
      </c>
      <c r="B2917">
        <f t="shared" si="93"/>
        <v>25</v>
      </c>
      <c r="C2917" s="27">
        <v>46189</v>
      </c>
      <c r="D2917" s="26" t="s">
        <v>26</v>
      </c>
      <c r="E2917" s="26" t="s">
        <v>27</v>
      </c>
      <c r="F2917" s="26" t="s">
        <v>28</v>
      </c>
      <c r="G2917" s="26" t="s">
        <v>29</v>
      </c>
      <c r="H2917" s="26" t="s">
        <v>30</v>
      </c>
      <c r="I2917" s="26" t="s">
        <v>31</v>
      </c>
      <c r="J2917" s="26" t="s">
        <v>32</v>
      </c>
      <c r="K2917" s="26" t="s">
        <v>308</v>
      </c>
      <c r="L2917" s="26">
        <v>6</v>
      </c>
      <c r="M2917" s="26">
        <v>1</v>
      </c>
      <c r="N2917" s="28">
        <v>0.16666700000000001</v>
      </c>
      <c r="O2917" s="26">
        <v>0.2</v>
      </c>
      <c r="P2917" s="26">
        <v>0.2</v>
      </c>
      <c r="Q2917" s="26">
        <v>0</v>
      </c>
      <c r="R2917" s="26"/>
      <c r="S2917" s="26">
        <v>0</v>
      </c>
      <c r="T2917" s="26">
        <v>0</v>
      </c>
      <c r="U2917" s="26">
        <v>0</v>
      </c>
      <c r="V2917" s="28">
        <v>0</v>
      </c>
      <c r="W2917" s="26">
        <v>0</v>
      </c>
      <c r="X2917" s="26">
        <v>0</v>
      </c>
      <c r="Y2917" s="26">
        <v>0</v>
      </c>
      <c r="Z2917" s="26">
        <v>0</v>
      </c>
    </row>
    <row r="2918" spans="1:26" x14ac:dyDescent="0.2">
      <c r="A2918">
        <f t="shared" si="92"/>
        <v>6</v>
      </c>
      <c r="B2918">
        <f t="shared" si="93"/>
        <v>24</v>
      </c>
      <c r="C2918" s="27">
        <v>46183</v>
      </c>
      <c r="D2918" s="26" t="s">
        <v>26</v>
      </c>
      <c r="E2918" s="26" t="s">
        <v>39</v>
      </c>
      <c r="F2918" s="26" t="s">
        <v>40</v>
      </c>
      <c r="G2918" s="26" t="s">
        <v>29</v>
      </c>
      <c r="H2918" s="26" t="s">
        <v>30</v>
      </c>
      <c r="I2918" s="26" t="s">
        <v>1134</v>
      </c>
      <c r="J2918" s="26" t="s">
        <v>42</v>
      </c>
      <c r="K2918" s="26" t="s">
        <v>306</v>
      </c>
      <c r="L2918" s="26">
        <v>11</v>
      </c>
      <c r="M2918" s="26">
        <v>1</v>
      </c>
      <c r="N2918" s="28">
        <v>9.0909000000000004E-2</v>
      </c>
      <c r="O2918" s="26">
        <v>0.67</v>
      </c>
      <c r="P2918" s="26">
        <v>0.67</v>
      </c>
      <c r="Q2918" s="26">
        <v>0</v>
      </c>
      <c r="R2918" s="26"/>
      <c r="S2918" s="26">
        <v>0</v>
      </c>
      <c r="T2918" s="26">
        <v>0</v>
      </c>
      <c r="U2918" s="26">
        <v>0</v>
      </c>
      <c r="V2918" s="28">
        <v>0</v>
      </c>
      <c r="W2918" s="26">
        <v>0</v>
      </c>
      <c r="X2918" s="26">
        <v>0</v>
      </c>
      <c r="Y2918" s="26">
        <v>0</v>
      </c>
      <c r="Z2918" s="26">
        <v>0</v>
      </c>
    </row>
    <row r="2919" spans="1:26" x14ac:dyDescent="0.2">
      <c r="A2919">
        <f t="shared" si="92"/>
        <v>6</v>
      </c>
      <c r="B2919">
        <f t="shared" si="93"/>
        <v>25</v>
      </c>
      <c r="C2919" s="27">
        <v>46189</v>
      </c>
      <c r="D2919" s="26" t="s">
        <v>26</v>
      </c>
      <c r="E2919" s="26" t="s">
        <v>39</v>
      </c>
      <c r="F2919" s="26" t="s">
        <v>40</v>
      </c>
      <c r="G2919" s="26" t="s">
        <v>29</v>
      </c>
      <c r="H2919" s="26" t="s">
        <v>30</v>
      </c>
      <c r="I2919" s="26" t="s">
        <v>1134</v>
      </c>
      <c r="J2919" s="26" t="s">
        <v>42</v>
      </c>
      <c r="K2919" s="26" t="s">
        <v>306</v>
      </c>
      <c r="L2919" s="26">
        <v>20</v>
      </c>
      <c r="M2919" s="26">
        <v>1</v>
      </c>
      <c r="N2919" s="28">
        <v>0.05</v>
      </c>
      <c r="O2919" s="26">
        <v>0.5</v>
      </c>
      <c r="P2919" s="26">
        <v>0.5</v>
      </c>
      <c r="Q2919" s="26">
        <v>0</v>
      </c>
      <c r="R2919" s="26"/>
      <c r="S2919" s="26">
        <v>0</v>
      </c>
      <c r="T2919" s="26">
        <v>0</v>
      </c>
      <c r="U2919" s="26">
        <v>0</v>
      </c>
      <c r="V2919" s="28">
        <v>0</v>
      </c>
      <c r="W2919" s="26">
        <v>0</v>
      </c>
      <c r="X2919" s="26">
        <v>0</v>
      </c>
      <c r="Y2919" s="26">
        <v>0</v>
      </c>
      <c r="Z2919" s="26">
        <v>0</v>
      </c>
    </row>
    <row r="2920" spans="1:26" x14ac:dyDescent="0.2">
      <c r="A2920">
        <f t="shared" si="92"/>
        <v>6</v>
      </c>
      <c r="B2920">
        <f t="shared" si="93"/>
        <v>23</v>
      </c>
      <c r="C2920" s="27">
        <v>46178</v>
      </c>
      <c r="D2920" s="26" t="s">
        <v>26</v>
      </c>
      <c r="E2920" s="26" t="s">
        <v>49</v>
      </c>
      <c r="F2920" s="26" t="s">
        <v>50</v>
      </c>
      <c r="G2920" s="26" t="s">
        <v>29</v>
      </c>
      <c r="H2920" s="26" t="s">
        <v>30</v>
      </c>
      <c r="I2920" s="26" t="s">
        <v>47</v>
      </c>
      <c r="J2920" s="26" t="s">
        <v>42</v>
      </c>
      <c r="K2920" s="26" t="s">
        <v>306</v>
      </c>
      <c r="L2920" s="26">
        <v>8</v>
      </c>
      <c r="M2920" s="26">
        <v>1</v>
      </c>
      <c r="N2920" s="28">
        <v>0.125</v>
      </c>
      <c r="O2920" s="26">
        <v>1.1499999999999999</v>
      </c>
      <c r="P2920" s="26">
        <v>1.1499999999999999</v>
      </c>
      <c r="Q2920" s="26">
        <v>0</v>
      </c>
      <c r="R2920" s="26"/>
      <c r="S2920" s="26">
        <v>0</v>
      </c>
      <c r="T2920" s="26">
        <v>0</v>
      </c>
      <c r="U2920" s="26">
        <v>0</v>
      </c>
      <c r="V2920" s="28">
        <v>0</v>
      </c>
      <c r="W2920" s="26">
        <v>0</v>
      </c>
      <c r="X2920" s="26">
        <v>0</v>
      </c>
      <c r="Y2920" s="26">
        <v>0</v>
      </c>
      <c r="Z2920" s="26">
        <v>0</v>
      </c>
    </row>
    <row r="2921" spans="1:26" x14ac:dyDescent="0.2">
      <c r="A2921">
        <f t="shared" si="92"/>
        <v>6</v>
      </c>
      <c r="B2921">
        <f t="shared" si="93"/>
        <v>25</v>
      </c>
      <c r="C2921" s="27">
        <v>46189</v>
      </c>
      <c r="D2921" s="26" t="s">
        <v>26</v>
      </c>
      <c r="E2921" s="26" t="s">
        <v>49</v>
      </c>
      <c r="F2921" s="26" t="s">
        <v>50</v>
      </c>
      <c r="G2921" s="26" t="s">
        <v>29</v>
      </c>
      <c r="H2921" s="26" t="s">
        <v>30</v>
      </c>
      <c r="I2921" s="26" t="s">
        <v>47</v>
      </c>
      <c r="J2921" s="26" t="s">
        <v>42</v>
      </c>
      <c r="K2921" s="26" t="s">
        <v>306</v>
      </c>
      <c r="L2921" s="26">
        <v>24</v>
      </c>
      <c r="M2921" s="26">
        <v>1</v>
      </c>
      <c r="N2921" s="28">
        <v>4.1667000000000003E-2</v>
      </c>
      <c r="O2921" s="26">
        <v>0.82</v>
      </c>
      <c r="P2921" s="26">
        <v>0.82</v>
      </c>
      <c r="Q2921" s="26">
        <v>0</v>
      </c>
      <c r="R2921" s="26"/>
      <c r="S2921" s="26">
        <v>0</v>
      </c>
      <c r="T2921" s="26">
        <v>0</v>
      </c>
      <c r="U2921" s="26">
        <v>0</v>
      </c>
      <c r="V2921" s="28">
        <v>0</v>
      </c>
      <c r="W2921" s="26">
        <v>0</v>
      </c>
      <c r="X2921" s="26">
        <v>0</v>
      </c>
      <c r="Y2921" s="26">
        <v>0</v>
      </c>
      <c r="Z2921" s="26">
        <v>0</v>
      </c>
    </row>
    <row r="2922" spans="1:26" x14ac:dyDescent="0.2">
      <c r="A2922">
        <f t="shared" si="92"/>
        <v>6</v>
      </c>
      <c r="B2922">
        <f t="shared" si="93"/>
        <v>23</v>
      </c>
      <c r="C2922" s="27">
        <v>46177</v>
      </c>
      <c r="D2922" s="26" t="s">
        <v>26</v>
      </c>
      <c r="E2922" s="26" t="s">
        <v>27</v>
      </c>
      <c r="F2922" s="26" t="s">
        <v>28</v>
      </c>
      <c r="G2922" s="26" t="s">
        <v>29</v>
      </c>
      <c r="H2922" s="26" t="s">
        <v>30</v>
      </c>
      <c r="I2922" s="26" t="s">
        <v>101</v>
      </c>
      <c r="J2922" s="26" t="s">
        <v>32</v>
      </c>
      <c r="K2922" s="26" t="s">
        <v>306</v>
      </c>
      <c r="L2922" s="26">
        <v>1</v>
      </c>
      <c r="M2922" s="26">
        <v>1</v>
      </c>
      <c r="N2922" s="28">
        <v>1</v>
      </c>
      <c r="O2922" s="26">
        <v>0.21</v>
      </c>
      <c r="P2922" s="26">
        <v>0.21</v>
      </c>
      <c r="Q2922" s="26">
        <v>0</v>
      </c>
      <c r="R2922" s="26"/>
      <c r="S2922" s="26">
        <v>0</v>
      </c>
      <c r="T2922" s="26">
        <v>0</v>
      </c>
      <c r="U2922" s="26">
        <v>0</v>
      </c>
      <c r="V2922" s="28">
        <v>0</v>
      </c>
      <c r="W2922" s="26">
        <v>0</v>
      </c>
      <c r="X2922" s="26">
        <v>0</v>
      </c>
      <c r="Y2922" s="26">
        <v>0</v>
      </c>
      <c r="Z2922" s="26">
        <v>0</v>
      </c>
    </row>
    <row r="2923" spans="1:26" x14ac:dyDescent="0.2">
      <c r="A2923">
        <f t="shared" si="92"/>
        <v>6</v>
      </c>
      <c r="B2923">
        <f t="shared" si="93"/>
        <v>24</v>
      </c>
      <c r="C2923" s="27">
        <v>46184</v>
      </c>
      <c r="D2923" s="26" t="s">
        <v>26</v>
      </c>
      <c r="E2923" s="26" t="s">
        <v>27</v>
      </c>
      <c r="F2923" s="26" t="s">
        <v>28</v>
      </c>
      <c r="G2923" s="26" t="s">
        <v>29</v>
      </c>
      <c r="H2923" s="26" t="s">
        <v>30</v>
      </c>
      <c r="I2923" s="26" t="s">
        <v>101</v>
      </c>
      <c r="J2923" s="26" t="s">
        <v>32</v>
      </c>
      <c r="K2923" s="26" t="s">
        <v>306</v>
      </c>
      <c r="L2923" s="26">
        <v>8</v>
      </c>
      <c r="M2923" s="26">
        <v>1</v>
      </c>
      <c r="N2923" s="28">
        <v>0.125</v>
      </c>
      <c r="O2923" s="26">
        <v>0.21</v>
      </c>
      <c r="P2923" s="26">
        <v>0.21</v>
      </c>
      <c r="Q2923" s="26">
        <v>17.47</v>
      </c>
      <c r="R2923" s="28">
        <v>1.2021E-2</v>
      </c>
      <c r="S2923" s="26">
        <v>83.19</v>
      </c>
      <c r="T2923" s="26">
        <v>1</v>
      </c>
      <c r="U2923" s="26">
        <v>1</v>
      </c>
      <c r="V2923" s="28">
        <v>1</v>
      </c>
      <c r="W2923" s="26">
        <v>1</v>
      </c>
      <c r="X2923" s="26">
        <v>0</v>
      </c>
      <c r="Y2923" s="26">
        <v>17.47</v>
      </c>
      <c r="Z2923" s="26">
        <v>0</v>
      </c>
    </row>
    <row r="2924" spans="1:26" x14ac:dyDescent="0.2">
      <c r="A2924">
        <f t="shared" si="92"/>
        <v>6</v>
      </c>
      <c r="B2924">
        <f t="shared" si="93"/>
        <v>23</v>
      </c>
      <c r="C2924" s="27">
        <v>46177</v>
      </c>
      <c r="D2924" s="26" t="s">
        <v>26</v>
      </c>
      <c r="E2924" s="26" t="s">
        <v>27</v>
      </c>
      <c r="F2924" s="26" t="s">
        <v>124</v>
      </c>
      <c r="G2924" s="26" t="s">
        <v>29</v>
      </c>
      <c r="H2924" s="26" t="s">
        <v>30</v>
      </c>
      <c r="I2924" s="26" t="s">
        <v>306</v>
      </c>
      <c r="J2924" s="26" t="s">
        <v>87</v>
      </c>
      <c r="K2924" s="26" t="s">
        <v>306</v>
      </c>
      <c r="L2924" s="26">
        <v>65</v>
      </c>
      <c r="M2924" s="26">
        <v>2</v>
      </c>
      <c r="N2924" s="28">
        <v>3.0769000000000001E-2</v>
      </c>
      <c r="O2924" s="26">
        <v>0.2</v>
      </c>
      <c r="P2924" s="26">
        <v>0.4</v>
      </c>
      <c r="Q2924" s="26">
        <v>0</v>
      </c>
      <c r="R2924" s="26"/>
      <c r="S2924" s="26">
        <v>0</v>
      </c>
      <c r="T2924" s="26">
        <v>0</v>
      </c>
      <c r="U2924" s="26">
        <v>0</v>
      </c>
      <c r="V2924" s="28">
        <v>0</v>
      </c>
      <c r="W2924" s="26">
        <v>0</v>
      </c>
      <c r="X2924" s="26">
        <v>0</v>
      </c>
      <c r="Y2924" s="26">
        <v>0</v>
      </c>
      <c r="Z2924" s="26">
        <v>0</v>
      </c>
    </row>
    <row r="2925" spans="1:26" x14ac:dyDescent="0.2">
      <c r="A2925">
        <f t="shared" si="92"/>
        <v>6</v>
      </c>
      <c r="B2925">
        <f t="shared" si="93"/>
        <v>24</v>
      </c>
      <c r="C2925" s="27">
        <v>46182</v>
      </c>
      <c r="D2925" s="26" t="s">
        <v>26</v>
      </c>
      <c r="E2925" s="26" t="s">
        <v>27</v>
      </c>
      <c r="F2925" s="26" t="s">
        <v>124</v>
      </c>
      <c r="G2925" s="26" t="s">
        <v>29</v>
      </c>
      <c r="H2925" s="26" t="s">
        <v>30</v>
      </c>
      <c r="I2925" s="26" t="s">
        <v>306</v>
      </c>
      <c r="J2925" s="26" t="s">
        <v>87</v>
      </c>
      <c r="K2925" s="26" t="s">
        <v>306</v>
      </c>
      <c r="L2925" s="26">
        <v>14</v>
      </c>
      <c r="M2925" s="26">
        <v>1</v>
      </c>
      <c r="N2925" s="28">
        <v>7.1429000000000006E-2</v>
      </c>
      <c r="O2925" s="26">
        <v>0.2</v>
      </c>
      <c r="P2925" s="26">
        <v>0.2</v>
      </c>
      <c r="Q2925" s="26">
        <v>0</v>
      </c>
      <c r="R2925" s="26"/>
      <c r="S2925" s="26">
        <v>0</v>
      </c>
      <c r="T2925" s="26">
        <v>0</v>
      </c>
      <c r="U2925" s="26">
        <v>0</v>
      </c>
      <c r="V2925" s="28">
        <v>0</v>
      </c>
      <c r="W2925" s="26">
        <v>0</v>
      </c>
      <c r="X2925" s="26">
        <v>0</v>
      </c>
      <c r="Y2925" s="26">
        <v>0</v>
      </c>
      <c r="Z2925" s="26">
        <v>0</v>
      </c>
    </row>
    <row r="2926" spans="1:26" x14ac:dyDescent="0.2">
      <c r="A2926">
        <f t="shared" si="92"/>
        <v>6</v>
      </c>
      <c r="B2926">
        <f t="shared" si="93"/>
        <v>24</v>
      </c>
      <c r="C2926" s="27">
        <v>46183</v>
      </c>
      <c r="D2926" s="26" t="s">
        <v>26</v>
      </c>
      <c r="E2926" s="26" t="s">
        <v>27</v>
      </c>
      <c r="F2926" s="26" t="s">
        <v>124</v>
      </c>
      <c r="G2926" s="26" t="s">
        <v>29</v>
      </c>
      <c r="H2926" s="26" t="s">
        <v>30</v>
      </c>
      <c r="I2926" s="26" t="s">
        <v>306</v>
      </c>
      <c r="J2926" s="26" t="s">
        <v>87</v>
      </c>
      <c r="K2926" s="26" t="s">
        <v>306</v>
      </c>
      <c r="L2926" s="26">
        <v>3</v>
      </c>
      <c r="M2926" s="26">
        <v>1</v>
      </c>
      <c r="N2926" s="28">
        <v>0.33333299999999999</v>
      </c>
      <c r="O2926" s="26">
        <v>0.2</v>
      </c>
      <c r="P2926" s="26">
        <v>0.2</v>
      </c>
      <c r="Q2926" s="26">
        <v>0</v>
      </c>
      <c r="R2926" s="26"/>
      <c r="S2926" s="26">
        <v>0</v>
      </c>
      <c r="T2926" s="26">
        <v>0</v>
      </c>
      <c r="U2926" s="26">
        <v>0</v>
      </c>
      <c r="V2926" s="28">
        <v>0</v>
      </c>
      <c r="W2926" s="26">
        <v>0</v>
      </c>
      <c r="X2926" s="26">
        <v>0</v>
      </c>
      <c r="Y2926" s="26">
        <v>0</v>
      </c>
      <c r="Z2926" s="26">
        <v>0</v>
      </c>
    </row>
    <row r="2927" spans="1:26" x14ac:dyDescent="0.2">
      <c r="A2927">
        <f t="shared" si="92"/>
        <v>6</v>
      </c>
      <c r="B2927">
        <f t="shared" si="93"/>
        <v>23</v>
      </c>
      <c r="C2927" s="27">
        <v>46174</v>
      </c>
      <c r="D2927" s="26" t="s">
        <v>26</v>
      </c>
      <c r="E2927" s="26" t="s">
        <v>27</v>
      </c>
      <c r="F2927" s="26" t="s">
        <v>124</v>
      </c>
      <c r="G2927" s="26" t="s">
        <v>29</v>
      </c>
      <c r="H2927" s="26" t="s">
        <v>30</v>
      </c>
      <c r="I2927" s="26" t="s">
        <v>306</v>
      </c>
      <c r="J2927" s="26" t="s">
        <v>267</v>
      </c>
      <c r="K2927" s="26" t="s">
        <v>306</v>
      </c>
      <c r="L2927" s="26">
        <v>3</v>
      </c>
      <c r="M2927" s="26">
        <v>1</v>
      </c>
      <c r="N2927" s="28">
        <v>0.33333299999999999</v>
      </c>
      <c r="O2927" s="26">
        <v>0.08</v>
      </c>
      <c r="P2927" s="26">
        <v>0.08</v>
      </c>
      <c r="Q2927" s="26">
        <v>0</v>
      </c>
      <c r="R2927" s="26"/>
      <c r="S2927" s="26">
        <v>0</v>
      </c>
      <c r="T2927" s="26">
        <v>0</v>
      </c>
      <c r="U2927" s="26">
        <v>0</v>
      </c>
      <c r="V2927" s="28">
        <v>0</v>
      </c>
      <c r="W2927" s="26">
        <v>0</v>
      </c>
      <c r="X2927" s="26">
        <v>0</v>
      </c>
      <c r="Y2927" s="26">
        <v>0</v>
      </c>
      <c r="Z2927" s="26">
        <v>0</v>
      </c>
    </row>
    <row r="2928" spans="1:26" x14ac:dyDescent="0.2">
      <c r="A2928">
        <f t="shared" si="92"/>
        <v>6</v>
      </c>
      <c r="B2928">
        <f t="shared" si="93"/>
        <v>24</v>
      </c>
      <c r="C2928" s="27">
        <v>46183</v>
      </c>
      <c r="D2928" s="26" t="s">
        <v>26</v>
      </c>
      <c r="E2928" s="26" t="s">
        <v>27</v>
      </c>
      <c r="F2928" s="26" t="s">
        <v>124</v>
      </c>
      <c r="G2928" s="26" t="s">
        <v>29</v>
      </c>
      <c r="H2928" s="26" t="s">
        <v>30</v>
      </c>
      <c r="I2928" s="26" t="s">
        <v>306</v>
      </c>
      <c r="J2928" s="26" t="s">
        <v>267</v>
      </c>
      <c r="K2928" s="26" t="s">
        <v>306</v>
      </c>
      <c r="L2928" s="26">
        <v>98</v>
      </c>
      <c r="M2928" s="26">
        <v>3</v>
      </c>
      <c r="N2928" s="28">
        <v>3.0612E-2</v>
      </c>
      <c r="O2928" s="26">
        <v>0.2</v>
      </c>
      <c r="P2928" s="26">
        <v>0.6</v>
      </c>
      <c r="Q2928" s="26">
        <v>0</v>
      </c>
      <c r="R2928" s="26"/>
      <c r="S2928" s="26">
        <v>0</v>
      </c>
      <c r="T2928" s="26">
        <v>0</v>
      </c>
      <c r="U2928" s="26">
        <v>0</v>
      </c>
      <c r="V2928" s="28">
        <v>0</v>
      </c>
      <c r="W2928" s="26">
        <v>0</v>
      </c>
      <c r="X2928" s="26">
        <v>0</v>
      </c>
      <c r="Y2928" s="26">
        <v>0</v>
      </c>
      <c r="Z2928" s="26">
        <v>0</v>
      </c>
    </row>
    <row r="2929" spans="1:26" x14ac:dyDescent="0.2">
      <c r="A2929">
        <f t="shared" si="92"/>
        <v>6</v>
      </c>
      <c r="B2929">
        <f t="shared" si="93"/>
        <v>25</v>
      </c>
      <c r="C2929" s="27">
        <v>46187</v>
      </c>
      <c r="D2929" s="26" t="s">
        <v>26</v>
      </c>
      <c r="E2929" s="26" t="s">
        <v>27</v>
      </c>
      <c r="F2929" s="26" t="s">
        <v>124</v>
      </c>
      <c r="G2929" s="26" t="s">
        <v>29</v>
      </c>
      <c r="H2929" s="26" t="s">
        <v>30</v>
      </c>
      <c r="I2929" s="26" t="s">
        <v>306</v>
      </c>
      <c r="J2929" s="26" t="s">
        <v>267</v>
      </c>
      <c r="K2929" s="26" t="s">
        <v>306</v>
      </c>
      <c r="L2929" s="26">
        <v>158</v>
      </c>
      <c r="M2929" s="26">
        <v>1</v>
      </c>
      <c r="N2929" s="28">
        <v>6.3290000000000004E-3</v>
      </c>
      <c r="O2929" s="26">
        <v>0.2</v>
      </c>
      <c r="P2929" s="26">
        <v>0.2</v>
      </c>
      <c r="Q2929" s="26">
        <v>0</v>
      </c>
      <c r="R2929" s="26"/>
      <c r="S2929" s="26">
        <v>0</v>
      </c>
      <c r="T2929" s="26">
        <v>0</v>
      </c>
      <c r="U2929" s="26">
        <v>0</v>
      </c>
      <c r="V2929" s="28">
        <v>0</v>
      </c>
      <c r="W2929" s="26">
        <v>0</v>
      </c>
      <c r="X2929" s="26">
        <v>0</v>
      </c>
      <c r="Y2929" s="26">
        <v>0</v>
      </c>
      <c r="Z2929" s="26">
        <v>0</v>
      </c>
    </row>
    <row r="2930" spans="1:26" x14ac:dyDescent="0.2">
      <c r="A2930">
        <f t="shared" si="92"/>
        <v>6</v>
      </c>
      <c r="B2930">
        <f t="shared" si="93"/>
        <v>25</v>
      </c>
      <c r="C2930" s="27">
        <v>46188</v>
      </c>
      <c r="D2930" s="26" t="s">
        <v>26</v>
      </c>
      <c r="E2930" s="26" t="s">
        <v>27</v>
      </c>
      <c r="F2930" s="26" t="s">
        <v>124</v>
      </c>
      <c r="G2930" s="26" t="s">
        <v>29</v>
      </c>
      <c r="H2930" s="26" t="s">
        <v>30</v>
      </c>
      <c r="I2930" s="26" t="s">
        <v>306</v>
      </c>
      <c r="J2930" s="26" t="s">
        <v>267</v>
      </c>
      <c r="K2930" s="26" t="s">
        <v>306</v>
      </c>
      <c r="L2930" s="26">
        <v>8</v>
      </c>
      <c r="M2930" s="26">
        <v>1</v>
      </c>
      <c r="N2930" s="28">
        <v>0.125</v>
      </c>
      <c r="O2930" s="26">
        <v>0.17</v>
      </c>
      <c r="P2930" s="26">
        <v>0.17</v>
      </c>
      <c r="Q2930" s="26">
        <v>0</v>
      </c>
      <c r="R2930" s="26"/>
      <c r="S2930" s="26">
        <v>0</v>
      </c>
      <c r="T2930" s="26">
        <v>0</v>
      </c>
      <c r="U2930" s="26">
        <v>0</v>
      </c>
      <c r="V2930" s="28">
        <v>0</v>
      </c>
      <c r="W2930" s="26">
        <v>0</v>
      </c>
      <c r="X2930" s="26">
        <v>0</v>
      </c>
      <c r="Y2930" s="26">
        <v>0</v>
      </c>
      <c r="Z2930" s="26">
        <v>0</v>
      </c>
    </row>
    <row r="2931" spans="1:26" x14ac:dyDescent="0.2">
      <c r="A2931">
        <f t="shared" si="92"/>
        <v>6</v>
      </c>
      <c r="B2931">
        <f t="shared" si="93"/>
        <v>23</v>
      </c>
      <c r="C2931" s="27">
        <v>46176</v>
      </c>
      <c r="D2931" s="26" t="s">
        <v>26</v>
      </c>
      <c r="E2931" s="26" t="s">
        <v>27</v>
      </c>
      <c r="F2931" s="26" t="s">
        <v>124</v>
      </c>
      <c r="G2931" s="26" t="s">
        <v>29</v>
      </c>
      <c r="H2931" s="26" t="s">
        <v>30</v>
      </c>
      <c r="I2931" s="26" t="s">
        <v>101</v>
      </c>
      <c r="J2931" s="26" t="s">
        <v>87</v>
      </c>
      <c r="K2931" s="26" t="s">
        <v>306</v>
      </c>
      <c r="L2931" s="26">
        <v>107</v>
      </c>
      <c r="M2931" s="26">
        <v>1</v>
      </c>
      <c r="N2931" s="28">
        <v>9.3460000000000001E-3</v>
      </c>
      <c r="O2931" s="26">
        <v>0.2</v>
      </c>
      <c r="P2931" s="26">
        <v>0.2</v>
      </c>
      <c r="Q2931" s="26">
        <v>0</v>
      </c>
      <c r="R2931" s="26"/>
      <c r="S2931" s="26">
        <v>0</v>
      </c>
      <c r="T2931" s="26">
        <v>0</v>
      </c>
      <c r="U2931" s="26">
        <v>0</v>
      </c>
      <c r="V2931" s="28">
        <v>0</v>
      </c>
      <c r="W2931" s="26">
        <v>0</v>
      </c>
      <c r="X2931" s="26">
        <v>0</v>
      </c>
      <c r="Y2931" s="26">
        <v>0</v>
      </c>
      <c r="Z2931" s="26">
        <v>0</v>
      </c>
    </row>
    <row r="2932" spans="1:26" x14ac:dyDescent="0.2">
      <c r="A2932">
        <f t="shared" si="92"/>
        <v>6</v>
      </c>
      <c r="B2932">
        <f t="shared" si="93"/>
        <v>24</v>
      </c>
      <c r="C2932" s="27">
        <v>46182</v>
      </c>
      <c r="D2932" s="26" t="s">
        <v>26</v>
      </c>
      <c r="E2932" s="26" t="s">
        <v>27</v>
      </c>
      <c r="F2932" s="26" t="s">
        <v>124</v>
      </c>
      <c r="G2932" s="26" t="s">
        <v>29</v>
      </c>
      <c r="H2932" s="26" t="s">
        <v>30</v>
      </c>
      <c r="I2932" s="26" t="s">
        <v>101</v>
      </c>
      <c r="J2932" s="26" t="s">
        <v>87</v>
      </c>
      <c r="K2932" s="26" t="s">
        <v>306</v>
      </c>
      <c r="L2932" s="26">
        <v>8</v>
      </c>
      <c r="M2932" s="26">
        <v>1</v>
      </c>
      <c r="N2932" s="28">
        <v>0.125</v>
      </c>
      <c r="O2932" s="26">
        <v>0.2</v>
      </c>
      <c r="P2932" s="26">
        <v>0.2</v>
      </c>
      <c r="Q2932" s="26">
        <v>0</v>
      </c>
      <c r="R2932" s="26"/>
      <c r="S2932" s="26">
        <v>0</v>
      </c>
      <c r="T2932" s="26">
        <v>0</v>
      </c>
      <c r="U2932" s="26">
        <v>0</v>
      </c>
      <c r="V2932" s="28">
        <v>0</v>
      </c>
      <c r="W2932" s="26">
        <v>0</v>
      </c>
      <c r="X2932" s="26">
        <v>0</v>
      </c>
      <c r="Y2932" s="26">
        <v>0</v>
      </c>
      <c r="Z2932" s="26">
        <v>0</v>
      </c>
    </row>
    <row r="2933" spans="1:26" x14ac:dyDescent="0.2">
      <c r="A2933">
        <f t="shared" si="92"/>
        <v>6</v>
      </c>
      <c r="B2933">
        <f t="shared" si="93"/>
        <v>23</v>
      </c>
      <c r="C2933" s="27">
        <v>46174</v>
      </c>
      <c r="D2933" s="26" t="s">
        <v>26</v>
      </c>
      <c r="E2933" s="26" t="s">
        <v>27</v>
      </c>
      <c r="F2933" s="26" t="s">
        <v>28</v>
      </c>
      <c r="G2933" s="26" t="s">
        <v>29</v>
      </c>
      <c r="H2933" s="26" t="s">
        <v>30</v>
      </c>
      <c r="I2933" s="26" t="s">
        <v>311</v>
      </c>
      <c r="J2933" s="26" t="s">
        <v>32</v>
      </c>
      <c r="K2933" s="26" t="s">
        <v>306</v>
      </c>
      <c r="L2933" s="26">
        <v>13</v>
      </c>
      <c r="M2933" s="26">
        <v>1</v>
      </c>
      <c r="N2933" s="28">
        <v>7.6923000000000005E-2</v>
      </c>
      <c r="O2933" s="26">
        <v>0.21</v>
      </c>
      <c r="P2933" s="26">
        <v>0.21</v>
      </c>
      <c r="Q2933" s="26">
        <v>0</v>
      </c>
      <c r="R2933" s="26"/>
      <c r="S2933" s="26">
        <v>0</v>
      </c>
      <c r="T2933" s="26">
        <v>0</v>
      </c>
      <c r="U2933" s="26">
        <v>0</v>
      </c>
      <c r="V2933" s="28">
        <v>0</v>
      </c>
      <c r="W2933" s="26">
        <v>0</v>
      </c>
      <c r="X2933" s="26">
        <v>0</v>
      </c>
      <c r="Y2933" s="26">
        <v>0</v>
      </c>
      <c r="Z2933" s="26">
        <v>0</v>
      </c>
    </row>
    <row r="2934" spans="1:26" x14ac:dyDescent="0.2">
      <c r="A2934">
        <f t="shared" si="92"/>
        <v>6</v>
      </c>
      <c r="B2934">
        <f t="shared" si="93"/>
        <v>23</v>
      </c>
      <c r="C2934" s="27">
        <v>46176</v>
      </c>
      <c r="D2934" s="26" t="s">
        <v>26</v>
      </c>
      <c r="E2934" s="26" t="s">
        <v>27</v>
      </c>
      <c r="F2934" s="26" t="s">
        <v>28</v>
      </c>
      <c r="G2934" s="26" t="s">
        <v>29</v>
      </c>
      <c r="H2934" s="26" t="s">
        <v>30</v>
      </c>
      <c r="I2934" s="26" t="s">
        <v>311</v>
      </c>
      <c r="J2934" s="26" t="s">
        <v>32</v>
      </c>
      <c r="K2934" s="26" t="s">
        <v>306</v>
      </c>
      <c r="L2934" s="26">
        <v>37</v>
      </c>
      <c r="M2934" s="26">
        <v>2</v>
      </c>
      <c r="N2934" s="28">
        <v>5.4053999999999998E-2</v>
      </c>
      <c r="O2934" s="26">
        <v>0.21</v>
      </c>
      <c r="P2934" s="26">
        <v>0.42</v>
      </c>
      <c r="Q2934" s="26">
        <v>0</v>
      </c>
      <c r="R2934" s="26"/>
      <c r="S2934" s="26">
        <v>0</v>
      </c>
      <c r="T2934" s="26">
        <v>0</v>
      </c>
      <c r="U2934" s="26">
        <v>0</v>
      </c>
      <c r="V2934" s="28">
        <v>0</v>
      </c>
      <c r="W2934" s="26">
        <v>0</v>
      </c>
      <c r="X2934" s="26">
        <v>0</v>
      </c>
      <c r="Y2934" s="26">
        <v>0</v>
      </c>
      <c r="Z2934" s="26">
        <v>0</v>
      </c>
    </row>
    <row r="2935" spans="1:26" x14ac:dyDescent="0.2">
      <c r="A2935">
        <f t="shared" si="92"/>
        <v>6</v>
      </c>
      <c r="B2935">
        <f t="shared" si="93"/>
        <v>23</v>
      </c>
      <c r="C2935" s="27">
        <v>46177</v>
      </c>
      <c r="D2935" s="26" t="s">
        <v>26</v>
      </c>
      <c r="E2935" s="26" t="s">
        <v>27</v>
      </c>
      <c r="F2935" s="26" t="s">
        <v>28</v>
      </c>
      <c r="G2935" s="26" t="s">
        <v>29</v>
      </c>
      <c r="H2935" s="26" t="s">
        <v>30</v>
      </c>
      <c r="I2935" s="26" t="s">
        <v>311</v>
      </c>
      <c r="J2935" s="26" t="s">
        <v>32</v>
      </c>
      <c r="K2935" s="26" t="s">
        <v>306</v>
      </c>
      <c r="L2935" s="26">
        <v>47</v>
      </c>
      <c r="M2935" s="26">
        <v>2</v>
      </c>
      <c r="N2935" s="28">
        <v>4.2553000000000001E-2</v>
      </c>
      <c r="O2935" s="26">
        <v>0.2</v>
      </c>
      <c r="P2935" s="26">
        <v>0.4</v>
      </c>
      <c r="Q2935" s="26">
        <v>0</v>
      </c>
      <c r="R2935" s="26"/>
      <c r="S2935" s="26">
        <v>0</v>
      </c>
      <c r="T2935" s="26">
        <v>0</v>
      </c>
      <c r="U2935" s="26">
        <v>0</v>
      </c>
      <c r="V2935" s="28">
        <v>0</v>
      </c>
      <c r="W2935" s="26">
        <v>0</v>
      </c>
      <c r="X2935" s="26">
        <v>0</v>
      </c>
      <c r="Y2935" s="26">
        <v>0</v>
      </c>
      <c r="Z2935" s="26">
        <v>0</v>
      </c>
    </row>
    <row r="2936" spans="1:26" x14ac:dyDescent="0.2">
      <c r="A2936">
        <f t="shared" si="92"/>
        <v>6</v>
      </c>
      <c r="B2936">
        <f t="shared" si="93"/>
        <v>23</v>
      </c>
      <c r="C2936" s="27">
        <v>46178</v>
      </c>
      <c r="D2936" s="26" t="s">
        <v>26</v>
      </c>
      <c r="E2936" s="26" t="s">
        <v>27</v>
      </c>
      <c r="F2936" s="26" t="s">
        <v>28</v>
      </c>
      <c r="G2936" s="26" t="s">
        <v>29</v>
      </c>
      <c r="H2936" s="26" t="s">
        <v>30</v>
      </c>
      <c r="I2936" s="26" t="s">
        <v>311</v>
      </c>
      <c r="J2936" s="26" t="s">
        <v>32</v>
      </c>
      <c r="K2936" s="26" t="s">
        <v>306</v>
      </c>
      <c r="L2936" s="26">
        <v>21</v>
      </c>
      <c r="M2936" s="26">
        <v>1</v>
      </c>
      <c r="N2936" s="28">
        <v>4.7619000000000002E-2</v>
      </c>
      <c r="O2936" s="26">
        <v>0.2</v>
      </c>
      <c r="P2936" s="26">
        <v>0.2</v>
      </c>
      <c r="Q2936" s="26">
        <v>0</v>
      </c>
      <c r="R2936" s="26"/>
      <c r="S2936" s="26">
        <v>0</v>
      </c>
      <c r="T2936" s="26">
        <v>0</v>
      </c>
      <c r="U2936" s="26">
        <v>0</v>
      </c>
      <c r="V2936" s="28">
        <v>0</v>
      </c>
      <c r="W2936" s="26">
        <v>0</v>
      </c>
      <c r="X2936" s="26">
        <v>0</v>
      </c>
      <c r="Y2936" s="26">
        <v>0</v>
      </c>
      <c r="Z2936" s="26">
        <v>0</v>
      </c>
    </row>
    <row r="2937" spans="1:26" x14ac:dyDescent="0.2">
      <c r="A2937">
        <f t="shared" ref="A2937:A3000" si="94">MONTH(C2937)</f>
        <v>6</v>
      </c>
      <c r="B2937">
        <f t="shared" ref="B2937:B3000" si="95">WEEKNUM(C2937,1)</f>
        <v>23</v>
      </c>
      <c r="C2937" s="27">
        <v>46179</v>
      </c>
      <c r="D2937" s="26" t="s">
        <v>26</v>
      </c>
      <c r="E2937" s="26" t="s">
        <v>27</v>
      </c>
      <c r="F2937" s="26" t="s">
        <v>28</v>
      </c>
      <c r="G2937" s="26" t="s">
        <v>29</v>
      </c>
      <c r="H2937" s="26" t="s">
        <v>30</v>
      </c>
      <c r="I2937" s="26" t="s">
        <v>311</v>
      </c>
      <c r="J2937" s="26" t="s">
        <v>32</v>
      </c>
      <c r="K2937" s="26" t="s">
        <v>306</v>
      </c>
      <c r="L2937" s="26">
        <v>62</v>
      </c>
      <c r="M2937" s="26">
        <v>5</v>
      </c>
      <c r="N2937" s="28">
        <v>8.0644999999999994E-2</v>
      </c>
      <c r="O2937" s="26">
        <v>0.19</v>
      </c>
      <c r="P2937" s="26">
        <v>0.95</v>
      </c>
      <c r="Q2937" s="26">
        <v>0</v>
      </c>
      <c r="R2937" s="26"/>
      <c r="S2937" s="26">
        <v>0</v>
      </c>
      <c r="T2937" s="26">
        <v>0</v>
      </c>
      <c r="U2937" s="26">
        <v>0</v>
      </c>
      <c r="V2937" s="28">
        <v>0</v>
      </c>
      <c r="W2937" s="26">
        <v>0</v>
      </c>
      <c r="X2937" s="26">
        <v>0</v>
      </c>
      <c r="Y2937" s="26">
        <v>0</v>
      </c>
      <c r="Z2937" s="26">
        <v>0</v>
      </c>
    </row>
    <row r="2938" spans="1:26" x14ac:dyDescent="0.2">
      <c r="A2938">
        <f t="shared" si="94"/>
        <v>6</v>
      </c>
      <c r="B2938">
        <f t="shared" si="95"/>
        <v>24</v>
      </c>
      <c r="C2938" s="27">
        <v>46180</v>
      </c>
      <c r="D2938" s="26" t="s">
        <v>26</v>
      </c>
      <c r="E2938" s="26" t="s">
        <v>27</v>
      </c>
      <c r="F2938" s="26" t="s">
        <v>28</v>
      </c>
      <c r="G2938" s="26" t="s">
        <v>29</v>
      </c>
      <c r="H2938" s="26" t="s">
        <v>30</v>
      </c>
      <c r="I2938" s="26" t="s">
        <v>311</v>
      </c>
      <c r="J2938" s="26" t="s">
        <v>32</v>
      </c>
      <c r="K2938" s="26" t="s">
        <v>306</v>
      </c>
      <c r="L2938" s="26">
        <v>38</v>
      </c>
      <c r="M2938" s="26">
        <v>1</v>
      </c>
      <c r="N2938" s="28">
        <v>2.6315999999999999E-2</v>
      </c>
      <c r="O2938" s="26">
        <v>0.2</v>
      </c>
      <c r="P2938" s="26">
        <v>0.2</v>
      </c>
      <c r="Q2938" s="26">
        <v>0</v>
      </c>
      <c r="R2938" s="26"/>
      <c r="S2938" s="26">
        <v>0</v>
      </c>
      <c r="T2938" s="26">
        <v>0</v>
      </c>
      <c r="U2938" s="26">
        <v>0</v>
      </c>
      <c r="V2938" s="28">
        <v>0</v>
      </c>
      <c r="W2938" s="26">
        <v>0</v>
      </c>
      <c r="X2938" s="26">
        <v>0</v>
      </c>
      <c r="Y2938" s="26">
        <v>0</v>
      </c>
      <c r="Z2938" s="26">
        <v>0</v>
      </c>
    </row>
    <row r="2939" spans="1:26" x14ac:dyDescent="0.2">
      <c r="A2939">
        <f t="shared" si="94"/>
        <v>6</v>
      </c>
      <c r="B2939">
        <f t="shared" si="95"/>
        <v>24</v>
      </c>
      <c r="C2939" s="27">
        <v>46183</v>
      </c>
      <c r="D2939" s="26" t="s">
        <v>26</v>
      </c>
      <c r="E2939" s="26" t="s">
        <v>27</v>
      </c>
      <c r="F2939" s="26" t="s">
        <v>28</v>
      </c>
      <c r="G2939" s="26" t="s">
        <v>29</v>
      </c>
      <c r="H2939" s="26" t="s">
        <v>30</v>
      </c>
      <c r="I2939" s="26" t="s">
        <v>311</v>
      </c>
      <c r="J2939" s="26" t="s">
        <v>32</v>
      </c>
      <c r="K2939" s="26" t="s">
        <v>306</v>
      </c>
      <c r="L2939" s="26">
        <v>16</v>
      </c>
      <c r="M2939" s="26">
        <v>1</v>
      </c>
      <c r="N2939" s="28">
        <v>6.25E-2</v>
      </c>
      <c r="O2939" s="26">
        <v>0.2</v>
      </c>
      <c r="P2939" s="26">
        <v>0.2</v>
      </c>
      <c r="Q2939" s="26">
        <v>0</v>
      </c>
      <c r="R2939" s="26"/>
      <c r="S2939" s="26">
        <v>0</v>
      </c>
      <c r="T2939" s="26">
        <v>0</v>
      </c>
      <c r="U2939" s="26">
        <v>0</v>
      </c>
      <c r="V2939" s="28">
        <v>0</v>
      </c>
      <c r="W2939" s="26">
        <v>0</v>
      </c>
      <c r="X2939" s="26">
        <v>0</v>
      </c>
      <c r="Y2939" s="26">
        <v>0</v>
      </c>
      <c r="Z2939" s="26">
        <v>0</v>
      </c>
    </row>
    <row r="2940" spans="1:26" x14ac:dyDescent="0.2">
      <c r="A2940">
        <f t="shared" si="94"/>
        <v>6</v>
      </c>
      <c r="B2940">
        <f t="shared" si="95"/>
        <v>24</v>
      </c>
      <c r="C2940" s="27">
        <v>46184</v>
      </c>
      <c r="D2940" s="26" t="s">
        <v>26</v>
      </c>
      <c r="E2940" s="26" t="s">
        <v>27</v>
      </c>
      <c r="F2940" s="26" t="s">
        <v>28</v>
      </c>
      <c r="G2940" s="26" t="s">
        <v>29</v>
      </c>
      <c r="H2940" s="26" t="s">
        <v>30</v>
      </c>
      <c r="I2940" s="26" t="s">
        <v>311</v>
      </c>
      <c r="J2940" s="26" t="s">
        <v>32</v>
      </c>
      <c r="K2940" s="26" t="s">
        <v>306</v>
      </c>
      <c r="L2940" s="26">
        <v>39</v>
      </c>
      <c r="M2940" s="26">
        <v>1</v>
      </c>
      <c r="N2940" s="28">
        <v>2.5641000000000001E-2</v>
      </c>
      <c r="O2940" s="26">
        <v>0.2</v>
      </c>
      <c r="P2940" s="26">
        <v>0.2</v>
      </c>
      <c r="Q2940" s="26">
        <v>0</v>
      </c>
      <c r="R2940" s="26"/>
      <c r="S2940" s="26">
        <v>0</v>
      </c>
      <c r="T2940" s="26">
        <v>0</v>
      </c>
      <c r="U2940" s="26">
        <v>0</v>
      </c>
      <c r="V2940" s="28">
        <v>0</v>
      </c>
      <c r="W2940" s="26">
        <v>0</v>
      </c>
      <c r="X2940" s="26">
        <v>0</v>
      </c>
      <c r="Y2940" s="26">
        <v>0</v>
      </c>
      <c r="Z2940" s="26">
        <v>0</v>
      </c>
    </row>
    <row r="2941" spans="1:26" x14ac:dyDescent="0.2">
      <c r="A2941">
        <f t="shared" si="94"/>
        <v>6</v>
      </c>
      <c r="B2941">
        <f t="shared" si="95"/>
        <v>24</v>
      </c>
      <c r="C2941" s="27">
        <v>46185</v>
      </c>
      <c r="D2941" s="26" t="s">
        <v>26</v>
      </c>
      <c r="E2941" s="26" t="s">
        <v>27</v>
      </c>
      <c r="F2941" s="26" t="s">
        <v>28</v>
      </c>
      <c r="G2941" s="26" t="s">
        <v>29</v>
      </c>
      <c r="H2941" s="26" t="s">
        <v>30</v>
      </c>
      <c r="I2941" s="26" t="s">
        <v>311</v>
      </c>
      <c r="J2941" s="26" t="s">
        <v>32</v>
      </c>
      <c r="K2941" s="26" t="s">
        <v>306</v>
      </c>
      <c r="L2941" s="26">
        <v>23</v>
      </c>
      <c r="M2941" s="26">
        <v>1</v>
      </c>
      <c r="N2941" s="28">
        <v>4.3478000000000003E-2</v>
      </c>
      <c r="O2941" s="26">
        <v>0.21</v>
      </c>
      <c r="P2941" s="26">
        <v>0.21</v>
      </c>
      <c r="Q2941" s="26">
        <v>0</v>
      </c>
      <c r="R2941" s="26"/>
      <c r="S2941" s="26">
        <v>0</v>
      </c>
      <c r="T2941" s="26">
        <v>0</v>
      </c>
      <c r="U2941" s="26">
        <v>0</v>
      </c>
      <c r="V2941" s="28">
        <v>0</v>
      </c>
      <c r="W2941" s="26">
        <v>0</v>
      </c>
      <c r="X2941" s="26">
        <v>0</v>
      </c>
      <c r="Y2941" s="26">
        <v>0</v>
      </c>
      <c r="Z2941" s="26">
        <v>0</v>
      </c>
    </row>
    <row r="2942" spans="1:26" x14ac:dyDescent="0.2">
      <c r="A2942">
        <f t="shared" si="94"/>
        <v>6</v>
      </c>
      <c r="B2942">
        <f t="shared" si="95"/>
        <v>25</v>
      </c>
      <c r="C2942" s="27">
        <v>46190</v>
      </c>
      <c r="D2942" s="26" t="s">
        <v>26</v>
      </c>
      <c r="E2942" s="26" t="s">
        <v>27</v>
      </c>
      <c r="F2942" s="26" t="s">
        <v>28</v>
      </c>
      <c r="G2942" s="26" t="s">
        <v>29</v>
      </c>
      <c r="H2942" s="26" t="s">
        <v>30</v>
      </c>
      <c r="I2942" s="26" t="s">
        <v>311</v>
      </c>
      <c r="J2942" s="26" t="s">
        <v>32</v>
      </c>
      <c r="K2942" s="26" t="s">
        <v>306</v>
      </c>
      <c r="L2942" s="26">
        <v>30</v>
      </c>
      <c r="M2942" s="26">
        <v>1</v>
      </c>
      <c r="N2942" s="28">
        <v>3.3333000000000002E-2</v>
      </c>
      <c r="O2942" s="26">
        <v>0.2</v>
      </c>
      <c r="P2942" s="26">
        <v>0.2</v>
      </c>
      <c r="Q2942" s="26">
        <v>0</v>
      </c>
      <c r="R2942" s="26"/>
      <c r="S2942" s="26">
        <v>0</v>
      </c>
      <c r="T2942" s="26">
        <v>0</v>
      </c>
      <c r="U2942" s="26">
        <v>0</v>
      </c>
      <c r="V2942" s="28">
        <v>0</v>
      </c>
      <c r="W2942" s="26">
        <v>0</v>
      </c>
      <c r="X2942" s="26">
        <v>0</v>
      </c>
      <c r="Y2942" s="26">
        <v>0</v>
      </c>
      <c r="Z2942" s="26">
        <v>0</v>
      </c>
    </row>
    <row r="2943" spans="1:26" x14ac:dyDescent="0.2">
      <c r="A2943">
        <f t="shared" si="94"/>
        <v>6</v>
      </c>
      <c r="B2943">
        <f t="shared" si="95"/>
        <v>25</v>
      </c>
      <c r="C2943" s="27">
        <v>46193</v>
      </c>
      <c r="D2943" s="26" t="s">
        <v>26</v>
      </c>
      <c r="E2943" s="26" t="s">
        <v>27</v>
      </c>
      <c r="F2943" s="26" t="s">
        <v>28</v>
      </c>
      <c r="G2943" s="26" t="s">
        <v>29</v>
      </c>
      <c r="H2943" s="26" t="s">
        <v>30</v>
      </c>
      <c r="I2943" s="26" t="s">
        <v>311</v>
      </c>
      <c r="J2943" s="26" t="s">
        <v>32</v>
      </c>
      <c r="K2943" s="26" t="s">
        <v>306</v>
      </c>
      <c r="L2943" s="26">
        <v>67</v>
      </c>
      <c r="M2943" s="26">
        <v>2</v>
      </c>
      <c r="N2943" s="28">
        <v>2.9850999999999999E-2</v>
      </c>
      <c r="O2943" s="26">
        <v>0.2</v>
      </c>
      <c r="P2943" s="26">
        <v>0.4</v>
      </c>
      <c r="Q2943" s="26">
        <v>18.989999999999998</v>
      </c>
      <c r="R2943" s="28">
        <v>2.1063999999999999E-2</v>
      </c>
      <c r="S2943" s="26">
        <v>47.48</v>
      </c>
      <c r="T2943" s="26">
        <v>1</v>
      </c>
      <c r="U2943" s="26">
        <v>1</v>
      </c>
      <c r="V2943" s="28">
        <v>0.5</v>
      </c>
      <c r="W2943" s="26">
        <v>1</v>
      </c>
      <c r="X2943" s="26">
        <v>0</v>
      </c>
      <c r="Y2943" s="26">
        <v>18.989999999999998</v>
      </c>
      <c r="Z2943" s="26">
        <v>0</v>
      </c>
    </row>
    <row r="2944" spans="1:26" x14ac:dyDescent="0.2">
      <c r="A2944">
        <f t="shared" si="94"/>
        <v>6</v>
      </c>
      <c r="B2944">
        <f t="shared" si="95"/>
        <v>24</v>
      </c>
      <c r="C2944" s="27">
        <v>46181</v>
      </c>
      <c r="D2944" s="26" t="s">
        <v>26</v>
      </c>
      <c r="E2944" s="26" t="s">
        <v>27</v>
      </c>
      <c r="F2944" s="26" t="s">
        <v>28</v>
      </c>
      <c r="G2944" s="26" t="s">
        <v>29</v>
      </c>
      <c r="H2944" s="26" t="s">
        <v>30</v>
      </c>
      <c r="I2944" s="26" t="s">
        <v>311</v>
      </c>
      <c r="J2944" s="26" t="s">
        <v>32</v>
      </c>
      <c r="K2944" s="26" t="s">
        <v>395</v>
      </c>
      <c r="L2944" s="26">
        <v>1</v>
      </c>
      <c r="M2944" s="26">
        <v>1</v>
      </c>
      <c r="N2944" s="28">
        <v>1</v>
      </c>
      <c r="O2944" s="26">
        <v>0.08</v>
      </c>
      <c r="P2944" s="26">
        <v>0.08</v>
      </c>
      <c r="Q2944" s="26">
        <v>0</v>
      </c>
      <c r="R2944" s="26"/>
      <c r="S2944" s="26">
        <v>0</v>
      </c>
      <c r="T2944" s="26">
        <v>0</v>
      </c>
      <c r="U2944" s="26">
        <v>0</v>
      </c>
      <c r="V2944" s="28">
        <v>0</v>
      </c>
      <c r="W2944" s="26">
        <v>0</v>
      </c>
      <c r="X2944" s="26">
        <v>0</v>
      </c>
      <c r="Y2944" s="26">
        <v>0</v>
      </c>
      <c r="Z2944" s="26">
        <v>0</v>
      </c>
    </row>
    <row r="2945" spans="1:26" x14ac:dyDescent="0.2">
      <c r="A2945">
        <f t="shared" si="94"/>
        <v>6</v>
      </c>
      <c r="B2945">
        <f t="shared" si="95"/>
        <v>24</v>
      </c>
      <c r="C2945" s="27">
        <v>46183</v>
      </c>
      <c r="D2945" s="26" t="s">
        <v>26</v>
      </c>
      <c r="E2945" s="26" t="s">
        <v>27</v>
      </c>
      <c r="F2945" s="26" t="s">
        <v>28</v>
      </c>
      <c r="G2945" s="26" t="s">
        <v>29</v>
      </c>
      <c r="H2945" s="26" t="s">
        <v>30</v>
      </c>
      <c r="I2945" s="26" t="s">
        <v>101</v>
      </c>
      <c r="J2945" s="26" t="s">
        <v>32</v>
      </c>
      <c r="K2945" s="26" t="s">
        <v>1793</v>
      </c>
      <c r="L2945" s="26">
        <v>3</v>
      </c>
      <c r="M2945" s="26">
        <v>1</v>
      </c>
      <c r="N2945" s="28">
        <v>0.33333299999999999</v>
      </c>
      <c r="O2945" s="26">
        <v>0.21</v>
      </c>
      <c r="P2945" s="26">
        <v>0.21</v>
      </c>
      <c r="Q2945" s="26">
        <v>0</v>
      </c>
      <c r="R2945" s="26"/>
      <c r="S2945" s="26">
        <v>0</v>
      </c>
      <c r="T2945" s="26">
        <v>0</v>
      </c>
      <c r="U2945" s="26">
        <v>0</v>
      </c>
      <c r="V2945" s="28">
        <v>0</v>
      </c>
      <c r="W2945" s="26">
        <v>0</v>
      </c>
      <c r="X2945" s="26">
        <v>0</v>
      </c>
      <c r="Y2945" s="26">
        <v>0</v>
      </c>
      <c r="Z2945" s="26">
        <v>0</v>
      </c>
    </row>
    <row r="2946" spans="1:26" x14ac:dyDescent="0.2">
      <c r="A2946">
        <f t="shared" si="94"/>
        <v>6</v>
      </c>
      <c r="B2946">
        <f t="shared" si="95"/>
        <v>25</v>
      </c>
      <c r="C2946" s="27">
        <v>46190</v>
      </c>
      <c r="D2946" s="26" t="s">
        <v>26</v>
      </c>
      <c r="E2946" s="26" t="s">
        <v>27</v>
      </c>
      <c r="F2946" s="26" t="s">
        <v>28</v>
      </c>
      <c r="G2946" s="26" t="s">
        <v>29</v>
      </c>
      <c r="H2946" s="26" t="s">
        <v>30</v>
      </c>
      <c r="I2946" s="26" t="s">
        <v>311</v>
      </c>
      <c r="J2946" s="26" t="s">
        <v>32</v>
      </c>
      <c r="K2946" s="26" t="s">
        <v>1552</v>
      </c>
      <c r="L2946" s="26">
        <v>8</v>
      </c>
      <c r="M2946" s="26">
        <v>1</v>
      </c>
      <c r="N2946" s="28">
        <v>0.125</v>
      </c>
      <c r="O2946" s="26">
        <v>0.2</v>
      </c>
      <c r="P2946" s="26">
        <v>0.2</v>
      </c>
      <c r="Q2946" s="26">
        <v>0</v>
      </c>
      <c r="R2946" s="26"/>
      <c r="S2946" s="26">
        <v>0</v>
      </c>
      <c r="T2946" s="26">
        <v>0</v>
      </c>
      <c r="U2946" s="26">
        <v>0</v>
      </c>
      <c r="V2946" s="28">
        <v>0</v>
      </c>
      <c r="W2946" s="26">
        <v>0</v>
      </c>
      <c r="X2946" s="26">
        <v>0</v>
      </c>
      <c r="Y2946" s="26">
        <v>0</v>
      </c>
      <c r="Z2946" s="26">
        <v>0</v>
      </c>
    </row>
    <row r="2947" spans="1:26" x14ac:dyDescent="0.2">
      <c r="A2947">
        <f t="shared" si="94"/>
        <v>6</v>
      </c>
      <c r="B2947">
        <f t="shared" si="95"/>
        <v>25</v>
      </c>
      <c r="C2947" s="27">
        <v>46188</v>
      </c>
      <c r="D2947" s="26" t="s">
        <v>26</v>
      </c>
      <c r="E2947" s="26" t="s">
        <v>27</v>
      </c>
      <c r="F2947" s="26" t="s">
        <v>28</v>
      </c>
      <c r="G2947" s="26" t="s">
        <v>29</v>
      </c>
      <c r="H2947" s="26" t="s">
        <v>30</v>
      </c>
      <c r="I2947" s="26" t="s">
        <v>311</v>
      </c>
      <c r="J2947" s="26" t="s">
        <v>32</v>
      </c>
      <c r="K2947" s="26" t="s">
        <v>310</v>
      </c>
      <c r="L2947" s="26">
        <v>6</v>
      </c>
      <c r="M2947" s="26">
        <v>1</v>
      </c>
      <c r="N2947" s="28">
        <v>0.16666700000000001</v>
      </c>
      <c r="O2947" s="26">
        <v>0.21</v>
      </c>
      <c r="P2947" s="26">
        <v>0.21</v>
      </c>
      <c r="Q2947" s="26">
        <v>18.989999999999998</v>
      </c>
      <c r="R2947" s="28">
        <v>1.1058E-2</v>
      </c>
      <c r="S2947" s="26">
        <v>90.43</v>
      </c>
      <c r="T2947" s="26">
        <v>1</v>
      </c>
      <c r="U2947" s="26">
        <v>1</v>
      </c>
      <c r="V2947" s="28">
        <v>1</v>
      </c>
      <c r="W2947" s="26">
        <v>1</v>
      </c>
      <c r="X2947" s="26">
        <v>0</v>
      </c>
      <c r="Y2947" s="26">
        <v>18.989999999999998</v>
      </c>
      <c r="Z2947" s="26">
        <v>0</v>
      </c>
    </row>
    <row r="2948" spans="1:26" x14ac:dyDescent="0.2">
      <c r="A2948">
        <f t="shared" si="94"/>
        <v>6</v>
      </c>
      <c r="B2948">
        <f t="shared" si="95"/>
        <v>25</v>
      </c>
      <c r="C2948" s="27">
        <v>46193</v>
      </c>
      <c r="D2948" s="26" t="s">
        <v>26</v>
      </c>
      <c r="E2948" s="26" t="s">
        <v>27</v>
      </c>
      <c r="F2948" s="26" t="s">
        <v>124</v>
      </c>
      <c r="G2948" s="26" t="s">
        <v>29</v>
      </c>
      <c r="H2948" s="26" t="s">
        <v>30</v>
      </c>
      <c r="I2948" s="26" t="s">
        <v>101</v>
      </c>
      <c r="J2948" s="26" t="s">
        <v>87</v>
      </c>
      <c r="K2948" s="26" t="s">
        <v>1794</v>
      </c>
      <c r="L2948" s="26">
        <v>1</v>
      </c>
      <c r="M2948" s="26">
        <v>1</v>
      </c>
      <c r="N2948" s="28">
        <v>1</v>
      </c>
      <c r="O2948" s="26">
        <v>0.21</v>
      </c>
      <c r="P2948" s="26">
        <v>0.21</v>
      </c>
      <c r="Q2948" s="26">
        <v>0</v>
      </c>
      <c r="R2948" s="26"/>
      <c r="S2948" s="26">
        <v>0</v>
      </c>
      <c r="T2948" s="26">
        <v>0</v>
      </c>
      <c r="U2948" s="26">
        <v>0</v>
      </c>
      <c r="V2948" s="28">
        <v>0</v>
      </c>
      <c r="W2948" s="26">
        <v>0</v>
      </c>
      <c r="X2948" s="26">
        <v>0</v>
      </c>
      <c r="Y2948" s="26">
        <v>0</v>
      </c>
      <c r="Z2948" s="26">
        <v>0</v>
      </c>
    </row>
    <row r="2949" spans="1:26" x14ac:dyDescent="0.2">
      <c r="A2949">
        <f t="shared" si="94"/>
        <v>6</v>
      </c>
      <c r="B2949">
        <f t="shared" si="95"/>
        <v>25</v>
      </c>
      <c r="C2949" s="27">
        <v>46189</v>
      </c>
      <c r="D2949" s="26" t="s">
        <v>26</v>
      </c>
      <c r="E2949" s="26" t="s">
        <v>39</v>
      </c>
      <c r="F2949" s="26" t="s">
        <v>40</v>
      </c>
      <c r="G2949" s="26" t="s">
        <v>29</v>
      </c>
      <c r="H2949" s="26" t="s">
        <v>30</v>
      </c>
      <c r="I2949" s="26" t="s">
        <v>1134</v>
      </c>
      <c r="J2949" s="26" t="s">
        <v>42</v>
      </c>
      <c r="K2949" s="26" t="s">
        <v>311</v>
      </c>
      <c r="L2949" s="26">
        <v>9</v>
      </c>
      <c r="M2949" s="26">
        <v>2</v>
      </c>
      <c r="N2949" s="28">
        <v>0.222222</v>
      </c>
      <c r="O2949" s="26">
        <v>0.5</v>
      </c>
      <c r="P2949" s="26">
        <v>1</v>
      </c>
      <c r="Q2949" s="26">
        <v>0</v>
      </c>
      <c r="R2949" s="26"/>
      <c r="S2949" s="26">
        <v>0</v>
      </c>
      <c r="T2949" s="26">
        <v>0</v>
      </c>
      <c r="U2949" s="26">
        <v>0</v>
      </c>
      <c r="V2949" s="28">
        <v>0</v>
      </c>
      <c r="W2949" s="26">
        <v>0</v>
      </c>
      <c r="X2949" s="26">
        <v>0</v>
      </c>
      <c r="Y2949" s="26">
        <v>0</v>
      </c>
      <c r="Z2949" s="26">
        <v>0</v>
      </c>
    </row>
    <row r="2950" spans="1:26" x14ac:dyDescent="0.2">
      <c r="A2950">
        <f t="shared" si="94"/>
        <v>6</v>
      </c>
      <c r="B2950">
        <f t="shared" si="95"/>
        <v>24</v>
      </c>
      <c r="C2950" s="27">
        <v>46180</v>
      </c>
      <c r="D2950" s="26" t="s">
        <v>26</v>
      </c>
      <c r="E2950" s="26" t="s">
        <v>49</v>
      </c>
      <c r="F2950" s="26" t="s">
        <v>50</v>
      </c>
      <c r="G2950" s="26" t="s">
        <v>29</v>
      </c>
      <c r="H2950" s="26" t="s">
        <v>30</v>
      </c>
      <c r="I2950" s="26" t="s">
        <v>47</v>
      </c>
      <c r="J2950" s="26" t="s">
        <v>42</v>
      </c>
      <c r="K2950" s="26" t="s">
        <v>311</v>
      </c>
      <c r="L2950" s="26">
        <v>6</v>
      </c>
      <c r="M2950" s="26">
        <v>1</v>
      </c>
      <c r="N2950" s="28">
        <v>0.16666700000000001</v>
      </c>
      <c r="O2950" s="26">
        <v>0.9</v>
      </c>
      <c r="P2950" s="26">
        <v>0.9</v>
      </c>
      <c r="Q2950" s="26">
        <v>0</v>
      </c>
      <c r="R2950" s="26"/>
      <c r="S2950" s="26">
        <v>0</v>
      </c>
      <c r="T2950" s="26">
        <v>0</v>
      </c>
      <c r="U2950" s="26">
        <v>0</v>
      </c>
      <c r="V2950" s="28">
        <v>0</v>
      </c>
      <c r="W2950" s="26">
        <v>0</v>
      </c>
      <c r="X2950" s="26">
        <v>0</v>
      </c>
      <c r="Y2950" s="26">
        <v>0</v>
      </c>
      <c r="Z2950" s="26">
        <v>0</v>
      </c>
    </row>
    <row r="2951" spans="1:26" x14ac:dyDescent="0.2">
      <c r="A2951">
        <f t="shared" si="94"/>
        <v>6</v>
      </c>
      <c r="B2951">
        <f t="shared" si="95"/>
        <v>24</v>
      </c>
      <c r="C2951" s="27">
        <v>46184</v>
      </c>
      <c r="D2951" s="26" t="s">
        <v>26</v>
      </c>
      <c r="E2951" s="26" t="s">
        <v>27</v>
      </c>
      <c r="F2951" s="26" t="s">
        <v>28</v>
      </c>
      <c r="G2951" s="26" t="s">
        <v>29</v>
      </c>
      <c r="H2951" s="26" t="s">
        <v>30</v>
      </c>
      <c r="I2951" s="26" t="s">
        <v>311</v>
      </c>
      <c r="J2951" s="26" t="s">
        <v>32</v>
      </c>
      <c r="K2951" s="26" t="s">
        <v>311</v>
      </c>
      <c r="L2951" s="26">
        <v>7</v>
      </c>
      <c r="M2951" s="26">
        <v>1</v>
      </c>
      <c r="N2951" s="28">
        <v>0.14285700000000001</v>
      </c>
      <c r="O2951" s="26">
        <v>0.2</v>
      </c>
      <c r="P2951" s="26">
        <v>0.2</v>
      </c>
      <c r="Q2951" s="26">
        <v>0</v>
      </c>
      <c r="R2951" s="26"/>
      <c r="S2951" s="26">
        <v>0</v>
      </c>
      <c r="T2951" s="26">
        <v>0</v>
      </c>
      <c r="U2951" s="26">
        <v>0</v>
      </c>
      <c r="V2951" s="28">
        <v>0</v>
      </c>
      <c r="W2951" s="26">
        <v>0</v>
      </c>
      <c r="X2951" s="26">
        <v>0</v>
      </c>
      <c r="Y2951" s="26">
        <v>0</v>
      </c>
      <c r="Z2951" s="26">
        <v>0</v>
      </c>
    </row>
    <row r="2952" spans="1:26" x14ac:dyDescent="0.2">
      <c r="A2952">
        <f t="shared" si="94"/>
        <v>6</v>
      </c>
      <c r="B2952">
        <f t="shared" si="95"/>
        <v>25</v>
      </c>
      <c r="C2952" s="27">
        <v>46189</v>
      </c>
      <c r="D2952" s="26" t="s">
        <v>26</v>
      </c>
      <c r="E2952" s="26" t="s">
        <v>27</v>
      </c>
      <c r="F2952" s="26" t="s">
        <v>28</v>
      </c>
      <c r="G2952" s="26" t="s">
        <v>29</v>
      </c>
      <c r="H2952" s="26" t="s">
        <v>30</v>
      </c>
      <c r="I2952" s="26" t="s">
        <v>31</v>
      </c>
      <c r="J2952" s="26" t="s">
        <v>32</v>
      </c>
      <c r="K2952" s="26" t="s">
        <v>1795</v>
      </c>
      <c r="L2952" s="26">
        <v>2</v>
      </c>
      <c r="M2952" s="26">
        <v>1</v>
      </c>
      <c r="N2952" s="28">
        <v>0.5</v>
      </c>
      <c r="O2952" s="26">
        <v>0.21</v>
      </c>
      <c r="P2952" s="26">
        <v>0.21</v>
      </c>
      <c r="Q2952" s="26">
        <v>0</v>
      </c>
      <c r="R2952" s="26"/>
      <c r="S2952" s="26">
        <v>0</v>
      </c>
      <c r="T2952" s="26">
        <v>0</v>
      </c>
      <c r="U2952" s="26">
        <v>0</v>
      </c>
      <c r="V2952" s="28">
        <v>0</v>
      </c>
      <c r="W2952" s="26">
        <v>0</v>
      </c>
      <c r="X2952" s="26">
        <v>0</v>
      </c>
      <c r="Y2952" s="26">
        <v>0</v>
      </c>
      <c r="Z2952" s="26">
        <v>0</v>
      </c>
    </row>
    <row r="2953" spans="1:26" x14ac:dyDescent="0.2">
      <c r="A2953">
        <f t="shared" si="94"/>
        <v>6</v>
      </c>
      <c r="B2953">
        <f t="shared" si="95"/>
        <v>26</v>
      </c>
      <c r="C2953" s="27">
        <v>46194</v>
      </c>
      <c r="D2953" s="26" t="s">
        <v>26</v>
      </c>
      <c r="E2953" s="26" t="s">
        <v>49</v>
      </c>
      <c r="F2953" s="26" t="s">
        <v>50</v>
      </c>
      <c r="G2953" s="26" t="s">
        <v>29</v>
      </c>
      <c r="H2953" s="26" t="s">
        <v>30</v>
      </c>
      <c r="I2953" s="26" t="s">
        <v>47</v>
      </c>
      <c r="J2953" s="26" t="s">
        <v>42</v>
      </c>
      <c r="K2953" s="26" t="s">
        <v>587</v>
      </c>
      <c r="L2953" s="26">
        <v>5</v>
      </c>
      <c r="M2953" s="26">
        <v>1</v>
      </c>
      <c r="N2953" s="28">
        <v>0.2</v>
      </c>
      <c r="O2953" s="26">
        <v>1.1000000000000001</v>
      </c>
      <c r="P2953" s="26">
        <v>1.1000000000000001</v>
      </c>
      <c r="Q2953" s="26">
        <v>0</v>
      </c>
      <c r="R2953" s="26"/>
      <c r="S2953" s="26">
        <v>0</v>
      </c>
      <c r="T2953" s="26">
        <v>0</v>
      </c>
      <c r="U2953" s="26">
        <v>0</v>
      </c>
      <c r="V2953" s="28">
        <v>0</v>
      </c>
      <c r="W2953" s="26">
        <v>0</v>
      </c>
      <c r="X2953" s="26">
        <v>0</v>
      </c>
      <c r="Y2953" s="26">
        <v>0</v>
      </c>
      <c r="Z2953" s="26">
        <v>0</v>
      </c>
    </row>
    <row r="2954" spans="1:26" x14ac:dyDescent="0.2">
      <c r="A2954">
        <f t="shared" si="94"/>
        <v>6</v>
      </c>
      <c r="B2954">
        <f t="shared" si="95"/>
        <v>25</v>
      </c>
      <c r="C2954" s="27">
        <v>46193</v>
      </c>
      <c r="D2954" s="26" t="s">
        <v>26</v>
      </c>
      <c r="E2954" s="26" t="s">
        <v>27</v>
      </c>
      <c r="F2954" s="26" t="s">
        <v>124</v>
      </c>
      <c r="G2954" s="26" t="s">
        <v>29</v>
      </c>
      <c r="H2954" s="26" t="s">
        <v>30</v>
      </c>
      <c r="I2954" s="26" t="s">
        <v>311</v>
      </c>
      <c r="J2954" s="26" t="s">
        <v>87</v>
      </c>
      <c r="K2954" s="26" t="s">
        <v>1796</v>
      </c>
      <c r="L2954" s="26">
        <v>2</v>
      </c>
      <c r="M2954" s="26">
        <v>1</v>
      </c>
      <c r="N2954" s="28">
        <v>0.5</v>
      </c>
      <c r="O2954" s="26">
        <v>0.4</v>
      </c>
      <c r="P2954" s="26">
        <v>0.4</v>
      </c>
      <c r="Q2954" s="26">
        <v>0</v>
      </c>
      <c r="R2954" s="26"/>
      <c r="S2954" s="26">
        <v>0</v>
      </c>
      <c r="T2954" s="26">
        <v>0</v>
      </c>
      <c r="U2954" s="26">
        <v>0</v>
      </c>
      <c r="V2954" s="28">
        <v>0</v>
      </c>
      <c r="W2954" s="26">
        <v>0</v>
      </c>
      <c r="X2954" s="26">
        <v>0</v>
      </c>
      <c r="Y2954" s="26">
        <v>0</v>
      </c>
      <c r="Z2954" s="26">
        <v>0</v>
      </c>
    </row>
    <row r="2955" spans="1:26" x14ac:dyDescent="0.2">
      <c r="A2955">
        <f t="shared" si="94"/>
        <v>6</v>
      </c>
      <c r="B2955">
        <f t="shared" si="95"/>
        <v>24</v>
      </c>
      <c r="C2955" s="27">
        <v>46183</v>
      </c>
      <c r="D2955" s="26" t="s">
        <v>26</v>
      </c>
      <c r="E2955" s="26" t="s">
        <v>27</v>
      </c>
      <c r="F2955" s="26" t="s">
        <v>28</v>
      </c>
      <c r="G2955" s="26" t="s">
        <v>29</v>
      </c>
      <c r="H2955" s="26" t="s">
        <v>30</v>
      </c>
      <c r="I2955" s="26" t="s">
        <v>119</v>
      </c>
      <c r="J2955" s="26" t="s">
        <v>32</v>
      </c>
      <c r="K2955" s="26" t="s">
        <v>1797</v>
      </c>
      <c r="L2955" s="26">
        <v>1</v>
      </c>
      <c r="M2955" s="26">
        <v>1</v>
      </c>
      <c r="N2955" s="28">
        <v>1</v>
      </c>
      <c r="O2955" s="26">
        <v>0.08</v>
      </c>
      <c r="P2955" s="26">
        <v>0.08</v>
      </c>
      <c r="Q2955" s="26">
        <v>0</v>
      </c>
      <c r="R2955" s="26"/>
      <c r="S2955" s="26">
        <v>0</v>
      </c>
      <c r="T2955" s="26">
        <v>0</v>
      </c>
      <c r="U2955" s="26">
        <v>0</v>
      </c>
      <c r="V2955" s="28">
        <v>0</v>
      </c>
      <c r="W2955" s="26">
        <v>0</v>
      </c>
      <c r="X2955" s="26">
        <v>0</v>
      </c>
      <c r="Y2955" s="26">
        <v>0</v>
      </c>
      <c r="Z2955" s="26">
        <v>0</v>
      </c>
    </row>
    <row r="2956" spans="1:26" x14ac:dyDescent="0.2">
      <c r="A2956">
        <f t="shared" si="94"/>
        <v>6</v>
      </c>
      <c r="B2956">
        <f t="shared" si="95"/>
        <v>23</v>
      </c>
      <c r="C2956" s="27">
        <v>46175</v>
      </c>
      <c r="D2956" s="26" t="s">
        <v>26</v>
      </c>
      <c r="E2956" s="26" t="s">
        <v>27</v>
      </c>
      <c r="F2956" s="26" t="s">
        <v>28</v>
      </c>
      <c r="G2956" s="26" t="s">
        <v>29</v>
      </c>
      <c r="H2956" s="26" t="s">
        <v>30</v>
      </c>
      <c r="I2956" s="26" t="s">
        <v>50</v>
      </c>
      <c r="J2956" s="26" t="s">
        <v>32</v>
      </c>
      <c r="K2956" s="26" t="s">
        <v>1798</v>
      </c>
      <c r="L2956" s="26">
        <v>1</v>
      </c>
      <c r="M2956" s="26">
        <v>1</v>
      </c>
      <c r="N2956" s="28">
        <v>1</v>
      </c>
      <c r="O2956" s="26">
        <v>0.21</v>
      </c>
      <c r="P2956" s="26">
        <v>0.21</v>
      </c>
      <c r="Q2956" s="26">
        <v>0</v>
      </c>
      <c r="R2956" s="26"/>
      <c r="S2956" s="26">
        <v>0</v>
      </c>
      <c r="T2956" s="26">
        <v>0</v>
      </c>
      <c r="U2956" s="26">
        <v>0</v>
      </c>
      <c r="V2956" s="28">
        <v>0</v>
      </c>
      <c r="W2956" s="26">
        <v>0</v>
      </c>
      <c r="X2956" s="26">
        <v>0</v>
      </c>
      <c r="Y2956" s="26">
        <v>0</v>
      </c>
      <c r="Z2956" s="26">
        <v>0</v>
      </c>
    </row>
    <row r="2957" spans="1:26" x14ac:dyDescent="0.2">
      <c r="A2957">
        <f t="shared" si="94"/>
        <v>6</v>
      </c>
      <c r="B2957">
        <f t="shared" si="95"/>
        <v>24</v>
      </c>
      <c r="C2957" s="27">
        <v>46180</v>
      </c>
      <c r="D2957" s="26" t="s">
        <v>26</v>
      </c>
      <c r="E2957" s="26" t="s">
        <v>27</v>
      </c>
      <c r="F2957" s="26" t="s">
        <v>124</v>
      </c>
      <c r="G2957" s="26" t="s">
        <v>29</v>
      </c>
      <c r="H2957" s="26" t="s">
        <v>30</v>
      </c>
      <c r="I2957" s="26" t="s">
        <v>154</v>
      </c>
      <c r="J2957" s="26" t="s">
        <v>87</v>
      </c>
      <c r="K2957" s="26" t="s">
        <v>154</v>
      </c>
      <c r="L2957" s="26">
        <v>1</v>
      </c>
      <c r="M2957" s="26">
        <v>1</v>
      </c>
      <c r="N2957" s="28">
        <v>1</v>
      </c>
      <c r="O2957" s="26">
        <v>0.21</v>
      </c>
      <c r="P2957" s="26">
        <v>0.21</v>
      </c>
      <c r="Q2957" s="26">
        <v>0</v>
      </c>
      <c r="R2957" s="26"/>
      <c r="S2957" s="26">
        <v>0</v>
      </c>
      <c r="T2957" s="26">
        <v>0</v>
      </c>
      <c r="U2957" s="26">
        <v>0</v>
      </c>
      <c r="V2957" s="28">
        <v>0</v>
      </c>
      <c r="W2957" s="26">
        <v>0</v>
      </c>
      <c r="X2957" s="26">
        <v>0</v>
      </c>
      <c r="Y2957" s="26">
        <v>0</v>
      </c>
      <c r="Z2957" s="26">
        <v>0</v>
      </c>
    </row>
    <row r="2958" spans="1:26" x14ac:dyDescent="0.2">
      <c r="A2958">
        <f t="shared" si="94"/>
        <v>6</v>
      </c>
      <c r="B2958">
        <f t="shared" si="95"/>
        <v>25</v>
      </c>
      <c r="C2958" s="27">
        <v>46187</v>
      </c>
      <c r="D2958" s="26" t="s">
        <v>26</v>
      </c>
      <c r="E2958" s="26" t="s">
        <v>27</v>
      </c>
      <c r="F2958" s="26" t="s">
        <v>28</v>
      </c>
      <c r="G2958" s="26" t="s">
        <v>29</v>
      </c>
      <c r="H2958" s="26" t="s">
        <v>30</v>
      </c>
      <c r="I2958" s="26" t="s">
        <v>154</v>
      </c>
      <c r="J2958" s="26" t="s">
        <v>32</v>
      </c>
      <c r="K2958" s="26" t="s">
        <v>673</v>
      </c>
      <c r="L2958" s="26">
        <v>5</v>
      </c>
      <c r="M2958" s="26">
        <v>1</v>
      </c>
      <c r="N2958" s="28">
        <v>0.2</v>
      </c>
      <c r="O2958" s="26">
        <v>0.2</v>
      </c>
      <c r="P2958" s="26">
        <v>0.2</v>
      </c>
      <c r="Q2958" s="26">
        <v>0</v>
      </c>
      <c r="R2958" s="26"/>
      <c r="S2958" s="26">
        <v>0</v>
      </c>
      <c r="T2958" s="26">
        <v>0</v>
      </c>
      <c r="U2958" s="26">
        <v>0</v>
      </c>
      <c r="V2958" s="28">
        <v>0</v>
      </c>
      <c r="W2958" s="26">
        <v>0</v>
      </c>
      <c r="X2958" s="26">
        <v>0</v>
      </c>
      <c r="Y2958" s="26">
        <v>0</v>
      </c>
      <c r="Z2958" s="26">
        <v>0</v>
      </c>
    </row>
    <row r="2959" spans="1:26" x14ac:dyDescent="0.2">
      <c r="A2959">
        <f t="shared" si="94"/>
        <v>6</v>
      </c>
      <c r="B2959">
        <f t="shared" si="95"/>
        <v>25</v>
      </c>
      <c r="C2959" s="27">
        <v>46192</v>
      </c>
      <c r="D2959" s="26" t="s">
        <v>26</v>
      </c>
      <c r="E2959" s="26" t="s">
        <v>27</v>
      </c>
      <c r="F2959" s="26" t="s">
        <v>28</v>
      </c>
      <c r="G2959" s="26" t="s">
        <v>29</v>
      </c>
      <c r="H2959" s="26" t="s">
        <v>30</v>
      </c>
      <c r="I2959" s="26" t="s">
        <v>50</v>
      </c>
      <c r="J2959" s="26" t="s">
        <v>32</v>
      </c>
      <c r="K2959" s="26" t="s">
        <v>1799</v>
      </c>
      <c r="L2959" s="26">
        <v>4</v>
      </c>
      <c r="M2959" s="26">
        <v>1</v>
      </c>
      <c r="N2959" s="28">
        <v>0.25</v>
      </c>
      <c r="O2959" s="26">
        <v>0.21</v>
      </c>
      <c r="P2959" s="26">
        <v>0.21</v>
      </c>
      <c r="Q2959" s="26">
        <v>18.989999999999998</v>
      </c>
      <c r="R2959" s="28">
        <v>1.1058E-2</v>
      </c>
      <c r="S2959" s="26">
        <v>90.43</v>
      </c>
      <c r="T2959" s="26">
        <v>1</v>
      </c>
      <c r="U2959" s="26">
        <v>1</v>
      </c>
      <c r="V2959" s="28">
        <v>1</v>
      </c>
      <c r="W2959" s="26">
        <v>1</v>
      </c>
      <c r="X2959" s="26">
        <v>0</v>
      </c>
      <c r="Y2959" s="26">
        <v>18.989999999999998</v>
      </c>
      <c r="Z2959" s="26">
        <v>0</v>
      </c>
    </row>
    <row r="2960" spans="1:26" x14ac:dyDescent="0.2">
      <c r="A2960">
        <f t="shared" si="94"/>
        <v>6</v>
      </c>
      <c r="B2960">
        <f t="shared" si="95"/>
        <v>24</v>
      </c>
      <c r="C2960" s="27">
        <v>46184</v>
      </c>
      <c r="D2960" s="26" t="s">
        <v>26</v>
      </c>
      <c r="E2960" s="26" t="s">
        <v>27</v>
      </c>
      <c r="F2960" s="26" t="s">
        <v>28</v>
      </c>
      <c r="G2960" s="26" t="s">
        <v>29</v>
      </c>
      <c r="H2960" s="26" t="s">
        <v>30</v>
      </c>
      <c r="I2960" s="26" t="s">
        <v>37</v>
      </c>
      <c r="J2960" s="26" t="s">
        <v>32</v>
      </c>
      <c r="K2960" s="26" t="s">
        <v>1558</v>
      </c>
      <c r="L2960" s="26">
        <v>3</v>
      </c>
      <c r="M2960" s="26">
        <v>1</v>
      </c>
      <c r="N2960" s="28">
        <v>0.33333299999999999</v>
      </c>
      <c r="O2960" s="26">
        <v>0.21</v>
      </c>
      <c r="P2960" s="26">
        <v>0.21</v>
      </c>
      <c r="Q2960" s="26">
        <v>0</v>
      </c>
      <c r="R2960" s="26"/>
      <c r="S2960" s="26">
        <v>0</v>
      </c>
      <c r="T2960" s="26">
        <v>0</v>
      </c>
      <c r="U2960" s="26">
        <v>0</v>
      </c>
      <c r="V2960" s="28">
        <v>0</v>
      </c>
      <c r="W2960" s="26">
        <v>0</v>
      </c>
      <c r="X2960" s="26">
        <v>0</v>
      </c>
      <c r="Y2960" s="26">
        <v>0</v>
      </c>
      <c r="Z2960" s="26">
        <v>0</v>
      </c>
    </row>
    <row r="2961" spans="1:26" x14ac:dyDescent="0.2">
      <c r="A2961">
        <f t="shared" si="94"/>
        <v>6</v>
      </c>
      <c r="B2961">
        <f t="shared" si="95"/>
        <v>23</v>
      </c>
      <c r="C2961" s="27">
        <v>46178</v>
      </c>
      <c r="D2961" s="26" t="s">
        <v>26</v>
      </c>
      <c r="E2961" s="26" t="s">
        <v>27</v>
      </c>
      <c r="F2961" s="26" t="s">
        <v>28</v>
      </c>
      <c r="G2961" s="26" t="s">
        <v>29</v>
      </c>
      <c r="H2961" s="26" t="s">
        <v>30</v>
      </c>
      <c r="I2961" s="26" t="s">
        <v>50</v>
      </c>
      <c r="J2961" s="26" t="s">
        <v>32</v>
      </c>
      <c r="K2961" s="26" t="s">
        <v>866</v>
      </c>
      <c r="L2961" s="26">
        <v>2</v>
      </c>
      <c r="M2961" s="26">
        <v>1</v>
      </c>
      <c r="N2961" s="28">
        <v>0.5</v>
      </c>
      <c r="O2961" s="26">
        <v>0.2</v>
      </c>
      <c r="P2961" s="26">
        <v>0.2</v>
      </c>
      <c r="Q2961" s="26">
        <v>0</v>
      </c>
      <c r="R2961" s="26"/>
      <c r="S2961" s="26">
        <v>0</v>
      </c>
      <c r="T2961" s="26">
        <v>0</v>
      </c>
      <c r="U2961" s="26">
        <v>0</v>
      </c>
      <c r="V2961" s="28">
        <v>0</v>
      </c>
      <c r="W2961" s="26">
        <v>0</v>
      </c>
      <c r="X2961" s="26">
        <v>0</v>
      </c>
      <c r="Y2961" s="26">
        <v>0</v>
      </c>
      <c r="Z2961" s="26">
        <v>0</v>
      </c>
    </row>
    <row r="2962" spans="1:26" x14ac:dyDescent="0.2">
      <c r="A2962">
        <f t="shared" si="94"/>
        <v>6</v>
      </c>
      <c r="B2962">
        <f t="shared" si="95"/>
        <v>24</v>
      </c>
      <c r="C2962" s="27">
        <v>46181</v>
      </c>
      <c r="D2962" s="26" t="s">
        <v>26</v>
      </c>
      <c r="E2962" s="26" t="s">
        <v>1578</v>
      </c>
      <c r="F2962" s="26" t="s">
        <v>62</v>
      </c>
      <c r="G2962" s="26" t="s">
        <v>29</v>
      </c>
      <c r="H2962" s="26" t="s">
        <v>30</v>
      </c>
      <c r="I2962" s="26" t="s">
        <v>95</v>
      </c>
      <c r="J2962" s="26" t="s">
        <v>42</v>
      </c>
      <c r="K2962" s="26" t="s">
        <v>1800</v>
      </c>
      <c r="L2962" s="26">
        <v>16</v>
      </c>
      <c r="M2962" s="26">
        <v>1</v>
      </c>
      <c r="N2962" s="28">
        <v>6.25E-2</v>
      </c>
      <c r="O2962" s="26">
        <v>0.85</v>
      </c>
      <c r="P2962" s="26">
        <v>0.85</v>
      </c>
      <c r="Q2962" s="26">
        <v>0</v>
      </c>
      <c r="R2962" s="26"/>
      <c r="S2962" s="26">
        <v>0</v>
      </c>
      <c r="T2962" s="26">
        <v>0</v>
      </c>
      <c r="U2962" s="26">
        <v>0</v>
      </c>
      <c r="V2962" s="28">
        <v>0</v>
      </c>
      <c r="W2962" s="26">
        <v>0</v>
      </c>
      <c r="X2962" s="26">
        <v>0</v>
      </c>
      <c r="Y2962" s="26">
        <v>0</v>
      </c>
      <c r="Z2962" s="26">
        <v>0</v>
      </c>
    </row>
    <row r="2963" spans="1:26" x14ac:dyDescent="0.2">
      <c r="A2963">
        <f t="shared" si="94"/>
        <v>6</v>
      </c>
      <c r="B2963">
        <f t="shared" si="95"/>
        <v>25</v>
      </c>
      <c r="C2963" s="27">
        <v>46188</v>
      </c>
      <c r="D2963" s="26" t="s">
        <v>26</v>
      </c>
      <c r="E2963" s="26" t="s">
        <v>49</v>
      </c>
      <c r="F2963" s="26" t="s">
        <v>50</v>
      </c>
      <c r="G2963" s="26" t="s">
        <v>29</v>
      </c>
      <c r="H2963" s="26" t="s">
        <v>30</v>
      </c>
      <c r="I2963" s="26" t="s">
        <v>95</v>
      </c>
      <c r="J2963" s="26" t="s">
        <v>42</v>
      </c>
      <c r="K2963" s="26" t="s">
        <v>1801</v>
      </c>
      <c r="L2963" s="26">
        <v>3</v>
      </c>
      <c r="M2963" s="26">
        <v>1</v>
      </c>
      <c r="N2963" s="28">
        <v>0.33333299999999999</v>
      </c>
      <c r="O2963" s="26">
        <v>0.5</v>
      </c>
      <c r="P2963" s="26">
        <v>0.5</v>
      </c>
      <c r="Q2963" s="26">
        <v>0</v>
      </c>
      <c r="R2963" s="26"/>
      <c r="S2963" s="26">
        <v>0</v>
      </c>
      <c r="T2963" s="26">
        <v>0</v>
      </c>
      <c r="U2963" s="26">
        <v>0</v>
      </c>
      <c r="V2963" s="28">
        <v>0</v>
      </c>
      <c r="W2963" s="26">
        <v>0</v>
      </c>
      <c r="X2963" s="26">
        <v>0</v>
      </c>
      <c r="Y2963" s="26">
        <v>0</v>
      </c>
      <c r="Z2963" s="26">
        <v>0</v>
      </c>
    </row>
    <row r="2964" spans="1:26" x14ac:dyDescent="0.2">
      <c r="A2964">
        <f t="shared" si="94"/>
        <v>6</v>
      </c>
      <c r="B2964">
        <f t="shared" si="95"/>
        <v>23</v>
      </c>
      <c r="C2964" s="27">
        <v>46175</v>
      </c>
      <c r="D2964" s="26" t="s">
        <v>26</v>
      </c>
      <c r="E2964" s="26" t="s">
        <v>27</v>
      </c>
      <c r="F2964" s="26" t="s">
        <v>28</v>
      </c>
      <c r="G2964" s="26" t="s">
        <v>29</v>
      </c>
      <c r="H2964" s="26" t="s">
        <v>30</v>
      </c>
      <c r="I2964" s="26" t="s">
        <v>31</v>
      </c>
      <c r="J2964" s="26" t="s">
        <v>32</v>
      </c>
      <c r="K2964" s="26" t="s">
        <v>1802</v>
      </c>
      <c r="L2964" s="26">
        <v>4</v>
      </c>
      <c r="M2964" s="26">
        <v>1</v>
      </c>
      <c r="N2964" s="28">
        <v>0.25</v>
      </c>
      <c r="O2964" s="26">
        <v>0.21</v>
      </c>
      <c r="P2964" s="26">
        <v>0.21</v>
      </c>
      <c r="Q2964" s="26">
        <v>0</v>
      </c>
      <c r="R2964" s="26"/>
      <c r="S2964" s="26">
        <v>0</v>
      </c>
      <c r="T2964" s="26">
        <v>0</v>
      </c>
      <c r="U2964" s="26">
        <v>0</v>
      </c>
      <c r="V2964" s="28">
        <v>0</v>
      </c>
      <c r="W2964" s="26">
        <v>0</v>
      </c>
      <c r="X2964" s="26">
        <v>0</v>
      </c>
      <c r="Y2964" s="26">
        <v>0</v>
      </c>
      <c r="Z2964" s="26">
        <v>0</v>
      </c>
    </row>
    <row r="2965" spans="1:26" x14ac:dyDescent="0.2">
      <c r="A2965">
        <f t="shared" si="94"/>
        <v>6</v>
      </c>
      <c r="B2965">
        <f t="shared" si="95"/>
        <v>25</v>
      </c>
      <c r="C2965" s="27">
        <v>46187</v>
      </c>
      <c r="D2965" s="26" t="s">
        <v>26</v>
      </c>
      <c r="E2965" s="26" t="s">
        <v>49</v>
      </c>
      <c r="F2965" s="26" t="s">
        <v>50</v>
      </c>
      <c r="G2965" s="26" t="s">
        <v>29</v>
      </c>
      <c r="H2965" s="26" t="s">
        <v>30</v>
      </c>
      <c r="I2965" s="26" t="s">
        <v>95</v>
      </c>
      <c r="J2965" s="26" t="s">
        <v>42</v>
      </c>
      <c r="K2965" s="26" t="s">
        <v>1803</v>
      </c>
      <c r="L2965" s="26">
        <v>3</v>
      </c>
      <c r="M2965" s="26">
        <v>1</v>
      </c>
      <c r="N2965" s="28">
        <v>0.33333299999999999</v>
      </c>
      <c r="O2965" s="26">
        <v>0.77</v>
      </c>
      <c r="P2965" s="26">
        <v>0.77</v>
      </c>
      <c r="Q2965" s="26">
        <v>0</v>
      </c>
      <c r="R2965" s="26"/>
      <c r="S2965" s="26">
        <v>0</v>
      </c>
      <c r="T2965" s="26">
        <v>0</v>
      </c>
      <c r="U2965" s="26">
        <v>0</v>
      </c>
      <c r="V2965" s="28">
        <v>0</v>
      </c>
      <c r="W2965" s="26">
        <v>0</v>
      </c>
      <c r="X2965" s="26">
        <v>0</v>
      </c>
      <c r="Y2965" s="26">
        <v>0</v>
      </c>
      <c r="Z2965" s="26">
        <v>0</v>
      </c>
    </row>
    <row r="2966" spans="1:26" x14ac:dyDescent="0.2">
      <c r="A2966">
        <f t="shared" si="94"/>
        <v>6</v>
      </c>
      <c r="B2966">
        <f t="shared" si="95"/>
        <v>25</v>
      </c>
      <c r="C2966" s="27">
        <v>46192</v>
      </c>
      <c r="D2966" s="26" t="s">
        <v>26</v>
      </c>
      <c r="E2966" s="26" t="s">
        <v>27</v>
      </c>
      <c r="F2966" s="26" t="s">
        <v>28</v>
      </c>
      <c r="G2966" s="26" t="s">
        <v>29</v>
      </c>
      <c r="H2966" s="26" t="s">
        <v>30</v>
      </c>
      <c r="I2966" s="26" t="s">
        <v>133</v>
      </c>
      <c r="J2966" s="26" t="s">
        <v>32</v>
      </c>
      <c r="K2966" s="26" t="s">
        <v>1804</v>
      </c>
      <c r="L2966" s="26">
        <v>1</v>
      </c>
      <c r="M2966" s="26">
        <v>1</v>
      </c>
      <c r="N2966" s="28">
        <v>1</v>
      </c>
      <c r="O2966" s="26">
        <v>0.21</v>
      </c>
      <c r="P2966" s="26">
        <v>0.21</v>
      </c>
      <c r="Q2966" s="26">
        <v>0</v>
      </c>
      <c r="R2966" s="26"/>
      <c r="S2966" s="26">
        <v>0</v>
      </c>
      <c r="T2966" s="26">
        <v>0</v>
      </c>
      <c r="U2966" s="26">
        <v>0</v>
      </c>
      <c r="V2966" s="28">
        <v>0</v>
      </c>
      <c r="W2966" s="26">
        <v>0</v>
      </c>
      <c r="X2966" s="26">
        <v>0</v>
      </c>
      <c r="Y2966" s="26">
        <v>0</v>
      </c>
      <c r="Z2966" s="26">
        <v>0</v>
      </c>
    </row>
    <row r="2967" spans="1:26" x14ac:dyDescent="0.2">
      <c r="A2967">
        <f t="shared" si="94"/>
        <v>6</v>
      </c>
      <c r="B2967">
        <f t="shared" si="95"/>
        <v>24</v>
      </c>
      <c r="C2967" s="27">
        <v>46182</v>
      </c>
      <c r="D2967" s="26" t="s">
        <v>26</v>
      </c>
      <c r="E2967" s="26" t="s">
        <v>49</v>
      </c>
      <c r="F2967" s="26" t="s">
        <v>50</v>
      </c>
      <c r="G2967" s="26" t="s">
        <v>29</v>
      </c>
      <c r="H2967" s="26" t="s">
        <v>30</v>
      </c>
      <c r="I2967" s="26" t="s">
        <v>95</v>
      </c>
      <c r="J2967" s="26" t="s">
        <v>42</v>
      </c>
      <c r="K2967" s="26" t="s">
        <v>1805</v>
      </c>
      <c r="L2967" s="26">
        <v>1</v>
      </c>
      <c r="M2967" s="26">
        <v>1</v>
      </c>
      <c r="N2967" s="28">
        <v>1</v>
      </c>
      <c r="O2967" s="26">
        <v>0.1</v>
      </c>
      <c r="P2967" s="26">
        <v>0.1</v>
      </c>
      <c r="Q2967" s="26">
        <v>0</v>
      </c>
      <c r="R2967" s="26"/>
      <c r="S2967" s="26">
        <v>0</v>
      </c>
      <c r="T2967" s="26">
        <v>0</v>
      </c>
      <c r="U2967" s="26">
        <v>0</v>
      </c>
      <c r="V2967" s="28">
        <v>0</v>
      </c>
      <c r="W2967" s="26">
        <v>0</v>
      </c>
      <c r="X2967" s="26">
        <v>0</v>
      </c>
      <c r="Y2967" s="26">
        <v>0</v>
      </c>
      <c r="Z2967" s="26">
        <v>0</v>
      </c>
    </row>
    <row r="2968" spans="1:26" x14ac:dyDescent="0.2">
      <c r="A2968">
        <f t="shared" si="94"/>
        <v>6</v>
      </c>
      <c r="B2968">
        <f t="shared" si="95"/>
        <v>26</v>
      </c>
      <c r="C2968" s="27">
        <v>46199</v>
      </c>
      <c r="D2968" s="26" t="s">
        <v>26</v>
      </c>
      <c r="E2968" s="26" t="s">
        <v>27</v>
      </c>
      <c r="F2968" s="26" t="s">
        <v>28</v>
      </c>
      <c r="G2968" s="26" t="s">
        <v>29</v>
      </c>
      <c r="H2968" s="26" t="s">
        <v>30</v>
      </c>
      <c r="I2968" s="26" t="s">
        <v>50</v>
      </c>
      <c r="J2968" s="26" t="s">
        <v>32</v>
      </c>
      <c r="K2968" s="26" t="s">
        <v>43</v>
      </c>
      <c r="L2968" s="26">
        <v>1</v>
      </c>
      <c r="M2968" s="26">
        <v>1</v>
      </c>
      <c r="N2968" s="28">
        <v>1</v>
      </c>
      <c r="O2968" s="26">
        <v>0.21</v>
      </c>
      <c r="P2968" s="26">
        <v>0.21</v>
      </c>
      <c r="Q2968" s="26">
        <v>0</v>
      </c>
      <c r="R2968" s="26"/>
      <c r="S2968" s="26">
        <v>0</v>
      </c>
      <c r="T2968" s="26">
        <v>0</v>
      </c>
      <c r="U2968" s="26">
        <v>0</v>
      </c>
      <c r="V2968" s="28">
        <v>0</v>
      </c>
      <c r="W2968" s="26">
        <v>0</v>
      </c>
      <c r="X2968" s="26">
        <v>0</v>
      </c>
      <c r="Y2968" s="26">
        <v>0</v>
      </c>
      <c r="Z2968" s="26">
        <v>0</v>
      </c>
    </row>
    <row r="2969" spans="1:26" x14ac:dyDescent="0.2">
      <c r="A2969">
        <f t="shared" si="94"/>
        <v>6</v>
      </c>
      <c r="B2969">
        <f t="shared" si="95"/>
        <v>27</v>
      </c>
      <c r="C2969" s="27">
        <v>46203</v>
      </c>
      <c r="D2969" s="26" t="s">
        <v>26</v>
      </c>
      <c r="E2969" s="26" t="s">
        <v>27</v>
      </c>
      <c r="F2969" s="26" t="s">
        <v>28</v>
      </c>
      <c r="G2969" s="26" t="s">
        <v>29</v>
      </c>
      <c r="H2969" s="26" t="s">
        <v>30</v>
      </c>
      <c r="I2969" s="26" t="s">
        <v>50</v>
      </c>
      <c r="J2969" s="26" t="s">
        <v>32</v>
      </c>
      <c r="K2969" s="26" t="s">
        <v>1806</v>
      </c>
      <c r="L2969" s="26">
        <v>1</v>
      </c>
      <c r="M2969" s="26">
        <v>1</v>
      </c>
      <c r="N2969" s="28">
        <v>1</v>
      </c>
      <c r="O2969" s="26">
        <v>0.21</v>
      </c>
      <c r="P2969" s="26">
        <v>0.21</v>
      </c>
      <c r="Q2969" s="26">
        <v>0</v>
      </c>
      <c r="R2969" s="26"/>
      <c r="S2969" s="26">
        <v>0</v>
      </c>
      <c r="T2969" s="26">
        <v>0</v>
      </c>
      <c r="U2969" s="26">
        <v>0</v>
      </c>
      <c r="V2969" s="28">
        <v>0</v>
      </c>
      <c r="W2969" s="26">
        <v>0</v>
      </c>
      <c r="X2969" s="26">
        <v>0</v>
      </c>
      <c r="Y2969" s="26">
        <v>0</v>
      </c>
      <c r="Z2969" s="26">
        <v>0</v>
      </c>
    </row>
    <row r="2970" spans="1:26" x14ac:dyDescent="0.2">
      <c r="A2970">
        <f t="shared" si="94"/>
        <v>6</v>
      </c>
      <c r="B2970">
        <f t="shared" si="95"/>
        <v>26</v>
      </c>
      <c r="C2970" s="27">
        <v>46200</v>
      </c>
      <c r="D2970" s="26" t="s">
        <v>26</v>
      </c>
      <c r="E2970" s="26" t="s">
        <v>27</v>
      </c>
      <c r="F2970" s="26" t="s">
        <v>28</v>
      </c>
      <c r="G2970" s="26" t="s">
        <v>29</v>
      </c>
      <c r="H2970" s="26" t="s">
        <v>30</v>
      </c>
      <c r="I2970" s="26" t="s">
        <v>243</v>
      </c>
      <c r="J2970" s="26" t="s">
        <v>32</v>
      </c>
      <c r="K2970" s="26" t="s">
        <v>1807</v>
      </c>
      <c r="L2970" s="26">
        <v>2</v>
      </c>
      <c r="M2970" s="26">
        <v>1</v>
      </c>
      <c r="N2970" s="28">
        <v>0.5</v>
      </c>
      <c r="O2970" s="26">
        <v>0.08</v>
      </c>
      <c r="P2970" s="26">
        <v>0.08</v>
      </c>
      <c r="Q2970" s="26">
        <v>0</v>
      </c>
      <c r="R2970" s="26"/>
      <c r="S2970" s="26">
        <v>0</v>
      </c>
      <c r="T2970" s="26">
        <v>0</v>
      </c>
      <c r="U2970" s="26">
        <v>0</v>
      </c>
      <c r="V2970" s="28">
        <v>0</v>
      </c>
      <c r="W2970" s="26">
        <v>0</v>
      </c>
      <c r="X2970" s="26">
        <v>0</v>
      </c>
      <c r="Y2970" s="26">
        <v>0</v>
      </c>
      <c r="Z2970" s="26">
        <v>0</v>
      </c>
    </row>
    <row r="2971" spans="1:26" x14ac:dyDescent="0.2">
      <c r="A2971">
        <f t="shared" si="94"/>
        <v>6</v>
      </c>
      <c r="B2971">
        <f t="shared" si="95"/>
        <v>27</v>
      </c>
      <c r="C2971" s="27">
        <v>46203</v>
      </c>
      <c r="D2971" s="26" t="s">
        <v>26</v>
      </c>
      <c r="E2971" s="26" t="s">
        <v>27</v>
      </c>
      <c r="F2971" s="26" t="s">
        <v>28</v>
      </c>
      <c r="G2971" s="26" t="s">
        <v>29</v>
      </c>
      <c r="H2971" s="26" t="s">
        <v>30</v>
      </c>
      <c r="I2971" s="26" t="s">
        <v>119</v>
      </c>
      <c r="J2971" s="26" t="s">
        <v>32</v>
      </c>
      <c r="K2971" s="26" t="s">
        <v>1808</v>
      </c>
      <c r="L2971" s="26">
        <v>1</v>
      </c>
      <c r="M2971" s="26">
        <v>1</v>
      </c>
      <c r="N2971" s="28">
        <v>1</v>
      </c>
      <c r="O2971" s="26">
        <v>0.16</v>
      </c>
      <c r="P2971" s="26">
        <v>0.16</v>
      </c>
      <c r="Q2971" s="26">
        <v>0</v>
      </c>
      <c r="R2971" s="26"/>
      <c r="S2971" s="26">
        <v>0</v>
      </c>
      <c r="T2971" s="26">
        <v>0</v>
      </c>
      <c r="U2971" s="26">
        <v>0</v>
      </c>
      <c r="V2971" s="28">
        <v>0</v>
      </c>
      <c r="W2971" s="26">
        <v>0</v>
      </c>
      <c r="X2971" s="26">
        <v>0</v>
      </c>
      <c r="Y2971" s="26">
        <v>0</v>
      </c>
      <c r="Z2971" s="26">
        <v>0</v>
      </c>
    </row>
    <row r="2972" spans="1:26" x14ac:dyDescent="0.2">
      <c r="A2972">
        <f t="shared" si="94"/>
        <v>6</v>
      </c>
      <c r="B2972">
        <f t="shared" si="95"/>
        <v>26</v>
      </c>
      <c r="C2972" s="27">
        <v>46200</v>
      </c>
      <c r="D2972" s="26" t="s">
        <v>26</v>
      </c>
      <c r="E2972" s="26" t="s">
        <v>49</v>
      </c>
      <c r="F2972" s="26" t="s">
        <v>50</v>
      </c>
      <c r="G2972" s="26" t="s">
        <v>29</v>
      </c>
      <c r="H2972" s="26" t="s">
        <v>30</v>
      </c>
      <c r="I2972" s="26" t="s">
        <v>51</v>
      </c>
      <c r="J2972" s="26" t="s">
        <v>42</v>
      </c>
      <c r="K2972" s="26" t="s">
        <v>1809</v>
      </c>
      <c r="L2972" s="26">
        <v>1</v>
      </c>
      <c r="M2972" s="26">
        <v>1</v>
      </c>
      <c r="N2972" s="28">
        <v>1</v>
      </c>
      <c r="O2972" s="26">
        <v>0.7</v>
      </c>
      <c r="P2972" s="26">
        <v>0.7</v>
      </c>
      <c r="Q2972" s="26">
        <v>0</v>
      </c>
      <c r="R2972" s="26"/>
      <c r="S2972" s="26">
        <v>0</v>
      </c>
      <c r="T2972" s="26">
        <v>0</v>
      </c>
      <c r="U2972" s="26">
        <v>0</v>
      </c>
      <c r="V2972" s="28">
        <v>0</v>
      </c>
      <c r="W2972" s="26">
        <v>0</v>
      </c>
      <c r="X2972" s="26">
        <v>0</v>
      </c>
      <c r="Y2972" s="26">
        <v>0</v>
      </c>
      <c r="Z2972" s="26">
        <v>0</v>
      </c>
    </row>
    <row r="2973" spans="1:26" x14ac:dyDescent="0.2">
      <c r="A2973">
        <f t="shared" si="94"/>
        <v>6</v>
      </c>
      <c r="B2973">
        <f t="shared" si="95"/>
        <v>26</v>
      </c>
      <c r="C2973" s="27">
        <v>46196</v>
      </c>
      <c r="D2973" s="26" t="s">
        <v>26</v>
      </c>
      <c r="E2973" s="26" t="s">
        <v>49</v>
      </c>
      <c r="F2973" s="26" t="s">
        <v>50</v>
      </c>
      <c r="G2973" s="26" t="s">
        <v>29</v>
      </c>
      <c r="H2973" s="26" t="s">
        <v>30</v>
      </c>
      <c r="I2973" s="26" t="s">
        <v>51</v>
      </c>
      <c r="J2973" s="26" t="s">
        <v>42</v>
      </c>
      <c r="K2973" s="26" t="s">
        <v>1810</v>
      </c>
      <c r="L2973" s="26">
        <v>1</v>
      </c>
      <c r="M2973" s="26">
        <v>1</v>
      </c>
      <c r="N2973" s="28">
        <v>1</v>
      </c>
      <c r="O2973" s="26">
        <v>0.92</v>
      </c>
      <c r="P2973" s="26">
        <v>0.92</v>
      </c>
      <c r="Q2973" s="26">
        <v>0</v>
      </c>
      <c r="R2973" s="26"/>
      <c r="S2973" s="26">
        <v>0</v>
      </c>
      <c r="T2973" s="26">
        <v>0</v>
      </c>
      <c r="U2973" s="26">
        <v>0</v>
      </c>
      <c r="V2973" s="28">
        <v>0</v>
      </c>
      <c r="W2973" s="26">
        <v>0</v>
      </c>
      <c r="X2973" s="26">
        <v>0</v>
      </c>
      <c r="Y2973" s="26">
        <v>0</v>
      </c>
      <c r="Z2973" s="26">
        <v>0</v>
      </c>
    </row>
    <row r="2974" spans="1:26" x14ac:dyDescent="0.2">
      <c r="A2974">
        <f t="shared" si="94"/>
        <v>6</v>
      </c>
      <c r="B2974">
        <f t="shared" si="95"/>
        <v>26</v>
      </c>
      <c r="C2974" s="27">
        <v>46198</v>
      </c>
      <c r="D2974" s="26" t="s">
        <v>26</v>
      </c>
      <c r="E2974" s="26" t="s">
        <v>49</v>
      </c>
      <c r="F2974" s="26" t="s">
        <v>50</v>
      </c>
      <c r="G2974" s="26" t="s">
        <v>29</v>
      </c>
      <c r="H2974" s="26" t="s">
        <v>30</v>
      </c>
      <c r="I2974" s="26" t="s">
        <v>51</v>
      </c>
      <c r="J2974" s="26" t="s">
        <v>42</v>
      </c>
      <c r="K2974" s="26" t="s">
        <v>1811</v>
      </c>
      <c r="L2974" s="26">
        <v>2</v>
      </c>
      <c r="M2974" s="26">
        <v>1</v>
      </c>
      <c r="N2974" s="28">
        <v>0.5</v>
      </c>
      <c r="O2974" s="26">
        <v>0.09</v>
      </c>
      <c r="P2974" s="26">
        <v>0.09</v>
      </c>
      <c r="Q2974" s="26">
        <v>0</v>
      </c>
      <c r="R2974" s="26"/>
      <c r="S2974" s="26">
        <v>0</v>
      </c>
      <c r="T2974" s="26">
        <v>0</v>
      </c>
      <c r="U2974" s="26">
        <v>0</v>
      </c>
      <c r="V2974" s="28">
        <v>0</v>
      </c>
      <c r="W2974" s="26">
        <v>0</v>
      </c>
      <c r="X2974" s="26">
        <v>0</v>
      </c>
      <c r="Y2974" s="26">
        <v>0</v>
      </c>
      <c r="Z2974" s="26">
        <v>0</v>
      </c>
    </row>
    <row r="2975" spans="1:26" x14ac:dyDescent="0.2">
      <c r="A2975">
        <f t="shared" si="94"/>
        <v>6</v>
      </c>
      <c r="B2975">
        <f t="shared" si="95"/>
        <v>26</v>
      </c>
      <c r="C2975" s="27">
        <v>46195</v>
      </c>
      <c r="D2975" s="26" t="s">
        <v>26</v>
      </c>
      <c r="E2975" s="26" t="s">
        <v>39</v>
      </c>
      <c r="F2975" s="26" t="s">
        <v>40</v>
      </c>
      <c r="G2975" s="26" t="s">
        <v>29</v>
      </c>
      <c r="H2975" s="26" t="s">
        <v>30</v>
      </c>
      <c r="I2975" s="26" t="s">
        <v>1134</v>
      </c>
      <c r="J2975" s="26" t="s">
        <v>42</v>
      </c>
      <c r="K2975" s="26" t="s">
        <v>65</v>
      </c>
      <c r="L2975" s="26">
        <v>418</v>
      </c>
      <c r="M2975" s="26">
        <v>3</v>
      </c>
      <c r="N2975" s="28">
        <v>7.1770000000000002E-3</v>
      </c>
      <c r="O2975" s="26">
        <v>0.83</v>
      </c>
      <c r="P2975" s="26">
        <v>2.4900000000000002</v>
      </c>
      <c r="Q2975" s="26">
        <v>18.989999999999998</v>
      </c>
      <c r="R2975" s="28">
        <v>0.13112199999999999</v>
      </c>
      <c r="S2975" s="26">
        <v>7.63</v>
      </c>
      <c r="T2975" s="26">
        <v>1</v>
      </c>
      <c r="U2975" s="26">
        <v>1</v>
      </c>
      <c r="V2975" s="28">
        <v>0.33333299999999999</v>
      </c>
      <c r="W2975" s="26">
        <v>1</v>
      </c>
      <c r="X2975" s="26">
        <v>0</v>
      </c>
      <c r="Y2975" s="26">
        <v>18.989999999999998</v>
      </c>
      <c r="Z2975" s="26">
        <v>0</v>
      </c>
    </row>
    <row r="2976" spans="1:26" x14ac:dyDescent="0.2">
      <c r="A2976">
        <f t="shared" si="94"/>
        <v>6</v>
      </c>
      <c r="B2976">
        <f t="shared" si="95"/>
        <v>26</v>
      </c>
      <c r="C2976" s="27">
        <v>46196</v>
      </c>
      <c r="D2976" s="26" t="s">
        <v>26</v>
      </c>
      <c r="E2976" s="26" t="s">
        <v>39</v>
      </c>
      <c r="F2976" s="26" t="s">
        <v>40</v>
      </c>
      <c r="G2976" s="26" t="s">
        <v>29</v>
      </c>
      <c r="H2976" s="26" t="s">
        <v>30</v>
      </c>
      <c r="I2976" s="26" t="s">
        <v>1134</v>
      </c>
      <c r="J2976" s="26" t="s">
        <v>42</v>
      </c>
      <c r="K2976" s="26" t="s">
        <v>65</v>
      </c>
      <c r="L2976" s="26">
        <v>67</v>
      </c>
      <c r="M2976" s="26">
        <v>3</v>
      </c>
      <c r="N2976" s="28">
        <v>4.4776000000000003E-2</v>
      </c>
      <c r="O2976" s="26">
        <v>0.83</v>
      </c>
      <c r="P2976" s="26">
        <v>2.4900000000000002</v>
      </c>
      <c r="Q2976" s="26">
        <v>0</v>
      </c>
      <c r="R2976" s="26"/>
      <c r="S2976" s="26">
        <v>0</v>
      </c>
      <c r="T2976" s="26">
        <v>0</v>
      </c>
      <c r="U2976" s="26">
        <v>0</v>
      </c>
      <c r="V2976" s="28">
        <v>0</v>
      </c>
      <c r="W2976" s="26">
        <v>0</v>
      </c>
      <c r="X2976" s="26">
        <v>0</v>
      </c>
      <c r="Y2976" s="26">
        <v>0</v>
      </c>
      <c r="Z2976" s="26">
        <v>0</v>
      </c>
    </row>
    <row r="2977" spans="1:26" x14ac:dyDescent="0.2">
      <c r="A2977">
        <f t="shared" si="94"/>
        <v>6</v>
      </c>
      <c r="B2977">
        <f t="shared" si="95"/>
        <v>26</v>
      </c>
      <c r="C2977" s="27">
        <v>46197</v>
      </c>
      <c r="D2977" s="26" t="s">
        <v>26</v>
      </c>
      <c r="E2977" s="26" t="s">
        <v>39</v>
      </c>
      <c r="F2977" s="26" t="s">
        <v>40</v>
      </c>
      <c r="G2977" s="26" t="s">
        <v>29</v>
      </c>
      <c r="H2977" s="26" t="s">
        <v>30</v>
      </c>
      <c r="I2977" s="26" t="s">
        <v>1134</v>
      </c>
      <c r="J2977" s="26" t="s">
        <v>42</v>
      </c>
      <c r="K2977" s="26" t="s">
        <v>65</v>
      </c>
      <c r="L2977" s="26">
        <v>120</v>
      </c>
      <c r="M2977" s="26">
        <v>1</v>
      </c>
      <c r="N2977" s="28">
        <v>8.3330000000000001E-3</v>
      </c>
      <c r="O2977" s="26">
        <v>0.79</v>
      </c>
      <c r="P2977" s="26">
        <v>0.79</v>
      </c>
      <c r="Q2977" s="26">
        <v>0</v>
      </c>
      <c r="R2977" s="26"/>
      <c r="S2977" s="26">
        <v>0</v>
      </c>
      <c r="T2977" s="26">
        <v>0</v>
      </c>
      <c r="U2977" s="26">
        <v>0</v>
      </c>
      <c r="V2977" s="28">
        <v>0</v>
      </c>
      <c r="W2977" s="26">
        <v>0</v>
      </c>
      <c r="X2977" s="26">
        <v>0</v>
      </c>
      <c r="Y2977" s="26">
        <v>0</v>
      </c>
      <c r="Z2977" s="26">
        <v>0</v>
      </c>
    </row>
    <row r="2978" spans="1:26" x14ac:dyDescent="0.2">
      <c r="A2978">
        <f t="shared" si="94"/>
        <v>6</v>
      </c>
      <c r="B2978">
        <f t="shared" si="95"/>
        <v>26</v>
      </c>
      <c r="C2978" s="27">
        <v>46198</v>
      </c>
      <c r="D2978" s="26" t="s">
        <v>26</v>
      </c>
      <c r="E2978" s="26" t="s">
        <v>39</v>
      </c>
      <c r="F2978" s="26" t="s">
        <v>40</v>
      </c>
      <c r="G2978" s="26" t="s">
        <v>29</v>
      </c>
      <c r="H2978" s="26" t="s">
        <v>30</v>
      </c>
      <c r="I2978" s="26" t="s">
        <v>1134</v>
      </c>
      <c r="J2978" s="26" t="s">
        <v>42</v>
      </c>
      <c r="K2978" s="26" t="s">
        <v>65</v>
      </c>
      <c r="L2978" s="26">
        <v>150</v>
      </c>
      <c r="M2978" s="26">
        <v>3</v>
      </c>
      <c r="N2978" s="28">
        <v>0.02</v>
      </c>
      <c r="O2978" s="26">
        <v>0.88</v>
      </c>
      <c r="P2978" s="26">
        <v>2.63</v>
      </c>
      <c r="Q2978" s="26">
        <v>0</v>
      </c>
      <c r="R2978" s="26"/>
      <c r="S2978" s="26">
        <v>0</v>
      </c>
      <c r="T2978" s="26">
        <v>0</v>
      </c>
      <c r="U2978" s="26">
        <v>0</v>
      </c>
      <c r="V2978" s="28">
        <v>0</v>
      </c>
      <c r="W2978" s="26">
        <v>0</v>
      </c>
      <c r="X2978" s="26">
        <v>0</v>
      </c>
      <c r="Y2978" s="26">
        <v>0</v>
      </c>
      <c r="Z2978" s="26">
        <v>0</v>
      </c>
    </row>
    <row r="2979" spans="1:26" x14ac:dyDescent="0.2">
      <c r="A2979">
        <f t="shared" si="94"/>
        <v>6</v>
      </c>
      <c r="B2979">
        <f t="shared" si="95"/>
        <v>26</v>
      </c>
      <c r="C2979" s="27">
        <v>46200</v>
      </c>
      <c r="D2979" s="26" t="s">
        <v>26</v>
      </c>
      <c r="E2979" s="26" t="s">
        <v>39</v>
      </c>
      <c r="F2979" s="26" t="s">
        <v>40</v>
      </c>
      <c r="G2979" s="26" t="s">
        <v>29</v>
      </c>
      <c r="H2979" s="26" t="s">
        <v>30</v>
      </c>
      <c r="I2979" s="26" t="s">
        <v>1134</v>
      </c>
      <c r="J2979" s="26" t="s">
        <v>42</v>
      </c>
      <c r="K2979" s="26" t="s">
        <v>65</v>
      </c>
      <c r="L2979" s="26">
        <v>60</v>
      </c>
      <c r="M2979" s="26">
        <v>2</v>
      </c>
      <c r="N2979" s="28">
        <v>3.3333000000000002E-2</v>
      </c>
      <c r="O2979" s="26">
        <v>1.1000000000000001</v>
      </c>
      <c r="P2979" s="26">
        <v>2.2000000000000002</v>
      </c>
      <c r="Q2979" s="26">
        <v>0</v>
      </c>
      <c r="R2979" s="26"/>
      <c r="S2979" s="26">
        <v>0</v>
      </c>
      <c r="T2979" s="26">
        <v>0</v>
      </c>
      <c r="U2979" s="26">
        <v>0</v>
      </c>
      <c r="V2979" s="28">
        <v>0</v>
      </c>
      <c r="W2979" s="26">
        <v>0</v>
      </c>
      <c r="X2979" s="26">
        <v>0</v>
      </c>
      <c r="Y2979" s="26">
        <v>0</v>
      </c>
      <c r="Z2979" s="26">
        <v>0</v>
      </c>
    </row>
    <row r="2980" spans="1:26" x14ac:dyDescent="0.2">
      <c r="A2980">
        <f t="shared" si="94"/>
        <v>6</v>
      </c>
      <c r="B2980">
        <f t="shared" si="95"/>
        <v>27</v>
      </c>
      <c r="C2980" s="27">
        <v>46201</v>
      </c>
      <c r="D2980" s="26" t="s">
        <v>26</v>
      </c>
      <c r="E2980" s="26" t="s">
        <v>39</v>
      </c>
      <c r="F2980" s="26" t="s">
        <v>40</v>
      </c>
      <c r="G2980" s="26" t="s">
        <v>29</v>
      </c>
      <c r="H2980" s="26" t="s">
        <v>30</v>
      </c>
      <c r="I2980" s="26" t="s">
        <v>1134</v>
      </c>
      <c r="J2980" s="26" t="s">
        <v>42</v>
      </c>
      <c r="K2980" s="26" t="s">
        <v>65</v>
      </c>
      <c r="L2980" s="26">
        <v>133</v>
      </c>
      <c r="M2980" s="26">
        <v>3</v>
      </c>
      <c r="N2980" s="28">
        <v>2.2556E-2</v>
      </c>
      <c r="O2980" s="26">
        <v>0.73</v>
      </c>
      <c r="P2980" s="26">
        <v>2.19</v>
      </c>
      <c r="Q2980" s="26">
        <v>0</v>
      </c>
      <c r="R2980" s="26"/>
      <c r="S2980" s="26">
        <v>0</v>
      </c>
      <c r="T2980" s="26">
        <v>0</v>
      </c>
      <c r="U2980" s="26">
        <v>0</v>
      </c>
      <c r="V2980" s="28">
        <v>0</v>
      </c>
      <c r="W2980" s="26">
        <v>0</v>
      </c>
      <c r="X2980" s="26">
        <v>0</v>
      </c>
      <c r="Y2980" s="26">
        <v>0</v>
      </c>
      <c r="Z2980" s="26">
        <v>0</v>
      </c>
    </row>
    <row r="2981" spans="1:26" x14ac:dyDescent="0.2">
      <c r="A2981">
        <f t="shared" si="94"/>
        <v>6</v>
      </c>
      <c r="B2981">
        <f t="shared" si="95"/>
        <v>27</v>
      </c>
      <c r="C2981" s="27">
        <v>46202</v>
      </c>
      <c r="D2981" s="26" t="s">
        <v>26</v>
      </c>
      <c r="E2981" s="26" t="s">
        <v>39</v>
      </c>
      <c r="F2981" s="26" t="s">
        <v>40</v>
      </c>
      <c r="G2981" s="26" t="s">
        <v>29</v>
      </c>
      <c r="H2981" s="26" t="s">
        <v>30</v>
      </c>
      <c r="I2981" s="26" t="s">
        <v>1134</v>
      </c>
      <c r="J2981" s="26" t="s">
        <v>42</v>
      </c>
      <c r="K2981" s="26" t="s">
        <v>65</v>
      </c>
      <c r="L2981" s="26">
        <v>202</v>
      </c>
      <c r="M2981" s="26">
        <v>1</v>
      </c>
      <c r="N2981" s="28">
        <v>4.9500000000000004E-3</v>
      </c>
      <c r="O2981" s="26">
        <v>0.78</v>
      </c>
      <c r="P2981" s="26">
        <v>0.78</v>
      </c>
      <c r="Q2981" s="26">
        <v>0</v>
      </c>
      <c r="R2981" s="26"/>
      <c r="S2981" s="26">
        <v>0</v>
      </c>
      <c r="T2981" s="26">
        <v>0</v>
      </c>
      <c r="U2981" s="26">
        <v>0</v>
      </c>
      <c r="V2981" s="28">
        <v>0</v>
      </c>
      <c r="W2981" s="26">
        <v>0</v>
      </c>
      <c r="X2981" s="26">
        <v>0</v>
      </c>
      <c r="Y2981" s="26">
        <v>0</v>
      </c>
      <c r="Z2981" s="26">
        <v>0</v>
      </c>
    </row>
    <row r="2982" spans="1:26" x14ac:dyDescent="0.2">
      <c r="A2982">
        <f t="shared" si="94"/>
        <v>6</v>
      </c>
      <c r="B2982">
        <f t="shared" si="95"/>
        <v>27</v>
      </c>
      <c r="C2982" s="27">
        <v>46203</v>
      </c>
      <c r="D2982" s="26" t="s">
        <v>26</v>
      </c>
      <c r="E2982" s="26" t="s">
        <v>39</v>
      </c>
      <c r="F2982" s="26" t="s">
        <v>40</v>
      </c>
      <c r="G2982" s="26" t="s">
        <v>29</v>
      </c>
      <c r="H2982" s="26" t="s">
        <v>30</v>
      </c>
      <c r="I2982" s="26" t="s">
        <v>1134</v>
      </c>
      <c r="J2982" s="26" t="s">
        <v>42</v>
      </c>
      <c r="K2982" s="26" t="s">
        <v>65</v>
      </c>
      <c r="L2982" s="26">
        <v>114</v>
      </c>
      <c r="M2982" s="26">
        <v>3</v>
      </c>
      <c r="N2982" s="28">
        <v>2.6315999999999999E-2</v>
      </c>
      <c r="O2982" s="26">
        <v>0.8</v>
      </c>
      <c r="P2982" s="26">
        <v>2.41</v>
      </c>
      <c r="Q2982" s="26">
        <v>0</v>
      </c>
      <c r="R2982" s="26"/>
      <c r="S2982" s="26">
        <v>0</v>
      </c>
      <c r="T2982" s="26">
        <v>0</v>
      </c>
      <c r="U2982" s="26">
        <v>0</v>
      </c>
      <c r="V2982" s="28">
        <v>0</v>
      </c>
      <c r="W2982" s="26">
        <v>0</v>
      </c>
      <c r="X2982" s="26">
        <v>0</v>
      </c>
      <c r="Y2982" s="26">
        <v>0</v>
      </c>
      <c r="Z2982" s="26">
        <v>0</v>
      </c>
    </row>
    <row r="2983" spans="1:26" x14ac:dyDescent="0.2">
      <c r="A2983">
        <f t="shared" si="94"/>
        <v>6</v>
      </c>
      <c r="B2983">
        <f t="shared" si="95"/>
        <v>27</v>
      </c>
      <c r="C2983" s="27">
        <v>46201</v>
      </c>
      <c r="D2983" s="26" t="s">
        <v>26</v>
      </c>
      <c r="E2983" s="26" t="s">
        <v>49</v>
      </c>
      <c r="F2983" s="26" t="s">
        <v>50</v>
      </c>
      <c r="G2983" s="26" t="s">
        <v>29</v>
      </c>
      <c r="H2983" s="26" t="s">
        <v>30</v>
      </c>
      <c r="I2983" s="26" t="s">
        <v>51</v>
      </c>
      <c r="J2983" s="26" t="s">
        <v>42</v>
      </c>
      <c r="K2983" s="26" t="s">
        <v>68</v>
      </c>
      <c r="L2983" s="26">
        <v>3</v>
      </c>
      <c r="M2983" s="26">
        <v>1</v>
      </c>
      <c r="N2983" s="28">
        <v>0.33333299999999999</v>
      </c>
      <c r="O2983" s="26">
        <v>0.51</v>
      </c>
      <c r="P2983" s="26">
        <v>0.51</v>
      </c>
      <c r="Q2983" s="26">
        <v>0</v>
      </c>
      <c r="R2983" s="26"/>
      <c r="S2983" s="26">
        <v>0</v>
      </c>
      <c r="T2983" s="26">
        <v>0</v>
      </c>
      <c r="U2983" s="26">
        <v>0</v>
      </c>
      <c r="V2983" s="28">
        <v>0</v>
      </c>
      <c r="W2983" s="26">
        <v>0</v>
      </c>
      <c r="X2983" s="26">
        <v>0</v>
      </c>
      <c r="Y2983" s="26">
        <v>0</v>
      </c>
      <c r="Z2983" s="26">
        <v>0</v>
      </c>
    </row>
    <row r="2984" spans="1:26" x14ac:dyDescent="0.2">
      <c r="A2984">
        <f t="shared" si="94"/>
        <v>6</v>
      </c>
      <c r="B2984">
        <f t="shared" si="95"/>
        <v>26</v>
      </c>
      <c r="C2984" s="27">
        <v>46200</v>
      </c>
      <c r="D2984" s="26" t="s">
        <v>26</v>
      </c>
      <c r="E2984" s="26" t="s">
        <v>49</v>
      </c>
      <c r="F2984" s="26" t="s">
        <v>50</v>
      </c>
      <c r="G2984" s="26" t="s">
        <v>29</v>
      </c>
      <c r="H2984" s="26" t="s">
        <v>30</v>
      </c>
      <c r="I2984" s="26" t="s">
        <v>51</v>
      </c>
      <c r="J2984" s="26" t="s">
        <v>42</v>
      </c>
      <c r="K2984" s="26" t="s">
        <v>71</v>
      </c>
      <c r="L2984" s="26">
        <v>1</v>
      </c>
      <c r="M2984" s="26">
        <v>1</v>
      </c>
      <c r="N2984" s="28">
        <v>1</v>
      </c>
      <c r="O2984" s="26">
        <v>0.08</v>
      </c>
      <c r="P2984" s="26">
        <v>0.08</v>
      </c>
      <c r="Q2984" s="26">
        <v>0</v>
      </c>
      <c r="R2984" s="26"/>
      <c r="S2984" s="26">
        <v>0</v>
      </c>
      <c r="T2984" s="26">
        <v>0</v>
      </c>
      <c r="U2984" s="26">
        <v>0</v>
      </c>
      <c r="V2984" s="28">
        <v>0</v>
      </c>
      <c r="W2984" s="26">
        <v>0</v>
      </c>
      <c r="X2984" s="26">
        <v>0</v>
      </c>
      <c r="Y2984" s="26">
        <v>0</v>
      </c>
      <c r="Z2984" s="26">
        <v>0</v>
      </c>
    </row>
    <row r="2985" spans="1:26" x14ac:dyDescent="0.2">
      <c r="A2985">
        <f t="shared" si="94"/>
        <v>6</v>
      </c>
      <c r="B2985">
        <f t="shared" si="95"/>
        <v>27</v>
      </c>
      <c r="C2985" s="27">
        <v>46203</v>
      </c>
      <c r="D2985" s="26" t="s">
        <v>26</v>
      </c>
      <c r="E2985" s="26" t="s">
        <v>49</v>
      </c>
      <c r="F2985" s="26" t="s">
        <v>50</v>
      </c>
      <c r="G2985" s="26" t="s">
        <v>29</v>
      </c>
      <c r="H2985" s="26" t="s">
        <v>30</v>
      </c>
      <c r="I2985" s="26" t="s">
        <v>51</v>
      </c>
      <c r="J2985" s="26" t="s">
        <v>42</v>
      </c>
      <c r="K2985" s="26" t="s">
        <v>71</v>
      </c>
      <c r="L2985" s="26">
        <v>17</v>
      </c>
      <c r="M2985" s="26">
        <v>1</v>
      </c>
      <c r="N2985" s="28">
        <v>5.8824000000000001E-2</v>
      </c>
      <c r="O2985" s="26">
        <v>0.53</v>
      </c>
      <c r="P2985" s="26">
        <v>0.53</v>
      </c>
      <c r="Q2985" s="26">
        <v>0</v>
      </c>
      <c r="R2985" s="26"/>
      <c r="S2985" s="26">
        <v>0</v>
      </c>
      <c r="T2985" s="26">
        <v>0</v>
      </c>
      <c r="U2985" s="26">
        <v>0</v>
      </c>
      <c r="V2985" s="28">
        <v>0</v>
      </c>
      <c r="W2985" s="26">
        <v>0</v>
      </c>
      <c r="X2985" s="26">
        <v>0</v>
      </c>
      <c r="Y2985" s="26">
        <v>0</v>
      </c>
      <c r="Z2985" s="26">
        <v>0</v>
      </c>
    </row>
    <row r="2986" spans="1:26" x14ac:dyDescent="0.2">
      <c r="A2986">
        <f t="shared" si="94"/>
        <v>6</v>
      </c>
      <c r="B2986">
        <f t="shared" si="95"/>
        <v>26</v>
      </c>
      <c r="C2986" s="27">
        <v>46197</v>
      </c>
      <c r="D2986" s="26" t="s">
        <v>26</v>
      </c>
      <c r="E2986" s="26" t="s">
        <v>49</v>
      </c>
      <c r="F2986" s="26" t="s">
        <v>50</v>
      </c>
      <c r="G2986" s="26" t="s">
        <v>29</v>
      </c>
      <c r="H2986" s="26" t="s">
        <v>30</v>
      </c>
      <c r="I2986" s="26" t="s">
        <v>51</v>
      </c>
      <c r="J2986" s="26" t="s">
        <v>42</v>
      </c>
      <c r="K2986" s="26" t="s">
        <v>1812</v>
      </c>
      <c r="L2986" s="26">
        <v>4</v>
      </c>
      <c r="M2986" s="26">
        <v>1</v>
      </c>
      <c r="N2986" s="28">
        <v>0.25</v>
      </c>
      <c r="O2986" s="26">
        <v>0.33</v>
      </c>
      <c r="P2986" s="26">
        <v>0.33</v>
      </c>
      <c r="Q2986" s="26">
        <v>0</v>
      </c>
      <c r="R2986" s="26"/>
      <c r="S2986" s="26">
        <v>0</v>
      </c>
      <c r="T2986" s="26">
        <v>0</v>
      </c>
      <c r="U2986" s="26">
        <v>0</v>
      </c>
      <c r="V2986" s="28">
        <v>0</v>
      </c>
      <c r="W2986" s="26">
        <v>0</v>
      </c>
      <c r="X2986" s="26">
        <v>0</v>
      </c>
      <c r="Y2986" s="26">
        <v>0</v>
      </c>
      <c r="Z2986" s="26">
        <v>0</v>
      </c>
    </row>
    <row r="2987" spans="1:26" x14ac:dyDescent="0.2">
      <c r="A2987">
        <f t="shared" si="94"/>
        <v>6</v>
      </c>
      <c r="B2987">
        <f t="shared" si="95"/>
        <v>27</v>
      </c>
      <c r="C2987" s="27">
        <v>46202</v>
      </c>
      <c r="D2987" s="26" t="s">
        <v>26</v>
      </c>
      <c r="E2987" s="26" t="s">
        <v>49</v>
      </c>
      <c r="F2987" s="26" t="s">
        <v>50</v>
      </c>
      <c r="G2987" s="26" t="s">
        <v>29</v>
      </c>
      <c r="H2987" s="26" t="s">
        <v>30</v>
      </c>
      <c r="I2987" s="26" t="s">
        <v>51</v>
      </c>
      <c r="J2987" s="26" t="s">
        <v>42</v>
      </c>
      <c r="K2987" s="26" t="s">
        <v>76</v>
      </c>
      <c r="L2987" s="26">
        <v>6</v>
      </c>
      <c r="M2987" s="26">
        <v>1</v>
      </c>
      <c r="N2987" s="28">
        <v>0.16666700000000001</v>
      </c>
      <c r="O2987" s="26">
        <v>0.48</v>
      </c>
      <c r="P2987" s="26">
        <v>0.48</v>
      </c>
      <c r="Q2987" s="26">
        <v>0</v>
      </c>
      <c r="R2987" s="26"/>
      <c r="S2987" s="26">
        <v>0</v>
      </c>
      <c r="T2987" s="26">
        <v>0</v>
      </c>
      <c r="U2987" s="26">
        <v>0</v>
      </c>
      <c r="V2987" s="28">
        <v>0</v>
      </c>
      <c r="W2987" s="26">
        <v>0</v>
      </c>
      <c r="X2987" s="26">
        <v>0</v>
      </c>
      <c r="Y2987" s="26">
        <v>0</v>
      </c>
      <c r="Z2987" s="26">
        <v>0</v>
      </c>
    </row>
    <row r="2988" spans="1:26" x14ac:dyDescent="0.2">
      <c r="A2988">
        <f t="shared" si="94"/>
        <v>6</v>
      </c>
      <c r="B2988">
        <f t="shared" si="95"/>
        <v>27</v>
      </c>
      <c r="C2988" s="27">
        <v>46201</v>
      </c>
      <c r="D2988" s="26" t="s">
        <v>26</v>
      </c>
      <c r="E2988" s="26" t="s">
        <v>49</v>
      </c>
      <c r="F2988" s="26" t="s">
        <v>50</v>
      </c>
      <c r="G2988" s="26" t="s">
        <v>29</v>
      </c>
      <c r="H2988" s="26" t="s">
        <v>30</v>
      </c>
      <c r="I2988" s="26" t="s">
        <v>51</v>
      </c>
      <c r="J2988" s="26" t="s">
        <v>42</v>
      </c>
      <c r="K2988" s="26" t="s">
        <v>1813</v>
      </c>
      <c r="L2988" s="26">
        <v>1</v>
      </c>
      <c r="M2988" s="26">
        <v>1</v>
      </c>
      <c r="N2988" s="28">
        <v>1</v>
      </c>
      <c r="O2988" s="26">
        <v>0.7</v>
      </c>
      <c r="P2988" s="26">
        <v>0.7</v>
      </c>
      <c r="Q2988" s="26">
        <v>0</v>
      </c>
      <c r="R2988" s="26"/>
      <c r="S2988" s="26">
        <v>0</v>
      </c>
      <c r="T2988" s="26">
        <v>0</v>
      </c>
      <c r="U2988" s="26">
        <v>0</v>
      </c>
      <c r="V2988" s="28">
        <v>0</v>
      </c>
      <c r="W2988" s="26">
        <v>0</v>
      </c>
      <c r="X2988" s="26">
        <v>0</v>
      </c>
      <c r="Y2988" s="26">
        <v>0</v>
      </c>
      <c r="Z2988" s="26">
        <v>0</v>
      </c>
    </row>
    <row r="2989" spans="1:26" x14ac:dyDescent="0.2">
      <c r="A2989">
        <f t="shared" si="94"/>
        <v>6</v>
      </c>
      <c r="B2989">
        <f t="shared" si="95"/>
        <v>26</v>
      </c>
      <c r="C2989" s="27">
        <v>46197</v>
      </c>
      <c r="D2989" s="26" t="s">
        <v>26</v>
      </c>
      <c r="E2989" s="26" t="s">
        <v>49</v>
      </c>
      <c r="F2989" s="26" t="s">
        <v>50</v>
      </c>
      <c r="G2989" s="26" t="s">
        <v>29</v>
      </c>
      <c r="H2989" s="26" t="s">
        <v>30</v>
      </c>
      <c r="I2989" s="26" t="s">
        <v>51</v>
      </c>
      <c r="J2989" s="26" t="s">
        <v>42</v>
      </c>
      <c r="K2989" s="26" t="s">
        <v>1814</v>
      </c>
      <c r="L2989" s="26">
        <v>5</v>
      </c>
      <c r="M2989" s="26">
        <v>1</v>
      </c>
      <c r="N2989" s="28">
        <v>0.2</v>
      </c>
      <c r="O2989" s="26">
        <v>0.92</v>
      </c>
      <c r="P2989" s="26">
        <v>0.92</v>
      </c>
      <c r="Q2989" s="26">
        <v>0</v>
      </c>
      <c r="R2989" s="26"/>
      <c r="S2989" s="26">
        <v>0</v>
      </c>
      <c r="T2989" s="26">
        <v>0</v>
      </c>
      <c r="U2989" s="26">
        <v>0</v>
      </c>
      <c r="V2989" s="28">
        <v>0</v>
      </c>
      <c r="W2989" s="26">
        <v>0</v>
      </c>
      <c r="X2989" s="26">
        <v>0</v>
      </c>
      <c r="Y2989" s="26">
        <v>0</v>
      </c>
      <c r="Z2989" s="26">
        <v>0</v>
      </c>
    </row>
    <row r="2990" spans="1:26" x14ac:dyDescent="0.2">
      <c r="A2990">
        <f t="shared" si="94"/>
        <v>6</v>
      </c>
      <c r="B2990">
        <f t="shared" si="95"/>
        <v>26</v>
      </c>
      <c r="C2990" s="27">
        <v>46195</v>
      </c>
      <c r="D2990" s="26" t="s">
        <v>26</v>
      </c>
      <c r="E2990" s="26" t="s">
        <v>49</v>
      </c>
      <c r="F2990" s="26" t="s">
        <v>50</v>
      </c>
      <c r="G2990" s="26" t="s">
        <v>29</v>
      </c>
      <c r="H2990" s="26" t="s">
        <v>30</v>
      </c>
      <c r="I2990" s="26" t="s">
        <v>51</v>
      </c>
      <c r="J2990" s="26" t="s">
        <v>42</v>
      </c>
      <c r="K2990" s="26" t="s">
        <v>1815</v>
      </c>
      <c r="L2990" s="26">
        <v>3</v>
      </c>
      <c r="M2990" s="26">
        <v>1</v>
      </c>
      <c r="N2990" s="28">
        <v>0.33333299999999999</v>
      </c>
      <c r="O2990" s="26">
        <v>0.92</v>
      </c>
      <c r="P2990" s="26">
        <v>0.92</v>
      </c>
      <c r="Q2990" s="26">
        <v>0</v>
      </c>
      <c r="R2990" s="26"/>
      <c r="S2990" s="26">
        <v>0</v>
      </c>
      <c r="T2990" s="26">
        <v>0</v>
      </c>
      <c r="U2990" s="26">
        <v>0</v>
      </c>
      <c r="V2990" s="28">
        <v>0</v>
      </c>
      <c r="W2990" s="26">
        <v>0</v>
      </c>
      <c r="X2990" s="26">
        <v>0</v>
      </c>
      <c r="Y2990" s="26">
        <v>0</v>
      </c>
      <c r="Z2990" s="26">
        <v>0</v>
      </c>
    </row>
    <row r="2991" spans="1:26" x14ac:dyDescent="0.2">
      <c r="A2991">
        <f t="shared" si="94"/>
        <v>6</v>
      </c>
      <c r="B2991">
        <f t="shared" si="95"/>
        <v>26</v>
      </c>
      <c r="C2991" s="27">
        <v>46200</v>
      </c>
      <c r="D2991" s="26" t="s">
        <v>26</v>
      </c>
      <c r="E2991" s="26" t="s">
        <v>27</v>
      </c>
      <c r="F2991" s="26" t="s">
        <v>28</v>
      </c>
      <c r="G2991" s="26" t="s">
        <v>29</v>
      </c>
      <c r="H2991" s="26" t="s">
        <v>30</v>
      </c>
      <c r="I2991" s="26" t="s">
        <v>119</v>
      </c>
      <c r="J2991" s="26" t="s">
        <v>32</v>
      </c>
      <c r="K2991" s="26" t="s">
        <v>1816</v>
      </c>
      <c r="L2991" s="26">
        <v>1</v>
      </c>
      <c r="M2991" s="26">
        <v>1</v>
      </c>
      <c r="N2991" s="28">
        <v>1</v>
      </c>
      <c r="O2991" s="26">
        <v>0.12</v>
      </c>
      <c r="P2991" s="26">
        <v>0.12</v>
      </c>
      <c r="Q2991" s="26">
        <v>0</v>
      </c>
      <c r="R2991" s="26"/>
      <c r="S2991" s="26">
        <v>0</v>
      </c>
      <c r="T2991" s="26">
        <v>0</v>
      </c>
      <c r="U2991" s="26">
        <v>0</v>
      </c>
      <c r="V2991" s="28">
        <v>0</v>
      </c>
      <c r="W2991" s="26">
        <v>0</v>
      </c>
      <c r="X2991" s="26">
        <v>0</v>
      </c>
      <c r="Y2991" s="26">
        <v>0</v>
      </c>
      <c r="Z2991" s="26">
        <v>0</v>
      </c>
    </row>
    <row r="2992" spans="1:26" x14ac:dyDescent="0.2">
      <c r="A2992">
        <f t="shared" si="94"/>
        <v>6</v>
      </c>
      <c r="B2992">
        <f t="shared" si="95"/>
        <v>26</v>
      </c>
      <c r="C2992" s="27">
        <v>46195</v>
      </c>
      <c r="D2992" s="26" t="s">
        <v>26</v>
      </c>
      <c r="E2992" s="26" t="s">
        <v>49</v>
      </c>
      <c r="F2992" s="26" t="s">
        <v>50</v>
      </c>
      <c r="G2992" s="26" t="s">
        <v>29</v>
      </c>
      <c r="H2992" s="26" t="s">
        <v>30</v>
      </c>
      <c r="I2992" s="26" t="s">
        <v>95</v>
      </c>
      <c r="J2992" s="26" t="s">
        <v>42</v>
      </c>
      <c r="K2992" s="26" t="s">
        <v>1817</v>
      </c>
      <c r="L2992" s="26">
        <v>3</v>
      </c>
      <c r="M2992" s="26">
        <v>1</v>
      </c>
      <c r="N2992" s="28">
        <v>0.33333299999999999</v>
      </c>
      <c r="O2992" s="26">
        <v>0.6</v>
      </c>
      <c r="P2992" s="26">
        <v>0.6</v>
      </c>
      <c r="Q2992" s="26">
        <v>0</v>
      </c>
      <c r="R2992" s="26"/>
      <c r="S2992" s="26">
        <v>0</v>
      </c>
      <c r="T2992" s="26">
        <v>0</v>
      </c>
      <c r="U2992" s="26">
        <v>0</v>
      </c>
      <c r="V2992" s="28">
        <v>0</v>
      </c>
      <c r="W2992" s="26">
        <v>0</v>
      </c>
      <c r="X2992" s="26">
        <v>0</v>
      </c>
      <c r="Y2992" s="26">
        <v>0</v>
      </c>
      <c r="Z2992" s="26">
        <v>0</v>
      </c>
    </row>
    <row r="2993" spans="1:26" x14ac:dyDescent="0.2">
      <c r="A2993">
        <f t="shared" si="94"/>
        <v>6</v>
      </c>
      <c r="B2993">
        <f t="shared" si="95"/>
        <v>26</v>
      </c>
      <c r="C2993" s="27">
        <v>46197</v>
      </c>
      <c r="D2993" s="26" t="s">
        <v>26</v>
      </c>
      <c r="E2993" s="26" t="s">
        <v>49</v>
      </c>
      <c r="F2993" s="26" t="s">
        <v>50</v>
      </c>
      <c r="G2993" s="26" t="s">
        <v>29</v>
      </c>
      <c r="H2993" s="26" t="s">
        <v>30</v>
      </c>
      <c r="I2993" s="26" t="s">
        <v>95</v>
      </c>
      <c r="J2993" s="26" t="s">
        <v>42</v>
      </c>
      <c r="K2993" s="26" t="s">
        <v>1818</v>
      </c>
      <c r="L2993" s="26">
        <v>2</v>
      </c>
      <c r="M2993" s="26">
        <v>1</v>
      </c>
      <c r="N2993" s="28">
        <v>0.5</v>
      </c>
      <c r="O2993" s="26">
        <v>0.1</v>
      </c>
      <c r="P2993" s="26">
        <v>0.1</v>
      </c>
      <c r="Q2993" s="26">
        <v>0</v>
      </c>
      <c r="R2993" s="26"/>
      <c r="S2993" s="26">
        <v>0</v>
      </c>
      <c r="T2993" s="26">
        <v>0</v>
      </c>
      <c r="U2993" s="26">
        <v>0</v>
      </c>
      <c r="V2993" s="28">
        <v>0</v>
      </c>
      <c r="W2993" s="26">
        <v>0</v>
      </c>
      <c r="X2993" s="26">
        <v>0</v>
      </c>
      <c r="Y2993" s="26">
        <v>0</v>
      </c>
      <c r="Z2993" s="26">
        <v>0</v>
      </c>
    </row>
    <row r="2994" spans="1:26" x14ac:dyDescent="0.2">
      <c r="A2994">
        <f t="shared" si="94"/>
        <v>6</v>
      </c>
      <c r="B2994">
        <f t="shared" si="95"/>
        <v>27</v>
      </c>
      <c r="C2994" s="27">
        <v>46203</v>
      </c>
      <c r="D2994" s="26" t="s">
        <v>26</v>
      </c>
      <c r="E2994" s="26" t="s">
        <v>49</v>
      </c>
      <c r="F2994" s="26" t="s">
        <v>50</v>
      </c>
      <c r="G2994" s="26" t="s">
        <v>29</v>
      </c>
      <c r="H2994" s="26" t="s">
        <v>30</v>
      </c>
      <c r="I2994" s="26" t="s">
        <v>95</v>
      </c>
      <c r="J2994" s="26" t="s">
        <v>42</v>
      </c>
      <c r="K2994" s="26" t="s">
        <v>1819</v>
      </c>
      <c r="L2994" s="26">
        <v>4</v>
      </c>
      <c r="M2994" s="26">
        <v>2</v>
      </c>
      <c r="N2994" s="28">
        <v>0.5</v>
      </c>
      <c r="O2994" s="26">
        <v>0.51</v>
      </c>
      <c r="P2994" s="26">
        <v>1.02</v>
      </c>
      <c r="Q2994" s="26">
        <v>0</v>
      </c>
      <c r="R2994" s="26"/>
      <c r="S2994" s="26">
        <v>0</v>
      </c>
      <c r="T2994" s="26">
        <v>0</v>
      </c>
      <c r="U2994" s="26">
        <v>0</v>
      </c>
      <c r="V2994" s="28">
        <v>0</v>
      </c>
      <c r="W2994" s="26">
        <v>0</v>
      </c>
      <c r="X2994" s="26">
        <v>0</v>
      </c>
      <c r="Y2994" s="26">
        <v>0</v>
      </c>
      <c r="Z2994" s="26">
        <v>0</v>
      </c>
    </row>
    <row r="2995" spans="1:26" x14ac:dyDescent="0.2">
      <c r="A2995">
        <f t="shared" si="94"/>
        <v>6</v>
      </c>
      <c r="B2995">
        <f t="shared" si="95"/>
        <v>26</v>
      </c>
      <c r="C2995" s="27">
        <v>46195</v>
      </c>
      <c r="D2995" s="26" t="s">
        <v>26</v>
      </c>
      <c r="E2995" s="26" t="s">
        <v>49</v>
      </c>
      <c r="F2995" s="26" t="s">
        <v>50</v>
      </c>
      <c r="G2995" s="26" t="s">
        <v>29</v>
      </c>
      <c r="H2995" s="26" t="s">
        <v>30</v>
      </c>
      <c r="I2995" s="26" t="s">
        <v>95</v>
      </c>
      <c r="J2995" s="26" t="s">
        <v>42</v>
      </c>
      <c r="K2995" s="26" t="s">
        <v>1820</v>
      </c>
      <c r="L2995" s="26">
        <v>5</v>
      </c>
      <c r="M2995" s="26">
        <v>1</v>
      </c>
      <c r="N2995" s="28">
        <v>0.2</v>
      </c>
      <c r="O2995" s="26">
        <v>0.6</v>
      </c>
      <c r="P2995" s="26">
        <v>0.6</v>
      </c>
      <c r="Q2995" s="26">
        <v>0</v>
      </c>
      <c r="R2995" s="26"/>
      <c r="S2995" s="26">
        <v>0</v>
      </c>
      <c r="T2995" s="26">
        <v>0</v>
      </c>
      <c r="U2995" s="26">
        <v>0</v>
      </c>
      <c r="V2995" s="28">
        <v>0</v>
      </c>
      <c r="W2995" s="26">
        <v>0</v>
      </c>
      <c r="X2995" s="26">
        <v>0</v>
      </c>
      <c r="Y2995" s="26">
        <v>0</v>
      </c>
      <c r="Z2995" s="26">
        <v>0</v>
      </c>
    </row>
    <row r="2996" spans="1:26" x14ac:dyDescent="0.2">
      <c r="A2996">
        <f t="shared" si="94"/>
        <v>6</v>
      </c>
      <c r="B2996">
        <f t="shared" si="95"/>
        <v>27</v>
      </c>
      <c r="C2996" s="27">
        <v>46201</v>
      </c>
      <c r="D2996" s="26" t="s">
        <v>26</v>
      </c>
      <c r="E2996" s="26" t="s">
        <v>27</v>
      </c>
      <c r="F2996" s="26" t="s">
        <v>28</v>
      </c>
      <c r="G2996" s="26" t="s">
        <v>29</v>
      </c>
      <c r="H2996" s="26" t="s">
        <v>30</v>
      </c>
      <c r="I2996" s="26" t="s">
        <v>119</v>
      </c>
      <c r="J2996" s="26" t="s">
        <v>32</v>
      </c>
      <c r="K2996" s="26" t="s">
        <v>1821</v>
      </c>
      <c r="L2996" s="26">
        <v>1</v>
      </c>
      <c r="M2996" s="26">
        <v>1</v>
      </c>
      <c r="N2996" s="28">
        <v>1</v>
      </c>
      <c r="O2996" s="26">
        <v>0.15</v>
      </c>
      <c r="P2996" s="26">
        <v>0.15</v>
      </c>
      <c r="Q2996" s="26">
        <v>0</v>
      </c>
      <c r="R2996" s="26"/>
      <c r="S2996" s="26">
        <v>0</v>
      </c>
      <c r="T2996" s="26">
        <v>0</v>
      </c>
      <c r="U2996" s="26">
        <v>0</v>
      </c>
      <c r="V2996" s="28">
        <v>0</v>
      </c>
      <c r="W2996" s="26">
        <v>0</v>
      </c>
      <c r="X2996" s="26">
        <v>0</v>
      </c>
      <c r="Y2996" s="26">
        <v>0</v>
      </c>
      <c r="Z2996" s="26">
        <v>0</v>
      </c>
    </row>
    <row r="2997" spans="1:26" x14ac:dyDescent="0.2">
      <c r="A2997">
        <f t="shared" si="94"/>
        <v>6</v>
      </c>
      <c r="B2997">
        <f t="shared" si="95"/>
        <v>27</v>
      </c>
      <c r="C2997" s="27">
        <v>46202</v>
      </c>
      <c r="D2997" s="26" t="s">
        <v>26</v>
      </c>
      <c r="E2997" s="26" t="s">
        <v>27</v>
      </c>
      <c r="F2997" s="26" t="s">
        <v>28</v>
      </c>
      <c r="G2997" s="26" t="s">
        <v>29</v>
      </c>
      <c r="H2997" s="26" t="s">
        <v>30</v>
      </c>
      <c r="I2997" s="26" t="s">
        <v>50</v>
      </c>
      <c r="J2997" s="26" t="s">
        <v>32</v>
      </c>
      <c r="K2997" s="26" t="s">
        <v>1822</v>
      </c>
      <c r="L2997" s="26">
        <v>1</v>
      </c>
      <c r="M2997" s="26">
        <v>1</v>
      </c>
      <c r="N2997" s="28">
        <v>1</v>
      </c>
      <c r="O2997" s="26">
        <v>0.21</v>
      </c>
      <c r="P2997" s="26">
        <v>0.21</v>
      </c>
      <c r="Q2997" s="26">
        <v>0</v>
      </c>
      <c r="R2997" s="26"/>
      <c r="S2997" s="26">
        <v>0</v>
      </c>
      <c r="T2997" s="26">
        <v>0</v>
      </c>
      <c r="U2997" s="26">
        <v>0</v>
      </c>
      <c r="V2997" s="28">
        <v>0</v>
      </c>
      <c r="W2997" s="26">
        <v>0</v>
      </c>
      <c r="X2997" s="26">
        <v>0</v>
      </c>
      <c r="Y2997" s="26">
        <v>0</v>
      </c>
      <c r="Z2997" s="26">
        <v>0</v>
      </c>
    </row>
    <row r="2998" spans="1:26" x14ac:dyDescent="0.2">
      <c r="A2998">
        <f t="shared" si="94"/>
        <v>6</v>
      </c>
      <c r="B2998">
        <f t="shared" si="95"/>
        <v>26</v>
      </c>
      <c r="C2998" s="27">
        <v>46199</v>
      </c>
      <c r="D2998" s="26" t="s">
        <v>26</v>
      </c>
      <c r="E2998" s="26" t="s">
        <v>49</v>
      </c>
      <c r="F2998" s="26" t="s">
        <v>50</v>
      </c>
      <c r="G2998" s="26" t="s">
        <v>29</v>
      </c>
      <c r="H2998" s="26" t="s">
        <v>30</v>
      </c>
      <c r="I2998" s="26" t="s">
        <v>47</v>
      </c>
      <c r="J2998" s="26" t="s">
        <v>42</v>
      </c>
      <c r="K2998" s="26" t="s">
        <v>1419</v>
      </c>
      <c r="L2998" s="26">
        <v>1</v>
      </c>
      <c r="M2998" s="26">
        <v>1</v>
      </c>
      <c r="N2998" s="28">
        <v>1</v>
      </c>
      <c r="O2998" s="26">
        <v>1.3</v>
      </c>
      <c r="P2998" s="26">
        <v>1.3</v>
      </c>
      <c r="Q2998" s="26">
        <v>0</v>
      </c>
      <c r="R2998" s="26"/>
      <c r="S2998" s="26">
        <v>0</v>
      </c>
      <c r="T2998" s="26">
        <v>0</v>
      </c>
      <c r="U2998" s="26">
        <v>0</v>
      </c>
      <c r="V2998" s="28">
        <v>0</v>
      </c>
      <c r="W2998" s="26">
        <v>0</v>
      </c>
      <c r="X2998" s="26">
        <v>0</v>
      </c>
      <c r="Y2998" s="26">
        <v>0</v>
      </c>
      <c r="Z2998" s="26">
        <v>0</v>
      </c>
    </row>
    <row r="2999" spans="1:26" x14ac:dyDescent="0.2">
      <c r="A2999">
        <f t="shared" si="94"/>
        <v>6</v>
      </c>
      <c r="B2999">
        <f t="shared" si="95"/>
        <v>26</v>
      </c>
      <c r="C2999" s="27">
        <v>46199</v>
      </c>
      <c r="D2999" s="26" t="s">
        <v>26</v>
      </c>
      <c r="E2999" s="26" t="s">
        <v>27</v>
      </c>
      <c r="F2999" s="26" t="s">
        <v>28</v>
      </c>
      <c r="G2999" s="26" t="s">
        <v>29</v>
      </c>
      <c r="H2999" s="26" t="s">
        <v>30</v>
      </c>
      <c r="I2999" s="26" t="s">
        <v>44</v>
      </c>
      <c r="J2999" s="26" t="s">
        <v>32</v>
      </c>
      <c r="K2999" s="26" t="s">
        <v>1823</v>
      </c>
      <c r="L2999" s="26">
        <v>2</v>
      </c>
      <c r="M2999" s="26">
        <v>1</v>
      </c>
      <c r="N2999" s="28">
        <v>0.5</v>
      </c>
      <c r="O2999" s="26">
        <v>0.21</v>
      </c>
      <c r="P2999" s="26">
        <v>0.21</v>
      </c>
      <c r="Q2999" s="26">
        <v>0</v>
      </c>
      <c r="R2999" s="26"/>
      <c r="S2999" s="26">
        <v>0</v>
      </c>
      <c r="T2999" s="26">
        <v>0</v>
      </c>
      <c r="U2999" s="26">
        <v>0</v>
      </c>
      <c r="V2999" s="28">
        <v>0</v>
      </c>
      <c r="W2999" s="26">
        <v>0</v>
      </c>
      <c r="X2999" s="26">
        <v>0</v>
      </c>
      <c r="Y2999" s="26">
        <v>0</v>
      </c>
      <c r="Z2999" s="26">
        <v>0</v>
      </c>
    </row>
    <row r="3000" spans="1:26" x14ac:dyDescent="0.2">
      <c r="A3000">
        <f t="shared" si="94"/>
        <v>6</v>
      </c>
      <c r="B3000">
        <f t="shared" si="95"/>
        <v>27</v>
      </c>
      <c r="C3000" s="27">
        <v>46201</v>
      </c>
      <c r="D3000" s="26" t="s">
        <v>26</v>
      </c>
      <c r="E3000" s="26" t="s">
        <v>27</v>
      </c>
      <c r="F3000" s="26" t="s">
        <v>28</v>
      </c>
      <c r="G3000" s="26" t="s">
        <v>29</v>
      </c>
      <c r="H3000" s="26" t="s">
        <v>30</v>
      </c>
      <c r="I3000" s="26" t="s">
        <v>50</v>
      </c>
      <c r="J3000" s="26" t="s">
        <v>32</v>
      </c>
      <c r="K3000" s="26" t="s">
        <v>1824</v>
      </c>
      <c r="L3000" s="26">
        <v>3</v>
      </c>
      <c r="M3000" s="26">
        <v>2</v>
      </c>
      <c r="N3000" s="28">
        <v>0.66666700000000001</v>
      </c>
      <c r="O3000" s="26">
        <v>0.08</v>
      </c>
      <c r="P3000" s="26">
        <v>0.16</v>
      </c>
      <c r="Q3000" s="26">
        <v>0</v>
      </c>
      <c r="R3000" s="26"/>
      <c r="S3000" s="26">
        <v>0</v>
      </c>
      <c r="T3000" s="26">
        <v>0</v>
      </c>
      <c r="U3000" s="26">
        <v>0</v>
      </c>
      <c r="V3000" s="28">
        <v>0</v>
      </c>
      <c r="W3000" s="26">
        <v>0</v>
      </c>
      <c r="X3000" s="26">
        <v>0</v>
      </c>
      <c r="Y3000" s="26">
        <v>0</v>
      </c>
      <c r="Z3000" s="26">
        <v>0</v>
      </c>
    </row>
    <row r="3001" spans="1:26" x14ac:dyDescent="0.2">
      <c r="A3001">
        <f t="shared" ref="A3001:A3064" si="96">MONTH(C3001)</f>
        <v>6</v>
      </c>
      <c r="B3001">
        <f t="shared" ref="B3001:B3064" si="97">WEEKNUM(C3001,1)</f>
        <v>26</v>
      </c>
      <c r="C3001" s="27">
        <v>46197</v>
      </c>
      <c r="D3001" s="26" t="s">
        <v>26</v>
      </c>
      <c r="E3001" s="26" t="s">
        <v>27</v>
      </c>
      <c r="F3001" s="26" t="s">
        <v>28</v>
      </c>
      <c r="G3001" s="26" t="s">
        <v>29</v>
      </c>
      <c r="H3001" s="26" t="s">
        <v>30</v>
      </c>
      <c r="I3001" s="26" t="s">
        <v>50</v>
      </c>
      <c r="J3001" s="26" t="s">
        <v>32</v>
      </c>
      <c r="K3001" s="26" t="s">
        <v>1825</v>
      </c>
      <c r="L3001" s="26">
        <v>1</v>
      </c>
      <c r="M3001" s="26">
        <v>1</v>
      </c>
      <c r="N3001" s="28">
        <v>1</v>
      </c>
      <c r="O3001" s="26">
        <v>0.21</v>
      </c>
      <c r="P3001" s="26">
        <v>0.21</v>
      </c>
      <c r="Q3001" s="26">
        <v>0</v>
      </c>
      <c r="R3001" s="26"/>
      <c r="S3001" s="26">
        <v>0</v>
      </c>
      <c r="T3001" s="26">
        <v>0</v>
      </c>
      <c r="U3001" s="26">
        <v>0</v>
      </c>
      <c r="V3001" s="28">
        <v>0</v>
      </c>
      <c r="W3001" s="26">
        <v>0</v>
      </c>
      <c r="X3001" s="26">
        <v>0</v>
      </c>
      <c r="Y3001" s="26">
        <v>0</v>
      </c>
      <c r="Z3001" s="26">
        <v>0</v>
      </c>
    </row>
    <row r="3002" spans="1:26" x14ac:dyDescent="0.2">
      <c r="A3002">
        <f t="shared" si="96"/>
        <v>6</v>
      </c>
      <c r="B3002">
        <f t="shared" si="97"/>
        <v>26</v>
      </c>
      <c r="C3002" s="27">
        <v>46197</v>
      </c>
      <c r="D3002" s="26" t="s">
        <v>26</v>
      </c>
      <c r="E3002" s="26" t="s">
        <v>27</v>
      </c>
      <c r="F3002" s="26" t="s">
        <v>124</v>
      </c>
      <c r="G3002" s="26" t="s">
        <v>29</v>
      </c>
      <c r="H3002" s="26" t="s">
        <v>30</v>
      </c>
      <c r="I3002" s="26" t="s">
        <v>37</v>
      </c>
      <c r="J3002" s="26" t="s">
        <v>87</v>
      </c>
      <c r="K3002" s="26" t="s">
        <v>1826</v>
      </c>
      <c r="L3002" s="26">
        <v>1</v>
      </c>
      <c r="M3002" s="26">
        <v>1</v>
      </c>
      <c r="N3002" s="28">
        <v>1</v>
      </c>
      <c r="O3002" s="26">
        <v>0.23</v>
      </c>
      <c r="P3002" s="26">
        <v>0.23</v>
      </c>
      <c r="Q3002" s="26">
        <v>0</v>
      </c>
      <c r="R3002" s="26"/>
      <c r="S3002" s="26">
        <v>0</v>
      </c>
      <c r="T3002" s="26">
        <v>0</v>
      </c>
      <c r="U3002" s="26">
        <v>0</v>
      </c>
      <c r="V3002" s="28">
        <v>0</v>
      </c>
      <c r="W3002" s="26">
        <v>0</v>
      </c>
      <c r="X3002" s="26">
        <v>0</v>
      </c>
      <c r="Y3002" s="26">
        <v>0</v>
      </c>
      <c r="Z3002" s="26">
        <v>0</v>
      </c>
    </row>
    <row r="3003" spans="1:26" x14ac:dyDescent="0.2">
      <c r="A3003">
        <f t="shared" si="96"/>
        <v>6</v>
      </c>
      <c r="B3003">
        <f t="shared" si="97"/>
        <v>26</v>
      </c>
      <c r="C3003" s="27">
        <v>46195</v>
      </c>
      <c r="D3003" s="26" t="s">
        <v>26</v>
      </c>
      <c r="E3003" s="26" t="s">
        <v>27</v>
      </c>
      <c r="F3003" s="26" t="s">
        <v>28</v>
      </c>
      <c r="G3003" s="26" t="s">
        <v>29</v>
      </c>
      <c r="H3003" s="26" t="s">
        <v>30</v>
      </c>
      <c r="I3003" s="26" t="s">
        <v>31</v>
      </c>
      <c r="J3003" s="26" t="s">
        <v>32</v>
      </c>
      <c r="K3003" s="26" t="s">
        <v>1827</v>
      </c>
      <c r="L3003" s="26">
        <v>1</v>
      </c>
      <c r="M3003" s="26">
        <v>1</v>
      </c>
      <c r="N3003" s="28">
        <v>1</v>
      </c>
      <c r="O3003" s="26">
        <v>0.2</v>
      </c>
      <c r="P3003" s="26">
        <v>0.2</v>
      </c>
      <c r="Q3003" s="26">
        <v>18.989999999999998</v>
      </c>
      <c r="R3003" s="28">
        <v>1.0532E-2</v>
      </c>
      <c r="S3003" s="26">
        <v>94.95</v>
      </c>
      <c r="T3003" s="26">
        <v>1</v>
      </c>
      <c r="U3003" s="26">
        <v>1</v>
      </c>
      <c r="V3003" s="28">
        <v>1</v>
      </c>
      <c r="W3003" s="26">
        <v>1</v>
      </c>
      <c r="X3003" s="26">
        <v>0</v>
      </c>
      <c r="Y3003" s="26">
        <v>18.989999999999998</v>
      </c>
      <c r="Z3003" s="26">
        <v>0</v>
      </c>
    </row>
    <row r="3004" spans="1:26" x14ac:dyDescent="0.2">
      <c r="A3004">
        <f t="shared" si="96"/>
        <v>6</v>
      </c>
      <c r="B3004">
        <f t="shared" si="97"/>
        <v>26</v>
      </c>
      <c r="C3004" s="27">
        <v>46200</v>
      </c>
      <c r="D3004" s="26" t="s">
        <v>26</v>
      </c>
      <c r="E3004" s="26" t="s">
        <v>27</v>
      </c>
      <c r="F3004" s="26" t="s">
        <v>28</v>
      </c>
      <c r="G3004" s="26" t="s">
        <v>29</v>
      </c>
      <c r="H3004" s="26" t="s">
        <v>30</v>
      </c>
      <c r="I3004" s="26" t="s">
        <v>119</v>
      </c>
      <c r="J3004" s="26" t="s">
        <v>32</v>
      </c>
      <c r="K3004" s="26" t="s">
        <v>1430</v>
      </c>
      <c r="L3004" s="26">
        <v>3</v>
      </c>
      <c r="M3004" s="26">
        <v>1</v>
      </c>
      <c r="N3004" s="28">
        <v>0.33333299999999999</v>
      </c>
      <c r="O3004" s="26">
        <v>0.16</v>
      </c>
      <c r="P3004" s="26">
        <v>0.16</v>
      </c>
      <c r="Q3004" s="26">
        <v>0</v>
      </c>
      <c r="R3004" s="26"/>
      <c r="S3004" s="26">
        <v>0</v>
      </c>
      <c r="T3004" s="26">
        <v>0</v>
      </c>
      <c r="U3004" s="26">
        <v>0</v>
      </c>
      <c r="V3004" s="28">
        <v>0</v>
      </c>
      <c r="W3004" s="26">
        <v>0</v>
      </c>
      <c r="X3004" s="26">
        <v>0</v>
      </c>
      <c r="Y3004" s="26">
        <v>0</v>
      </c>
      <c r="Z3004" s="26">
        <v>0</v>
      </c>
    </row>
    <row r="3005" spans="1:26" x14ac:dyDescent="0.2">
      <c r="A3005">
        <f t="shared" si="96"/>
        <v>6</v>
      </c>
      <c r="B3005">
        <f t="shared" si="97"/>
        <v>26</v>
      </c>
      <c r="C3005" s="27">
        <v>46197</v>
      </c>
      <c r="D3005" s="26" t="s">
        <v>26</v>
      </c>
      <c r="E3005" s="26" t="s">
        <v>27</v>
      </c>
      <c r="F3005" s="26" t="s">
        <v>28</v>
      </c>
      <c r="G3005" s="26" t="s">
        <v>29</v>
      </c>
      <c r="H3005" s="26" t="s">
        <v>30</v>
      </c>
      <c r="I3005" s="26" t="s">
        <v>243</v>
      </c>
      <c r="J3005" s="26" t="s">
        <v>32</v>
      </c>
      <c r="K3005" s="26" t="s">
        <v>1828</v>
      </c>
      <c r="L3005" s="26">
        <v>1</v>
      </c>
      <c r="M3005" s="26">
        <v>1</v>
      </c>
      <c r="N3005" s="28">
        <v>1</v>
      </c>
      <c r="O3005" s="26">
        <v>0.21</v>
      </c>
      <c r="P3005" s="26">
        <v>0.21</v>
      </c>
      <c r="Q3005" s="26">
        <v>0</v>
      </c>
      <c r="R3005" s="26"/>
      <c r="S3005" s="26">
        <v>0</v>
      </c>
      <c r="T3005" s="26">
        <v>0</v>
      </c>
      <c r="U3005" s="26">
        <v>0</v>
      </c>
      <c r="V3005" s="28">
        <v>0</v>
      </c>
      <c r="W3005" s="26">
        <v>0</v>
      </c>
      <c r="X3005" s="26">
        <v>0</v>
      </c>
      <c r="Y3005" s="26">
        <v>0</v>
      </c>
      <c r="Z3005" s="26">
        <v>0</v>
      </c>
    </row>
    <row r="3006" spans="1:26" x14ac:dyDescent="0.2">
      <c r="A3006">
        <f t="shared" si="96"/>
        <v>6</v>
      </c>
      <c r="B3006">
        <f t="shared" si="97"/>
        <v>27</v>
      </c>
      <c r="C3006" s="27">
        <v>46203</v>
      </c>
      <c r="D3006" s="26" t="s">
        <v>26</v>
      </c>
      <c r="E3006" s="26" t="s">
        <v>27</v>
      </c>
      <c r="F3006" s="26" t="s">
        <v>28</v>
      </c>
      <c r="G3006" s="26" t="s">
        <v>29</v>
      </c>
      <c r="H3006" s="26" t="s">
        <v>30</v>
      </c>
      <c r="I3006" s="26" t="s">
        <v>156</v>
      </c>
      <c r="J3006" s="26" t="s">
        <v>32</v>
      </c>
      <c r="K3006" s="26" t="s">
        <v>901</v>
      </c>
      <c r="L3006" s="26">
        <v>1</v>
      </c>
      <c r="M3006" s="26">
        <v>1</v>
      </c>
      <c r="N3006" s="28">
        <v>1</v>
      </c>
      <c r="O3006" s="26">
        <v>0.23</v>
      </c>
      <c r="P3006" s="26">
        <v>0.23</v>
      </c>
      <c r="Q3006" s="26">
        <v>0</v>
      </c>
      <c r="R3006" s="26"/>
      <c r="S3006" s="26">
        <v>0</v>
      </c>
      <c r="T3006" s="26">
        <v>0</v>
      </c>
      <c r="U3006" s="26">
        <v>0</v>
      </c>
      <c r="V3006" s="28">
        <v>0</v>
      </c>
      <c r="W3006" s="26">
        <v>0</v>
      </c>
      <c r="X3006" s="26">
        <v>0</v>
      </c>
      <c r="Y3006" s="26">
        <v>0</v>
      </c>
      <c r="Z3006" s="26">
        <v>0</v>
      </c>
    </row>
    <row r="3007" spans="1:26" x14ac:dyDescent="0.2">
      <c r="A3007">
        <f t="shared" si="96"/>
        <v>6</v>
      </c>
      <c r="B3007">
        <f t="shared" si="97"/>
        <v>26</v>
      </c>
      <c r="C3007" s="27">
        <v>46196</v>
      </c>
      <c r="D3007" s="26" t="s">
        <v>26</v>
      </c>
      <c r="E3007" s="26" t="s">
        <v>27</v>
      </c>
      <c r="F3007" s="26" t="s">
        <v>28</v>
      </c>
      <c r="G3007" s="26" t="s">
        <v>29</v>
      </c>
      <c r="H3007" s="26" t="s">
        <v>30</v>
      </c>
      <c r="I3007" s="26" t="s">
        <v>133</v>
      </c>
      <c r="J3007" s="26" t="s">
        <v>32</v>
      </c>
      <c r="K3007" s="26" t="s">
        <v>1829</v>
      </c>
      <c r="L3007" s="26">
        <v>2</v>
      </c>
      <c r="M3007" s="26">
        <v>1</v>
      </c>
      <c r="N3007" s="28">
        <v>0.5</v>
      </c>
      <c r="O3007" s="26">
        <v>0.23</v>
      </c>
      <c r="P3007" s="26">
        <v>0.23</v>
      </c>
      <c r="Q3007" s="26">
        <v>0</v>
      </c>
      <c r="R3007" s="26"/>
      <c r="S3007" s="26">
        <v>0</v>
      </c>
      <c r="T3007" s="26">
        <v>0</v>
      </c>
      <c r="U3007" s="26">
        <v>0</v>
      </c>
      <c r="V3007" s="28">
        <v>0</v>
      </c>
      <c r="W3007" s="26">
        <v>0</v>
      </c>
      <c r="X3007" s="26">
        <v>0</v>
      </c>
      <c r="Y3007" s="26">
        <v>0</v>
      </c>
      <c r="Z3007" s="26">
        <v>0</v>
      </c>
    </row>
    <row r="3008" spans="1:26" x14ac:dyDescent="0.2">
      <c r="A3008">
        <f t="shared" si="96"/>
        <v>6</v>
      </c>
      <c r="B3008">
        <f t="shared" si="97"/>
        <v>26</v>
      </c>
      <c r="C3008" s="27">
        <v>46199</v>
      </c>
      <c r="D3008" s="26" t="s">
        <v>26</v>
      </c>
      <c r="E3008" s="26" t="s">
        <v>39</v>
      </c>
      <c r="F3008" s="26" t="s">
        <v>40</v>
      </c>
      <c r="G3008" s="26" t="s">
        <v>29</v>
      </c>
      <c r="H3008" s="26" t="s">
        <v>30</v>
      </c>
      <c r="I3008" s="26" t="s">
        <v>1134</v>
      </c>
      <c r="J3008" s="26" t="s">
        <v>42</v>
      </c>
      <c r="K3008" s="26" t="s">
        <v>1830</v>
      </c>
      <c r="L3008" s="26">
        <v>3</v>
      </c>
      <c r="M3008" s="26">
        <v>1</v>
      </c>
      <c r="N3008" s="28">
        <v>0.33333299999999999</v>
      </c>
      <c r="O3008" s="26">
        <v>1.05</v>
      </c>
      <c r="P3008" s="26">
        <v>1.05</v>
      </c>
      <c r="Q3008" s="26">
        <v>0</v>
      </c>
      <c r="R3008" s="26"/>
      <c r="S3008" s="26">
        <v>0</v>
      </c>
      <c r="T3008" s="26">
        <v>0</v>
      </c>
      <c r="U3008" s="26">
        <v>0</v>
      </c>
      <c r="V3008" s="28">
        <v>0</v>
      </c>
      <c r="W3008" s="26">
        <v>0</v>
      </c>
      <c r="X3008" s="26">
        <v>0</v>
      </c>
      <c r="Y3008" s="26">
        <v>0</v>
      </c>
      <c r="Z3008" s="26">
        <v>0</v>
      </c>
    </row>
    <row r="3009" spans="1:26" x14ac:dyDescent="0.2">
      <c r="A3009">
        <f t="shared" si="96"/>
        <v>6</v>
      </c>
      <c r="B3009">
        <f t="shared" si="97"/>
        <v>26</v>
      </c>
      <c r="C3009" s="27">
        <v>46196</v>
      </c>
      <c r="D3009" s="26" t="s">
        <v>26</v>
      </c>
      <c r="E3009" s="26" t="s">
        <v>27</v>
      </c>
      <c r="F3009" s="26" t="s">
        <v>28</v>
      </c>
      <c r="G3009" s="26" t="s">
        <v>29</v>
      </c>
      <c r="H3009" s="26" t="s">
        <v>30</v>
      </c>
      <c r="I3009" s="26" t="s">
        <v>50</v>
      </c>
      <c r="J3009" s="26" t="s">
        <v>32</v>
      </c>
      <c r="K3009" s="26" t="s">
        <v>1830</v>
      </c>
      <c r="L3009" s="26">
        <v>6</v>
      </c>
      <c r="M3009" s="26">
        <v>1</v>
      </c>
      <c r="N3009" s="28">
        <v>0.16666700000000001</v>
      </c>
      <c r="O3009" s="26">
        <v>0.21</v>
      </c>
      <c r="P3009" s="26">
        <v>0.21</v>
      </c>
      <c r="Q3009" s="26">
        <v>0</v>
      </c>
      <c r="R3009" s="26"/>
      <c r="S3009" s="26">
        <v>0</v>
      </c>
      <c r="T3009" s="26">
        <v>0</v>
      </c>
      <c r="U3009" s="26">
        <v>0</v>
      </c>
      <c r="V3009" s="28">
        <v>0</v>
      </c>
      <c r="W3009" s="26">
        <v>0</v>
      </c>
      <c r="X3009" s="26">
        <v>0</v>
      </c>
      <c r="Y3009" s="26">
        <v>0</v>
      </c>
      <c r="Z3009" s="26">
        <v>0</v>
      </c>
    </row>
    <row r="3010" spans="1:26" x14ac:dyDescent="0.2">
      <c r="A3010">
        <f t="shared" si="96"/>
        <v>6</v>
      </c>
      <c r="B3010">
        <f t="shared" si="97"/>
        <v>27</v>
      </c>
      <c r="C3010" s="27">
        <v>46201</v>
      </c>
      <c r="D3010" s="26" t="s">
        <v>26</v>
      </c>
      <c r="E3010" s="26" t="s">
        <v>27</v>
      </c>
      <c r="F3010" s="26" t="s">
        <v>28</v>
      </c>
      <c r="G3010" s="26" t="s">
        <v>29</v>
      </c>
      <c r="H3010" s="26" t="s">
        <v>30</v>
      </c>
      <c r="I3010" s="26" t="s">
        <v>50</v>
      </c>
      <c r="J3010" s="26" t="s">
        <v>32</v>
      </c>
      <c r="K3010" s="26" t="s">
        <v>1694</v>
      </c>
      <c r="L3010" s="26">
        <v>5</v>
      </c>
      <c r="M3010" s="26">
        <v>1</v>
      </c>
      <c r="N3010" s="28">
        <v>0.2</v>
      </c>
      <c r="O3010" s="26">
        <v>0.08</v>
      </c>
      <c r="P3010" s="26">
        <v>0.08</v>
      </c>
      <c r="Q3010" s="26">
        <v>0</v>
      </c>
      <c r="R3010" s="26"/>
      <c r="S3010" s="26">
        <v>0</v>
      </c>
      <c r="T3010" s="26">
        <v>0</v>
      </c>
      <c r="U3010" s="26">
        <v>0</v>
      </c>
      <c r="V3010" s="28">
        <v>0</v>
      </c>
      <c r="W3010" s="26">
        <v>0</v>
      </c>
      <c r="X3010" s="26">
        <v>0</v>
      </c>
      <c r="Y3010" s="26">
        <v>0</v>
      </c>
      <c r="Z3010" s="26">
        <v>0</v>
      </c>
    </row>
    <row r="3011" spans="1:26" x14ac:dyDescent="0.2">
      <c r="A3011">
        <f t="shared" si="96"/>
        <v>6</v>
      </c>
      <c r="B3011">
        <f t="shared" si="97"/>
        <v>26</v>
      </c>
      <c r="C3011" s="27">
        <v>46196</v>
      </c>
      <c r="D3011" s="26" t="s">
        <v>26</v>
      </c>
      <c r="E3011" s="26" t="s">
        <v>27</v>
      </c>
      <c r="F3011" s="26" t="s">
        <v>28</v>
      </c>
      <c r="G3011" s="26" t="s">
        <v>29</v>
      </c>
      <c r="H3011" s="26" t="s">
        <v>30</v>
      </c>
      <c r="I3011" s="26" t="s">
        <v>50</v>
      </c>
      <c r="J3011" s="26" t="s">
        <v>32</v>
      </c>
      <c r="K3011" s="26" t="s">
        <v>1831</v>
      </c>
      <c r="L3011" s="26">
        <v>4</v>
      </c>
      <c r="M3011" s="26">
        <v>1</v>
      </c>
      <c r="N3011" s="28">
        <v>0.25</v>
      </c>
      <c r="O3011" s="26">
        <v>0.21</v>
      </c>
      <c r="P3011" s="26">
        <v>0.21</v>
      </c>
      <c r="Q3011" s="26">
        <v>0</v>
      </c>
      <c r="R3011" s="26"/>
      <c r="S3011" s="26">
        <v>0</v>
      </c>
      <c r="T3011" s="26">
        <v>0</v>
      </c>
      <c r="U3011" s="26">
        <v>0</v>
      </c>
      <c r="V3011" s="28">
        <v>0</v>
      </c>
      <c r="W3011" s="26">
        <v>0</v>
      </c>
      <c r="X3011" s="26">
        <v>0</v>
      </c>
      <c r="Y3011" s="26">
        <v>0</v>
      </c>
      <c r="Z3011" s="26">
        <v>0</v>
      </c>
    </row>
    <row r="3012" spans="1:26" x14ac:dyDescent="0.2">
      <c r="A3012">
        <f t="shared" si="96"/>
        <v>6</v>
      </c>
      <c r="B3012">
        <f t="shared" si="97"/>
        <v>26</v>
      </c>
      <c r="C3012" s="27">
        <v>46196</v>
      </c>
      <c r="D3012" s="26" t="s">
        <v>26</v>
      </c>
      <c r="E3012" s="26" t="s">
        <v>27</v>
      </c>
      <c r="F3012" s="26" t="s">
        <v>28</v>
      </c>
      <c r="G3012" s="26" t="s">
        <v>29</v>
      </c>
      <c r="H3012" s="26" t="s">
        <v>30</v>
      </c>
      <c r="I3012" s="26" t="s">
        <v>31</v>
      </c>
      <c r="J3012" s="26" t="s">
        <v>32</v>
      </c>
      <c r="K3012" s="26" t="s">
        <v>1832</v>
      </c>
      <c r="L3012" s="26">
        <v>2</v>
      </c>
      <c r="M3012" s="26">
        <v>1</v>
      </c>
      <c r="N3012" s="28">
        <v>0.5</v>
      </c>
      <c r="O3012" s="26">
        <v>0.21</v>
      </c>
      <c r="P3012" s="26">
        <v>0.21</v>
      </c>
      <c r="Q3012" s="26">
        <v>0</v>
      </c>
      <c r="R3012" s="26"/>
      <c r="S3012" s="26">
        <v>0</v>
      </c>
      <c r="T3012" s="26">
        <v>0</v>
      </c>
      <c r="U3012" s="26">
        <v>0</v>
      </c>
      <c r="V3012" s="28">
        <v>0</v>
      </c>
      <c r="W3012" s="26">
        <v>0</v>
      </c>
      <c r="X3012" s="26">
        <v>0</v>
      </c>
      <c r="Y3012" s="26">
        <v>0</v>
      </c>
      <c r="Z3012" s="26">
        <v>0</v>
      </c>
    </row>
    <row r="3013" spans="1:26" x14ac:dyDescent="0.2">
      <c r="A3013">
        <f t="shared" si="96"/>
        <v>6</v>
      </c>
      <c r="B3013">
        <f t="shared" si="97"/>
        <v>27</v>
      </c>
      <c r="C3013" s="27">
        <v>46202</v>
      </c>
      <c r="D3013" s="26" t="s">
        <v>26</v>
      </c>
      <c r="E3013" s="26" t="s">
        <v>27</v>
      </c>
      <c r="F3013" s="26" t="s">
        <v>28</v>
      </c>
      <c r="G3013" s="26" t="s">
        <v>29</v>
      </c>
      <c r="H3013" s="26" t="s">
        <v>30</v>
      </c>
      <c r="I3013" s="26" t="s">
        <v>31</v>
      </c>
      <c r="J3013" s="26" t="s">
        <v>32</v>
      </c>
      <c r="K3013" s="26" t="s">
        <v>156</v>
      </c>
      <c r="L3013" s="26">
        <v>6</v>
      </c>
      <c r="M3013" s="26">
        <v>1</v>
      </c>
      <c r="N3013" s="28">
        <v>0.16666700000000001</v>
      </c>
      <c r="O3013" s="26">
        <v>0.21</v>
      </c>
      <c r="P3013" s="26">
        <v>0.21</v>
      </c>
      <c r="Q3013" s="26">
        <v>0</v>
      </c>
      <c r="R3013" s="26"/>
      <c r="S3013" s="26">
        <v>0</v>
      </c>
      <c r="T3013" s="26">
        <v>0</v>
      </c>
      <c r="U3013" s="26">
        <v>0</v>
      </c>
      <c r="V3013" s="28">
        <v>0</v>
      </c>
      <c r="W3013" s="26">
        <v>0</v>
      </c>
      <c r="X3013" s="26">
        <v>0</v>
      </c>
      <c r="Y3013" s="26">
        <v>0</v>
      </c>
      <c r="Z3013" s="26">
        <v>0</v>
      </c>
    </row>
    <row r="3014" spans="1:26" x14ac:dyDescent="0.2">
      <c r="A3014">
        <f t="shared" si="96"/>
        <v>6</v>
      </c>
      <c r="B3014">
        <f t="shared" si="97"/>
        <v>27</v>
      </c>
      <c r="C3014" s="27">
        <v>46203</v>
      </c>
      <c r="D3014" s="26" t="s">
        <v>26</v>
      </c>
      <c r="E3014" s="26" t="s">
        <v>27</v>
      </c>
      <c r="F3014" s="26" t="s">
        <v>28</v>
      </c>
      <c r="G3014" s="26" t="s">
        <v>29</v>
      </c>
      <c r="H3014" s="26" t="s">
        <v>30</v>
      </c>
      <c r="I3014" s="26" t="s">
        <v>31</v>
      </c>
      <c r="J3014" s="26" t="s">
        <v>32</v>
      </c>
      <c r="K3014" s="26" t="s">
        <v>1833</v>
      </c>
      <c r="L3014" s="26">
        <v>1</v>
      </c>
      <c r="M3014" s="26">
        <v>1</v>
      </c>
      <c r="N3014" s="28">
        <v>1</v>
      </c>
      <c r="O3014" s="26">
        <v>0.4</v>
      </c>
      <c r="P3014" s="26">
        <v>0.4</v>
      </c>
      <c r="Q3014" s="26">
        <v>0</v>
      </c>
      <c r="R3014" s="26"/>
      <c r="S3014" s="26">
        <v>0</v>
      </c>
      <c r="T3014" s="26">
        <v>0</v>
      </c>
      <c r="U3014" s="26">
        <v>0</v>
      </c>
      <c r="V3014" s="28">
        <v>0</v>
      </c>
      <c r="W3014" s="26">
        <v>0</v>
      </c>
      <c r="X3014" s="26">
        <v>0</v>
      </c>
      <c r="Y3014" s="26">
        <v>0</v>
      </c>
      <c r="Z3014" s="26">
        <v>0</v>
      </c>
    </row>
    <row r="3015" spans="1:26" x14ac:dyDescent="0.2">
      <c r="A3015">
        <f t="shared" si="96"/>
        <v>6</v>
      </c>
      <c r="B3015">
        <f t="shared" si="97"/>
        <v>27</v>
      </c>
      <c r="C3015" s="27">
        <v>46201</v>
      </c>
      <c r="D3015" s="26" t="s">
        <v>26</v>
      </c>
      <c r="E3015" s="26" t="s">
        <v>27</v>
      </c>
      <c r="F3015" s="26" t="s">
        <v>28</v>
      </c>
      <c r="G3015" s="26" t="s">
        <v>29</v>
      </c>
      <c r="H3015" s="26" t="s">
        <v>30</v>
      </c>
      <c r="I3015" s="26" t="s">
        <v>50</v>
      </c>
      <c r="J3015" s="26" t="s">
        <v>32</v>
      </c>
      <c r="K3015" s="26" t="s">
        <v>1834</v>
      </c>
      <c r="L3015" s="26">
        <v>1</v>
      </c>
      <c r="M3015" s="26">
        <v>1</v>
      </c>
      <c r="N3015" s="28">
        <v>1</v>
      </c>
      <c r="O3015" s="26">
        <v>0.21</v>
      </c>
      <c r="P3015" s="26">
        <v>0.21</v>
      </c>
      <c r="Q3015" s="26">
        <v>0</v>
      </c>
      <c r="R3015" s="26"/>
      <c r="S3015" s="26">
        <v>0</v>
      </c>
      <c r="T3015" s="26">
        <v>0</v>
      </c>
      <c r="U3015" s="26">
        <v>0</v>
      </c>
      <c r="V3015" s="28">
        <v>0</v>
      </c>
      <c r="W3015" s="26">
        <v>0</v>
      </c>
      <c r="X3015" s="26">
        <v>0</v>
      </c>
      <c r="Y3015" s="26">
        <v>0</v>
      </c>
      <c r="Z3015" s="26">
        <v>0</v>
      </c>
    </row>
    <row r="3016" spans="1:26" x14ac:dyDescent="0.2">
      <c r="A3016">
        <f t="shared" si="96"/>
        <v>6</v>
      </c>
      <c r="B3016">
        <f t="shared" si="97"/>
        <v>26</v>
      </c>
      <c r="C3016" s="27">
        <v>46195</v>
      </c>
      <c r="D3016" s="26" t="s">
        <v>26</v>
      </c>
      <c r="E3016" s="26" t="s">
        <v>27</v>
      </c>
      <c r="F3016" s="26" t="s">
        <v>28</v>
      </c>
      <c r="G3016" s="26" t="s">
        <v>29</v>
      </c>
      <c r="H3016" s="26" t="s">
        <v>30</v>
      </c>
      <c r="I3016" s="26" t="s">
        <v>31</v>
      </c>
      <c r="J3016" s="26" t="s">
        <v>32</v>
      </c>
      <c r="K3016" s="26" t="s">
        <v>1835</v>
      </c>
      <c r="L3016" s="26">
        <v>1</v>
      </c>
      <c r="M3016" s="26">
        <v>1</v>
      </c>
      <c r="N3016" s="28">
        <v>1</v>
      </c>
      <c r="O3016" s="26">
        <v>0.21</v>
      </c>
      <c r="P3016" s="26">
        <v>0.21</v>
      </c>
      <c r="Q3016" s="26">
        <v>0</v>
      </c>
      <c r="R3016" s="26"/>
      <c r="S3016" s="26">
        <v>0</v>
      </c>
      <c r="T3016" s="26">
        <v>0</v>
      </c>
      <c r="U3016" s="26">
        <v>0</v>
      </c>
      <c r="V3016" s="28">
        <v>0</v>
      </c>
      <c r="W3016" s="26">
        <v>0</v>
      </c>
      <c r="X3016" s="26">
        <v>0</v>
      </c>
      <c r="Y3016" s="26">
        <v>0</v>
      </c>
      <c r="Z3016" s="26">
        <v>0</v>
      </c>
    </row>
    <row r="3017" spans="1:26" x14ac:dyDescent="0.2">
      <c r="A3017">
        <f t="shared" si="96"/>
        <v>6</v>
      </c>
      <c r="B3017">
        <f t="shared" si="97"/>
        <v>27</v>
      </c>
      <c r="C3017" s="27">
        <v>46201</v>
      </c>
      <c r="D3017" s="26" t="s">
        <v>26</v>
      </c>
      <c r="E3017" s="26" t="s">
        <v>27</v>
      </c>
      <c r="F3017" s="26" t="s">
        <v>28</v>
      </c>
      <c r="G3017" s="26" t="s">
        <v>29</v>
      </c>
      <c r="H3017" s="26" t="s">
        <v>30</v>
      </c>
      <c r="I3017" s="26" t="s">
        <v>119</v>
      </c>
      <c r="J3017" s="26" t="s">
        <v>32</v>
      </c>
      <c r="K3017" s="26" t="s">
        <v>1206</v>
      </c>
      <c r="L3017" s="26">
        <v>4</v>
      </c>
      <c r="M3017" s="26">
        <v>1</v>
      </c>
      <c r="N3017" s="28">
        <v>0.25</v>
      </c>
      <c r="O3017" s="26">
        <v>0.16</v>
      </c>
      <c r="P3017" s="26">
        <v>0.16</v>
      </c>
      <c r="Q3017" s="26">
        <v>0</v>
      </c>
      <c r="R3017" s="26"/>
      <c r="S3017" s="26">
        <v>0</v>
      </c>
      <c r="T3017" s="26">
        <v>0</v>
      </c>
      <c r="U3017" s="26">
        <v>0</v>
      </c>
      <c r="V3017" s="28">
        <v>0</v>
      </c>
      <c r="W3017" s="26">
        <v>0</v>
      </c>
      <c r="X3017" s="26">
        <v>0</v>
      </c>
      <c r="Y3017" s="26">
        <v>0</v>
      </c>
      <c r="Z3017" s="26">
        <v>0</v>
      </c>
    </row>
    <row r="3018" spans="1:26" x14ac:dyDescent="0.2">
      <c r="A3018">
        <f t="shared" si="96"/>
        <v>6</v>
      </c>
      <c r="B3018">
        <f t="shared" si="97"/>
        <v>26</v>
      </c>
      <c r="C3018" s="27">
        <v>46196</v>
      </c>
      <c r="D3018" s="26" t="s">
        <v>26</v>
      </c>
      <c r="E3018" s="26" t="s">
        <v>27</v>
      </c>
      <c r="F3018" s="26" t="s">
        <v>28</v>
      </c>
      <c r="G3018" s="26" t="s">
        <v>29</v>
      </c>
      <c r="H3018" s="26" t="s">
        <v>30</v>
      </c>
      <c r="I3018" s="26" t="s">
        <v>243</v>
      </c>
      <c r="J3018" s="26" t="s">
        <v>32</v>
      </c>
      <c r="K3018" s="26" t="s">
        <v>1836</v>
      </c>
      <c r="L3018" s="26">
        <v>5</v>
      </c>
      <c r="M3018" s="26">
        <v>1</v>
      </c>
      <c r="N3018" s="28">
        <v>0.2</v>
      </c>
      <c r="O3018" s="26">
        <v>0.21</v>
      </c>
      <c r="P3018" s="26">
        <v>0.21</v>
      </c>
      <c r="Q3018" s="26">
        <v>0</v>
      </c>
      <c r="R3018" s="26"/>
      <c r="S3018" s="26">
        <v>0</v>
      </c>
      <c r="T3018" s="26">
        <v>0</v>
      </c>
      <c r="U3018" s="26">
        <v>0</v>
      </c>
      <c r="V3018" s="28">
        <v>0</v>
      </c>
      <c r="W3018" s="26">
        <v>0</v>
      </c>
      <c r="X3018" s="26">
        <v>0</v>
      </c>
      <c r="Y3018" s="26">
        <v>0</v>
      </c>
      <c r="Z3018" s="26">
        <v>0</v>
      </c>
    </row>
    <row r="3019" spans="1:26" x14ac:dyDescent="0.2">
      <c r="A3019">
        <f t="shared" si="96"/>
        <v>6</v>
      </c>
      <c r="B3019">
        <f t="shared" si="97"/>
        <v>27</v>
      </c>
      <c r="C3019" s="27">
        <v>46203</v>
      </c>
      <c r="D3019" s="26" t="s">
        <v>26</v>
      </c>
      <c r="E3019" s="26" t="s">
        <v>27</v>
      </c>
      <c r="F3019" s="26" t="s">
        <v>28</v>
      </c>
      <c r="G3019" s="26" t="s">
        <v>29</v>
      </c>
      <c r="H3019" s="26" t="s">
        <v>30</v>
      </c>
      <c r="I3019" s="26" t="s">
        <v>119</v>
      </c>
      <c r="J3019" s="26" t="s">
        <v>32</v>
      </c>
      <c r="K3019" s="26" t="s">
        <v>1837</v>
      </c>
      <c r="L3019" s="26">
        <v>4</v>
      </c>
      <c r="M3019" s="26">
        <v>1</v>
      </c>
      <c r="N3019" s="28">
        <v>0.25</v>
      </c>
      <c r="O3019" s="26">
        <v>0.16</v>
      </c>
      <c r="P3019" s="26">
        <v>0.16</v>
      </c>
      <c r="Q3019" s="26">
        <v>0</v>
      </c>
      <c r="R3019" s="26"/>
      <c r="S3019" s="26">
        <v>0</v>
      </c>
      <c r="T3019" s="26">
        <v>0</v>
      </c>
      <c r="U3019" s="26">
        <v>0</v>
      </c>
      <c r="V3019" s="28">
        <v>0</v>
      </c>
      <c r="W3019" s="26">
        <v>0</v>
      </c>
      <c r="X3019" s="26">
        <v>0</v>
      </c>
      <c r="Y3019" s="26">
        <v>0</v>
      </c>
      <c r="Z3019" s="26">
        <v>0</v>
      </c>
    </row>
    <row r="3020" spans="1:26" x14ac:dyDescent="0.2">
      <c r="A3020">
        <f t="shared" si="96"/>
        <v>6</v>
      </c>
      <c r="B3020">
        <f t="shared" si="97"/>
        <v>26</v>
      </c>
      <c r="C3020" s="27">
        <v>46197</v>
      </c>
      <c r="D3020" s="26" t="s">
        <v>26</v>
      </c>
      <c r="E3020" s="26" t="s">
        <v>27</v>
      </c>
      <c r="F3020" s="26" t="s">
        <v>28</v>
      </c>
      <c r="G3020" s="26" t="s">
        <v>29</v>
      </c>
      <c r="H3020" s="26" t="s">
        <v>30</v>
      </c>
      <c r="I3020" s="26" t="s">
        <v>31</v>
      </c>
      <c r="J3020" s="26" t="s">
        <v>32</v>
      </c>
      <c r="K3020" s="26" t="s">
        <v>1838</v>
      </c>
      <c r="L3020" s="26">
        <v>1</v>
      </c>
      <c r="M3020" s="26">
        <v>1</v>
      </c>
      <c r="N3020" s="28">
        <v>1</v>
      </c>
      <c r="O3020" s="26">
        <v>0.21</v>
      </c>
      <c r="P3020" s="26">
        <v>0.21</v>
      </c>
      <c r="Q3020" s="26">
        <v>0</v>
      </c>
      <c r="R3020" s="26"/>
      <c r="S3020" s="26">
        <v>0</v>
      </c>
      <c r="T3020" s="26">
        <v>0</v>
      </c>
      <c r="U3020" s="26">
        <v>0</v>
      </c>
      <c r="V3020" s="28">
        <v>0</v>
      </c>
      <c r="W3020" s="26">
        <v>0</v>
      </c>
      <c r="X3020" s="26">
        <v>0</v>
      </c>
      <c r="Y3020" s="26">
        <v>0</v>
      </c>
      <c r="Z3020" s="26">
        <v>0</v>
      </c>
    </row>
    <row r="3021" spans="1:26" x14ac:dyDescent="0.2">
      <c r="A3021">
        <f t="shared" si="96"/>
        <v>6</v>
      </c>
      <c r="B3021">
        <f t="shared" si="97"/>
        <v>27</v>
      </c>
      <c r="C3021" s="27">
        <v>46201</v>
      </c>
      <c r="D3021" s="26" t="s">
        <v>26</v>
      </c>
      <c r="E3021" s="26" t="s">
        <v>27</v>
      </c>
      <c r="F3021" s="26" t="s">
        <v>28</v>
      </c>
      <c r="G3021" s="26" t="s">
        <v>29</v>
      </c>
      <c r="H3021" s="26" t="s">
        <v>30</v>
      </c>
      <c r="I3021" s="26" t="s">
        <v>119</v>
      </c>
      <c r="J3021" s="26" t="s">
        <v>32</v>
      </c>
      <c r="K3021" s="26" t="s">
        <v>1465</v>
      </c>
      <c r="L3021" s="26">
        <v>2</v>
      </c>
      <c r="M3021" s="26">
        <v>1</v>
      </c>
      <c r="N3021" s="28">
        <v>0.5</v>
      </c>
      <c r="O3021" s="26">
        <v>0.16</v>
      </c>
      <c r="P3021" s="26">
        <v>0.16</v>
      </c>
      <c r="Q3021" s="26">
        <v>0</v>
      </c>
      <c r="R3021" s="26"/>
      <c r="S3021" s="26">
        <v>0</v>
      </c>
      <c r="T3021" s="26">
        <v>0</v>
      </c>
      <c r="U3021" s="26">
        <v>0</v>
      </c>
      <c r="V3021" s="28">
        <v>0</v>
      </c>
      <c r="W3021" s="26">
        <v>0</v>
      </c>
      <c r="X3021" s="26">
        <v>0</v>
      </c>
      <c r="Y3021" s="26">
        <v>0</v>
      </c>
      <c r="Z3021" s="26">
        <v>0</v>
      </c>
    </row>
    <row r="3022" spans="1:26" x14ac:dyDescent="0.2">
      <c r="A3022">
        <f t="shared" si="96"/>
        <v>6</v>
      </c>
      <c r="B3022">
        <f t="shared" si="97"/>
        <v>27</v>
      </c>
      <c r="C3022" s="27">
        <v>46202</v>
      </c>
      <c r="D3022" s="26" t="s">
        <v>26</v>
      </c>
      <c r="E3022" s="26" t="s">
        <v>27</v>
      </c>
      <c r="F3022" s="26" t="s">
        <v>28</v>
      </c>
      <c r="G3022" s="26" t="s">
        <v>29</v>
      </c>
      <c r="H3022" s="26" t="s">
        <v>30</v>
      </c>
      <c r="I3022" s="26" t="s">
        <v>50</v>
      </c>
      <c r="J3022" s="26" t="s">
        <v>32</v>
      </c>
      <c r="K3022" s="26" t="s">
        <v>1839</v>
      </c>
      <c r="L3022" s="26">
        <v>2</v>
      </c>
      <c r="M3022" s="26">
        <v>1</v>
      </c>
      <c r="N3022" s="28">
        <v>0.5</v>
      </c>
      <c r="O3022" s="26">
        <v>0.21</v>
      </c>
      <c r="P3022" s="26">
        <v>0.21</v>
      </c>
      <c r="Q3022" s="26">
        <v>0</v>
      </c>
      <c r="R3022" s="26"/>
      <c r="S3022" s="26">
        <v>0</v>
      </c>
      <c r="T3022" s="26">
        <v>0</v>
      </c>
      <c r="U3022" s="26">
        <v>0</v>
      </c>
      <c r="V3022" s="28">
        <v>0</v>
      </c>
      <c r="W3022" s="26">
        <v>0</v>
      </c>
      <c r="X3022" s="26">
        <v>0</v>
      </c>
      <c r="Y3022" s="26">
        <v>0</v>
      </c>
      <c r="Z3022" s="26">
        <v>0</v>
      </c>
    </row>
    <row r="3023" spans="1:26" x14ac:dyDescent="0.2">
      <c r="A3023">
        <f t="shared" si="96"/>
        <v>6</v>
      </c>
      <c r="B3023">
        <f t="shared" si="97"/>
        <v>26</v>
      </c>
      <c r="C3023" s="27">
        <v>46198</v>
      </c>
      <c r="D3023" s="26" t="s">
        <v>26</v>
      </c>
      <c r="E3023" s="26" t="s">
        <v>27</v>
      </c>
      <c r="F3023" s="26" t="s">
        <v>28</v>
      </c>
      <c r="G3023" s="26" t="s">
        <v>29</v>
      </c>
      <c r="H3023" s="26" t="s">
        <v>30</v>
      </c>
      <c r="I3023" s="26" t="s">
        <v>50</v>
      </c>
      <c r="J3023" s="26" t="s">
        <v>32</v>
      </c>
      <c r="K3023" s="26" t="s">
        <v>1840</v>
      </c>
      <c r="L3023" s="26">
        <v>4</v>
      </c>
      <c r="M3023" s="26">
        <v>1</v>
      </c>
      <c r="N3023" s="28">
        <v>0.25</v>
      </c>
      <c r="O3023" s="26">
        <v>0.08</v>
      </c>
      <c r="P3023" s="26">
        <v>0.08</v>
      </c>
      <c r="Q3023" s="26">
        <v>0</v>
      </c>
      <c r="R3023" s="26"/>
      <c r="S3023" s="26">
        <v>0</v>
      </c>
      <c r="T3023" s="26">
        <v>0</v>
      </c>
      <c r="U3023" s="26">
        <v>0</v>
      </c>
      <c r="V3023" s="28">
        <v>0</v>
      </c>
      <c r="W3023" s="26">
        <v>0</v>
      </c>
      <c r="X3023" s="26">
        <v>0</v>
      </c>
      <c r="Y3023" s="26">
        <v>0</v>
      </c>
      <c r="Z3023" s="26">
        <v>0</v>
      </c>
    </row>
    <row r="3024" spans="1:26" x14ac:dyDescent="0.2">
      <c r="A3024">
        <f t="shared" si="96"/>
        <v>6</v>
      </c>
      <c r="B3024">
        <f t="shared" si="97"/>
        <v>26</v>
      </c>
      <c r="C3024" s="27">
        <v>46199</v>
      </c>
      <c r="D3024" s="26" t="s">
        <v>26</v>
      </c>
      <c r="E3024" s="26" t="s">
        <v>27</v>
      </c>
      <c r="F3024" s="26" t="s">
        <v>28</v>
      </c>
      <c r="G3024" s="26" t="s">
        <v>29</v>
      </c>
      <c r="H3024" s="26" t="s">
        <v>30</v>
      </c>
      <c r="I3024" s="26" t="s">
        <v>119</v>
      </c>
      <c r="J3024" s="26" t="s">
        <v>32</v>
      </c>
      <c r="K3024" s="26" t="s">
        <v>1469</v>
      </c>
      <c r="L3024" s="26">
        <v>1</v>
      </c>
      <c r="M3024" s="26">
        <v>1</v>
      </c>
      <c r="N3024" s="28">
        <v>1</v>
      </c>
      <c r="O3024" s="26">
        <v>0.16</v>
      </c>
      <c r="P3024" s="26">
        <v>0.16</v>
      </c>
      <c r="Q3024" s="26">
        <v>0</v>
      </c>
      <c r="R3024" s="26"/>
      <c r="S3024" s="26">
        <v>0</v>
      </c>
      <c r="T3024" s="26">
        <v>0</v>
      </c>
      <c r="U3024" s="26">
        <v>0</v>
      </c>
      <c r="V3024" s="28">
        <v>0</v>
      </c>
      <c r="W3024" s="26">
        <v>0</v>
      </c>
      <c r="X3024" s="26">
        <v>0</v>
      </c>
      <c r="Y3024" s="26">
        <v>0</v>
      </c>
      <c r="Z3024" s="26">
        <v>0</v>
      </c>
    </row>
    <row r="3025" spans="1:26" x14ac:dyDescent="0.2">
      <c r="A3025">
        <f t="shared" si="96"/>
        <v>6</v>
      </c>
      <c r="B3025">
        <f t="shared" si="97"/>
        <v>26</v>
      </c>
      <c r="C3025" s="27">
        <v>46198</v>
      </c>
      <c r="D3025" s="26" t="s">
        <v>26</v>
      </c>
      <c r="E3025" s="26" t="s">
        <v>49</v>
      </c>
      <c r="F3025" s="26" t="s">
        <v>50</v>
      </c>
      <c r="G3025" s="26" t="s">
        <v>29</v>
      </c>
      <c r="H3025" s="26" t="s">
        <v>30</v>
      </c>
      <c r="I3025" s="26" t="s">
        <v>95</v>
      </c>
      <c r="J3025" s="26" t="s">
        <v>42</v>
      </c>
      <c r="K3025" s="26" t="s">
        <v>1841</v>
      </c>
      <c r="L3025" s="26">
        <v>2</v>
      </c>
      <c r="M3025" s="26">
        <v>1</v>
      </c>
      <c r="N3025" s="28">
        <v>0.5</v>
      </c>
      <c r="O3025" s="26">
        <v>0.6</v>
      </c>
      <c r="P3025" s="26">
        <v>0.6</v>
      </c>
      <c r="Q3025" s="26">
        <v>0</v>
      </c>
      <c r="R3025" s="26"/>
      <c r="S3025" s="26">
        <v>0</v>
      </c>
      <c r="T3025" s="26">
        <v>0</v>
      </c>
      <c r="U3025" s="26">
        <v>0</v>
      </c>
      <c r="V3025" s="28">
        <v>0</v>
      </c>
      <c r="W3025" s="26">
        <v>0</v>
      </c>
      <c r="X3025" s="26">
        <v>0</v>
      </c>
      <c r="Y3025" s="26">
        <v>0</v>
      </c>
      <c r="Z3025" s="26">
        <v>0</v>
      </c>
    </row>
    <row r="3026" spans="1:26" x14ac:dyDescent="0.2">
      <c r="A3026">
        <f t="shared" si="96"/>
        <v>6</v>
      </c>
      <c r="B3026">
        <f t="shared" si="97"/>
        <v>26</v>
      </c>
      <c r="C3026" s="27">
        <v>46195</v>
      </c>
      <c r="D3026" s="26" t="s">
        <v>26</v>
      </c>
      <c r="E3026" s="26" t="s">
        <v>27</v>
      </c>
      <c r="F3026" s="26" t="s">
        <v>28</v>
      </c>
      <c r="G3026" s="26" t="s">
        <v>29</v>
      </c>
      <c r="H3026" s="26" t="s">
        <v>30</v>
      </c>
      <c r="I3026" s="26" t="s">
        <v>50</v>
      </c>
      <c r="J3026" s="26" t="s">
        <v>32</v>
      </c>
      <c r="K3026" s="26" t="s">
        <v>1842</v>
      </c>
      <c r="L3026" s="26">
        <v>2</v>
      </c>
      <c r="M3026" s="26">
        <v>1</v>
      </c>
      <c r="N3026" s="28">
        <v>0.5</v>
      </c>
      <c r="O3026" s="26">
        <v>0.21</v>
      </c>
      <c r="P3026" s="26">
        <v>0.21</v>
      </c>
      <c r="Q3026" s="26">
        <v>0</v>
      </c>
      <c r="R3026" s="26"/>
      <c r="S3026" s="26">
        <v>0</v>
      </c>
      <c r="T3026" s="26">
        <v>0</v>
      </c>
      <c r="U3026" s="26">
        <v>0</v>
      </c>
      <c r="V3026" s="28">
        <v>0</v>
      </c>
      <c r="W3026" s="26">
        <v>0</v>
      </c>
      <c r="X3026" s="26">
        <v>0</v>
      </c>
      <c r="Y3026" s="26">
        <v>0</v>
      </c>
      <c r="Z3026" s="26">
        <v>0</v>
      </c>
    </row>
    <row r="3027" spans="1:26" x14ac:dyDescent="0.2">
      <c r="A3027">
        <f t="shared" si="96"/>
        <v>6</v>
      </c>
      <c r="B3027">
        <f t="shared" si="97"/>
        <v>27</v>
      </c>
      <c r="C3027" s="27">
        <v>46203</v>
      </c>
      <c r="D3027" s="26" t="s">
        <v>26</v>
      </c>
      <c r="E3027" s="26" t="s">
        <v>27</v>
      </c>
      <c r="F3027" s="26" t="s">
        <v>28</v>
      </c>
      <c r="G3027" s="26" t="s">
        <v>29</v>
      </c>
      <c r="H3027" s="26" t="s">
        <v>30</v>
      </c>
      <c r="I3027" s="26" t="s">
        <v>50</v>
      </c>
      <c r="J3027" s="26" t="s">
        <v>32</v>
      </c>
      <c r="K3027" s="26" t="s">
        <v>1843</v>
      </c>
      <c r="L3027" s="26">
        <v>3</v>
      </c>
      <c r="M3027" s="26">
        <v>1</v>
      </c>
      <c r="N3027" s="28">
        <v>0.33333299999999999</v>
      </c>
      <c r="O3027" s="26">
        <v>0.21</v>
      </c>
      <c r="P3027" s="26">
        <v>0.21</v>
      </c>
      <c r="Q3027" s="26">
        <v>0</v>
      </c>
      <c r="R3027" s="26"/>
      <c r="S3027" s="26">
        <v>0</v>
      </c>
      <c r="T3027" s="26">
        <v>0</v>
      </c>
      <c r="U3027" s="26">
        <v>0</v>
      </c>
      <c r="V3027" s="28">
        <v>0</v>
      </c>
      <c r="W3027" s="26">
        <v>0</v>
      </c>
      <c r="X3027" s="26">
        <v>0</v>
      </c>
      <c r="Y3027" s="26">
        <v>0</v>
      </c>
      <c r="Z3027" s="26">
        <v>0</v>
      </c>
    </row>
    <row r="3028" spans="1:26" x14ac:dyDescent="0.2">
      <c r="A3028">
        <f t="shared" si="96"/>
        <v>6</v>
      </c>
      <c r="B3028">
        <f t="shared" si="97"/>
        <v>26</v>
      </c>
      <c r="C3028" s="27">
        <v>46195</v>
      </c>
      <c r="D3028" s="26" t="s">
        <v>26</v>
      </c>
      <c r="E3028" s="26" t="s">
        <v>27</v>
      </c>
      <c r="F3028" s="26" t="s">
        <v>28</v>
      </c>
      <c r="G3028" s="26" t="s">
        <v>29</v>
      </c>
      <c r="H3028" s="26" t="s">
        <v>30</v>
      </c>
      <c r="I3028" s="26" t="s">
        <v>119</v>
      </c>
      <c r="J3028" s="26" t="s">
        <v>32</v>
      </c>
      <c r="K3028" s="26" t="s">
        <v>503</v>
      </c>
      <c r="L3028" s="26">
        <v>2</v>
      </c>
      <c r="M3028" s="26">
        <v>1</v>
      </c>
      <c r="N3028" s="28">
        <v>0.5</v>
      </c>
      <c r="O3028" s="26">
        <v>0.16</v>
      </c>
      <c r="P3028" s="26">
        <v>0.16</v>
      </c>
      <c r="Q3028" s="26">
        <v>0</v>
      </c>
      <c r="R3028" s="26"/>
      <c r="S3028" s="26">
        <v>0</v>
      </c>
      <c r="T3028" s="26">
        <v>0</v>
      </c>
      <c r="U3028" s="26">
        <v>0</v>
      </c>
      <c r="V3028" s="28">
        <v>0</v>
      </c>
      <c r="W3028" s="26">
        <v>0</v>
      </c>
      <c r="X3028" s="26">
        <v>0</v>
      </c>
      <c r="Y3028" s="26">
        <v>0</v>
      </c>
      <c r="Z3028" s="26">
        <v>0</v>
      </c>
    </row>
    <row r="3029" spans="1:26" x14ac:dyDescent="0.2">
      <c r="A3029">
        <f t="shared" si="96"/>
        <v>6</v>
      </c>
      <c r="B3029">
        <f t="shared" si="97"/>
        <v>26</v>
      </c>
      <c r="C3029" s="27">
        <v>46199</v>
      </c>
      <c r="D3029" s="26" t="s">
        <v>26</v>
      </c>
      <c r="E3029" s="26" t="s">
        <v>27</v>
      </c>
      <c r="F3029" s="26" t="s">
        <v>28</v>
      </c>
      <c r="G3029" s="26" t="s">
        <v>29</v>
      </c>
      <c r="H3029" s="26" t="s">
        <v>30</v>
      </c>
      <c r="I3029" s="26" t="s">
        <v>50</v>
      </c>
      <c r="J3029" s="26" t="s">
        <v>32</v>
      </c>
      <c r="K3029" s="26" t="s">
        <v>1844</v>
      </c>
      <c r="L3029" s="26">
        <v>1</v>
      </c>
      <c r="M3029" s="26">
        <v>1</v>
      </c>
      <c r="N3029" s="28">
        <v>1</v>
      </c>
      <c r="O3029" s="26">
        <v>0.21</v>
      </c>
      <c r="P3029" s="26">
        <v>0.21</v>
      </c>
      <c r="Q3029" s="26">
        <v>0</v>
      </c>
      <c r="R3029" s="26"/>
      <c r="S3029" s="26">
        <v>0</v>
      </c>
      <c r="T3029" s="26">
        <v>0</v>
      </c>
      <c r="U3029" s="26">
        <v>0</v>
      </c>
      <c r="V3029" s="28">
        <v>0</v>
      </c>
      <c r="W3029" s="26">
        <v>0</v>
      </c>
      <c r="X3029" s="26">
        <v>0</v>
      </c>
      <c r="Y3029" s="26">
        <v>0</v>
      </c>
      <c r="Z3029" s="26">
        <v>0</v>
      </c>
    </row>
    <row r="3030" spans="1:26" x14ac:dyDescent="0.2">
      <c r="A3030">
        <f t="shared" si="96"/>
        <v>6</v>
      </c>
      <c r="B3030">
        <f t="shared" si="97"/>
        <v>26</v>
      </c>
      <c r="C3030" s="27">
        <v>46198</v>
      </c>
      <c r="D3030" s="26" t="s">
        <v>26</v>
      </c>
      <c r="E3030" s="26" t="s">
        <v>27</v>
      </c>
      <c r="F3030" s="26" t="s">
        <v>28</v>
      </c>
      <c r="G3030" s="26" t="s">
        <v>29</v>
      </c>
      <c r="H3030" s="26" t="s">
        <v>30</v>
      </c>
      <c r="I3030" s="26" t="s">
        <v>119</v>
      </c>
      <c r="J3030" s="26" t="s">
        <v>32</v>
      </c>
      <c r="K3030" s="26" t="s">
        <v>1271</v>
      </c>
      <c r="L3030" s="26">
        <v>5</v>
      </c>
      <c r="M3030" s="26">
        <v>2</v>
      </c>
      <c r="N3030" s="28">
        <v>0.4</v>
      </c>
      <c r="O3030" s="26">
        <v>0.16</v>
      </c>
      <c r="P3030" s="26">
        <v>0.32</v>
      </c>
      <c r="Q3030" s="26">
        <v>0</v>
      </c>
      <c r="R3030" s="26"/>
      <c r="S3030" s="26">
        <v>0</v>
      </c>
      <c r="T3030" s="26">
        <v>0</v>
      </c>
      <c r="U3030" s="26">
        <v>0</v>
      </c>
      <c r="V3030" s="28">
        <v>0</v>
      </c>
      <c r="W3030" s="26">
        <v>0</v>
      </c>
      <c r="X3030" s="26">
        <v>0</v>
      </c>
      <c r="Y3030" s="26">
        <v>0</v>
      </c>
      <c r="Z3030" s="26">
        <v>0</v>
      </c>
    </row>
    <row r="3031" spans="1:26" x14ac:dyDescent="0.2">
      <c r="A3031">
        <f t="shared" si="96"/>
        <v>6</v>
      </c>
      <c r="B3031">
        <f t="shared" si="97"/>
        <v>27</v>
      </c>
      <c r="C3031" s="27">
        <v>46202</v>
      </c>
      <c r="D3031" s="26" t="s">
        <v>26</v>
      </c>
      <c r="E3031" s="26" t="s">
        <v>27</v>
      </c>
      <c r="F3031" s="26" t="s">
        <v>28</v>
      </c>
      <c r="G3031" s="26" t="s">
        <v>29</v>
      </c>
      <c r="H3031" s="26" t="s">
        <v>30</v>
      </c>
      <c r="I3031" s="26" t="s">
        <v>101</v>
      </c>
      <c r="J3031" s="26" t="s">
        <v>32</v>
      </c>
      <c r="K3031" s="26" t="s">
        <v>1845</v>
      </c>
      <c r="L3031" s="26">
        <v>1</v>
      </c>
      <c r="M3031" s="26">
        <v>1</v>
      </c>
      <c r="N3031" s="28">
        <v>1</v>
      </c>
      <c r="O3031" s="26">
        <v>0.21</v>
      </c>
      <c r="P3031" s="26">
        <v>0.21</v>
      </c>
      <c r="Q3031" s="26">
        <v>0</v>
      </c>
      <c r="R3031" s="26"/>
      <c r="S3031" s="26">
        <v>0</v>
      </c>
      <c r="T3031" s="26">
        <v>0</v>
      </c>
      <c r="U3031" s="26">
        <v>0</v>
      </c>
      <c r="V3031" s="28">
        <v>0</v>
      </c>
      <c r="W3031" s="26">
        <v>0</v>
      </c>
      <c r="X3031" s="26">
        <v>0</v>
      </c>
      <c r="Y3031" s="26">
        <v>0</v>
      </c>
      <c r="Z3031" s="26">
        <v>0</v>
      </c>
    </row>
    <row r="3032" spans="1:26" x14ac:dyDescent="0.2">
      <c r="A3032">
        <f t="shared" si="96"/>
        <v>6</v>
      </c>
      <c r="B3032">
        <f t="shared" si="97"/>
        <v>26</v>
      </c>
      <c r="C3032" s="27">
        <v>46196</v>
      </c>
      <c r="D3032" s="26" t="s">
        <v>26</v>
      </c>
      <c r="E3032" s="26" t="s">
        <v>1578</v>
      </c>
      <c r="F3032" s="26" t="s">
        <v>62</v>
      </c>
      <c r="G3032" s="26" t="s">
        <v>29</v>
      </c>
      <c r="H3032" s="26" t="s">
        <v>30</v>
      </c>
      <c r="I3032" s="26" t="s">
        <v>47</v>
      </c>
      <c r="J3032" s="26" t="s">
        <v>42</v>
      </c>
      <c r="K3032" s="26" t="s">
        <v>354</v>
      </c>
      <c r="L3032" s="26">
        <v>10</v>
      </c>
      <c r="M3032" s="26">
        <v>1</v>
      </c>
      <c r="N3032" s="28">
        <v>0.1</v>
      </c>
      <c r="O3032" s="26">
        <v>1.1000000000000001</v>
      </c>
      <c r="P3032" s="26">
        <v>1.1000000000000001</v>
      </c>
      <c r="Q3032" s="26">
        <v>0</v>
      </c>
      <c r="R3032" s="26"/>
      <c r="S3032" s="26">
        <v>0</v>
      </c>
      <c r="T3032" s="26">
        <v>0</v>
      </c>
      <c r="U3032" s="26">
        <v>0</v>
      </c>
      <c r="V3032" s="28">
        <v>0</v>
      </c>
      <c r="W3032" s="26">
        <v>0</v>
      </c>
      <c r="X3032" s="26">
        <v>0</v>
      </c>
      <c r="Y3032" s="26">
        <v>0</v>
      </c>
      <c r="Z3032" s="26">
        <v>0</v>
      </c>
    </row>
    <row r="3033" spans="1:26" x14ac:dyDescent="0.2">
      <c r="A3033">
        <f t="shared" si="96"/>
        <v>6</v>
      </c>
      <c r="B3033">
        <f t="shared" si="97"/>
        <v>26</v>
      </c>
      <c r="C3033" s="27">
        <v>46196</v>
      </c>
      <c r="D3033" s="26" t="s">
        <v>26</v>
      </c>
      <c r="E3033" s="26" t="s">
        <v>27</v>
      </c>
      <c r="F3033" s="26" t="s">
        <v>28</v>
      </c>
      <c r="G3033" s="26" t="s">
        <v>29</v>
      </c>
      <c r="H3033" s="26" t="s">
        <v>30</v>
      </c>
      <c r="I3033" s="26" t="s">
        <v>243</v>
      </c>
      <c r="J3033" s="26" t="s">
        <v>32</v>
      </c>
      <c r="K3033" s="26" t="s">
        <v>1846</v>
      </c>
      <c r="L3033" s="26">
        <v>3</v>
      </c>
      <c r="M3033" s="26">
        <v>1</v>
      </c>
      <c r="N3033" s="28">
        <v>0.33333299999999999</v>
      </c>
      <c r="O3033" s="26">
        <v>0.21</v>
      </c>
      <c r="P3033" s="26">
        <v>0.21</v>
      </c>
      <c r="Q3033" s="26">
        <v>0</v>
      </c>
      <c r="R3033" s="26"/>
      <c r="S3033" s="26">
        <v>0</v>
      </c>
      <c r="T3033" s="26">
        <v>0</v>
      </c>
      <c r="U3033" s="26">
        <v>0</v>
      </c>
      <c r="V3033" s="28">
        <v>0</v>
      </c>
      <c r="W3033" s="26">
        <v>0</v>
      </c>
      <c r="X3033" s="26">
        <v>0</v>
      </c>
      <c r="Y3033" s="26">
        <v>0</v>
      </c>
      <c r="Z3033" s="26">
        <v>0</v>
      </c>
    </row>
    <row r="3034" spans="1:26" x14ac:dyDescent="0.2">
      <c r="A3034">
        <f t="shared" si="96"/>
        <v>6</v>
      </c>
      <c r="B3034">
        <f t="shared" si="97"/>
        <v>26</v>
      </c>
      <c r="C3034" s="27">
        <v>46197</v>
      </c>
      <c r="D3034" s="26" t="s">
        <v>26</v>
      </c>
      <c r="E3034" s="26" t="s">
        <v>49</v>
      </c>
      <c r="F3034" s="26" t="s">
        <v>50</v>
      </c>
      <c r="G3034" s="26" t="s">
        <v>29</v>
      </c>
      <c r="H3034" s="26" t="s">
        <v>30</v>
      </c>
      <c r="I3034" s="26" t="s">
        <v>47</v>
      </c>
      <c r="J3034" s="26" t="s">
        <v>42</v>
      </c>
      <c r="K3034" s="26" t="s">
        <v>257</v>
      </c>
      <c r="L3034" s="26">
        <v>3</v>
      </c>
      <c r="M3034" s="26">
        <v>1</v>
      </c>
      <c r="N3034" s="28">
        <v>0.33333299999999999</v>
      </c>
      <c r="O3034" s="26">
        <v>1.43</v>
      </c>
      <c r="P3034" s="26">
        <v>1.43</v>
      </c>
      <c r="Q3034" s="26">
        <v>18.989999999999998</v>
      </c>
      <c r="R3034" s="28">
        <v>7.5302999999999995E-2</v>
      </c>
      <c r="S3034" s="26">
        <v>13.28</v>
      </c>
      <c r="T3034" s="26">
        <v>1</v>
      </c>
      <c r="U3034" s="26">
        <v>1</v>
      </c>
      <c r="V3034" s="28">
        <v>1</v>
      </c>
      <c r="W3034" s="26">
        <v>1</v>
      </c>
      <c r="X3034" s="26">
        <v>0</v>
      </c>
      <c r="Y3034" s="26">
        <v>18.989999999999998</v>
      </c>
      <c r="Z3034" s="26">
        <v>0</v>
      </c>
    </row>
    <row r="3035" spans="1:26" x14ac:dyDescent="0.2">
      <c r="A3035">
        <f t="shared" si="96"/>
        <v>6</v>
      </c>
      <c r="B3035">
        <f t="shared" si="97"/>
        <v>26</v>
      </c>
      <c r="C3035" s="27">
        <v>46198</v>
      </c>
      <c r="D3035" s="26" t="s">
        <v>26</v>
      </c>
      <c r="E3035" s="26" t="s">
        <v>27</v>
      </c>
      <c r="F3035" s="26" t="s">
        <v>28</v>
      </c>
      <c r="G3035" s="26" t="s">
        <v>29</v>
      </c>
      <c r="H3035" s="26" t="s">
        <v>30</v>
      </c>
      <c r="I3035" s="26" t="s">
        <v>242</v>
      </c>
      <c r="J3035" s="26" t="s">
        <v>32</v>
      </c>
      <c r="K3035" s="26" t="s">
        <v>1847</v>
      </c>
      <c r="L3035" s="26">
        <v>1</v>
      </c>
      <c r="M3035" s="26">
        <v>1</v>
      </c>
      <c r="N3035" s="28">
        <v>1</v>
      </c>
      <c r="O3035" s="26">
        <v>0.2</v>
      </c>
      <c r="P3035" s="26">
        <v>0.2</v>
      </c>
      <c r="Q3035" s="26">
        <v>18.989999999999998</v>
      </c>
      <c r="R3035" s="28">
        <v>1.0532E-2</v>
      </c>
      <c r="S3035" s="26">
        <v>94.95</v>
      </c>
      <c r="T3035" s="26">
        <v>1</v>
      </c>
      <c r="U3035" s="26">
        <v>1</v>
      </c>
      <c r="V3035" s="28">
        <v>1</v>
      </c>
      <c r="W3035" s="26">
        <v>1</v>
      </c>
      <c r="X3035" s="26">
        <v>0</v>
      </c>
      <c r="Y3035" s="26">
        <v>18.989999999999998</v>
      </c>
      <c r="Z3035" s="26">
        <v>0</v>
      </c>
    </row>
    <row r="3036" spans="1:26" x14ac:dyDescent="0.2">
      <c r="A3036">
        <f t="shared" si="96"/>
        <v>6</v>
      </c>
      <c r="B3036">
        <f t="shared" si="97"/>
        <v>26</v>
      </c>
      <c r="C3036" s="27">
        <v>46198</v>
      </c>
      <c r="D3036" s="26" t="s">
        <v>26</v>
      </c>
      <c r="E3036" s="26" t="s">
        <v>27</v>
      </c>
      <c r="F3036" s="26" t="s">
        <v>28</v>
      </c>
      <c r="G3036" s="26" t="s">
        <v>29</v>
      </c>
      <c r="H3036" s="26" t="s">
        <v>30</v>
      </c>
      <c r="I3036" s="26" t="s">
        <v>50</v>
      </c>
      <c r="J3036" s="26" t="s">
        <v>32</v>
      </c>
      <c r="K3036" s="26" t="s">
        <v>1848</v>
      </c>
      <c r="L3036" s="26">
        <v>3</v>
      </c>
      <c r="M3036" s="26">
        <v>1</v>
      </c>
      <c r="N3036" s="28">
        <v>0.33333299999999999</v>
      </c>
      <c r="O3036" s="26">
        <v>0.44</v>
      </c>
      <c r="P3036" s="26">
        <v>0.44</v>
      </c>
      <c r="Q3036" s="26">
        <v>0</v>
      </c>
      <c r="R3036" s="26"/>
      <c r="S3036" s="26">
        <v>0</v>
      </c>
      <c r="T3036" s="26">
        <v>0</v>
      </c>
      <c r="U3036" s="26">
        <v>0</v>
      </c>
      <c r="V3036" s="28">
        <v>0</v>
      </c>
      <c r="W3036" s="26">
        <v>0</v>
      </c>
      <c r="X3036" s="26">
        <v>0</v>
      </c>
      <c r="Y3036" s="26">
        <v>0</v>
      </c>
      <c r="Z3036" s="26">
        <v>0</v>
      </c>
    </row>
    <row r="3037" spans="1:26" x14ac:dyDescent="0.2">
      <c r="A3037">
        <f t="shared" si="96"/>
        <v>6</v>
      </c>
      <c r="B3037">
        <f t="shared" si="97"/>
        <v>26</v>
      </c>
      <c r="C3037" s="27">
        <v>46197</v>
      </c>
      <c r="D3037" s="26" t="s">
        <v>26</v>
      </c>
      <c r="E3037" s="26" t="s">
        <v>27</v>
      </c>
      <c r="F3037" s="26" t="s">
        <v>28</v>
      </c>
      <c r="G3037" s="26" t="s">
        <v>29</v>
      </c>
      <c r="H3037" s="26" t="s">
        <v>30</v>
      </c>
      <c r="I3037" s="26" t="s">
        <v>50</v>
      </c>
      <c r="J3037" s="26" t="s">
        <v>32</v>
      </c>
      <c r="K3037" s="26" t="s">
        <v>1849</v>
      </c>
      <c r="L3037" s="26">
        <v>2</v>
      </c>
      <c r="M3037" s="26">
        <v>1</v>
      </c>
      <c r="N3037" s="28">
        <v>0.5</v>
      </c>
      <c r="O3037" s="26">
        <v>0.21</v>
      </c>
      <c r="P3037" s="26">
        <v>0.21</v>
      </c>
      <c r="Q3037" s="26">
        <v>0</v>
      </c>
      <c r="R3037" s="26"/>
      <c r="S3037" s="26">
        <v>0</v>
      </c>
      <c r="T3037" s="26">
        <v>0</v>
      </c>
      <c r="U3037" s="26">
        <v>0</v>
      </c>
      <c r="V3037" s="28">
        <v>0</v>
      </c>
      <c r="W3037" s="26">
        <v>0</v>
      </c>
      <c r="X3037" s="26">
        <v>0</v>
      </c>
      <c r="Y3037" s="26">
        <v>0</v>
      </c>
      <c r="Z3037" s="26">
        <v>0</v>
      </c>
    </row>
    <row r="3038" spans="1:26" x14ac:dyDescent="0.2">
      <c r="A3038">
        <f t="shared" si="96"/>
        <v>6</v>
      </c>
      <c r="B3038">
        <f t="shared" si="97"/>
        <v>26</v>
      </c>
      <c r="C3038" s="27">
        <v>46199</v>
      </c>
      <c r="D3038" s="26" t="s">
        <v>26</v>
      </c>
      <c r="E3038" s="26" t="s">
        <v>27</v>
      </c>
      <c r="F3038" s="26" t="s">
        <v>124</v>
      </c>
      <c r="G3038" s="26" t="s">
        <v>29</v>
      </c>
      <c r="H3038" s="26" t="s">
        <v>30</v>
      </c>
      <c r="I3038" s="26" t="s">
        <v>44</v>
      </c>
      <c r="J3038" s="26" t="s">
        <v>87</v>
      </c>
      <c r="K3038" s="26" t="s">
        <v>44</v>
      </c>
      <c r="L3038" s="26">
        <v>45</v>
      </c>
      <c r="M3038" s="26">
        <v>1</v>
      </c>
      <c r="N3038" s="28">
        <v>2.2221999999999999E-2</v>
      </c>
      <c r="O3038" s="26">
        <v>0.2</v>
      </c>
      <c r="P3038" s="26">
        <v>0.2</v>
      </c>
      <c r="Q3038" s="26">
        <v>0</v>
      </c>
      <c r="R3038" s="26"/>
      <c r="S3038" s="26">
        <v>0</v>
      </c>
      <c r="T3038" s="26">
        <v>0</v>
      </c>
      <c r="U3038" s="26">
        <v>0</v>
      </c>
      <c r="V3038" s="28">
        <v>0</v>
      </c>
      <c r="W3038" s="26">
        <v>0</v>
      </c>
      <c r="X3038" s="26">
        <v>0</v>
      </c>
      <c r="Y3038" s="26">
        <v>0</v>
      </c>
      <c r="Z3038" s="26">
        <v>0</v>
      </c>
    </row>
    <row r="3039" spans="1:26" x14ac:dyDescent="0.2">
      <c r="A3039">
        <f t="shared" si="96"/>
        <v>6</v>
      </c>
      <c r="B3039">
        <f t="shared" si="97"/>
        <v>26</v>
      </c>
      <c r="C3039" s="27">
        <v>46200</v>
      </c>
      <c r="D3039" s="26" t="s">
        <v>26</v>
      </c>
      <c r="E3039" s="26" t="s">
        <v>27</v>
      </c>
      <c r="F3039" s="26" t="s">
        <v>124</v>
      </c>
      <c r="G3039" s="26" t="s">
        <v>29</v>
      </c>
      <c r="H3039" s="26" t="s">
        <v>30</v>
      </c>
      <c r="I3039" s="26" t="s">
        <v>44</v>
      </c>
      <c r="J3039" s="26" t="s">
        <v>267</v>
      </c>
      <c r="K3039" s="26" t="s">
        <v>44</v>
      </c>
      <c r="L3039" s="26">
        <v>26</v>
      </c>
      <c r="M3039" s="26">
        <v>2</v>
      </c>
      <c r="N3039" s="28">
        <v>7.6923000000000005E-2</v>
      </c>
      <c r="O3039" s="26">
        <v>0.21</v>
      </c>
      <c r="P3039" s="26">
        <v>0.42</v>
      </c>
      <c r="Q3039" s="26">
        <v>0</v>
      </c>
      <c r="R3039" s="26"/>
      <c r="S3039" s="26">
        <v>0</v>
      </c>
      <c r="T3039" s="26">
        <v>0</v>
      </c>
      <c r="U3039" s="26">
        <v>0</v>
      </c>
      <c r="V3039" s="28">
        <v>0</v>
      </c>
      <c r="W3039" s="26">
        <v>0</v>
      </c>
      <c r="X3039" s="26">
        <v>0</v>
      </c>
      <c r="Y3039" s="26">
        <v>0</v>
      </c>
      <c r="Z3039" s="26">
        <v>0</v>
      </c>
    </row>
    <row r="3040" spans="1:26" x14ac:dyDescent="0.2">
      <c r="A3040">
        <f t="shared" si="96"/>
        <v>6</v>
      </c>
      <c r="B3040">
        <f t="shared" si="97"/>
        <v>27</v>
      </c>
      <c r="C3040" s="27">
        <v>46201</v>
      </c>
      <c r="D3040" s="26" t="s">
        <v>26</v>
      </c>
      <c r="E3040" s="26" t="s">
        <v>27</v>
      </c>
      <c r="F3040" s="26" t="s">
        <v>124</v>
      </c>
      <c r="G3040" s="26" t="s">
        <v>29</v>
      </c>
      <c r="H3040" s="26" t="s">
        <v>30</v>
      </c>
      <c r="I3040" s="26" t="s">
        <v>44</v>
      </c>
      <c r="J3040" s="26" t="s">
        <v>267</v>
      </c>
      <c r="K3040" s="26" t="s">
        <v>44</v>
      </c>
      <c r="L3040" s="26">
        <v>8</v>
      </c>
      <c r="M3040" s="26">
        <v>1</v>
      </c>
      <c r="N3040" s="28">
        <v>0.125</v>
      </c>
      <c r="O3040" s="26">
        <v>0.2</v>
      </c>
      <c r="P3040" s="26">
        <v>0.2</v>
      </c>
      <c r="Q3040" s="26">
        <v>0</v>
      </c>
      <c r="R3040" s="26"/>
      <c r="S3040" s="26">
        <v>0</v>
      </c>
      <c r="T3040" s="26">
        <v>0</v>
      </c>
      <c r="U3040" s="26">
        <v>0</v>
      </c>
      <c r="V3040" s="28">
        <v>0</v>
      </c>
      <c r="W3040" s="26">
        <v>0</v>
      </c>
      <c r="X3040" s="26">
        <v>0</v>
      </c>
      <c r="Y3040" s="26">
        <v>0</v>
      </c>
      <c r="Z3040" s="26">
        <v>0</v>
      </c>
    </row>
    <row r="3041" spans="1:26" x14ac:dyDescent="0.2">
      <c r="A3041">
        <f t="shared" si="96"/>
        <v>6</v>
      </c>
      <c r="B3041">
        <f t="shared" si="97"/>
        <v>26</v>
      </c>
      <c r="C3041" s="27">
        <v>46199</v>
      </c>
      <c r="D3041" s="26" t="s">
        <v>26</v>
      </c>
      <c r="E3041" s="26" t="s">
        <v>39</v>
      </c>
      <c r="F3041" s="26" t="s">
        <v>40</v>
      </c>
      <c r="G3041" s="26" t="s">
        <v>29</v>
      </c>
      <c r="H3041" s="26" t="s">
        <v>30</v>
      </c>
      <c r="I3041" s="26" t="s">
        <v>1134</v>
      </c>
      <c r="J3041" s="26" t="s">
        <v>42</v>
      </c>
      <c r="K3041" s="26" t="s">
        <v>1506</v>
      </c>
      <c r="L3041" s="26">
        <v>2</v>
      </c>
      <c r="M3041" s="26">
        <v>1</v>
      </c>
      <c r="N3041" s="28">
        <v>0.5</v>
      </c>
      <c r="O3041" s="26">
        <v>1.05</v>
      </c>
      <c r="P3041" s="26">
        <v>1.05</v>
      </c>
      <c r="Q3041" s="26">
        <v>0</v>
      </c>
      <c r="R3041" s="26"/>
      <c r="S3041" s="26">
        <v>0</v>
      </c>
      <c r="T3041" s="26">
        <v>0</v>
      </c>
      <c r="U3041" s="26">
        <v>0</v>
      </c>
      <c r="V3041" s="28">
        <v>0</v>
      </c>
      <c r="W3041" s="26">
        <v>0</v>
      </c>
      <c r="X3041" s="26">
        <v>0</v>
      </c>
      <c r="Y3041" s="26">
        <v>0</v>
      </c>
      <c r="Z3041" s="26">
        <v>0</v>
      </c>
    </row>
    <row r="3042" spans="1:26" x14ac:dyDescent="0.2">
      <c r="A3042">
        <f t="shared" si="96"/>
        <v>6</v>
      </c>
      <c r="B3042">
        <f t="shared" si="97"/>
        <v>26</v>
      </c>
      <c r="C3042" s="27">
        <v>46200</v>
      </c>
      <c r="D3042" s="26" t="s">
        <v>26</v>
      </c>
      <c r="E3042" s="26" t="s">
        <v>27</v>
      </c>
      <c r="F3042" s="26" t="s">
        <v>28</v>
      </c>
      <c r="G3042" s="26" t="s">
        <v>29</v>
      </c>
      <c r="H3042" s="26" t="s">
        <v>30</v>
      </c>
      <c r="I3042" s="26" t="s">
        <v>50</v>
      </c>
      <c r="J3042" s="26" t="s">
        <v>32</v>
      </c>
      <c r="K3042" s="26" t="s">
        <v>1506</v>
      </c>
      <c r="L3042" s="26">
        <v>3</v>
      </c>
      <c r="M3042" s="26">
        <v>1</v>
      </c>
      <c r="N3042" s="28">
        <v>0.33333299999999999</v>
      </c>
      <c r="O3042" s="26">
        <v>0.21</v>
      </c>
      <c r="P3042" s="26">
        <v>0.21</v>
      </c>
      <c r="Q3042" s="26">
        <v>0</v>
      </c>
      <c r="R3042" s="26"/>
      <c r="S3042" s="26">
        <v>0</v>
      </c>
      <c r="T3042" s="26">
        <v>0</v>
      </c>
      <c r="U3042" s="26">
        <v>0</v>
      </c>
      <c r="V3042" s="28">
        <v>0</v>
      </c>
      <c r="W3042" s="26">
        <v>0</v>
      </c>
      <c r="X3042" s="26">
        <v>0</v>
      </c>
      <c r="Y3042" s="26">
        <v>0</v>
      </c>
      <c r="Z3042" s="26">
        <v>0</v>
      </c>
    </row>
    <row r="3043" spans="1:26" x14ac:dyDescent="0.2">
      <c r="A3043">
        <f t="shared" si="96"/>
        <v>6</v>
      </c>
      <c r="B3043">
        <f t="shared" si="97"/>
        <v>26</v>
      </c>
      <c r="C3043" s="27">
        <v>46200</v>
      </c>
      <c r="D3043" s="26" t="s">
        <v>26</v>
      </c>
      <c r="E3043" s="26" t="s">
        <v>27</v>
      </c>
      <c r="F3043" s="26" t="s">
        <v>28</v>
      </c>
      <c r="G3043" s="26" t="s">
        <v>29</v>
      </c>
      <c r="H3043" s="26" t="s">
        <v>30</v>
      </c>
      <c r="I3043" s="26" t="s">
        <v>44</v>
      </c>
      <c r="J3043" s="26" t="s">
        <v>32</v>
      </c>
      <c r="K3043" s="26" t="s">
        <v>1506</v>
      </c>
      <c r="L3043" s="26">
        <v>1</v>
      </c>
      <c r="M3043" s="26">
        <v>1</v>
      </c>
      <c r="N3043" s="28">
        <v>1</v>
      </c>
      <c r="O3043" s="26">
        <v>0.21</v>
      </c>
      <c r="P3043" s="26">
        <v>0.21</v>
      </c>
      <c r="Q3043" s="26">
        <v>0</v>
      </c>
      <c r="R3043" s="26"/>
      <c r="S3043" s="26">
        <v>0</v>
      </c>
      <c r="T3043" s="26">
        <v>0</v>
      </c>
      <c r="U3043" s="26">
        <v>0</v>
      </c>
      <c r="V3043" s="28">
        <v>0</v>
      </c>
      <c r="W3043" s="26">
        <v>0</v>
      </c>
      <c r="X3043" s="26">
        <v>0</v>
      </c>
      <c r="Y3043" s="26">
        <v>0</v>
      </c>
      <c r="Z3043" s="26">
        <v>0</v>
      </c>
    </row>
    <row r="3044" spans="1:26" x14ac:dyDescent="0.2">
      <c r="A3044">
        <f t="shared" si="96"/>
        <v>6</v>
      </c>
      <c r="B3044">
        <f t="shared" si="97"/>
        <v>26</v>
      </c>
      <c r="C3044" s="27">
        <v>46196</v>
      </c>
      <c r="D3044" s="26" t="s">
        <v>26</v>
      </c>
      <c r="E3044" s="26" t="s">
        <v>27</v>
      </c>
      <c r="F3044" s="26" t="s">
        <v>28</v>
      </c>
      <c r="G3044" s="26" t="s">
        <v>29</v>
      </c>
      <c r="H3044" s="26" t="s">
        <v>30</v>
      </c>
      <c r="I3044" s="26" t="s">
        <v>50</v>
      </c>
      <c r="J3044" s="26" t="s">
        <v>32</v>
      </c>
      <c r="K3044" s="26" t="s">
        <v>1850</v>
      </c>
      <c r="L3044" s="26">
        <v>1</v>
      </c>
      <c r="M3044" s="26">
        <v>1</v>
      </c>
      <c r="N3044" s="28">
        <v>1</v>
      </c>
      <c r="O3044" s="26">
        <v>0.21</v>
      </c>
      <c r="P3044" s="26">
        <v>0.21</v>
      </c>
      <c r="Q3044" s="26">
        <v>0</v>
      </c>
      <c r="R3044" s="26"/>
      <c r="S3044" s="26">
        <v>0</v>
      </c>
      <c r="T3044" s="26">
        <v>0</v>
      </c>
      <c r="U3044" s="26">
        <v>0</v>
      </c>
      <c r="V3044" s="28">
        <v>0</v>
      </c>
      <c r="W3044" s="26">
        <v>0</v>
      </c>
      <c r="X3044" s="26">
        <v>0</v>
      </c>
      <c r="Y3044" s="26">
        <v>0</v>
      </c>
      <c r="Z3044" s="26">
        <v>0</v>
      </c>
    </row>
    <row r="3045" spans="1:26" x14ac:dyDescent="0.2">
      <c r="A3045">
        <f t="shared" si="96"/>
        <v>6</v>
      </c>
      <c r="B3045">
        <f t="shared" si="97"/>
        <v>27</v>
      </c>
      <c r="C3045" s="27">
        <v>46202</v>
      </c>
      <c r="D3045" s="26" t="s">
        <v>26</v>
      </c>
      <c r="E3045" s="26" t="s">
        <v>27</v>
      </c>
      <c r="F3045" s="26" t="s">
        <v>124</v>
      </c>
      <c r="G3045" s="26" t="s">
        <v>29</v>
      </c>
      <c r="H3045" s="26" t="s">
        <v>30</v>
      </c>
      <c r="I3045" s="26" t="s">
        <v>154</v>
      </c>
      <c r="J3045" s="26" t="s">
        <v>87</v>
      </c>
      <c r="K3045" s="26" t="s">
        <v>1851</v>
      </c>
      <c r="L3045" s="26">
        <v>1</v>
      </c>
      <c r="M3045" s="26">
        <v>1</v>
      </c>
      <c r="N3045" s="28">
        <v>1</v>
      </c>
      <c r="O3045" s="26">
        <v>0.4</v>
      </c>
      <c r="P3045" s="26">
        <v>0.4</v>
      </c>
      <c r="Q3045" s="26">
        <v>0</v>
      </c>
      <c r="R3045" s="26"/>
      <c r="S3045" s="26">
        <v>0</v>
      </c>
      <c r="T3045" s="26">
        <v>0</v>
      </c>
      <c r="U3045" s="26">
        <v>0</v>
      </c>
      <c r="V3045" s="28">
        <v>0</v>
      </c>
      <c r="W3045" s="26">
        <v>0</v>
      </c>
      <c r="X3045" s="26">
        <v>0</v>
      </c>
      <c r="Y3045" s="26">
        <v>0</v>
      </c>
      <c r="Z3045" s="26">
        <v>0</v>
      </c>
    </row>
    <row r="3046" spans="1:26" x14ac:dyDescent="0.2">
      <c r="A3046">
        <f t="shared" si="96"/>
        <v>6</v>
      </c>
      <c r="B3046">
        <f t="shared" si="97"/>
        <v>26</v>
      </c>
      <c r="C3046" s="27">
        <v>46196</v>
      </c>
      <c r="D3046" s="26" t="s">
        <v>26</v>
      </c>
      <c r="E3046" s="26" t="s">
        <v>27</v>
      </c>
      <c r="F3046" s="26" t="s">
        <v>28</v>
      </c>
      <c r="G3046" s="26" t="s">
        <v>29</v>
      </c>
      <c r="H3046" s="26" t="s">
        <v>30</v>
      </c>
      <c r="I3046" s="26" t="s">
        <v>31</v>
      </c>
      <c r="J3046" s="26" t="s">
        <v>32</v>
      </c>
      <c r="K3046" s="26" t="s">
        <v>1852</v>
      </c>
      <c r="L3046" s="26">
        <v>3</v>
      </c>
      <c r="M3046" s="26">
        <v>1</v>
      </c>
      <c r="N3046" s="28">
        <v>0.33333299999999999</v>
      </c>
      <c r="O3046" s="26">
        <v>0.4</v>
      </c>
      <c r="P3046" s="26">
        <v>0.4</v>
      </c>
      <c r="Q3046" s="26">
        <v>0</v>
      </c>
      <c r="R3046" s="26"/>
      <c r="S3046" s="26">
        <v>0</v>
      </c>
      <c r="T3046" s="26">
        <v>0</v>
      </c>
      <c r="U3046" s="26">
        <v>0</v>
      </c>
      <c r="V3046" s="28">
        <v>0</v>
      </c>
      <c r="W3046" s="26">
        <v>0</v>
      </c>
      <c r="X3046" s="26">
        <v>0</v>
      </c>
      <c r="Y3046" s="26">
        <v>0</v>
      </c>
      <c r="Z3046" s="26">
        <v>0</v>
      </c>
    </row>
    <row r="3047" spans="1:26" x14ac:dyDescent="0.2">
      <c r="A3047">
        <f t="shared" si="96"/>
        <v>6</v>
      </c>
      <c r="B3047">
        <f t="shared" si="97"/>
        <v>26</v>
      </c>
      <c r="C3047" s="27">
        <v>46197</v>
      </c>
      <c r="D3047" s="26" t="s">
        <v>26</v>
      </c>
      <c r="E3047" s="26" t="s">
        <v>49</v>
      </c>
      <c r="F3047" s="26" t="s">
        <v>50</v>
      </c>
      <c r="G3047" s="26" t="s">
        <v>29</v>
      </c>
      <c r="H3047" s="26" t="s">
        <v>30</v>
      </c>
      <c r="I3047" s="26" t="s">
        <v>47</v>
      </c>
      <c r="J3047" s="26" t="s">
        <v>42</v>
      </c>
      <c r="K3047" s="26" t="s">
        <v>31</v>
      </c>
      <c r="L3047" s="26">
        <v>37</v>
      </c>
      <c r="M3047" s="26">
        <v>1</v>
      </c>
      <c r="N3047" s="28">
        <v>2.7026999999999999E-2</v>
      </c>
      <c r="O3047" s="26">
        <v>1.3</v>
      </c>
      <c r="P3047" s="26">
        <v>1.3</v>
      </c>
      <c r="Q3047" s="26">
        <v>0</v>
      </c>
      <c r="R3047" s="26"/>
      <c r="S3047" s="26">
        <v>0</v>
      </c>
      <c r="T3047" s="26">
        <v>0</v>
      </c>
      <c r="U3047" s="26">
        <v>0</v>
      </c>
      <c r="V3047" s="28">
        <v>0</v>
      </c>
      <c r="W3047" s="26">
        <v>0</v>
      </c>
      <c r="X3047" s="26">
        <v>0</v>
      </c>
      <c r="Y3047" s="26">
        <v>0</v>
      </c>
      <c r="Z3047" s="26">
        <v>0</v>
      </c>
    </row>
    <row r="3048" spans="1:26" x14ac:dyDescent="0.2">
      <c r="A3048">
        <f t="shared" si="96"/>
        <v>6</v>
      </c>
      <c r="B3048">
        <f t="shared" si="97"/>
        <v>26</v>
      </c>
      <c r="C3048" s="27">
        <v>46195</v>
      </c>
      <c r="D3048" s="26" t="s">
        <v>26</v>
      </c>
      <c r="E3048" s="26" t="s">
        <v>27</v>
      </c>
      <c r="F3048" s="26" t="s">
        <v>28</v>
      </c>
      <c r="G3048" s="26" t="s">
        <v>29</v>
      </c>
      <c r="H3048" s="26" t="s">
        <v>30</v>
      </c>
      <c r="I3048" s="26" t="s">
        <v>31</v>
      </c>
      <c r="J3048" s="26" t="s">
        <v>32</v>
      </c>
      <c r="K3048" s="26" t="s">
        <v>31</v>
      </c>
      <c r="L3048" s="26">
        <v>28</v>
      </c>
      <c r="M3048" s="26">
        <v>1</v>
      </c>
      <c r="N3048" s="28">
        <v>3.5714000000000003E-2</v>
      </c>
      <c r="O3048" s="26">
        <v>0.2</v>
      </c>
      <c r="P3048" s="26">
        <v>0.2</v>
      </c>
      <c r="Q3048" s="26">
        <v>0</v>
      </c>
      <c r="R3048" s="26"/>
      <c r="S3048" s="26">
        <v>0</v>
      </c>
      <c r="T3048" s="26">
        <v>0</v>
      </c>
      <c r="U3048" s="26">
        <v>0</v>
      </c>
      <c r="V3048" s="28">
        <v>0</v>
      </c>
      <c r="W3048" s="26">
        <v>0</v>
      </c>
      <c r="X3048" s="26">
        <v>0</v>
      </c>
      <c r="Y3048" s="26">
        <v>0</v>
      </c>
      <c r="Z3048" s="26">
        <v>0</v>
      </c>
    </row>
    <row r="3049" spans="1:26" x14ac:dyDescent="0.2">
      <c r="A3049">
        <f t="shared" si="96"/>
        <v>6</v>
      </c>
      <c r="B3049">
        <f t="shared" si="97"/>
        <v>26</v>
      </c>
      <c r="C3049" s="27">
        <v>46199</v>
      </c>
      <c r="D3049" s="26" t="s">
        <v>26</v>
      </c>
      <c r="E3049" s="26" t="s">
        <v>27</v>
      </c>
      <c r="F3049" s="26" t="s">
        <v>28</v>
      </c>
      <c r="G3049" s="26" t="s">
        <v>29</v>
      </c>
      <c r="H3049" s="26" t="s">
        <v>30</v>
      </c>
      <c r="I3049" s="26" t="s">
        <v>31</v>
      </c>
      <c r="J3049" s="26" t="s">
        <v>32</v>
      </c>
      <c r="K3049" s="26" t="s">
        <v>31</v>
      </c>
      <c r="L3049" s="26">
        <v>8</v>
      </c>
      <c r="M3049" s="26">
        <v>1</v>
      </c>
      <c r="N3049" s="28">
        <v>0.125</v>
      </c>
      <c r="O3049" s="26">
        <v>0.2</v>
      </c>
      <c r="P3049" s="26">
        <v>0.2</v>
      </c>
      <c r="Q3049" s="26">
        <v>0</v>
      </c>
      <c r="R3049" s="26"/>
      <c r="S3049" s="26">
        <v>0</v>
      </c>
      <c r="T3049" s="26">
        <v>0</v>
      </c>
      <c r="U3049" s="26">
        <v>0</v>
      </c>
      <c r="V3049" s="28">
        <v>0</v>
      </c>
      <c r="W3049" s="26">
        <v>0</v>
      </c>
      <c r="X3049" s="26">
        <v>0</v>
      </c>
      <c r="Y3049" s="26">
        <v>0</v>
      </c>
      <c r="Z3049" s="26">
        <v>0</v>
      </c>
    </row>
    <row r="3050" spans="1:26" x14ac:dyDescent="0.2">
      <c r="A3050">
        <f t="shared" si="96"/>
        <v>6</v>
      </c>
      <c r="B3050">
        <f t="shared" si="97"/>
        <v>27</v>
      </c>
      <c r="C3050" s="27">
        <v>46203</v>
      </c>
      <c r="D3050" s="26" t="s">
        <v>26</v>
      </c>
      <c r="E3050" s="26" t="s">
        <v>27</v>
      </c>
      <c r="F3050" s="26" t="s">
        <v>28</v>
      </c>
      <c r="G3050" s="26" t="s">
        <v>29</v>
      </c>
      <c r="H3050" s="26" t="s">
        <v>30</v>
      </c>
      <c r="I3050" s="26" t="s">
        <v>31</v>
      </c>
      <c r="J3050" s="26" t="s">
        <v>32</v>
      </c>
      <c r="K3050" s="26" t="s">
        <v>31</v>
      </c>
      <c r="L3050" s="26">
        <v>12</v>
      </c>
      <c r="M3050" s="26">
        <v>1</v>
      </c>
      <c r="N3050" s="28">
        <v>8.3333000000000004E-2</v>
      </c>
      <c r="O3050" s="26">
        <v>0.2</v>
      </c>
      <c r="P3050" s="26">
        <v>0.2</v>
      </c>
      <c r="Q3050" s="26">
        <v>0</v>
      </c>
      <c r="R3050" s="26"/>
      <c r="S3050" s="26">
        <v>0</v>
      </c>
      <c r="T3050" s="26">
        <v>0</v>
      </c>
      <c r="U3050" s="26">
        <v>0</v>
      </c>
      <c r="V3050" s="28">
        <v>0</v>
      </c>
      <c r="W3050" s="26">
        <v>0</v>
      </c>
      <c r="X3050" s="26">
        <v>0</v>
      </c>
      <c r="Y3050" s="26">
        <v>0</v>
      </c>
      <c r="Z3050" s="26">
        <v>0</v>
      </c>
    </row>
    <row r="3051" spans="1:26" x14ac:dyDescent="0.2">
      <c r="A3051">
        <f t="shared" si="96"/>
        <v>6</v>
      </c>
      <c r="B3051">
        <f t="shared" si="97"/>
        <v>26</v>
      </c>
      <c r="C3051" s="27">
        <v>46200</v>
      </c>
      <c r="D3051" s="26" t="s">
        <v>26</v>
      </c>
      <c r="E3051" s="26" t="s">
        <v>27</v>
      </c>
      <c r="F3051" s="26" t="s">
        <v>124</v>
      </c>
      <c r="G3051" s="26" t="s">
        <v>29</v>
      </c>
      <c r="H3051" s="26" t="s">
        <v>30</v>
      </c>
      <c r="I3051" s="26" t="s">
        <v>31</v>
      </c>
      <c r="J3051" s="26" t="s">
        <v>267</v>
      </c>
      <c r="K3051" s="26" t="s">
        <v>31</v>
      </c>
      <c r="L3051" s="26">
        <v>1</v>
      </c>
      <c r="M3051" s="26">
        <v>1</v>
      </c>
      <c r="N3051" s="28">
        <v>1</v>
      </c>
      <c r="O3051" s="26">
        <v>0.21</v>
      </c>
      <c r="P3051" s="26">
        <v>0.21</v>
      </c>
      <c r="Q3051" s="26">
        <v>0</v>
      </c>
      <c r="R3051" s="26"/>
      <c r="S3051" s="26">
        <v>0</v>
      </c>
      <c r="T3051" s="26">
        <v>0</v>
      </c>
      <c r="U3051" s="26">
        <v>0</v>
      </c>
      <c r="V3051" s="28">
        <v>0</v>
      </c>
      <c r="W3051" s="26">
        <v>0</v>
      </c>
      <c r="X3051" s="26">
        <v>0</v>
      </c>
      <c r="Y3051" s="26">
        <v>0</v>
      </c>
      <c r="Z3051" s="26">
        <v>0</v>
      </c>
    </row>
    <row r="3052" spans="1:26" x14ac:dyDescent="0.2">
      <c r="A3052">
        <f t="shared" si="96"/>
        <v>6</v>
      </c>
      <c r="B3052">
        <f t="shared" si="97"/>
        <v>26</v>
      </c>
      <c r="C3052" s="27">
        <v>46198</v>
      </c>
      <c r="D3052" s="26" t="s">
        <v>26</v>
      </c>
      <c r="E3052" s="26" t="s">
        <v>27</v>
      </c>
      <c r="F3052" s="26" t="s">
        <v>28</v>
      </c>
      <c r="G3052" s="26" t="s">
        <v>29</v>
      </c>
      <c r="H3052" s="26" t="s">
        <v>30</v>
      </c>
      <c r="I3052" s="26" t="s">
        <v>272</v>
      </c>
      <c r="J3052" s="26" t="s">
        <v>32</v>
      </c>
      <c r="K3052" s="26" t="s">
        <v>31</v>
      </c>
      <c r="L3052" s="26">
        <v>15</v>
      </c>
      <c r="M3052" s="26">
        <v>2</v>
      </c>
      <c r="N3052" s="28">
        <v>0.13333300000000001</v>
      </c>
      <c r="O3052" s="26">
        <v>0.2</v>
      </c>
      <c r="P3052" s="26">
        <v>0.4</v>
      </c>
      <c r="Q3052" s="26">
        <v>0</v>
      </c>
      <c r="R3052" s="26"/>
      <c r="S3052" s="26">
        <v>0</v>
      </c>
      <c r="T3052" s="26">
        <v>0</v>
      </c>
      <c r="U3052" s="26">
        <v>0</v>
      </c>
      <c r="V3052" s="28">
        <v>0</v>
      </c>
      <c r="W3052" s="26">
        <v>0</v>
      </c>
      <c r="X3052" s="26">
        <v>0</v>
      </c>
      <c r="Y3052" s="26">
        <v>0</v>
      </c>
      <c r="Z3052" s="26">
        <v>0</v>
      </c>
    </row>
    <row r="3053" spans="1:26" x14ac:dyDescent="0.2">
      <c r="A3053">
        <f t="shared" si="96"/>
        <v>6</v>
      </c>
      <c r="B3053">
        <f t="shared" si="97"/>
        <v>26</v>
      </c>
      <c r="C3053" s="27">
        <v>46199</v>
      </c>
      <c r="D3053" s="26" t="s">
        <v>26</v>
      </c>
      <c r="E3053" s="26" t="s">
        <v>27</v>
      </c>
      <c r="F3053" s="26" t="s">
        <v>28</v>
      </c>
      <c r="G3053" s="26" t="s">
        <v>29</v>
      </c>
      <c r="H3053" s="26" t="s">
        <v>30</v>
      </c>
      <c r="I3053" s="26" t="s">
        <v>272</v>
      </c>
      <c r="J3053" s="26" t="s">
        <v>32</v>
      </c>
      <c r="K3053" s="26" t="s">
        <v>31</v>
      </c>
      <c r="L3053" s="26">
        <v>7</v>
      </c>
      <c r="M3053" s="26">
        <v>1</v>
      </c>
      <c r="N3053" s="28">
        <v>0.14285700000000001</v>
      </c>
      <c r="O3053" s="26">
        <v>0.2</v>
      </c>
      <c r="P3053" s="26">
        <v>0.2</v>
      </c>
      <c r="Q3053" s="26">
        <v>0</v>
      </c>
      <c r="R3053" s="26"/>
      <c r="S3053" s="26">
        <v>0</v>
      </c>
      <c r="T3053" s="26">
        <v>0</v>
      </c>
      <c r="U3053" s="26">
        <v>0</v>
      </c>
      <c r="V3053" s="28">
        <v>0</v>
      </c>
      <c r="W3053" s="26">
        <v>0</v>
      </c>
      <c r="X3053" s="26">
        <v>0</v>
      </c>
      <c r="Y3053" s="26">
        <v>0</v>
      </c>
      <c r="Z3053" s="26">
        <v>0</v>
      </c>
    </row>
    <row r="3054" spans="1:26" x14ac:dyDescent="0.2">
      <c r="A3054">
        <f t="shared" si="96"/>
        <v>6</v>
      </c>
      <c r="B3054">
        <f t="shared" si="97"/>
        <v>26</v>
      </c>
      <c r="C3054" s="27">
        <v>46195</v>
      </c>
      <c r="D3054" s="26" t="s">
        <v>26</v>
      </c>
      <c r="E3054" s="26" t="s">
        <v>27</v>
      </c>
      <c r="F3054" s="26" t="s">
        <v>28</v>
      </c>
      <c r="G3054" s="26" t="s">
        <v>29</v>
      </c>
      <c r="H3054" s="26" t="s">
        <v>30</v>
      </c>
      <c r="I3054" s="26" t="s">
        <v>243</v>
      </c>
      <c r="J3054" s="26" t="s">
        <v>32</v>
      </c>
      <c r="K3054" s="26" t="s">
        <v>272</v>
      </c>
      <c r="L3054" s="26">
        <v>11</v>
      </c>
      <c r="M3054" s="26">
        <v>1</v>
      </c>
      <c r="N3054" s="28">
        <v>9.0909000000000004E-2</v>
      </c>
      <c r="O3054" s="26">
        <v>0.2</v>
      </c>
      <c r="P3054" s="26">
        <v>0.2</v>
      </c>
      <c r="Q3054" s="26">
        <v>0</v>
      </c>
      <c r="R3054" s="26"/>
      <c r="S3054" s="26">
        <v>0</v>
      </c>
      <c r="T3054" s="26">
        <v>0</v>
      </c>
      <c r="U3054" s="26">
        <v>0</v>
      </c>
      <c r="V3054" s="28">
        <v>0</v>
      </c>
      <c r="W3054" s="26">
        <v>0</v>
      </c>
      <c r="X3054" s="26">
        <v>0</v>
      </c>
      <c r="Y3054" s="26">
        <v>0</v>
      </c>
      <c r="Z3054" s="26">
        <v>0</v>
      </c>
    </row>
    <row r="3055" spans="1:26" x14ac:dyDescent="0.2">
      <c r="A3055">
        <f t="shared" si="96"/>
        <v>6</v>
      </c>
      <c r="B3055">
        <f t="shared" si="97"/>
        <v>26</v>
      </c>
      <c r="C3055" s="27">
        <v>46196</v>
      </c>
      <c r="D3055" s="26" t="s">
        <v>26</v>
      </c>
      <c r="E3055" s="26" t="s">
        <v>27</v>
      </c>
      <c r="F3055" s="26" t="s">
        <v>28</v>
      </c>
      <c r="G3055" s="26" t="s">
        <v>29</v>
      </c>
      <c r="H3055" s="26" t="s">
        <v>30</v>
      </c>
      <c r="I3055" s="26" t="s">
        <v>243</v>
      </c>
      <c r="J3055" s="26" t="s">
        <v>32</v>
      </c>
      <c r="K3055" s="26" t="s">
        <v>272</v>
      </c>
      <c r="L3055" s="26">
        <v>5</v>
      </c>
      <c r="M3055" s="26">
        <v>1</v>
      </c>
      <c r="N3055" s="28">
        <v>0.2</v>
      </c>
      <c r="O3055" s="26">
        <v>0.2</v>
      </c>
      <c r="P3055" s="26">
        <v>0.2</v>
      </c>
      <c r="Q3055" s="26">
        <v>18.989999999999998</v>
      </c>
      <c r="R3055" s="28">
        <v>1.0532E-2</v>
      </c>
      <c r="S3055" s="26">
        <v>94.95</v>
      </c>
      <c r="T3055" s="26">
        <v>1</v>
      </c>
      <c r="U3055" s="26">
        <v>1</v>
      </c>
      <c r="V3055" s="28">
        <v>1</v>
      </c>
      <c r="W3055" s="26">
        <v>1</v>
      </c>
      <c r="X3055" s="26">
        <v>0</v>
      </c>
      <c r="Y3055" s="26">
        <v>18.989999999999998</v>
      </c>
      <c r="Z3055" s="26">
        <v>0</v>
      </c>
    </row>
    <row r="3056" spans="1:26" x14ac:dyDescent="0.2">
      <c r="A3056">
        <f t="shared" si="96"/>
        <v>6</v>
      </c>
      <c r="B3056">
        <f t="shared" si="97"/>
        <v>26</v>
      </c>
      <c r="C3056" s="27">
        <v>46197</v>
      </c>
      <c r="D3056" s="26" t="s">
        <v>26</v>
      </c>
      <c r="E3056" s="26" t="s">
        <v>27</v>
      </c>
      <c r="F3056" s="26" t="s">
        <v>28</v>
      </c>
      <c r="G3056" s="26" t="s">
        <v>29</v>
      </c>
      <c r="H3056" s="26" t="s">
        <v>30</v>
      </c>
      <c r="I3056" s="26" t="s">
        <v>31</v>
      </c>
      <c r="J3056" s="26" t="s">
        <v>32</v>
      </c>
      <c r="K3056" s="26" t="s">
        <v>1853</v>
      </c>
      <c r="L3056" s="26">
        <v>3</v>
      </c>
      <c r="M3056" s="26">
        <v>1</v>
      </c>
      <c r="N3056" s="28">
        <v>0.33333299999999999</v>
      </c>
      <c r="O3056" s="26">
        <v>0.21</v>
      </c>
      <c r="P3056" s="26">
        <v>0.21</v>
      </c>
      <c r="Q3056" s="26">
        <v>0</v>
      </c>
      <c r="R3056" s="26"/>
      <c r="S3056" s="26">
        <v>0</v>
      </c>
      <c r="T3056" s="26">
        <v>0</v>
      </c>
      <c r="U3056" s="26">
        <v>0</v>
      </c>
      <c r="V3056" s="28">
        <v>0</v>
      </c>
      <c r="W3056" s="26">
        <v>0</v>
      </c>
      <c r="X3056" s="26">
        <v>0</v>
      </c>
      <c r="Y3056" s="26">
        <v>0</v>
      </c>
      <c r="Z3056" s="26">
        <v>0</v>
      </c>
    </row>
    <row r="3057" spans="1:26" x14ac:dyDescent="0.2">
      <c r="A3057">
        <f t="shared" si="96"/>
        <v>6</v>
      </c>
      <c r="B3057">
        <f t="shared" si="97"/>
        <v>26</v>
      </c>
      <c r="C3057" s="27">
        <v>46197</v>
      </c>
      <c r="D3057" s="26" t="s">
        <v>26</v>
      </c>
      <c r="E3057" s="26" t="s">
        <v>39</v>
      </c>
      <c r="F3057" s="26" t="s">
        <v>40</v>
      </c>
      <c r="G3057" s="26" t="s">
        <v>29</v>
      </c>
      <c r="H3057" s="26" t="s">
        <v>30</v>
      </c>
      <c r="I3057" s="26" t="s">
        <v>1134</v>
      </c>
      <c r="J3057" s="26" t="s">
        <v>42</v>
      </c>
      <c r="K3057" s="26" t="s">
        <v>1854</v>
      </c>
      <c r="L3057" s="26">
        <v>10</v>
      </c>
      <c r="M3057" s="26">
        <v>1</v>
      </c>
      <c r="N3057" s="28">
        <v>0.1</v>
      </c>
      <c r="O3057" s="26">
        <v>0.79</v>
      </c>
      <c r="P3057" s="26">
        <v>0.79</v>
      </c>
      <c r="Q3057" s="26">
        <v>0</v>
      </c>
      <c r="R3057" s="26"/>
      <c r="S3057" s="26">
        <v>0</v>
      </c>
      <c r="T3057" s="26">
        <v>0</v>
      </c>
      <c r="U3057" s="26">
        <v>0</v>
      </c>
      <c r="V3057" s="28">
        <v>0</v>
      </c>
      <c r="W3057" s="26">
        <v>0</v>
      </c>
      <c r="X3057" s="26">
        <v>0</v>
      </c>
      <c r="Y3057" s="26">
        <v>0</v>
      </c>
      <c r="Z3057" s="26">
        <v>0</v>
      </c>
    </row>
    <row r="3058" spans="1:26" x14ac:dyDescent="0.2">
      <c r="A3058">
        <f t="shared" si="96"/>
        <v>6</v>
      </c>
      <c r="B3058">
        <f t="shared" si="97"/>
        <v>26</v>
      </c>
      <c r="C3058" s="27">
        <v>46200</v>
      </c>
      <c r="D3058" s="26" t="s">
        <v>26</v>
      </c>
      <c r="E3058" s="26" t="s">
        <v>27</v>
      </c>
      <c r="F3058" s="26" t="s">
        <v>28</v>
      </c>
      <c r="G3058" s="26" t="s">
        <v>29</v>
      </c>
      <c r="H3058" s="26" t="s">
        <v>30</v>
      </c>
      <c r="I3058" s="26" t="s">
        <v>243</v>
      </c>
      <c r="J3058" s="26" t="s">
        <v>32</v>
      </c>
      <c r="K3058" s="26" t="s">
        <v>1528</v>
      </c>
      <c r="L3058" s="26">
        <v>1</v>
      </c>
      <c r="M3058" s="26">
        <v>1</v>
      </c>
      <c r="N3058" s="28">
        <v>1</v>
      </c>
      <c r="O3058" s="26">
        <v>0.21</v>
      </c>
      <c r="P3058" s="26">
        <v>0.21</v>
      </c>
      <c r="Q3058" s="26">
        <v>18.989999999999998</v>
      </c>
      <c r="R3058" s="28">
        <v>1.1058E-2</v>
      </c>
      <c r="S3058" s="26">
        <v>90.43</v>
      </c>
      <c r="T3058" s="26">
        <v>1</v>
      </c>
      <c r="U3058" s="26">
        <v>1</v>
      </c>
      <c r="V3058" s="28">
        <v>1</v>
      </c>
      <c r="W3058" s="26">
        <v>1</v>
      </c>
      <c r="X3058" s="26">
        <v>0</v>
      </c>
      <c r="Y3058" s="26">
        <v>18.989999999999998</v>
      </c>
      <c r="Z3058" s="26">
        <v>0</v>
      </c>
    </row>
    <row r="3059" spans="1:26" x14ac:dyDescent="0.2">
      <c r="A3059">
        <f t="shared" si="96"/>
        <v>6</v>
      </c>
      <c r="B3059">
        <f t="shared" si="97"/>
        <v>27</v>
      </c>
      <c r="C3059" s="27">
        <v>46201</v>
      </c>
      <c r="D3059" s="26" t="s">
        <v>26</v>
      </c>
      <c r="E3059" s="26" t="s">
        <v>27</v>
      </c>
      <c r="F3059" s="26" t="s">
        <v>28</v>
      </c>
      <c r="G3059" s="26" t="s">
        <v>29</v>
      </c>
      <c r="H3059" s="26" t="s">
        <v>30</v>
      </c>
      <c r="I3059" s="26" t="s">
        <v>257</v>
      </c>
      <c r="J3059" s="26" t="s">
        <v>32</v>
      </c>
      <c r="K3059" s="26" t="s">
        <v>1769</v>
      </c>
      <c r="L3059" s="26">
        <v>5</v>
      </c>
      <c r="M3059" s="26">
        <v>1</v>
      </c>
      <c r="N3059" s="28">
        <v>0.2</v>
      </c>
      <c r="O3059" s="26">
        <v>0.21</v>
      </c>
      <c r="P3059" s="26">
        <v>0.21</v>
      </c>
      <c r="Q3059" s="26">
        <v>17.989999999999998</v>
      </c>
      <c r="R3059" s="28">
        <v>1.1672999999999999E-2</v>
      </c>
      <c r="S3059" s="26">
        <v>85.67</v>
      </c>
      <c r="T3059" s="26">
        <v>1</v>
      </c>
      <c r="U3059" s="26">
        <v>1</v>
      </c>
      <c r="V3059" s="28">
        <v>1</v>
      </c>
      <c r="W3059" s="26">
        <v>0</v>
      </c>
      <c r="X3059" s="26">
        <v>1</v>
      </c>
      <c r="Y3059" s="26">
        <v>0</v>
      </c>
      <c r="Z3059" s="26">
        <v>17.989999999999998</v>
      </c>
    </row>
    <row r="3060" spans="1:26" x14ac:dyDescent="0.2">
      <c r="A3060">
        <f t="shared" si="96"/>
        <v>6</v>
      </c>
      <c r="B3060">
        <f t="shared" si="97"/>
        <v>26</v>
      </c>
      <c r="C3060" s="27">
        <v>46195</v>
      </c>
      <c r="D3060" s="26" t="s">
        <v>26</v>
      </c>
      <c r="E3060" s="26" t="s">
        <v>27</v>
      </c>
      <c r="F3060" s="26" t="s">
        <v>28</v>
      </c>
      <c r="G3060" s="26" t="s">
        <v>29</v>
      </c>
      <c r="H3060" s="26" t="s">
        <v>30</v>
      </c>
      <c r="I3060" s="26" t="s">
        <v>257</v>
      </c>
      <c r="J3060" s="26" t="s">
        <v>32</v>
      </c>
      <c r="K3060" s="26" t="s">
        <v>549</v>
      </c>
      <c r="L3060" s="26">
        <v>5</v>
      </c>
      <c r="M3060" s="26">
        <v>1</v>
      </c>
      <c r="N3060" s="28">
        <v>0.2</v>
      </c>
      <c r="O3060" s="26">
        <v>0.21</v>
      </c>
      <c r="P3060" s="26">
        <v>0.21</v>
      </c>
      <c r="Q3060" s="26">
        <v>0</v>
      </c>
      <c r="R3060" s="26"/>
      <c r="S3060" s="26">
        <v>0</v>
      </c>
      <c r="T3060" s="26">
        <v>0</v>
      </c>
      <c r="U3060" s="26">
        <v>0</v>
      </c>
      <c r="V3060" s="28">
        <v>0</v>
      </c>
      <c r="W3060" s="26">
        <v>0</v>
      </c>
      <c r="X3060" s="26">
        <v>0</v>
      </c>
      <c r="Y3060" s="26">
        <v>0</v>
      </c>
      <c r="Z3060" s="26">
        <v>0</v>
      </c>
    </row>
    <row r="3061" spans="1:26" x14ac:dyDescent="0.2">
      <c r="A3061">
        <f t="shared" si="96"/>
        <v>6</v>
      </c>
      <c r="B3061">
        <f t="shared" si="97"/>
        <v>26</v>
      </c>
      <c r="C3061" s="27">
        <v>46197</v>
      </c>
      <c r="D3061" s="26" t="s">
        <v>26</v>
      </c>
      <c r="E3061" s="26" t="s">
        <v>39</v>
      </c>
      <c r="F3061" s="26" t="s">
        <v>40</v>
      </c>
      <c r="G3061" s="26" t="s">
        <v>29</v>
      </c>
      <c r="H3061" s="26" t="s">
        <v>30</v>
      </c>
      <c r="I3061" s="26" t="s">
        <v>1134</v>
      </c>
      <c r="J3061" s="26" t="s">
        <v>42</v>
      </c>
      <c r="K3061" s="26" t="s">
        <v>101</v>
      </c>
      <c r="L3061" s="26">
        <v>61</v>
      </c>
      <c r="M3061" s="26">
        <v>1</v>
      </c>
      <c r="N3061" s="28">
        <v>1.6393000000000001E-2</v>
      </c>
      <c r="O3061" s="26">
        <v>0.83</v>
      </c>
      <c r="P3061" s="26">
        <v>0.83</v>
      </c>
      <c r="Q3061" s="26">
        <v>0</v>
      </c>
      <c r="R3061" s="26"/>
      <c r="S3061" s="26">
        <v>0</v>
      </c>
      <c r="T3061" s="26">
        <v>0</v>
      </c>
      <c r="U3061" s="26">
        <v>0</v>
      </c>
      <c r="V3061" s="28">
        <v>0</v>
      </c>
      <c r="W3061" s="26">
        <v>0</v>
      </c>
      <c r="X3061" s="26">
        <v>0</v>
      </c>
      <c r="Y3061" s="26">
        <v>0</v>
      </c>
      <c r="Z3061" s="26">
        <v>0</v>
      </c>
    </row>
    <row r="3062" spans="1:26" x14ac:dyDescent="0.2">
      <c r="A3062">
        <f t="shared" si="96"/>
        <v>6</v>
      </c>
      <c r="B3062">
        <f t="shared" si="97"/>
        <v>26</v>
      </c>
      <c r="C3062" s="27">
        <v>46198</v>
      </c>
      <c r="D3062" s="26" t="s">
        <v>26</v>
      </c>
      <c r="E3062" s="26" t="s">
        <v>49</v>
      </c>
      <c r="F3062" s="26" t="s">
        <v>50</v>
      </c>
      <c r="G3062" s="26" t="s">
        <v>29</v>
      </c>
      <c r="H3062" s="26" t="s">
        <v>30</v>
      </c>
      <c r="I3062" s="26" t="s">
        <v>47</v>
      </c>
      <c r="J3062" s="26" t="s">
        <v>42</v>
      </c>
      <c r="K3062" s="26" t="s">
        <v>101</v>
      </c>
      <c r="L3062" s="26">
        <v>9</v>
      </c>
      <c r="M3062" s="26">
        <v>1</v>
      </c>
      <c r="N3062" s="28">
        <v>0.111111</v>
      </c>
      <c r="O3062" s="26">
        <v>1.3</v>
      </c>
      <c r="P3062" s="26">
        <v>1.3</v>
      </c>
      <c r="Q3062" s="26">
        <v>18.989999999999998</v>
      </c>
      <c r="R3062" s="28">
        <v>6.8457000000000004E-2</v>
      </c>
      <c r="S3062" s="26">
        <v>14.61</v>
      </c>
      <c r="T3062" s="26">
        <v>1</v>
      </c>
      <c r="U3062" s="26">
        <v>1</v>
      </c>
      <c r="V3062" s="28">
        <v>1</v>
      </c>
      <c r="W3062" s="26">
        <v>1</v>
      </c>
      <c r="X3062" s="26">
        <v>0</v>
      </c>
      <c r="Y3062" s="26">
        <v>18.989999999999998</v>
      </c>
      <c r="Z3062" s="26">
        <v>0</v>
      </c>
    </row>
    <row r="3063" spans="1:26" x14ac:dyDescent="0.2">
      <c r="A3063">
        <f t="shared" si="96"/>
        <v>6</v>
      </c>
      <c r="B3063">
        <f t="shared" si="97"/>
        <v>26</v>
      </c>
      <c r="C3063" s="27">
        <v>46195</v>
      </c>
      <c r="D3063" s="26" t="s">
        <v>26</v>
      </c>
      <c r="E3063" s="26" t="s">
        <v>27</v>
      </c>
      <c r="F3063" s="26" t="s">
        <v>28</v>
      </c>
      <c r="G3063" s="26" t="s">
        <v>29</v>
      </c>
      <c r="H3063" s="26" t="s">
        <v>30</v>
      </c>
      <c r="I3063" s="26" t="s">
        <v>50</v>
      </c>
      <c r="J3063" s="26" t="s">
        <v>32</v>
      </c>
      <c r="K3063" s="26" t="s">
        <v>101</v>
      </c>
      <c r="L3063" s="26">
        <v>36</v>
      </c>
      <c r="M3063" s="26">
        <v>1</v>
      </c>
      <c r="N3063" s="28">
        <v>2.7778000000000001E-2</v>
      </c>
      <c r="O3063" s="26">
        <v>0.21</v>
      </c>
      <c r="P3063" s="26">
        <v>0.21</v>
      </c>
      <c r="Q3063" s="26">
        <v>0</v>
      </c>
      <c r="R3063" s="26"/>
      <c r="S3063" s="26">
        <v>0</v>
      </c>
      <c r="T3063" s="26">
        <v>0</v>
      </c>
      <c r="U3063" s="26">
        <v>0</v>
      </c>
      <c r="V3063" s="28">
        <v>0</v>
      </c>
      <c r="W3063" s="26">
        <v>0</v>
      </c>
      <c r="X3063" s="26">
        <v>0</v>
      </c>
      <c r="Y3063" s="26">
        <v>0</v>
      </c>
      <c r="Z3063" s="26">
        <v>0</v>
      </c>
    </row>
    <row r="3064" spans="1:26" x14ac:dyDescent="0.2">
      <c r="A3064">
        <f t="shared" si="96"/>
        <v>6</v>
      </c>
      <c r="B3064">
        <f t="shared" si="97"/>
        <v>26</v>
      </c>
      <c r="C3064" s="27">
        <v>46197</v>
      </c>
      <c r="D3064" s="26" t="s">
        <v>26</v>
      </c>
      <c r="E3064" s="26" t="s">
        <v>27</v>
      </c>
      <c r="F3064" s="26" t="s">
        <v>28</v>
      </c>
      <c r="G3064" s="26" t="s">
        <v>29</v>
      </c>
      <c r="H3064" s="26" t="s">
        <v>30</v>
      </c>
      <c r="I3064" s="26" t="s">
        <v>50</v>
      </c>
      <c r="J3064" s="26" t="s">
        <v>32</v>
      </c>
      <c r="K3064" s="26" t="s">
        <v>101</v>
      </c>
      <c r="L3064" s="26">
        <v>35</v>
      </c>
      <c r="M3064" s="26">
        <v>1</v>
      </c>
      <c r="N3064" s="28">
        <v>2.8570999999999999E-2</v>
      </c>
      <c r="O3064" s="26">
        <v>0.21</v>
      </c>
      <c r="P3064" s="26">
        <v>0.21</v>
      </c>
      <c r="Q3064" s="26">
        <v>0</v>
      </c>
      <c r="R3064" s="26"/>
      <c r="S3064" s="26">
        <v>0</v>
      </c>
      <c r="T3064" s="26">
        <v>0</v>
      </c>
      <c r="U3064" s="26">
        <v>0</v>
      </c>
      <c r="V3064" s="28">
        <v>0</v>
      </c>
      <c r="W3064" s="26">
        <v>0</v>
      </c>
      <c r="X3064" s="26">
        <v>0</v>
      </c>
      <c r="Y3064" s="26">
        <v>0</v>
      </c>
      <c r="Z3064" s="26">
        <v>0</v>
      </c>
    </row>
    <row r="3065" spans="1:26" x14ac:dyDescent="0.2">
      <c r="A3065">
        <f t="shared" ref="A3065:A3118" si="98">MONTH(C3065)</f>
        <v>6</v>
      </c>
      <c r="B3065">
        <f t="shared" ref="B3065:B3118" si="99">WEEKNUM(C3065,1)</f>
        <v>27</v>
      </c>
      <c r="C3065" s="27">
        <v>46203</v>
      </c>
      <c r="D3065" s="26" t="s">
        <v>26</v>
      </c>
      <c r="E3065" s="26" t="s">
        <v>27</v>
      </c>
      <c r="F3065" s="26" t="s">
        <v>124</v>
      </c>
      <c r="G3065" s="26" t="s">
        <v>29</v>
      </c>
      <c r="H3065" s="26" t="s">
        <v>30</v>
      </c>
      <c r="I3065" s="26" t="s">
        <v>101</v>
      </c>
      <c r="J3065" s="26" t="s">
        <v>87</v>
      </c>
      <c r="K3065" s="26" t="s">
        <v>101</v>
      </c>
      <c r="L3065" s="26">
        <v>41</v>
      </c>
      <c r="M3065" s="26">
        <v>1</v>
      </c>
      <c r="N3065" s="28">
        <v>2.4389999999999998E-2</v>
      </c>
      <c r="O3065" s="26">
        <v>0.22</v>
      </c>
      <c r="P3065" s="26">
        <v>0.22</v>
      </c>
      <c r="Q3065" s="26">
        <v>0</v>
      </c>
      <c r="R3065" s="26"/>
      <c r="S3065" s="26">
        <v>0</v>
      </c>
      <c r="T3065" s="26">
        <v>0</v>
      </c>
      <c r="U3065" s="26">
        <v>0</v>
      </c>
      <c r="V3065" s="28">
        <v>0</v>
      </c>
      <c r="W3065" s="26">
        <v>0</v>
      </c>
      <c r="X3065" s="26">
        <v>0</v>
      </c>
      <c r="Y3065" s="26">
        <v>0</v>
      </c>
      <c r="Z3065" s="26">
        <v>0</v>
      </c>
    </row>
    <row r="3066" spans="1:26" x14ac:dyDescent="0.2">
      <c r="A3066">
        <f t="shared" si="98"/>
        <v>6</v>
      </c>
      <c r="B3066">
        <f t="shared" si="99"/>
        <v>27</v>
      </c>
      <c r="C3066" s="27">
        <v>46202</v>
      </c>
      <c r="D3066" s="26" t="s">
        <v>26</v>
      </c>
      <c r="E3066" s="26" t="s">
        <v>27</v>
      </c>
      <c r="F3066" s="26" t="s">
        <v>28</v>
      </c>
      <c r="G3066" s="26" t="s">
        <v>29</v>
      </c>
      <c r="H3066" s="26" t="s">
        <v>30</v>
      </c>
      <c r="I3066" s="26" t="s">
        <v>44</v>
      </c>
      <c r="J3066" s="26" t="s">
        <v>32</v>
      </c>
      <c r="K3066" s="26" t="s">
        <v>101</v>
      </c>
      <c r="L3066" s="26">
        <v>9</v>
      </c>
      <c r="M3066" s="26">
        <v>1</v>
      </c>
      <c r="N3066" s="28">
        <v>0.111111</v>
      </c>
      <c r="O3066" s="26">
        <v>0.2</v>
      </c>
      <c r="P3066" s="26">
        <v>0.2</v>
      </c>
      <c r="Q3066" s="26">
        <v>0</v>
      </c>
      <c r="R3066" s="26"/>
      <c r="S3066" s="26">
        <v>0</v>
      </c>
      <c r="T3066" s="26">
        <v>0</v>
      </c>
      <c r="U3066" s="26">
        <v>0</v>
      </c>
      <c r="V3066" s="28">
        <v>0</v>
      </c>
      <c r="W3066" s="26">
        <v>0</v>
      </c>
      <c r="X3066" s="26">
        <v>0</v>
      </c>
      <c r="Y3066" s="26">
        <v>0</v>
      </c>
      <c r="Z3066" s="26">
        <v>0</v>
      </c>
    </row>
    <row r="3067" spans="1:26" x14ac:dyDescent="0.2">
      <c r="A3067">
        <f t="shared" si="98"/>
        <v>6</v>
      </c>
      <c r="B3067">
        <f t="shared" si="99"/>
        <v>27</v>
      </c>
      <c r="C3067" s="27">
        <v>46201</v>
      </c>
      <c r="D3067" s="26" t="s">
        <v>26</v>
      </c>
      <c r="E3067" s="26" t="s">
        <v>49</v>
      </c>
      <c r="F3067" s="26" t="s">
        <v>50</v>
      </c>
      <c r="G3067" s="26" t="s">
        <v>29</v>
      </c>
      <c r="H3067" s="26" t="s">
        <v>30</v>
      </c>
      <c r="I3067" s="26" t="s">
        <v>47</v>
      </c>
      <c r="J3067" s="26" t="s">
        <v>42</v>
      </c>
      <c r="K3067" s="26" t="s">
        <v>99</v>
      </c>
      <c r="L3067" s="26">
        <v>15</v>
      </c>
      <c r="M3067" s="26">
        <v>1</v>
      </c>
      <c r="N3067" s="28">
        <v>6.6667000000000004E-2</v>
      </c>
      <c r="O3067" s="26">
        <v>1.1399999999999999</v>
      </c>
      <c r="P3067" s="26">
        <v>1.1399999999999999</v>
      </c>
      <c r="Q3067" s="26">
        <v>0</v>
      </c>
      <c r="R3067" s="26"/>
      <c r="S3067" s="26">
        <v>0</v>
      </c>
      <c r="T3067" s="26">
        <v>0</v>
      </c>
      <c r="U3067" s="26">
        <v>0</v>
      </c>
      <c r="V3067" s="28">
        <v>0</v>
      </c>
      <c r="W3067" s="26">
        <v>0</v>
      </c>
      <c r="X3067" s="26">
        <v>0</v>
      </c>
      <c r="Y3067" s="26">
        <v>0</v>
      </c>
      <c r="Z3067" s="26">
        <v>0</v>
      </c>
    </row>
    <row r="3068" spans="1:26" x14ac:dyDescent="0.2">
      <c r="A3068">
        <f t="shared" si="98"/>
        <v>6</v>
      </c>
      <c r="B3068">
        <f t="shared" si="99"/>
        <v>26</v>
      </c>
      <c r="C3068" s="27">
        <v>46200</v>
      </c>
      <c r="D3068" s="26" t="s">
        <v>26</v>
      </c>
      <c r="E3068" s="26" t="s">
        <v>27</v>
      </c>
      <c r="F3068" s="26" t="s">
        <v>124</v>
      </c>
      <c r="G3068" s="26" t="s">
        <v>29</v>
      </c>
      <c r="H3068" s="26" t="s">
        <v>30</v>
      </c>
      <c r="I3068" s="26" t="s">
        <v>101</v>
      </c>
      <c r="J3068" s="26" t="s">
        <v>87</v>
      </c>
      <c r="K3068" s="26" t="s">
        <v>99</v>
      </c>
      <c r="L3068" s="26">
        <v>12</v>
      </c>
      <c r="M3068" s="26">
        <v>1</v>
      </c>
      <c r="N3068" s="28">
        <v>8.3333000000000004E-2</v>
      </c>
      <c r="O3068" s="26">
        <v>0.2</v>
      </c>
      <c r="P3068" s="26">
        <v>0.2</v>
      </c>
      <c r="Q3068" s="26">
        <v>0</v>
      </c>
      <c r="R3068" s="26"/>
      <c r="S3068" s="26">
        <v>0</v>
      </c>
      <c r="T3068" s="26">
        <v>0</v>
      </c>
      <c r="U3068" s="26">
        <v>0</v>
      </c>
      <c r="V3068" s="28">
        <v>0</v>
      </c>
      <c r="W3068" s="26">
        <v>0</v>
      </c>
      <c r="X3068" s="26">
        <v>0</v>
      </c>
      <c r="Y3068" s="26">
        <v>0</v>
      </c>
      <c r="Z3068" s="26">
        <v>0</v>
      </c>
    </row>
    <row r="3069" spans="1:26" x14ac:dyDescent="0.2">
      <c r="A3069">
        <f t="shared" si="98"/>
        <v>6</v>
      </c>
      <c r="B3069">
        <f t="shared" si="99"/>
        <v>27</v>
      </c>
      <c r="C3069" s="27">
        <v>46203</v>
      </c>
      <c r="D3069" s="26" t="s">
        <v>26</v>
      </c>
      <c r="E3069" s="26" t="s">
        <v>27</v>
      </c>
      <c r="F3069" s="26" t="s">
        <v>28</v>
      </c>
      <c r="G3069" s="26" t="s">
        <v>29</v>
      </c>
      <c r="H3069" s="26" t="s">
        <v>30</v>
      </c>
      <c r="I3069" s="26" t="s">
        <v>243</v>
      </c>
      <c r="J3069" s="26" t="s">
        <v>32</v>
      </c>
      <c r="K3069" s="26" t="s">
        <v>99</v>
      </c>
      <c r="L3069" s="26">
        <v>2</v>
      </c>
      <c r="M3069" s="26">
        <v>1</v>
      </c>
      <c r="N3069" s="28">
        <v>0.5</v>
      </c>
      <c r="O3069" s="26">
        <v>0.2</v>
      </c>
      <c r="P3069" s="26">
        <v>0.2</v>
      </c>
      <c r="Q3069" s="26">
        <v>0</v>
      </c>
      <c r="R3069" s="26"/>
      <c r="S3069" s="26">
        <v>0</v>
      </c>
      <c r="T3069" s="26">
        <v>0</v>
      </c>
      <c r="U3069" s="26">
        <v>0</v>
      </c>
      <c r="V3069" s="28">
        <v>0</v>
      </c>
      <c r="W3069" s="26">
        <v>0</v>
      </c>
      <c r="X3069" s="26">
        <v>0</v>
      </c>
      <c r="Y3069" s="26">
        <v>0</v>
      </c>
      <c r="Z3069" s="26">
        <v>0</v>
      </c>
    </row>
    <row r="3070" spans="1:26" x14ac:dyDescent="0.2">
      <c r="A3070">
        <f t="shared" si="98"/>
        <v>6</v>
      </c>
      <c r="B3070">
        <f t="shared" si="99"/>
        <v>26</v>
      </c>
      <c r="C3070" s="27">
        <v>46199</v>
      </c>
      <c r="D3070" s="26" t="s">
        <v>26</v>
      </c>
      <c r="E3070" s="26" t="s">
        <v>27</v>
      </c>
      <c r="F3070" s="26" t="s">
        <v>124</v>
      </c>
      <c r="G3070" s="26" t="s">
        <v>29</v>
      </c>
      <c r="H3070" s="26" t="s">
        <v>30</v>
      </c>
      <c r="I3070" s="26" t="s">
        <v>99</v>
      </c>
      <c r="J3070" s="26" t="s">
        <v>87</v>
      </c>
      <c r="K3070" s="26" t="s">
        <v>99</v>
      </c>
      <c r="L3070" s="26">
        <v>3</v>
      </c>
      <c r="M3070" s="26">
        <v>1</v>
      </c>
      <c r="N3070" s="28">
        <v>0.33333299999999999</v>
      </c>
      <c r="O3070" s="26">
        <v>0.21</v>
      </c>
      <c r="P3070" s="26">
        <v>0.21</v>
      </c>
      <c r="Q3070" s="26">
        <v>0</v>
      </c>
      <c r="R3070" s="26"/>
      <c r="S3070" s="26">
        <v>0</v>
      </c>
      <c r="T3070" s="26">
        <v>0</v>
      </c>
      <c r="U3070" s="26">
        <v>0</v>
      </c>
      <c r="V3070" s="28">
        <v>0</v>
      </c>
      <c r="W3070" s="26">
        <v>0</v>
      </c>
      <c r="X3070" s="26">
        <v>0</v>
      </c>
      <c r="Y3070" s="26">
        <v>0</v>
      </c>
      <c r="Z3070" s="26">
        <v>0</v>
      </c>
    </row>
    <row r="3071" spans="1:26" x14ac:dyDescent="0.2">
      <c r="A3071">
        <f t="shared" si="98"/>
        <v>6</v>
      </c>
      <c r="B3071">
        <f t="shared" si="99"/>
        <v>27</v>
      </c>
      <c r="C3071" s="27">
        <v>46201</v>
      </c>
      <c r="D3071" s="26" t="s">
        <v>26</v>
      </c>
      <c r="E3071" s="26" t="s">
        <v>27</v>
      </c>
      <c r="F3071" s="26" t="s">
        <v>124</v>
      </c>
      <c r="G3071" s="26" t="s">
        <v>29</v>
      </c>
      <c r="H3071" s="26" t="s">
        <v>30</v>
      </c>
      <c r="I3071" s="26" t="s">
        <v>99</v>
      </c>
      <c r="J3071" s="26" t="s">
        <v>87</v>
      </c>
      <c r="K3071" s="26" t="s">
        <v>99</v>
      </c>
      <c r="L3071" s="26">
        <v>2</v>
      </c>
      <c r="M3071" s="26">
        <v>1</v>
      </c>
      <c r="N3071" s="28">
        <v>0.5</v>
      </c>
      <c r="O3071" s="26">
        <v>0.2</v>
      </c>
      <c r="P3071" s="26">
        <v>0.2</v>
      </c>
      <c r="Q3071" s="26">
        <v>0</v>
      </c>
      <c r="R3071" s="26"/>
      <c r="S3071" s="26">
        <v>0</v>
      </c>
      <c r="T3071" s="26">
        <v>0</v>
      </c>
      <c r="U3071" s="26">
        <v>0</v>
      </c>
      <c r="V3071" s="28">
        <v>0</v>
      </c>
      <c r="W3071" s="26">
        <v>0</v>
      </c>
      <c r="X3071" s="26">
        <v>0</v>
      </c>
      <c r="Y3071" s="26">
        <v>0</v>
      </c>
      <c r="Z3071" s="26">
        <v>0</v>
      </c>
    </row>
    <row r="3072" spans="1:26" x14ac:dyDescent="0.2">
      <c r="A3072">
        <f t="shared" si="98"/>
        <v>6</v>
      </c>
      <c r="B3072">
        <f t="shared" si="99"/>
        <v>27</v>
      </c>
      <c r="C3072" s="27">
        <v>46201</v>
      </c>
      <c r="D3072" s="26" t="s">
        <v>26</v>
      </c>
      <c r="E3072" s="26" t="s">
        <v>27</v>
      </c>
      <c r="F3072" s="26" t="s">
        <v>28</v>
      </c>
      <c r="G3072" s="26" t="s">
        <v>29</v>
      </c>
      <c r="H3072" s="26" t="s">
        <v>30</v>
      </c>
      <c r="I3072" s="26" t="s">
        <v>280</v>
      </c>
      <c r="J3072" s="26" t="s">
        <v>32</v>
      </c>
      <c r="K3072" s="26" t="s">
        <v>1855</v>
      </c>
      <c r="L3072" s="26">
        <v>1</v>
      </c>
      <c r="M3072" s="26">
        <v>1</v>
      </c>
      <c r="N3072" s="28">
        <v>1</v>
      </c>
      <c r="O3072" s="26">
        <v>0.21</v>
      </c>
      <c r="P3072" s="26">
        <v>0.21</v>
      </c>
      <c r="Q3072" s="26">
        <v>0</v>
      </c>
      <c r="R3072" s="26"/>
      <c r="S3072" s="26">
        <v>0</v>
      </c>
      <c r="T3072" s="26">
        <v>0</v>
      </c>
      <c r="U3072" s="26">
        <v>0</v>
      </c>
      <c r="V3072" s="28">
        <v>0</v>
      </c>
      <c r="W3072" s="26">
        <v>0</v>
      </c>
      <c r="X3072" s="26">
        <v>0</v>
      </c>
      <c r="Y3072" s="26">
        <v>0</v>
      </c>
      <c r="Z3072" s="26">
        <v>0</v>
      </c>
    </row>
    <row r="3073" spans="1:26" x14ac:dyDescent="0.2">
      <c r="A3073">
        <f t="shared" si="98"/>
        <v>6</v>
      </c>
      <c r="B3073">
        <f t="shared" si="99"/>
        <v>26</v>
      </c>
      <c r="C3073" s="27">
        <v>46197</v>
      </c>
      <c r="D3073" s="26" t="s">
        <v>26</v>
      </c>
      <c r="E3073" s="26" t="s">
        <v>27</v>
      </c>
      <c r="F3073" s="26" t="s">
        <v>28</v>
      </c>
      <c r="G3073" s="26" t="s">
        <v>29</v>
      </c>
      <c r="H3073" s="26" t="s">
        <v>30</v>
      </c>
      <c r="I3073" s="26" t="s">
        <v>50</v>
      </c>
      <c r="J3073" s="26" t="s">
        <v>32</v>
      </c>
      <c r="K3073" s="26" t="s">
        <v>1856</v>
      </c>
      <c r="L3073" s="26">
        <v>2</v>
      </c>
      <c r="M3073" s="26">
        <v>1</v>
      </c>
      <c r="N3073" s="28">
        <v>0.5</v>
      </c>
      <c r="O3073" s="26">
        <v>0.08</v>
      </c>
      <c r="P3073" s="26">
        <v>0.08</v>
      </c>
      <c r="Q3073" s="26">
        <v>0</v>
      </c>
      <c r="R3073" s="26"/>
      <c r="S3073" s="26">
        <v>0</v>
      </c>
      <c r="T3073" s="26">
        <v>0</v>
      </c>
      <c r="U3073" s="26">
        <v>0</v>
      </c>
      <c r="V3073" s="28">
        <v>0</v>
      </c>
      <c r="W3073" s="26">
        <v>0</v>
      </c>
      <c r="X3073" s="26">
        <v>0</v>
      </c>
      <c r="Y3073" s="26">
        <v>0</v>
      </c>
      <c r="Z3073" s="26">
        <v>0</v>
      </c>
    </row>
    <row r="3074" spans="1:26" x14ac:dyDescent="0.2">
      <c r="A3074">
        <f t="shared" si="98"/>
        <v>6</v>
      </c>
      <c r="B3074">
        <f t="shared" si="99"/>
        <v>26</v>
      </c>
      <c r="C3074" s="27">
        <v>46197</v>
      </c>
      <c r="D3074" s="26" t="s">
        <v>26</v>
      </c>
      <c r="E3074" s="26" t="s">
        <v>27</v>
      </c>
      <c r="F3074" s="26" t="s">
        <v>124</v>
      </c>
      <c r="G3074" s="26" t="s">
        <v>29</v>
      </c>
      <c r="H3074" s="26" t="s">
        <v>30</v>
      </c>
      <c r="I3074" s="26" t="s">
        <v>101</v>
      </c>
      <c r="J3074" s="26" t="s">
        <v>87</v>
      </c>
      <c r="K3074" s="26" t="s">
        <v>381</v>
      </c>
      <c r="L3074" s="26">
        <v>1</v>
      </c>
      <c r="M3074" s="26">
        <v>1</v>
      </c>
      <c r="N3074" s="28">
        <v>1</v>
      </c>
      <c r="O3074" s="26">
        <v>0.4</v>
      </c>
      <c r="P3074" s="26">
        <v>0.4</v>
      </c>
      <c r="Q3074" s="26">
        <v>0</v>
      </c>
      <c r="R3074" s="26"/>
      <c r="S3074" s="26">
        <v>0</v>
      </c>
      <c r="T3074" s="26">
        <v>0</v>
      </c>
      <c r="U3074" s="26">
        <v>0</v>
      </c>
      <c r="V3074" s="28">
        <v>0</v>
      </c>
      <c r="W3074" s="26">
        <v>0</v>
      </c>
      <c r="X3074" s="26">
        <v>0</v>
      </c>
      <c r="Y3074" s="26">
        <v>0</v>
      </c>
      <c r="Z3074" s="26">
        <v>0</v>
      </c>
    </row>
    <row r="3075" spans="1:26" x14ac:dyDescent="0.2">
      <c r="A3075">
        <f t="shared" si="98"/>
        <v>6</v>
      </c>
      <c r="B3075">
        <f t="shared" si="99"/>
        <v>26</v>
      </c>
      <c r="C3075" s="27">
        <v>46197</v>
      </c>
      <c r="D3075" s="26" t="s">
        <v>26</v>
      </c>
      <c r="E3075" s="26" t="s">
        <v>27</v>
      </c>
      <c r="F3075" s="26" t="s">
        <v>28</v>
      </c>
      <c r="G3075" s="26" t="s">
        <v>29</v>
      </c>
      <c r="H3075" s="26" t="s">
        <v>30</v>
      </c>
      <c r="I3075" s="26" t="s">
        <v>31</v>
      </c>
      <c r="J3075" s="26" t="s">
        <v>32</v>
      </c>
      <c r="K3075" s="26" t="s">
        <v>1857</v>
      </c>
      <c r="L3075" s="26">
        <v>1</v>
      </c>
      <c r="M3075" s="26">
        <v>1</v>
      </c>
      <c r="N3075" s="28">
        <v>1</v>
      </c>
      <c r="O3075" s="26">
        <v>0.44</v>
      </c>
      <c r="P3075" s="26">
        <v>0.44</v>
      </c>
      <c r="Q3075" s="26">
        <v>0</v>
      </c>
      <c r="R3075" s="26"/>
      <c r="S3075" s="26">
        <v>0</v>
      </c>
      <c r="T3075" s="26">
        <v>0</v>
      </c>
      <c r="U3075" s="26">
        <v>0</v>
      </c>
      <c r="V3075" s="28">
        <v>0</v>
      </c>
      <c r="W3075" s="26">
        <v>0</v>
      </c>
      <c r="X3075" s="26">
        <v>0</v>
      </c>
      <c r="Y3075" s="26">
        <v>0</v>
      </c>
      <c r="Z3075" s="26">
        <v>0</v>
      </c>
    </row>
    <row r="3076" spans="1:26" x14ac:dyDescent="0.2">
      <c r="A3076">
        <f t="shared" si="98"/>
        <v>6</v>
      </c>
      <c r="B3076">
        <f t="shared" si="99"/>
        <v>26</v>
      </c>
      <c r="C3076" s="27">
        <v>46200</v>
      </c>
      <c r="D3076" s="26" t="s">
        <v>26</v>
      </c>
      <c r="E3076" s="26" t="s">
        <v>27</v>
      </c>
      <c r="F3076" s="26" t="s">
        <v>28</v>
      </c>
      <c r="G3076" s="26" t="s">
        <v>29</v>
      </c>
      <c r="H3076" s="26" t="s">
        <v>30</v>
      </c>
      <c r="I3076" s="26" t="s">
        <v>50</v>
      </c>
      <c r="J3076" s="26" t="s">
        <v>32</v>
      </c>
      <c r="K3076" s="26" t="s">
        <v>50</v>
      </c>
      <c r="L3076" s="26">
        <v>22</v>
      </c>
      <c r="M3076" s="26">
        <v>1</v>
      </c>
      <c r="N3076" s="28">
        <v>4.5455000000000002E-2</v>
      </c>
      <c r="O3076" s="26">
        <v>0.21</v>
      </c>
      <c r="P3076" s="26">
        <v>0.21</v>
      </c>
      <c r="Q3076" s="26">
        <v>0</v>
      </c>
      <c r="R3076" s="26"/>
      <c r="S3076" s="26">
        <v>0</v>
      </c>
      <c r="T3076" s="26">
        <v>0</v>
      </c>
      <c r="U3076" s="26">
        <v>0</v>
      </c>
      <c r="V3076" s="28">
        <v>0</v>
      </c>
      <c r="W3076" s="26">
        <v>0</v>
      </c>
      <c r="X3076" s="26">
        <v>0</v>
      </c>
      <c r="Y3076" s="26">
        <v>0</v>
      </c>
      <c r="Z3076" s="26">
        <v>0</v>
      </c>
    </row>
    <row r="3077" spans="1:26" x14ac:dyDescent="0.2">
      <c r="A3077">
        <f t="shared" si="98"/>
        <v>6</v>
      </c>
      <c r="B3077">
        <f t="shared" si="99"/>
        <v>26</v>
      </c>
      <c r="C3077" s="27">
        <v>46195</v>
      </c>
      <c r="D3077" s="26" t="s">
        <v>26</v>
      </c>
      <c r="E3077" s="26" t="s">
        <v>27</v>
      </c>
      <c r="F3077" s="26" t="s">
        <v>28</v>
      </c>
      <c r="G3077" s="26" t="s">
        <v>29</v>
      </c>
      <c r="H3077" s="26" t="s">
        <v>30</v>
      </c>
      <c r="I3077" s="26" t="s">
        <v>144</v>
      </c>
      <c r="J3077" s="26" t="s">
        <v>32</v>
      </c>
      <c r="K3077" s="26" t="s">
        <v>50</v>
      </c>
      <c r="L3077" s="26">
        <v>1</v>
      </c>
      <c r="M3077" s="26">
        <v>1</v>
      </c>
      <c r="N3077" s="28">
        <v>1</v>
      </c>
      <c r="O3077" s="26">
        <v>0.2</v>
      </c>
      <c r="P3077" s="26">
        <v>0.2</v>
      </c>
      <c r="Q3077" s="26">
        <v>0</v>
      </c>
      <c r="R3077" s="26"/>
      <c r="S3077" s="26">
        <v>0</v>
      </c>
      <c r="T3077" s="26">
        <v>0</v>
      </c>
      <c r="U3077" s="26">
        <v>0</v>
      </c>
      <c r="V3077" s="28">
        <v>0</v>
      </c>
      <c r="W3077" s="26">
        <v>0</v>
      </c>
      <c r="X3077" s="26">
        <v>0</v>
      </c>
      <c r="Y3077" s="26">
        <v>0</v>
      </c>
      <c r="Z3077" s="26">
        <v>0</v>
      </c>
    </row>
    <row r="3078" spans="1:26" x14ac:dyDescent="0.2">
      <c r="A3078">
        <f t="shared" si="98"/>
        <v>6</v>
      </c>
      <c r="B3078">
        <f t="shared" si="99"/>
        <v>26</v>
      </c>
      <c r="C3078" s="27">
        <v>46196</v>
      </c>
      <c r="D3078" s="26" t="s">
        <v>26</v>
      </c>
      <c r="E3078" s="26" t="s">
        <v>49</v>
      </c>
      <c r="F3078" s="26" t="s">
        <v>50</v>
      </c>
      <c r="G3078" s="26" t="s">
        <v>29</v>
      </c>
      <c r="H3078" s="26" t="s">
        <v>30</v>
      </c>
      <c r="I3078" s="26" t="s">
        <v>47</v>
      </c>
      <c r="J3078" s="26" t="s">
        <v>42</v>
      </c>
      <c r="K3078" s="26" t="s">
        <v>280</v>
      </c>
      <c r="L3078" s="26">
        <v>45</v>
      </c>
      <c r="M3078" s="26">
        <v>1</v>
      </c>
      <c r="N3078" s="28">
        <v>2.2221999999999999E-2</v>
      </c>
      <c r="O3078" s="26">
        <v>1.1299999999999999</v>
      </c>
      <c r="P3078" s="26">
        <v>1.1299999999999999</v>
      </c>
      <c r="Q3078" s="26">
        <v>0</v>
      </c>
      <c r="R3078" s="26"/>
      <c r="S3078" s="26">
        <v>0</v>
      </c>
      <c r="T3078" s="26">
        <v>0</v>
      </c>
      <c r="U3078" s="26">
        <v>0</v>
      </c>
      <c r="V3078" s="28">
        <v>0</v>
      </c>
      <c r="W3078" s="26">
        <v>0</v>
      </c>
      <c r="X3078" s="26">
        <v>0</v>
      </c>
      <c r="Y3078" s="26">
        <v>0</v>
      </c>
      <c r="Z3078" s="26">
        <v>0</v>
      </c>
    </row>
    <row r="3079" spans="1:26" x14ac:dyDescent="0.2">
      <c r="A3079">
        <f t="shared" si="98"/>
        <v>6</v>
      </c>
      <c r="B3079">
        <f t="shared" si="99"/>
        <v>26</v>
      </c>
      <c r="C3079" s="27">
        <v>46199</v>
      </c>
      <c r="D3079" s="26" t="s">
        <v>26</v>
      </c>
      <c r="E3079" s="26" t="s">
        <v>49</v>
      </c>
      <c r="F3079" s="26" t="s">
        <v>50</v>
      </c>
      <c r="G3079" s="26" t="s">
        <v>29</v>
      </c>
      <c r="H3079" s="26" t="s">
        <v>30</v>
      </c>
      <c r="I3079" s="26" t="s">
        <v>47</v>
      </c>
      <c r="J3079" s="26" t="s">
        <v>42</v>
      </c>
      <c r="K3079" s="26" t="s">
        <v>280</v>
      </c>
      <c r="L3079" s="26">
        <v>6</v>
      </c>
      <c r="M3079" s="26">
        <v>1</v>
      </c>
      <c r="N3079" s="28">
        <v>0.16666700000000001</v>
      </c>
      <c r="O3079" s="26">
        <v>1.3</v>
      </c>
      <c r="P3079" s="26">
        <v>1.3</v>
      </c>
      <c r="Q3079" s="26">
        <v>0</v>
      </c>
      <c r="R3079" s="26"/>
      <c r="S3079" s="26">
        <v>0</v>
      </c>
      <c r="T3079" s="26">
        <v>0</v>
      </c>
      <c r="U3079" s="26">
        <v>0</v>
      </c>
      <c r="V3079" s="28">
        <v>0</v>
      </c>
      <c r="W3079" s="26">
        <v>0</v>
      </c>
      <c r="X3079" s="26">
        <v>0</v>
      </c>
      <c r="Y3079" s="26">
        <v>0</v>
      </c>
      <c r="Z3079" s="26">
        <v>0</v>
      </c>
    </row>
    <row r="3080" spans="1:26" x14ac:dyDescent="0.2">
      <c r="A3080">
        <f t="shared" si="98"/>
        <v>6</v>
      </c>
      <c r="B3080">
        <f t="shared" si="99"/>
        <v>26</v>
      </c>
      <c r="C3080" s="27">
        <v>46195</v>
      </c>
      <c r="D3080" s="26" t="s">
        <v>26</v>
      </c>
      <c r="E3080" s="26" t="s">
        <v>27</v>
      </c>
      <c r="F3080" s="26" t="s">
        <v>28</v>
      </c>
      <c r="G3080" s="26" t="s">
        <v>29</v>
      </c>
      <c r="H3080" s="26" t="s">
        <v>30</v>
      </c>
      <c r="I3080" s="26" t="s">
        <v>50</v>
      </c>
      <c r="J3080" s="26" t="s">
        <v>32</v>
      </c>
      <c r="K3080" s="26" t="s">
        <v>293</v>
      </c>
      <c r="L3080" s="26">
        <v>8</v>
      </c>
      <c r="M3080" s="26">
        <v>1</v>
      </c>
      <c r="N3080" s="28">
        <v>0.125</v>
      </c>
      <c r="O3080" s="26">
        <v>0.21</v>
      </c>
      <c r="P3080" s="26">
        <v>0.21</v>
      </c>
      <c r="Q3080" s="26">
        <v>0</v>
      </c>
      <c r="R3080" s="26"/>
      <c r="S3080" s="26">
        <v>0</v>
      </c>
      <c r="T3080" s="26">
        <v>0</v>
      </c>
      <c r="U3080" s="26">
        <v>0</v>
      </c>
      <c r="V3080" s="28">
        <v>0</v>
      </c>
      <c r="W3080" s="26">
        <v>0</v>
      </c>
      <c r="X3080" s="26">
        <v>0</v>
      </c>
      <c r="Y3080" s="26">
        <v>0</v>
      </c>
      <c r="Z3080" s="26">
        <v>0</v>
      </c>
    </row>
    <row r="3081" spans="1:26" x14ac:dyDescent="0.2">
      <c r="A3081">
        <f t="shared" si="98"/>
        <v>6</v>
      </c>
      <c r="B3081">
        <f t="shared" si="99"/>
        <v>27</v>
      </c>
      <c r="C3081" s="27">
        <v>46202</v>
      </c>
      <c r="D3081" s="26" t="s">
        <v>26</v>
      </c>
      <c r="E3081" s="26" t="s">
        <v>27</v>
      </c>
      <c r="F3081" s="26" t="s">
        <v>28</v>
      </c>
      <c r="G3081" s="26" t="s">
        <v>29</v>
      </c>
      <c r="H3081" s="26" t="s">
        <v>30</v>
      </c>
      <c r="I3081" s="26" t="s">
        <v>50</v>
      </c>
      <c r="J3081" s="26" t="s">
        <v>32</v>
      </c>
      <c r="K3081" s="26" t="s">
        <v>1647</v>
      </c>
      <c r="L3081" s="26">
        <v>10</v>
      </c>
      <c r="M3081" s="26">
        <v>1</v>
      </c>
      <c r="N3081" s="28">
        <v>0.1</v>
      </c>
      <c r="O3081" s="26">
        <v>0.21</v>
      </c>
      <c r="P3081" s="26">
        <v>0.21</v>
      </c>
      <c r="Q3081" s="26">
        <v>0</v>
      </c>
      <c r="R3081" s="26"/>
      <c r="S3081" s="26">
        <v>0</v>
      </c>
      <c r="T3081" s="26">
        <v>0</v>
      </c>
      <c r="U3081" s="26">
        <v>0</v>
      </c>
      <c r="V3081" s="28">
        <v>0</v>
      </c>
      <c r="W3081" s="26">
        <v>0</v>
      </c>
      <c r="X3081" s="26">
        <v>0</v>
      </c>
      <c r="Y3081" s="26">
        <v>0</v>
      </c>
      <c r="Z3081" s="26">
        <v>0</v>
      </c>
    </row>
    <row r="3082" spans="1:26" x14ac:dyDescent="0.2">
      <c r="A3082">
        <f t="shared" si="98"/>
        <v>6</v>
      </c>
      <c r="B3082">
        <f t="shared" si="99"/>
        <v>26</v>
      </c>
      <c r="C3082" s="27">
        <v>46200</v>
      </c>
      <c r="D3082" s="26" t="s">
        <v>26</v>
      </c>
      <c r="E3082" s="26" t="s">
        <v>27</v>
      </c>
      <c r="F3082" s="26" t="s">
        <v>124</v>
      </c>
      <c r="G3082" s="26" t="s">
        <v>29</v>
      </c>
      <c r="H3082" s="26" t="s">
        <v>30</v>
      </c>
      <c r="I3082" s="26" t="s">
        <v>31</v>
      </c>
      <c r="J3082" s="26" t="s">
        <v>87</v>
      </c>
      <c r="K3082" s="26" t="s">
        <v>1543</v>
      </c>
      <c r="L3082" s="26">
        <v>3</v>
      </c>
      <c r="M3082" s="26">
        <v>1</v>
      </c>
      <c r="N3082" s="28">
        <v>0.33333299999999999</v>
      </c>
      <c r="O3082" s="26">
        <v>0.4</v>
      </c>
      <c r="P3082" s="26">
        <v>0.4</v>
      </c>
      <c r="Q3082" s="26">
        <v>0</v>
      </c>
      <c r="R3082" s="26"/>
      <c r="S3082" s="26">
        <v>0</v>
      </c>
      <c r="T3082" s="26">
        <v>0</v>
      </c>
      <c r="U3082" s="26">
        <v>0</v>
      </c>
      <c r="V3082" s="28">
        <v>0</v>
      </c>
      <c r="W3082" s="26">
        <v>0</v>
      </c>
      <c r="X3082" s="26">
        <v>0</v>
      </c>
      <c r="Y3082" s="26">
        <v>0</v>
      </c>
      <c r="Z3082" s="26">
        <v>0</v>
      </c>
    </row>
    <row r="3083" spans="1:26" x14ac:dyDescent="0.2">
      <c r="A3083">
        <f t="shared" si="98"/>
        <v>6</v>
      </c>
      <c r="B3083">
        <f t="shared" si="99"/>
        <v>26</v>
      </c>
      <c r="C3083" s="27">
        <v>46199</v>
      </c>
      <c r="D3083" s="26" t="s">
        <v>26</v>
      </c>
      <c r="E3083" s="26" t="s">
        <v>27</v>
      </c>
      <c r="F3083" s="26" t="s">
        <v>28</v>
      </c>
      <c r="G3083" s="26" t="s">
        <v>29</v>
      </c>
      <c r="H3083" s="26" t="s">
        <v>30</v>
      </c>
      <c r="I3083" s="26" t="s">
        <v>50</v>
      </c>
      <c r="J3083" s="26" t="s">
        <v>32</v>
      </c>
      <c r="K3083" s="26" t="s">
        <v>300</v>
      </c>
      <c r="L3083" s="26">
        <v>3</v>
      </c>
      <c r="M3083" s="26">
        <v>1</v>
      </c>
      <c r="N3083" s="28">
        <v>0.33333299999999999</v>
      </c>
      <c r="O3083" s="26">
        <v>0.21</v>
      </c>
      <c r="P3083" s="26">
        <v>0.21</v>
      </c>
      <c r="Q3083" s="26">
        <v>0</v>
      </c>
      <c r="R3083" s="26"/>
      <c r="S3083" s="26">
        <v>0</v>
      </c>
      <c r="T3083" s="26">
        <v>0</v>
      </c>
      <c r="U3083" s="26">
        <v>0</v>
      </c>
      <c r="V3083" s="28">
        <v>0</v>
      </c>
      <c r="W3083" s="26">
        <v>0</v>
      </c>
      <c r="X3083" s="26">
        <v>0</v>
      </c>
      <c r="Y3083" s="26">
        <v>0</v>
      </c>
      <c r="Z3083" s="26">
        <v>0</v>
      </c>
    </row>
    <row r="3084" spans="1:26" x14ac:dyDescent="0.2">
      <c r="A3084">
        <f t="shared" si="98"/>
        <v>6</v>
      </c>
      <c r="B3084">
        <f t="shared" si="99"/>
        <v>26</v>
      </c>
      <c r="C3084" s="27">
        <v>46195</v>
      </c>
      <c r="D3084" s="26" t="s">
        <v>26</v>
      </c>
      <c r="E3084" s="26" t="s">
        <v>27</v>
      </c>
      <c r="F3084" s="26" t="s">
        <v>28</v>
      </c>
      <c r="G3084" s="26" t="s">
        <v>29</v>
      </c>
      <c r="H3084" s="26" t="s">
        <v>30</v>
      </c>
      <c r="I3084" s="26" t="s">
        <v>50</v>
      </c>
      <c r="J3084" s="26" t="s">
        <v>32</v>
      </c>
      <c r="K3084" s="26" t="s">
        <v>302</v>
      </c>
      <c r="L3084" s="26">
        <v>5</v>
      </c>
      <c r="M3084" s="26">
        <v>1</v>
      </c>
      <c r="N3084" s="28">
        <v>0.2</v>
      </c>
      <c r="O3084" s="26">
        <v>0.4</v>
      </c>
      <c r="P3084" s="26">
        <v>0.4</v>
      </c>
      <c r="Q3084" s="26">
        <v>0</v>
      </c>
      <c r="R3084" s="26"/>
      <c r="S3084" s="26">
        <v>0</v>
      </c>
      <c r="T3084" s="26">
        <v>0</v>
      </c>
      <c r="U3084" s="26">
        <v>0</v>
      </c>
      <c r="V3084" s="28">
        <v>0</v>
      </c>
      <c r="W3084" s="26">
        <v>0</v>
      </c>
      <c r="X3084" s="26">
        <v>0</v>
      </c>
      <c r="Y3084" s="26">
        <v>0</v>
      </c>
      <c r="Z3084" s="26">
        <v>0</v>
      </c>
    </row>
    <row r="3085" spans="1:26" x14ac:dyDescent="0.2">
      <c r="A3085">
        <f t="shared" si="98"/>
        <v>6</v>
      </c>
      <c r="B3085">
        <f t="shared" si="99"/>
        <v>26</v>
      </c>
      <c r="C3085" s="27">
        <v>46199</v>
      </c>
      <c r="D3085" s="26" t="s">
        <v>26</v>
      </c>
      <c r="E3085" s="26" t="s">
        <v>27</v>
      </c>
      <c r="F3085" s="26" t="s">
        <v>28</v>
      </c>
      <c r="G3085" s="26" t="s">
        <v>29</v>
      </c>
      <c r="H3085" s="26" t="s">
        <v>30</v>
      </c>
      <c r="I3085" s="26" t="s">
        <v>50</v>
      </c>
      <c r="J3085" s="26" t="s">
        <v>32</v>
      </c>
      <c r="K3085" s="26" t="s">
        <v>302</v>
      </c>
      <c r="L3085" s="26">
        <v>1</v>
      </c>
      <c r="M3085" s="26">
        <v>1</v>
      </c>
      <c r="N3085" s="28">
        <v>1</v>
      </c>
      <c r="O3085" s="26">
        <v>0.21</v>
      </c>
      <c r="P3085" s="26">
        <v>0.21</v>
      </c>
      <c r="Q3085" s="26">
        <v>0</v>
      </c>
      <c r="R3085" s="26"/>
      <c r="S3085" s="26">
        <v>0</v>
      </c>
      <c r="T3085" s="26">
        <v>0</v>
      </c>
      <c r="U3085" s="26">
        <v>0</v>
      </c>
      <c r="V3085" s="28">
        <v>0</v>
      </c>
      <c r="W3085" s="26">
        <v>0</v>
      </c>
      <c r="X3085" s="26">
        <v>0</v>
      </c>
      <c r="Y3085" s="26">
        <v>0</v>
      </c>
      <c r="Z3085" s="26">
        <v>0</v>
      </c>
    </row>
    <row r="3086" spans="1:26" x14ac:dyDescent="0.2">
      <c r="A3086">
        <f t="shared" si="98"/>
        <v>6</v>
      </c>
      <c r="B3086">
        <f t="shared" si="99"/>
        <v>26</v>
      </c>
      <c r="C3086" s="27">
        <v>46198</v>
      </c>
      <c r="D3086" s="26" t="s">
        <v>26</v>
      </c>
      <c r="E3086" s="26" t="s">
        <v>27</v>
      </c>
      <c r="F3086" s="26" t="s">
        <v>124</v>
      </c>
      <c r="G3086" s="26" t="s">
        <v>29</v>
      </c>
      <c r="H3086" s="26" t="s">
        <v>30</v>
      </c>
      <c r="I3086" s="26" t="s">
        <v>280</v>
      </c>
      <c r="J3086" s="26" t="s">
        <v>87</v>
      </c>
      <c r="K3086" s="26" t="s">
        <v>578</v>
      </c>
      <c r="L3086" s="26">
        <v>1</v>
      </c>
      <c r="M3086" s="26">
        <v>1</v>
      </c>
      <c r="N3086" s="28">
        <v>1</v>
      </c>
      <c r="O3086" s="26">
        <v>0.4</v>
      </c>
      <c r="P3086" s="26">
        <v>0.4</v>
      </c>
      <c r="Q3086" s="26">
        <v>0</v>
      </c>
      <c r="R3086" s="26"/>
      <c r="S3086" s="26">
        <v>0</v>
      </c>
      <c r="T3086" s="26">
        <v>0</v>
      </c>
      <c r="U3086" s="26">
        <v>0</v>
      </c>
      <c r="V3086" s="28">
        <v>0</v>
      </c>
      <c r="W3086" s="26">
        <v>0</v>
      </c>
      <c r="X3086" s="26">
        <v>0</v>
      </c>
      <c r="Y3086" s="26">
        <v>0</v>
      </c>
      <c r="Z3086" s="26">
        <v>0</v>
      </c>
    </row>
    <row r="3087" spans="1:26" x14ac:dyDescent="0.2">
      <c r="A3087">
        <f t="shared" si="98"/>
        <v>6</v>
      </c>
      <c r="B3087">
        <f t="shared" si="99"/>
        <v>26</v>
      </c>
      <c r="C3087" s="27">
        <v>46195</v>
      </c>
      <c r="D3087" s="26" t="s">
        <v>26</v>
      </c>
      <c r="E3087" s="26" t="s">
        <v>27</v>
      </c>
      <c r="F3087" s="26" t="s">
        <v>28</v>
      </c>
      <c r="G3087" s="26" t="s">
        <v>29</v>
      </c>
      <c r="H3087" s="26" t="s">
        <v>30</v>
      </c>
      <c r="I3087" s="26" t="s">
        <v>50</v>
      </c>
      <c r="J3087" s="26" t="s">
        <v>32</v>
      </c>
      <c r="K3087" s="26" t="s">
        <v>1858</v>
      </c>
      <c r="L3087" s="26">
        <v>2</v>
      </c>
      <c r="M3087" s="26">
        <v>1</v>
      </c>
      <c r="N3087" s="28">
        <v>0.5</v>
      </c>
      <c r="O3087" s="26">
        <v>0.21</v>
      </c>
      <c r="P3087" s="26">
        <v>0.21</v>
      </c>
      <c r="Q3087" s="26">
        <v>0</v>
      </c>
      <c r="R3087" s="26"/>
      <c r="S3087" s="26">
        <v>0</v>
      </c>
      <c r="T3087" s="26">
        <v>0</v>
      </c>
      <c r="U3087" s="26">
        <v>0</v>
      </c>
      <c r="V3087" s="28">
        <v>0</v>
      </c>
      <c r="W3087" s="26">
        <v>0</v>
      </c>
      <c r="X3087" s="26">
        <v>0</v>
      </c>
      <c r="Y3087" s="26">
        <v>0</v>
      </c>
      <c r="Z3087" s="26">
        <v>0</v>
      </c>
    </row>
    <row r="3088" spans="1:26" x14ac:dyDescent="0.2">
      <c r="A3088">
        <f t="shared" si="98"/>
        <v>6</v>
      </c>
      <c r="B3088">
        <f t="shared" si="99"/>
        <v>26</v>
      </c>
      <c r="C3088" s="27">
        <v>46196</v>
      </c>
      <c r="D3088" s="26" t="s">
        <v>26</v>
      </c>
      <c r="E3088" s="26" t="s">
        <v>27</v>
      </c>
      <c r="F3088" s="26" t="s">
        <v>28</v>
      </c>
      <c r="G3088" s="26" t="s">
        <v>29</v>
      </c>
      <c r="H3088" s="26" t="s">
        <v>30</v>
      </c>
      <c r="I3088" s="26" t="s">
        <v>154</v>
      </c>
      <c r="J3088" s="26" t="s">
        <v>32</v>
      </c>
      <c r="K3088" s="26" t="s">
        <v>1859</v>
      </c>
      <c r="L3088" s="26">
        <v>1</v>
      </c>
      <c r="M3088" s="26">
        <v>1</v>
      </c>
      <c r="N3088" s="28">
        <v>1</v>
      </c>
      <c r="O3088" s="26">
        <v>0.21</v>
      </c>
      <c r="P3088" s="26">
        <v>0.21</v>
      </c>
      <c r="Q3088" s="26">
        <v>0</v>
      </c>
      <c r="R3088" s="26"/>
      <c r="S3088" s="26">
        <v>0</v>
      </c>
      <c r="T3088" s="26">
        <v>0</v>
      </c>
      <c r="U3088" s="26">
        <v>0</v>
      </c>
      <c r="V3088" s="28">
        <v>0</v>
      </c>
      <c r="W3088" s="26">
        <v>0</v>
      </c>
      <c r="X3088" s="26">
        <v>0</v>
      </c>
      <c r="Y3088" s="26">
        <v>0</v>
      </c>
      <c r="Z3088" s="26">
        <v>0</v>
      </c>
    </row>
    <row r="3089" spans="1:26" x14ac:dyDescent="0.2">
      <c r="A3089">
        <f t="shared" si="98"/>
        <v>6</v>
      </c>
      <c r="B3089">
        <f t="shared" si="99"/>
        <v>27</v>
      </c>
      <c r="C3089" s="27">
        <v>46203</v>
      </c>
      <c r="D3089" s="26" t="s">
        <v>26</v>
      </c>
      <c r="E3089" s="26" t="s">
        <v>27</v>
      </c>
      <c r="F3089" s="26" t="s">
        <v>28</v>
      </c>
      <c r="G3089" s="26" t="s">
        <v>29</v>
      </c>
      <c r="H3089" s="26" t="s">
        <v>30</v>
      </c>
      <c r="I3089" s="26" t="s">
        <v>37</v>
      </c>
      <c r="J3089" s="26" t="s">
        <v>32</v>
      </c>
      <c r="K3089" s="26" t="s">
        <v>37</v>
      </c>
      <c r="L3089" s="26">
        <v>1</v>
      </c>
      <c r="M3089" s="26">
        <v>1</v>
      </c>
      <c r="N3089" s="28">
        <v>1</v>
      </c>
      <c r="O3089" s="26">
        <v>0.21</v>
      </c>
      <c r="P3089" s="26">
        <v>0.21</v>
      </c>
      <c r="Q3089" s="26">
        <v>0</v>
      </c>
      <c r="R3089" s="26"/>
      <c r="S3089" s="26">
        <v>0</v>
      </c>
      <c r="T3089" s="26">
        <v>0</v>
      </c>
      <c r="U3089" s="26">
        <v>0</v>
      </c>
      <c r="V3089" s="28">
        <v>0</v>
      </c>
      <c r="W3089" s="26">
        <v>0</v>
      </c>
      <c r="X3089" s="26">
        <v>0</v>
      </c>
      <c r="Y3089" s="26">
        <v>0</v>
      </c>
      <c r="Z3089" s="26">
        <v>0</v>
      </c>
    </row>
    <row r="3090" spans="1:26" x14ac:dyDescent="0.2">
      <c r="A3090">
        <f t="shared" si="98"/>
        <v>6</v>
      </c>
      <c r="B3090">
        <f t="shared" si="99"/>
        <v>26</v>
      </c>
      <c r="C3090" s="27">
        <v>46198</v>
      </c>
      <c r="D3090" s="26" t="s">
        <v>26</v>
      </c>
      <c r="E3090" s="26" t="s">
        <v>27</v>
      </c>
      <c r="F3090" s="26" t="s">
        <v>28</v>
      </c>
      <c r="G3090" s="26" t="s">
        <v>29</v>
      </c>
      <c r="H3090" s="26" t="s">
        <v>30</v>
      </c>
      <c r="I3090" s="26" t="s">
        <v>37</v>
      </c>
      <c r="J3090" s="26" t="s">
        <v>32</v>
      </c>
      <c r="K3090" s="26" t="s">
        <v>1860</v>
      </c>
      <c r="L3090" s="26">
        <v>3</v>
      </c>
      <c r="M3090" s="26">
        <v>1</v>
      </c>
      <c r="N3090" s="28">
        <v>0.33333299999999999</v>
      </c>
      <c r="O3090" s="26">
        <v>0.21</v>
      </c>
      <c r="P3090" s="26">
        <v>0.21</v>
      </c>
      <c r="Q3090" s="26">
        <v>0</v>
      </c>
      <c r="R3090" s="26"/>
      <c r="S3090" s="26">
        <v>0</v>
      </c>
      <c r="T3090" s="26">
        <v>0</v>
      </c>
      <c r="U3090" s="26">
        <v>0</v>
      </c>
      <c r="V3090" s="28">
        <v>0</v>
      </c>
      <c r="W3090" s="26">
        <v>0</v>
      </c>
      <c r="X3090" s="26">
        <v>0</v>
      </c>
      <c r="Y3090" s="26">
        <v>0</v>
      </c>
      <c r="Z3090" s="26">
        <v>0</v>
      </c>
    </row>
    <row r="3091" spans="1:26" x14ac:dyDescent="0.2">
      <c r="A3091">
        <f t="shared" si="98"/>
        <v>6</v>
      </c>
      <c r="B3091">
        <f t="shared" si="99"/>
        <v>26</v>
      </c>
      <c r="C3091" s="27">
        <v>46198</v>
      </c>
      <c r="D3091" s="26" t="s">
        <v>26</v>
      </c>
      <c r="E3091" s="26" t="s">
        <v>27</v>
      </c>
      <c r="F3091" s="26" t="s">
        <v>28</v>
      </c>
      <c r="G3091" s="26" t="s">
        <v>29</v>
      </c>
      <c r="H3091" s="26" t="s">
        <v>30</v>
      </c>
      <c r="I3091" s="26" t="s">
        <v>311</v>
      </c>
      <c r="J3091" s="26" t="s">
        <v>32</v>
      </c>
      <c r="K3091" s="26" t="s">
        <v>1861</v>
      </c>
      <c r="L3091" s="26">
        <v>1</v>
      </c>
      <c r="M3091" s="26">
        <v>1</v>
      </c>
      <c r="N3091" s="28">
        <v>1</v>
      </c>
      <c r="O3091" s="26">
        <v>0.08</v>
      </c>
      <c r="P3091" s="26">
        <v>0.08</v>
      </c>
      <c r="Q3091" s="26">
        <v>0</v>
      </c>
      <c r="R3091" s="26"/>
      <c r="S3091" s="26">
        <v>0</v>
      </c>
      <c r="T3091" s="26">
        <v>0</v>
      </c>
      <c r="U3091" s="26">
        <v>0</v>
      </c>
      <c r="V3091" s="28">
        <v>0</v>
      </c>
      <c r="W3091" s="26">
        <v>0</v>
      </c>
      <c r="X3091" s="26">
        <v>0</v>
      </c>
      <c r="Y3091" s="26">
        <v>0</v>
      </c>
      <c r="Z3091" s="26">
        <v>0</v>
      </c>
    </row>
    <row r="3092" spans="1:26" x14ac:dyDescent="0.2">
      <c r="A3092">
        <f t="shared" si="98"/>
        <v>6</v>
      </c>
      <c r="B3092">
        <f t="shared" si="99"/>
        <v>27</v>
      </c>
      <c r="C3092" s="27">
        <v>46202</v>
      </c>
      <c r="D3092" s="26" t="s">
        <v>26</v>
      </c>
      <c r="E3092" s="26" t="s">
        <v>39</v>
      </c>
      <c r="F3092" s="26" t="s">
        <v>40</v>
      </c>
      <c r="G3092" s="26" t="s">
        <v>29</v>
      </c>
      <c r="H3092" s="26" t="s">
        <v>30</v>
      </c>
      <c r="I3092" s="26" t="s">
        <v>1134</v>
      </c>
      <c r="J3092" s="26" t="s">
        <v>42</v>
      </c>
      <c r="K3092" s="26" t="s">
        <v>305</v>
      </c>
      <c r="L3092" s="26">
        <v>5</v>
      </c>
      <c r="M3092" s="26">
        <v>2</v>
      </c>
      <c r="N3092" s="28">
        <v>0.4</v>
      </c>
      <c r="O3092" s="26">
        <v>0.87</v>
      </c>
      <c r="P3092" s="26">
        <v>1.74</v>
      </c>
      <c r="Q3092" s="26">
        <v>0</v>
      </c>
      <c r="R3092" s="26"/>
      <c r="S3092" s="26">
        <v>0</v>
      </c>
      <c r="T3092" s="26">
        <v>0</v>
      </c>
      <c r="U3092" s="26">
        <v>0</v>
      </c>
      <c r="V3092" s="28">
        <v>0</v>
      </c>
      <c r="W3092" s="26">
        <v>0</v>
      </c>
      <c r="X3092" s="26">
        <v>0</v>
      </c>
      <c r="Y3092" s="26">
        <v>0</v>
      </c>
      <c r="Z3092" s="26">
        <v>0</v>
      </c>
    </row>
    <row r="3093" spans="1:26" x14ac:dyDescent="0.2">
      <c r="A3093">
        <f t="shared" si="98"/>
        <v>6</v>
      </c>
      <c r="B3093">
        <f t="shared" si="99"/>
        <v>27</v>
      </c>
      <c r="C3093" s="27">
        <v>46202</v>
      </c>
      <c r="D3093" s="26" t="s">
        <v>26</v>
      </c>
      <c r="E3093" s="26" t="s">
        <v>49</v>
      </c>
      <c r="F3093" s="26" t="s">
        <v>50</v>
      </c>
      <c r="G3093" s="26" t="s">
        <v>29</v>
      </c>
      <c r="H3093" s="26" t="s">
        <v>30</v>
      </c>
      <c r="I3093" s="26" t="s">
        <v>47</v>
      </c>
      <c r="J3093" s="26" t="s">
        <v>42</v>
      </c>
      <c r="K3093" s="26" t="s">
        <v>305</v>
      </c>
      <c r="L3093" s="26">
        <v>25</v>
      </c>
      <c r="M3093" s="26">
        <v>1</v>
      </c>
      <c r="N3093" s="28">
        <v>0.04</v>
      </c>
      <c r="O3093" s="26">
        <v>0.95</v>
      </c>
      <c r="P3093" s="26">
        <v>0.95</v>
      </c>
      <c r="Q3093" s="26">
        <v>0</v>
      </c>
      <c r="R3093" s="26"/>
      <c r="S3093" s="26">
        <v>0</v>
      </c>
      <c r="T3093" s="26">
        <v>0</v>
      </c>
      <c r="U3093" s="26">
        <v>0</v>
      </c>
      <c r="V3093" s="28">
        <v>0</v>
      </c>
      <c r="W3093" s="26">
        <v>0</v>
      </c>
      <c r="X3093" s="26">
        <v>0</v>
      </c>
      <c r="Y3093" s="26">
        <v>0</v>
      </c>
      <c r="Z3093" s="26">
        <v>0</v>
      </c>
    </row>
    <row r="3094" spans="1:26" x14ac:dyDescent="0.2">
      <c r="A3094">
        <f t="shared" si="98"/>
        <v>6</v>
      </c>
      <c r="B3094">
        <f t="shared" si="99"/>
        <v>26</v>
      </c>
      <c r="C3094" s="27">
        <v>46197</v>
      </c>
      <c r="D3094" s="26" t="s">
        <v>26</v>
      </c>
      <c r="E3094" s="26" t="s">
        <v>27</v>
      </c>
      <c r="F3094" s="26" t="s">
        <v>124</v>
      </c>
      <c r="G3094" s="26" t="s">
        <v>29</v>
      </c>
      <c r="H3094" s="26" t="s">
        <v>30</v>
      </c>
      <c r="I3094" s="26" t="s">
        <v>44</v>
      </c>
      <c r="J3094" s="26" t="s">
        <v>87</v>
      </c>
      <c r="K3094" s="26" t="s">
        <v>305</v>
      </c>
      <c r="L3094" s="26">
        <v>4</v>
      </c>
      <c r="M3094" s="26">
        <v>1</v>
      </c>
      <c r="N3094" s="28">
        <v>0.25</v>
      </c>
      <c r="O3094" s="26">
        <v>0.2</v>
      </c>
      <c r="P3094" s="26">
        <v>0.2</v>
      </c>
      <c r="Q3094" s="26">
        <v>0</v>
      </c>
      <c r="R3094" s="26"/>
      <c r="S3094" s="26">
        <v>0</v>
      </c>
      <c r="T3094" s="26">
        <v>0</v>
      </c>
      <c r="U3094" s="26">
        <v>0</v>
      </c>
      <c r="V3094" s="28">
        <v>0</v>
      </c>
      <c r="W3094" s="26">
        <v>0</v>
      </c>
      <c r="X3094" s="26">
        <v>0</v>
      </c>
      <c r="Y3094" s="26">
        <v>0</v>
      </c>
      <c r="Z3094" s="26">
        <v>0</v>
      </c>
    </row>
    <row r="3095" spans="1:26" x14ac:dyDescent="0.2">
      <c r="A3095">
        <f t="shared" si="98"/>
        <v>6</v>
      </c>
      <c r="B3095">
        <f t="shared" si="99"/>
        <v>26</v>
      </c>
      <c r="C3095" s="27">
        <v>46196</v>
      </c>
      <c r="D3095" s="26" t="s">
        <v>26</v>
      </c>
      <c r="E3095" s="26" t="s">
        <v>27</v>
      </c>
      <c r="F3095" s="26" t="s">
        <v>28</v>
      </c>
      <c r="G3095" s="26" t="s">
        <v>29</v>
      </c>
      <c r="H3095" s="26" t="s">
        <v>30</v>
      </c>
      <c r="I3095" s="26" t="s">
        <v>37</v>
      </c>
      <c r="J3095" s="26" t="s">
        <v>32</v>
      </c>
      <c r="K3095" s="26" t="s">
        <v>1862</v>
      </c>
      <c r="L3095" s="26">
        <v>3</v>
      </c>
      <c r="M3095" s="26">
        <v>1</v>
      </c>
      <c r="N3095" s="28">
        <v>0.33333299999999999</v>
      </c>
      <c r="O3095" s="26">
        <v>0.21</v>
      </c>
      <c r="P3095" s="26">
        <v>0.21</v>
      </c>
      <c r="Q3095" s="26">
        <v>0</v>
      </c>
      <c r="R3095" s="26"/>
      <c r="S3095" s="26">
        <v>0</v>
      </c>
      <c r="T3095" s="26">
        <v>0</v>
      </c>
      <c r="U3095" s="26">
        <v>0</v>
      </c>
      <c r="V3095" s="28">
        <v>0</v>
      </c>
      <c r="W3095" s="26">
        <v>0</v>
      </c>
      <c r="X3095" s="26">
        <v>0</v>
      </c>
      <c r="Y3095" s="26">
        <v>0</v>
      </c>
      <c r="Z3095" s="26">
        <v>0</v>
      </c>
    </row>
    <row r="3096" spans="1:26" x14ac:dyDescent="0.2">
      <c r="A3096">
        <f t="shared" si="98"/>
        <v>6</v>
      </c>
      <c r="B3096">
        <f t="shared" si="99"/>
        <v>26</v>
      </c>
      <c r="C3096" s="27">
        <v>46196</v>
      </c>
      <c r="D3096" s="26" t="s">
        <v>26</v>
      </c>
      <c r="E3096" s="26" t="s">
        <v>27</v>
      </c>
      <c r="F3096" s="26" t="s">
        <v>28</v>
      </c>
      <c r="G3096" s="26" t="s">
        <v>29</v>
      </c>
      <c r="H3096" s="26" t="s">
        <v>30</v>
      </c>
      <c r="I3096" s="26" t="s">
        <v>119</v>
      </c>
      <c r="J3096" s="26" t="s">
        <v>32</v>
      </c>
      <c r="K3096" s="26" t="s">
        <v>1792</v>
      </c>
      <c r="L3096" s="26">
        <v>4</v>
      </c>
      <c r="M3096" s="26">
        <v>1</v>
      </c>
      <c r="N3096" s="28">
        <v>0.25</v>
      </c>
      <c r="O3096" s="26">
        <v>0.17</v>
      </c>
      <c r="P3096" s="26">
        <v>0.17</v>
      </c>
      <c r="Q3096" s="26">
        <v>18.989999999999998</v>
      </c>
      <c r="R3096" s="28">
        <v>8.9519999999999999E-3</v>
      </c>
      <c r="S3096" s="26">
        <v>111.71</v>
      </c>
      <c r="T3096" s="26">
        <v>1</v>
      </c>
      <c r="U3096" s="26">
        <v>1</v>
      </c>
      <c r="V3096" s="28">
        <v>1</v>
      </c>
      <c r="W3096" s="26">
        <v>1</v>
      </c>
      <c r="X3096" s="26">
        <v>0</v>
      </c>
      <c r="Y3096" s="26">
        <v>18.989999999999998</v>
      </c>
      <c r="Z3096" s="26">
        <v>0</v>
      </c>
    </row>
    <row r="3097" spans="1:26" x14ac:dyDescent="0.2">
      <c r="A3097">
        <f t="shared" si="98"/>
        <v>6</v>
      </c>
      <c r="B3097">
        <f t="shared" si="99"/>
        <v>27</v>
      </c>
      <c r="C3097" s="27">
        <v>46202</v>
      </c>
      <c r="D3097" s="26" t="s">
        <v>26</v>
      </c>
      <c r="E3097" s="26" t="s">
        <v>49</v>
      </c>
      <c r="F3097" s="26" t="s">
        <v>50</v>
      </c>
      <c r="G3097" s="26" t="s">
        <v>29</v>
      </c>
      <c r="H3097" s="26" t="s">
        <v>30</v>
      </c>
      <c r="I3097" s="26" t="s">
        <v>47</v>
      </c>
      <c r="J3097" s="26" t="s">
        <v>42</v>
      </c>
      <c r="K3097" s="26" t="s">
        <v>308</v>
      </c>
      <c r="L3097" s="26">
        <v>15</v>
      </c>
      <c r="M3097" s="26">
        <v>1</v>
      </c>
      <c r="N3097" s="28">
        <v>6.6667000000000004E-2</v>
      </c>
      <c r="O3097" s="26">
        <v>0.91</v>
      </c>
      <c r="P3097" s="26">
        <v>0.91</v>
      </c>
      <c r="Q3097" s="26">
        <v>0</v>
      </c>
      <c r="R3097" s="26"/>
      <c r="S3097" s="26">
        <v>0</v>
      </c>
      <c r="T3097" s="26">
        <v>0</v>
      </c>
      <c r="U3097" s="26">
        <v>0</v>
      </c>
      <c r="V3097" s="28">
        <v>0</v>
      </c>
      <c r="W3097" s="26">
        <v>0</v>
      </c>
      <c r="X3097" s="26">
        <v>0</v>
      </c>
      <c r="Y3097" s="26">
        <v>0</v>
      </c>
      <c r="Z3097" s="26">
        <v>0</v>
      </c>
    </row>
    <row r="3098" spans="1:26" x14ac:dyDescent="0.2">
      <c r="A3098">
        <f t="shared" si="98"/>
        <v>6</v>
      </c>
      <c r="B3098">
        <f t="shared" si="99"/>
        <v>26</v>
      </c>
      <c r="C3098" s="27">
        <v>46199</v>
      </c>
      <c r="D3098" s="26" t="s">
        <v>26</v>
      </c>
      <c r="E3098" s="26" t="s">
        <v>27</v>
      </c>
      <c r="F3098" s="26" t="s">
        <v>28</v>
      </c>
      <c r="G3098" s="26" t="s">
        <v>29</v>
      </c>
      <c r="H3098" s="26" t="s">
        <v>30</v>
      </c>
      <c r="I3098" s="26" t="s">
        <v>31</v>
      </c>
      <c r="J3098" s="26" t="s">
        <v>32</v>
      </c>
      <c r="K3098" s="26" t="s">
        <v>308</v>
      </c>
      <c r="L3098" s="26">
        <v>3</v>
      </c>
      <c r="M3098" s="26">
        <v>1</v>
      </c>
      <c r="N3098" s="28">
        <v>0.33333299999999999</v>
      </c>
      <c r="O3098" s="26">
        <v>0.2</v>
      </c>
      <c r="P3098" s="26">
        <v>0.2</v>
      </c>
      <c r="Q3098" s="26">
        <v>0</v>
      </c>
      <c r="R3098" s="26"/>
      <c r="S3098" s="26">
        <v>0</v>
      </c>
      <c r="T3098" s="26">
        <v>0</v>
      </c>
      <c r="U3098" s="26">
        <v>0</v>
      </c>
      <c r="V3098" s="28">
        <v>0</v>
      </c>
      <c r="W3098" s="26">
        <v>0</v>
      </c>
      <c r="X3098" s="26">
        <v>0</v>
      </c>
      <c r="Y3098" s="26">
        <v>0</v>
      </c>
      <c r="Z3098" s="26">
        <v>0</v>
      </c>
    </row>
    <row r="3099" spans="1:26" x14ac:dyDescent="0.2">
      <c r="A3099">
        <f t="shared" si="98"/>
        <v>6</v>
      </c>
      <c r="B3099">
        <f t="shared" si="99"/>
        <v>26</v>
      </c>
      <c r="C3099" s="27">
        <v>46198</v>
      </c>
      <c r="D3099" s="26" t="s">
        <v>26</v>
      </c>
      <c r="E3099" s="26" t="s">
        <v>27</v>
      </c>
      <c r="F3099" s="26" t="s">
        <v>28</v>
      </c>
      <c r="G3099" s="26" t="s">
        <v>29</v>
      </c>
      <c r="H3099" s="26" t="s">
        <v>30</v>
      </c>
      <c r="I3099" s="26" t="s">
        <v>156</v>
      </c>
      <c r="J3099" s="26" t="s">
        <v>32</v>
      </c>
      <c r="K3099" s="26" t="s">
        <v>308</v>
      </c>
      <c r="L3099" s="26">
        <v>1</v>
      </c>
      <c r="M3099" s="26">
        <v>1</v>
      </c>
      <c r="N3099" s="28">
        <v>1</v>
      </c>
      <c r="O3099" s="26">
        <v>0.21</v>
      </c>
      <c r="P3099" s="26">
        <v>0.21</v>
      </c>
      <c r="Q3099" s="26">
        <v>0</v>
      </c>
      <c r="R3099" s="26"/>
      <c r="S3099" s="26">
        <v>0</v>
      </c>
      <c r="T3099" s="26">
        <v>0</v>
      </c>
      <c r="U3099" s="26">
        <v>0</v>
      </c>
      <c r="V3099" s="28">
        <v>0</v>
      </c>
      <c r="W3099" s="26">
        <v>0</v>
      </c>
      <c r="X3099" s="26">
        <v>0</v>
      </c>
      <c r="Y3099" s="26">
        <v>0</v>
      </c>
      <c r="Z3099" s="26">
        <v>0</v>
      </c>
    </row>
    <row r="3100" spans="1:26" x14ac:dyDescent="0.2">
      <c r="A3100">
        <f t="shared" si="98"/>
        <v>6</v>
      </c>
      <c r="B3100">
        <f t="shared" si="99"/>
        <v>27</v>
      </c>
      <c r="C3100" s="27">
        <v>46202</v>
      </c>
      <c r="D3100" s="26" t="s">
        <v>26</v>
      </c>
      <c r="E3100" s="26" t="s">
        <v>27</v>
      </c>
      <c r="F3100" s="26" t="s">
        <v>28</v>
      </c>
      <c r="G3100" s="26" t="s">
        <v>29</v>
      </c>
      <c r="H3100" s="26" t="s">
        <v>30</v>
      </c>
      <c r="I3100" s="26" t="s">
        <v>35</v>
      </c>
      <c r="J3100" s="26" t="s">
        <v>32</v>
      </c>
      <c r="K3100" s="26" t="s">
        <v>583</v>
      </c>
      <c r="L3100" s="26">
        <v>2</v>
      </c>
      <c r="M3100" s="26">
        <v>1</v>
      </c>
      <c r="N3100" s="28">
        <v>0.5</v>
      </c>
      <c r="O3100" s="26">
        <v>0.2</v>
      </c>
      <c r="P3100" s="26">
        <v>0.2</v>
      </c>
      <c r="Q3100" s="26">
        <v>0</v>
      </c>
      <c r="R3100" s="26"/>
      <c r="S3100" s="26">
        <v>0</v>
      </c>
      <c r="T3100" s="26">
        <v>0</v>
      </c>
      <c r="U3100" s="26">
        <v>0</v>
      </c>
      <c r="V3100" s="28">
        <v>0</v>
      </c>
      <c r="W3100" s="26">
        <v>0</v>
      </c>
      <c r="X3100" s="26">
        <v>0</v>
      </c>
      <c r="Y3100" s="26">
        <v>0</v>
      </c>
      <c r="Z3100" s="26">
        <v>0</v>
      </c>
    </row>
    <row r="3101" spans="1:26" x14ac:dyDescent="0.2">
      <c r="A3101">
        <f t="shared" si="98"/>
        <v>6</v>
      </c>
      <c r="B3101">
        <f t="shared" si="99"/>
        <v>26</v>
      </c>
      <c r="C3101" s="27">
        <v>46195</v>
      </c>
      <c r="D3101" s="26" t="s">
        <v>26</v>
      </c>
      <c r="E3101" s="26" t="s">
        <v>49</v>
      </c>
      <c r="F3101" s="26" t="s">
        <v>50</v>
      </c>
      <c r="G3101" s="26" t="s">
        <v>29</v>
      </c>
      <c r="H3101" s="26" t="s">
        <v>30</v>
      </c>
      <c r="I3101" s="26" t="s">
        <v>47</v>
      </c>
      <c r="J3101" s="26" t="s">
        <v>42</v>
      </c>
      <c r="K3101" s="26" t="s">
        <v>306</v>
      </c>
      <c r="L3101" s="26">
        <v>16</v>
      </c>
      <c r="M3101" s="26">
        <v>1</v>
      </c>
      <c r="N3101" s="28">
        <v>6.25E-2</v>
      </c>
      <c r="O3101" s="26">
        <v>1.41</v>
      </c>
      <c r="P3101" s="26">
        <v>1.41</v>
      </c>
      <c r="Q3101" s="26">
        <v>0</v>
      </c>
      <c r="R3101" s="26"/>
      <c r="S3101" s="26">
        <v>0</v>
      </c>
      <c r="T3101" s="26">
        <v>0</v>
      </c>
      <c r="U3101" s="26">
        <v>0</v>
      </c>
      <c r="V3101" s="28">
        <v>0</v>
      </c>
      <c r="W3101" s="26">
        <v>0</v>
      </c>
      <c r="X3101" s="26">
        <v>0</v>
      </c>
      <c r="Y3101" s="26">
        <v>0</v>
      </c>
      <c r="Z3101" s="26">
        <v>0</v>
      </c>
    </row>
    <row r="3102" spans="1:26" x14ac:dyDescent="0.2">
      <c r="A3102">
        <f t="shared" si="98"/>
        <v>6</v>
      </c>
      <c r="B3102">
        <f t="shared" si="99"/>
        <v>26</v>
      </c>
      <c r="C3102" s="27">
        <v>46200</v>
      </c>
      <c r="D3102" s="26" t="s">
        <v>26</v>
      </c>
      <c r="E3102" s="26" t="s">
        <v>49</v>
      </c>
      <c r="F3102" s="26" t="s">
        <v>50</v>
      </c>
      <c r="G3102" s="26" t="s">
        <v>29</v>
      </c>
      <c r="H3102" s="26" t="s">
        <v>30</v>
      </c>
      <c r="I3102" s="26" t="s">
        <v>47</v>
      </c>
      <c r="J3102" s="26" t="s">
        <v>42</v>
      </c>
      <c r="K3102" s="26" t="s">
        <v>306</v>
      </c>
      <c r="L3102" s="26">
        <v>8</v>
      </c>
      <c r="M3102" s="26">
        <v>1</v>
      </c>
      <c r="N3102" s="28">
        <v>0.125</v>
      </c>
      <c r="O3102" s="26">
        <v>1.3</v>
      </c>
      <c r="P3102" s="26">
        <v>1.3</v>
      </c>
      <c r="Q3102" s="26">
        <v>0</v>
      </c>
      <c r="R3102" s="26"/>
      <c r="S3102" s="26">
        <v>0</v>
      </c>
      <c r="T3102" s="26">
        <v>0</v>
      </c>
      <c r="U3102" s="26">
        <v>0</v>
      </c>
      <c r="V3102" s="28">
        <v>0</v>
      </c>
      <c r="W3102" s="26">
        <v>0</v>
      </c>
      <c r="X3102" s="26">
        <v>0</v>
      </c>
      <c r="Y3102" s="26">
        <v>0</v>
      </c>
      <c r="Z3102" s="26">
        <v>0</v>
      </c>
    </row>
    <row r="3103" spans="1:26" x14ac:dyDescent="0.2">
      <c r="A3103">
        <f t="shared" si="98"/>
        <v>6</v>
      </c>
      <c r="B3103">
        <f t="shared" si="99"/>
        <v>27</v>
      </c>
      <c r="C3103" s="27">
        <v>46203</v>
      </c>
      <c r="D3103" s="26" t="s">
        <v>26</v>
      </c>
      <c r="E3103" s="26" t="s">
        <v>49</v>
      </c>
      <c r="F3103" s="26" t="s">
        <v>50</v>
      </c>
      <c r="G3103" s="26" t="s">
        <v>29</v>
      </c>
      <c r="H3103" s="26" t="s">
        <v>30</v>
      </c>
      <c r="I3103" s="26" t="s">
        <v>47</v>
      </c>
      <c r="J3103" s="26" t="s">
        <v>42</v>
      </c>
      <c r="K3103" s="26" t="s">
        <v>306</v>
      </c>
      <c r="L3103" s="26">
        <v>10</v>
      </c>
      <c r="M3103" s="26">
        <v>1</v>
      </c>
      <c r="N3103" s="28">
        <v>0.1</v>
      </c>
      <c r="O3103" s="26">
        <v>1.05</v>
      </c>
      <c r="P3103" s="26">
        <v>1.05</v>
      </c>
      <c r="Q3103" s="26">
        <v>0</v>
      </c>
      <c r="R3103" s="26"/>
      <c r="S3103" s="26">
        <v>0</v>
      </c>
      <c r="T3103" s="26">
        <v>0</v>
      </c>
      <c r="U3103" s="26">
        <v>0</v>
      </c>
      <c r="V3103" s="28">
        <v>0</v>
      </c>
      <c r="W3103" s="26">
        <v>0</v>
      </c>
      <c r="X3103" s="26">
        <v>0</v>
      </c>
      <c r="Y3103" s="26">
        <v>0</v>
      </c>
      <c r="Z3103" s="26">
        <v>0</v>
      </c>
    </row>
    <row r="3104" spans="1:26" x14ac:dyDescent="0.2">
      <c r="A3104">
        <f t="shared" si="98"/>
        <v>6</v>
      </c>
      <c r="B3104">
        <f t="shared" si="99"/>
        <v>26</v>
      </c>
      <c r="C3104" s="27">
        <v>46197</v>
      </c>
      <c r="D3104" s="26" t="s">
        <v>26</v>
      </c>
      <c r="E3104" s="26" t="s">
        <v>27</v>
      </c>
      <c r="F3104" s="26" t="s">
        <v>124</v>
      </c>
      <c r="G3104" s="26" t="s">
        <v>29</v>
      </c>
      <c r="H3104" s="26" t="s">
        <v>30</v>
      </c>
      <c r="I3104" s="26" t="s">
        <v>306</v>
      </c>
      <c r="J3104" s="26" t="s">
        <v>267</v>
      </c>
      <c r="K3104" s="26" t="s">
        <v>306</v>
      </c>
      <c r="L3104" s="26">
        <v>68</v>
      </c>
      <c r="M3104" s="26">
        <v>1</v>
      </c>
      <c r="N3104" s="28">
        <v>1.4706E-2</v>
      </c>
      <c r="O3104" s="26">
        <v>0.2</v>
      </c>
      <c r="P3104" s="26">
        <v>0.2</v>
      </c>
      <c r="Q3104" s="26">
        <v>0</v>
      </c>
      <c r="R3104" s="26"/>
      <c r="S3104" s="26">
        <v>0</v>
      </c>
      <c r="T3104" s="26">
        <v>0</v>
      </c>
      <c r="U3104" s="26">
        <v>0</v>
      </c>
      <c r="V3104" s="28">
        <v>0</v>
      </c>
      <c r="W3104" s="26">
        <v>0</v>
      </c>
      <c r="X3104" s="26">
        <v>0</v>
      </c>
      <c r="Y3104" s="26">
        <v>0</v>
      </c>
      <c r="Z3104" s="26">
        <v>0</v>
      </c>
    </row>
    <row r="3105" spans="1:26" x14ac:dyDescent="0.2">
      <c r="A3105">
        <f t="shared" si="98"/>
        <v>6</v>
      </c>
      <c r="B3105">
        <f t="shared" si="99"/>
        <v>27</v>
      </c>
      <c r="C3105" s="27">
        <v>46202</v>
      </c>
      <c r="D3105" s="26" t="s">
        <v>26</v>
      </c>
      <c r="E3105" s="26" t="s">
        <v>27</v>
      </c>
      <c r="F3105" s="26" t="s">
        <v>124</v>
      </c>
      <c r="G3105" s="26" t="s">
        <v>29</v>
      </c>
      <c r="H3105" s="26" t="s">
        <v>30</v>
      </c>
      <c r="I3105" s="26" t="s">
        <v>306</v>
      </c>
      <c r="J3105" s="26" t="s">
        <v>267</v>
      </c>
      <c r="K3105" s="26" t="s">
        <v>306</v>
      </c>
      <c r="L3105" s="26">
        <v>8</v>
      </c>
      <c r="M3105" s="26">
        <v>1</v>
      </c>
      <c r="N3105" s="28">
        <v>0.125</v>
      </c>
      <c r="O3105" s="26">
        <v>0.2</v>
      </c>
      <c r="P3105" s="26">
        <v>0.2</v>
      </c>
      <c r="Q3105" s="26">
        <v>0</v>
      </c>
      <c r="R3105" s="26"/>
      <c r="S3105" s="26">
        <v>0</v>
      </c>
      <c r="T3105" s="26">
        <v>0</v>
      </c>
      <c r="U3105" s="26">
        <v>0</v>
      </c>
      <c r="V3105" s="28">
        <v>0</v>
      </c>
      <c r="W3105" s="26">
        <v>0</v>
      </c>
      <c r="X3105" s="26">
        <v>0</v>
      </c>
      <c r="Y3105" s="26">
        <v>0</v>
      </c>
      <c r="Z3105" s="26">
        <v>0</v>
      </c>
    </row>
    <row r="3106" spans="1:26" x14ac:dyDescent="0.2">
      <c r="A3106">
        <f t="shared" si="98"/>
        <v>6</v>
      </c>
      <c r="B3106">
        <f t="shared" si="99"/>
        <v>26</v>
      </c>
      <c r="C3106" s="27">
        <v>46200</v>
      </c>
      <c r="D3106" s="26" t="s">
        <v>26</v>
      </c>
      <c r="E3106" s="26" t="s">
        <v>27</v>
      </c>
      <c r="F3106" s="26" t="s">
        <v>124</v>
      </c>
      <c r="G3106" s="26" t="s">
        <v>29</v>
      </c>
      <c r="H3106" s="26" t="s">
        <v>30</v>
      </c>
      <c r="I3106" s="26" t="s">
        <v>101</v>
      </c>
      <c r="J3106" s="26" t="s">
        <v>87</v>
      </c>
      <c r="K3106" s="26" t="s">
        <v>306</v>
      </c>
      <c r="L3106" s="26">
        <v>8</v>
      </c>
      <c r="M3106" s="26">
        <v>1</v>
      </c>
      <c r="N3106" s="28">
        <v>0.125</v>
      </c>
      <c r="O3106" s="26">
        <v>0.21</v>
      </c>
      <c r="P3106" s="26">
        <v>0.21</v>
      </c>
      <c r="Q3106" s="26">
        <v>0</v>
      </c>
      <c r="R3106" s="26"/>
      <c r="S3106" s="26">
        <v>0</v>
      </c>
      <c r="T3106" s="26">
        <v>0</v>
      </c>
      <c r="U3106" s="26">
        <v>0</v>
      </c>
      <c r="V3106" s="28">
        <v>0</v>
      </c>
      <c r="W3106" s="26">
        <v>0</v>
      </c>
      <c r="X3106" s="26">
        <v>0</v>
      </c>
      <c r="Y3106" s="26">
        <v>0</v>
      </c>
      <c r="Z3106" s="26">
        <v>0</v>
      </c>
    </row>
    <row r="3107" spans="1:26" x14ac:dyDescent="0.2">
      <c r="A3107">
        <f t="shared" si="98"/>
        <v>6</v>
      </c>
      <c r="B3107">
        <f t="shared" si="99"/>
        <v>26</v>
      </c>
      <c r="C3107" s="27">
        <v>46195</v>
      </c>
      <c r="D3107" s="26" t="s">
        <v>26</v>
      </c>
      <c r="E3107" s="26" t="s">
        <v>27</v>
      </c>
      <c r="F3107" s="26" t="s">
        <v>28</v>
      </c>
      <c r="G3107" s="26" t="s">
        <v>29</v>
      </c>
      <c r="H3107" s="26" t="s">
        <v>30</v>
      </c>
      <c r="I3107" s="26" t="s">
        <v>311</v>
      </c>
      <c r="J3107" s="26" t="s">
        <v>32</v>
      </c>
      <c r="K3107" s="26" t="s">
        <v>306</v>
      </c>
      <c r="L3107" s="26">
        <v>74</v>
      </c>
      <c r="M3107" s="26">
        <v>3</v>
      </c>
      <c r="N3107" s="28">
        <v>4.0541000000000001E-2</v>
      </c>
      <c r="O3107" s="26">
        <v>0.2</v>
      </c>
      <c r="P3107" s="26">
        <v>0.6</v>
      </c>
      <c r="Q3107" s="26">
        <v>0</v>
      </c>
      <c r="R3107" s="26"/>
      <c r="S3107" s="26">
        <v>0</v>
      </c>
      <c r="T3107" s="26">
        <v>0</v>
      </c>
      <c r="U3107" s="26">
        <v>0</v>
      </c>
      <c r="V3107" s="28">
        <v>0</v>
      </c>
      <c r="W3107" s="26">
        <v>0</v>
      </c>
      <c r="X3107" s="26">
        <v>0</v>
      </c>
      <c r="Y3107" s="26">
        <v>0</v>
      </c>
      <c r="Z3107" s="26">
        <v>0</v>
      </c>
    </row>
    <row r="3108" spans="1:26" x14ac:dyDescent="0.2">
      <c r="A3108">
        <f t="shared" si="98"/>
        <v>6</v>
      </c>
      <c r="B3108">
        <f t="shared" si="99"/>
        <v>26</v>
      </c>
      <c r="C3108" s="27">
        <v>46196</v>
      </c>
      <c r="D3108" s="26" t="s">
        <v>26</v>
      </c>
      <c r="E3108" s="26" t="s">
        <v>27</v>
      </c>
      <c r="F3108" s="26" t="s">
        <v>28</v>
      </c>
      <c r="G3108" s="26" t="s">
        <v>29</v>
      </c>
      <c r="H3108" s="26" t="s">
        <v>30</v>
      </c>
      <c r="I3108" s="26" t="s">
        <v>311</v>
      </c>
      <c r="J3108" s="26" t="s">
        <v>32</v>
      </c>
      <c r="K3108" s="26" t="s">
        <v>306</v>
      </c>
      <c r="L3108" s="26">
        <v>151</v>
      </c>
      <c r="M3108" s="26">
        <v>2</v>
      </c>
      <c r="N3108" s="28">
        <v>1.3245E-2</v>
      </c>
      <c r="O3108" s="26">
        <v>0.2</v>
      </c>
      <c r="P3108" s="26">
        <v>0.4</v>
      </c>
      <c r="Q3108" s="26">
        <v>0</v>
      </c>
      <c r="R3108" s="26"/>
      <c r="S3108" s="26">
        <v>0</v>
      </c>
      <c r="T3108" s="26">
        <v>0</v>
      </c>
      <c r="U3108" s="26">
        <v>0</v>
      </c>
      <c r="V3108" s="28">
        <v>0</v>
      </c>
      <c r="W3108" s="26">
        <v>0</v>
      </c>
      <c r="X3108" s="26">
        <v>0</v>
      </c>
      <c r="Y3108" s="26">
        <v>0</v>
      </c>
      <c r="Z3108" s="26">
        <v>0</v>
      </c>
    </row>
    <row r="3109" spans="1:26" x14ac:dyDescent="0.2">
      <c r="A3109">
        <f t="shared" si="98"/>
        <v>6</v>
      </c>
      <c r="B3109">
        <f t="shared" si="99"/>
        <v>26</v>
      </c>
      <c r="C3109" s="27">
        <v>46198</v>
      </c>
      <c r="D3109" s="26" t="s">
        <v>26</v>
      </c>
      <c r="E3109" s="26" t="s">
        <v>27</v>
      </c>
      <c r="F3109" s="26" t="s">
        <v>28</v>
      </c>
      <c r="G3109" s="26" t="s">
        <v>29</v>
      </c>
      <c r="H3109" s="26" t="s">
        <v>30</v>
      </c>
      <c r="I3109" s="26" t="s">
        <v>311</v>
      </c>
      <c r="J3109" s="26" t="s">
        <v>32</v>
      </c>
      <c r="K3109" s="26" t="s">
        <v>306</v>
      </c>
      <c r="L3109" s="26">
        <v>134</v>
      </c>
      <c r="M3109" s="26">
        <v>1</v>
      </c>
      <c r="N3109" s="28">
        <v>7.463E-3</v>
      </c>
      <c r="O3109" s="26">
        <v>0.08</v>
      </c>
      <c r="P3109" s="26">
        <v>0.08</v>
      </c>
      <c r="Q3109" s="26">
        <v>0</v>
      </c>
      <c r="R3109" s="26"/>
      <c r="S3109" s="26">
        <v>0</v>
      </c>
      <c r="T3109" s="26">
        <v>0</v>
      </c>
      <c r="U3109" s="26">
        <v>0</v>
      </c>
      <c r="V3109" s="28">
        <v>0</v>
      </c>
      <c r="W3109" s="26">
        <v>0</v>
      </c>
      <c r="X3109" s="26">
        <v>0</v>
      </c>
      <c r="Y3109" s="26">
        <v>0</v>
      </c>
      <c r="Z3109" s="26">
        <v>0</v>
      </c>
    </row>
    <row r="3110" spans="1:26" x14ac:dyDescent="0.2">
      <c r="A3110">
        <f t="shared" si="98"/>
        <v>6</v>
      </c>
      <c r="B3110">
        <f t="shared" si="99"/>
        <v>26</v>
      </c>
      <c r="C3110" s="27">
        <v>46199</v>
      </c>
      <c r="D3110" s="26" t="s">
        <v>26</v>
      </c>
      <c r="E3110" s="26" t="s">
        <v>27</v>
      </c>
      <c r="F3110" s="26" t="s">
        <v>28</v>
      </c>
      <c r="G3110" s="26" t="s">
        <v>29</v>
      </c>
      <c r="H3110" s="26" t="s">
        <v>30</v>
      </c>
      <c r="I3110" s="26" t="s">
        <v>311</v>
      </c>
      <c r="J3110" s="26" t="s">
        <v>32</v>
      </c>
      <c r="K3110" s="26" t="s">
        <v>306</v>
      </c>
      <c r="L3110" s="26">
        <v>60</v>
      </c>
      <c r="M3110" s="26">
        <v>1</v>
      </c>
      <c r="N3110" s="28">
        <v>1.6667000000000001E-2</v>
      </c>
      <c r="O3110" s="26">
        <v>0.22</v>
      </c>
      <c r="P3110" s="26">
        <v>0.22</v>
      </c>
      <c r="Q3110" s="26">
        <v>0</v>
      </c>
      <c r="R3110" s="26"/>
      <c r="S3110" s="26">
        <v>0</v>
      </c>
      <c r="T3110" s="26">
        <v>0</v>
      </c>
      <c r="U3110" s="26">
        <v>0</v>
      </c>
      <c r="V3110" s="28">
        <v>0</v>
      </c>
      <c r="W3110" s="26">
        <v>0</v>
      </c>
      <c r="X3110" s="26">
        <v>0</v>
      </c>
      <c r="Y3110" s="26">
        <v>0</v>
      </c>
      <c r="Z3110" s="26">
        <v>0</v>
      </c>
    </row>
    <row r="3111" spans="1:26" x14ac:dyDescent="0.2">
      <c r="A3111">
        <f t="shared" si="98"/>
        <v>6</v>
      </c>
      <c r="B3111">
        <f t="shared" si="99"/>
        <v>27</v>
      </c>
      <c r="C3111" s="27">
        <v>46201</v>
      </c>
      <c r="D3111" s="26" t="s">
        <v>26</v>
      </c>
      <c r="E3111" s="26" t="s">
        <v>27</v>
      </c>
      <c r="F3111" s="26" t="s">
        <v>28</v>
      </c>
      <c r="G3111" s="26" t="s">
        <v>29</v>
      </c>
      <c r="H3111" s="26" t="s">
        <v>30</v>
      </c>
      <c r="I3111" s="26" t="s">
        <v>311</v>
      </c>
      <c r="J3111" s="26" t="s">
        <v>32</v>
      </c>
      <c r="K3111" s="26" t="s">
        <v>306</v>
      </c>
      <c r="L3111" s="26">
        <v>75</v>
      </c>
      <c r="M3111" s="26">
        <v>1</v>
      </c>
      <c r="N3111" s="28">
        <v>1.3332999999999999E-2</v>
      </c>
      <c r="O3111" s="26">
        <v>0.22</v>
      </c>
      <c r="P3111" s="26">
        <v>0.22</v>
      </c>
      <c r="Q3111" s="26">
        <v>0</v>
      </c>
      <c r="R3111" s="26"/>
      <c r="S3111" s="26">
        <v>0</v>
      </c>
      <c r="T3111" s="26">
        <v>0</v>
      </c>
      <c r="U3111" s="26">
        <v>0</v>
      </c>
      <c r="V3111" s="28">
        <v>0</v>
      </c>
      <c r="W3111" s="26">
        <v>0</v>
      </c>
      <c r="X3111" s="26">
        <v>0</v>
      </c>
      <c r="Y3111" s="26">
        <v>0</v>
      </c>
      <c r="Z3111" s="26">
        <v>0</v>
      </c>
    </row>
    <row r="3112" spans="1:26" x14ac:dyDescent="0.2">
      <c r="A3112">
        <f t="shared" si="98"/>
        <v>6</v>
      </c>
      <c r="B3112">
        <f t="shared" si="99"/>
        <v>27</v>
      </c>
      <c r="C3112" s="27">
        <v>46202</v>
      </c>
      <c r="D3112" s="26" t="s">
        <v>26</v>
      </c>
      <c r="E3112" s="26" t="s">
        <v>27</v>
      </c>
      <c r="F3112" s="26" t="s">
        <v>28</v>
      </c>
      <c r="G3112" s="26" t="s">
        <v>29</v>
      </c>
      <c r="H3112" s="26" t="s">
        <v>30</v>
      </c>
      <c r="I3112" s="26" t="s">
        <v>311</v>
      </c>
      <c r="J3112" s="26" t="s">
        <v>32</v>
      </c>
      <c r="K3112" s="26" t="s">
        <v>306</v>
      </c>
      <c r="L3112" s="26">
        <v>44</v>
      </c>
      <c r="M3112" s="26">
        <v>2</v>
      </c>
      <c r="N3112" s="28">
        <v>4.5455000000000002E-2</v>
      </c>
      <c r="O3112" s="26">
        <v>0.2</v>
      </c>
      <c r="P3112" s="26">
        <v>0.4</v>
      </c>
      <c r="Q3112" s="26">
        <v>0</v>
      </c>
      <c r="R3112" s="26"/>
      <c r="S3112" s="26">
        <v>0</v>
      </c>
      <c r="T3112" s="26">
        <v>0</v>
      </c>
      <c r="U3112" s="26">
        <v>0</v>
      </c>
      <c r="V3112" s="28">
        <v>0</v>
      </c>
      <c r="W3112" s="26">
        <v>0</v>
      </c>
      <c r="X3112" s="26">
        <v>0</v>
      </c>
      <c r="Y3112" s="26">
        <v>0</v>
      </c>
      <c r="Z3112" s="26">
        <v>0</v>
      </c>
    </row>
    <row r="3113" spans="1:26" x14ac:dyDescent="0.2">
      <c r="A3113">
        <f t="shared" si="98"/>
        <v>6</v>
      </c>
      <c r="B3113">
        <f t="shared" si="99"/>
        <v>27</v>
      </c>
      <c r="C3113" s="27">
        <v>46203</v>
      </c>
      <c r="D3113" s="26" t="s">
        <v>26</v>
      </c>
      <c r="E3113" s="26" t="s">
        <v>27</v>
      </c>
      <c r="F3113" s="26" t="s">
        <v>28</v>
      </c>
      <c r="G3113" s="26" t="s">
        <v>29</v>
      </c>
      <c r="H3113" s="26" t="s">
        <v>30</v>
      </c>
      <c r="I3113" s="26" t="s">
        <v>305</v>
      </c>
      <c r="J3113" s="26" t="s">
        <v>32</v>
      </c>
      <c r="K3113" s="26" t="s">
        <v>306</v>
      </c>
      <c r="L3113" s="26">
        <v>2</v>
      </c>
      <c r="M3113" s="26">
        <v>1</v>
      </c>
      <c r="N3113" s="28">
        <v>0.5</v>
      </c>
      <c r="O3113" s="26">
        <v>0.2</v>
      </c>
      <c r="P3113" s="26">
        <v>0.2</v>
      </c>
      <c r="Q3113" s="26">
        <v>0</v>
      </c>
      <c r="R3113" s="26"/>
      <c r="S3113" s="26">
        <v>0</v>
      </c>
      <c r="T3113" s="26">
        <v>0</v>
      </c>
      <c r="U3113" s="26">
        <v>0</v>
      </c>
      <c r="V3113" s="28">
        <v>0</v>
      </c>
      <c r="W3113" s="26">
        <v>0</v>
      </c>
      <c r="X3113" s="26">
        <v>0</v>
      </c>
      <c r="Y3113" s="26">
        <v>0</v>
      </c>
      <c r="Z3113" s="26">
        <v>0</v>
      </c>
    </row>
    <row r="3114" spans="1:26" x14ac:dyDescent="0.2">
      <c r="A3114">
        <f t="shared" si="98"/>
        <v>6</v>
      </c>
      <c r="B3114">
        <f t="shared" si="99"/>
        <v>26</v>
      </c>
      <c r="C3114" s="27">
        <v>46196</v>
      </c>
      <c r="D3114" s="26" t="s">
        <v>26</v>
      </c>
      <c r="E3114" s="26" t="s">
        <v>27</v>
      </c>
      <c r="F3114" s="26" t="s">
        <v>28</v>
      </c>
      <c r="G3114" s="26" t="s">
        <v>29</v>
      </c>
      <c r="H3114" s="26" t="s">
        <v>30</v>
      </c>
      <c r="I3114" s="26" t="s">
        <v>50</v>
      </c>
      <c r="J3114" s="26" t="s">
        <v>32</v>
      </c>
      <c r="K3114" s="26" t="s">
        <v>310</v>
      </c>
      <c r="L3114" s="26">
        <v>3</v>
      </c>
      <c r="M3114" s="26">
        <v>1</v>
      </c>
      <c r="N3114" s="28">
        <v>0.33333299999999999</v>
      </c>
      <c r="O3114" s="26">
        <v>0.21</v>
      </c>
      <c r="P3114" s="26">
        <v>0.21</v>
      </c>
      <c r="Q3114" s="26">
        <v>18.989999999999998</v>
      </c>
      <c r="R3114" s="28">
        <v>1.1058E-2</v>
      </c>
      <c r="S3114" s="26">
        <v>90.43</v>
      </c>
      <c r="T3114" s="26">
        <v>1</v>
      </c>
      <c r="U3114" s="26">
        <v>1</v>
      </c>
      <c r="V3114" s="28">
        <v>1</v>
      </c>
      <c r="W3114" s="26">
        <v>1</v>
      </c>
      <c r="X3114" s="26">
        <v>0</v>
      </c>
      <c r="Y3114" s="26">
        <v>18.989999999999998</v>
      </c>
      <c r="Z3114" s="26">
        <v>0</v>
      </c>
    </row>
    <row r="3115" spans="1:26" x14ac:dyDescent="0.2">
      <c r="A3115">
        <f t="shared" si="98"/>
        <v>6</v>
      </c>
      <c r="B3115">
        <f t="shared" si="99"/>
        <v>26</v>
      </c>
      <c r="C3115" s="27">
        <v>46198</v>
      </c>
      <c r="D3115" s="26" t="s">
        <v>26</v>
      </c>
      <c r="E3115" s="26" t="s">
        <v>49</v>
      </c>
      <c r="F3115" s="26" t="s">
        <v>50</v>
      </c>
      <c r="G3115" s="26" t="s">
        <v>29</v>
      </c>
      <c r="H3115" s="26" t="s">
        <v>30</v>
      </c>
      <c r="I3115" s="26" t="s">
        <v>95</v>
      </c>
      <c r="J3115" s="26" t="s">
        <v>42</v>
      </c>
      <c r="K3115" s="26" t="s">
        <v>1863</v>
      </c>
      <c r="L3115" s="26">
        <v>4</v>
      </c>
      <c r="M3115" s="26">
        <v>2</v>
      </c>
      <c r="N3115" s="28">
        <v>0.5</v>
      </c>
      <c r="O3115" s="26">
        <v>0.1</v>
      </c>
      <c r="P3115" s="26">
        <v>0.2</v>
      </c>
      <c r="Q3115" s="26">
        <v>0</v>
      </c>
      <c r="R3115" s="26"/>
      <c r="S3115" s="26">
        <v>0</v>
      </c>
      <c r="T3115" s="26">
        <v>0</v>
      </c>
      <c r="U3115" s="26">
        <v>0</v>
      </c>
      <c r="V3115" s="28">
        <v>0</v>
      </c>
      <c r="W3115" s="26">
        <v>0</v>
      </c>
      <c r="X3115" s="26">
        <v>0</v>
      </c>
      <c r="Y3115" s="26">
        <v>0</v>
      </c>
      <c r="Z3115" s="26">
        <v>0</v>
      </c>
    </row>
    <row r="3116" spans="1:26" x14ac:dyDescent="0.2">
      <c r="A3116">
        <f t="shared" si="98"/>
        <v>6</v>
      </c>
      <c r="B3116">
        <f t="shared" si="99"/>
        <v>27</v>
      </c>
      <c r="C3116" s="27">
        <v>46201</v>
      </c>
      <c r="D3116" s="26" t="s">
        <v>26</v>
      </c>
      <c r="E3116" s="26" t="s">
        <v>49</v>
      </c>
      <c r="F3116" s="26" t="s">
        <v>50</v>
      </c>
      <c r="G3116" s="26" t="s">
        <v>29</v>
      </c>
      <c r="H3116" s="26" t="s">
        <v>30</v>
      </c>
      <c r="I3116" s="26" t="s">
        <v>95</v>
      </c>
      <c r="J3116" s="26" t="s">
        <v>42</v>
      </c>
      <c r="K3116" s="26" t="s">
        <v>1657</v>
      </c>
      <c r="L3116" s="26">
        <v>1</v>
      </c>
      <c r="M3116" s="26">
        <v>1</v>
      </c>
      <c r="N3116" s="28">
        <v>1</v>
      </c>
      <c r="O3116" s="26">
        <v>0.5</v>
      </c>
      <c r="P3116" s="26">
        <v>0.5</v>
      </c>
      <c r="Q3116" s="26">
        <v>0</v>
      </c>
      <c r="R3116" s="26"/>
      <c r="S3116" s="26">
        <v>0</v>
      </c>
      <c r="T3116" s="26">
        <v>0</v>
      </c>
      <c r="U3116" s="26">
        <v>0</v>
      </c>
      <c r="V3116" s="28">
        <v>0</v>
      </c>
      <c r="W3116" s="26">
        <v>0</v>
      </c>
      <c r="X3116" s="26">
        <v>0</v>
      </c>
      <c r="Y3116" s="26">
        <v>0</v>
      </c>
      <c r="Z3116" s="26">
        <v>0</v>
      </c>
    </row>
    <row r="3117" spans="1:26" x14ac:dyDescent="0.2">
      <c r="A3117">
        <f t="shared" si="98"/>
        <v>6</v>
      </c>
      <c r="B3117">
        <f t="shared" si="99"/>
        <v>27</v>
      </c>
      <c r="C3117" s="27">
        <v>46201</v>
      </c>
      <c r="D3117" s="26" t="s">
        <v>26</v>
      </c>
      <c r="E3117" s="26" t="s">
        <v>27</v>
      </c>
      <c r="F3117" s="26" t="s">
        <v>28</v>
      </c>
      <c r="G3117" s="26" t="s">
        <v>29</v>
      </c>
      <c r="H3117" s="26" t="s">
        <v>30</v>
      </c>
      <c r="I3117" s="26" t="s">
        <v>50</v>
      </c>
      <c r="J3117" s="26" t="s">
        <v>32</v>
      </c>
      <c r="K3117" s="26" t="s">
        <v>1864</v>
      </c>
      <c r="L3117" s="26">
        <v>1</v>
      </c>
      <c r="M3117" s="26">
        <v>1</v>
      </c>
      <c r="N3117" s="28">
        <v>1</v>
      </c>
      <c r="O3117" s="26">
        <v>0.21</v>
      </c>
      <c r="P3117" s="26">
        <v>0.21</v>
      </c>
      <c r="Q3117" s="26">
        <v>0</v>
      </c>
      <c r="R3117" s="26"/>
      <c r="S3117" s="26">
        <v>0</v>
      </c>
      <c r="T3117" s="26">
        <v>0</v>
      </c>
      <c r="U3117" s="26">
        <v>0</v>
      </c>
      <c r="V3117" s="28">
        <v>0</v>
      </c>
      <c r="W3117" s="26">
        <v>0</v>
      </c>
      <c r="X3117" s="26">
        <v>0</v>
      </c>
      <c r="Y3117" s="26">
        <v>0</v>
      </c>
      <c r="Z3117" s="26">
        <v>0</v>
      </c>
    </row>
    <row r="3118" spans="1:26" x14ac:dyDescent="0.2">
      <c r="A3118">
        <f t="shared" si="98"/>
        <v>6</v>
      </c>
      <c r="B3118">
        <f t="shared" si="99"/>
        <v>27</v>
      </c>
      <c r="C3118" s="27">
        <v>46203</v>
      </c>
      <c r="D3118" s="26" t="s">
        <v>26</v>
      </c>
      <c r="E3118" s="26" t="s">
        <v>27</v>
      </c>
      <c r="F3118" s="26" t="s">
        <v>28</v>
      </c>
      <c r="G3118" s="26" t="s">
        <v>29</v>
      </c>
      <c r="H3118" s="26" t="s">
        <v>30</v>
      </c>
      <c r="I3118" s="26" t="s">
        <v>154</v>
      </c>
      <c r="J3118" s="26" t="s">
        <v>32</v>
      </c>
      <c r="K3118" s="26" t="s">
        <v>1379</v>
      </c>
      <c r="L3118" s="26">
        <v>1</v>
      </c>
      <c r="M3118" s="26">
        <v>1</v>
      </c>
      <c r="N3118" s="28">
        <v>1</v>
      </c>
      <c r="O3118" s="26">
        <v>0.22</v>
      </c>
      <c r="P3118" s="26">
        <v>0.22</v>
      </c>
      <c r="Q3118" s="26">
        <v>0</v>
      </c>
      <c r="R3118" s="26"/>
      <c r="S3118" s="26">
        <v>0</v>
      </c>
      <c r="T3118" s="26">
        <v>0</v>
      </c>
      <c r="U3118" s="26">
        <v>0</v>
      </c>
      <c r="V3118" s="28">
        <v>0</v>
      </c>
      <c r="W3118" s="26">
        <v>0</v>
      </c>
      <c r="X3118" s="26">
        <v>0</v>
      </c>
      <c r="Y3118" s="26">
        <v>0</v>
      </c>
      <c r="Z3118" s="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Auto_Tray</vt:lpstr>
      <vt:lpstr>Auto_ENC</vt:lpstr>
      <vt:lpstr>Auto_BNF</vt:lpstr>
      <vt:lpstr>Tray auto lesley</vt:lpstr>
      <vt:lpstr>Raw-Search 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Liu,Meiqi</cp:lastModifiedBy>
  <dcterms:created xsi:type="dcterms:W3CDTF">2026-02-10T07:42:24Z</dcterms:created>
  <dcterms:modified xsi:type="dcterms:W3CDTF">2026-09-29T16:33:00Z</dcterms:modified>
</cp:coreProperties>
</file>